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328"/>
  <workbookPr/>
  <mc:AlternateContent xmlns:mc="http://schemas.openxmlformats.org/markup-compatibility/2006">
    <mc:Choice Requires="x15">
      <x15ac:absPath xmlns:x15ac="http://schemas.microsoft.com/office/spreadsheetml/2010/11/ac" url="C:\Users\Alastair Woods\Dropbox (ImpactAgri &amp; Irbaris)\ImpactAgri\Advanced Agribusinesses\Burkina Faso - Serious Shea\Financing\AFT Fund\Deliverables\Component 3 - Sensonomic\"/>
    </mc:Choice>
  </mc:AlternateContent>
  <xr:revisionPtr revIDLastSave="0" documentId="13_ncr:1_{CCDDA1B1-9398-4A3E-BEA9-57FD92EEF9A3}" xr6:coauthVersionLast="45" xr6:coauthVersionMax="45" xr10:uidLastSave="{00000000-0000-0000-0000-000000000000}"/>
  <bookViews>
    <workbookView xWindow="18135" yWindow="-16320" windowWidth="29040" windowHeight="15840" xr2:uid="{00000000-000D-0000-FFFF-FFFF00000000}"/>
  </bookViews>
  <sheets>
    <sheet name="Cover" sheetId="10" r:id="rId1"/>
    <sheet name="Summary" sheetId="11" r:id="rId2"/>
    <sheet name="Serious Shea Partner Database" sheetId="12" r:id="rId3"/>
    <sheet name="Introduction" sheetId="7" r:id="rId4"/>
    <sheet name="Group ID" sheetId="1" r:id="rId5"/>
    <sheet name="Ecodata" sheetId="2" r:id="rId6"/>
    <sheet name="Technoserve Groups" sheetId="6" r:id="rId7"/>
    <sheet name="Technoserve Unions" sheetId="9" r:id="rId8"/>
    <sheet name="Sensonomic 1 (Sanguie)" sheetId="4" r:id="rId9"/>
    <sheet name="Sensonomic 2, Sud-Ouest" sheetId="3" r:id="rId10"/>
    <sheet name="Sensonomic 3, Centre-Sud" sheetId="5"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s>
  <definedNames>
    <definedName name="abc" localSheetId="0" hidden="1">{"key inputs",#N/A,TRUE,"Key Inputs";"key outputs",#N/A,TRUE,"Outputs";"Other inputs",#N/A,TRUE,"Other Inputs";"Revenue",#N/A,TRUE,"Rev"}</definedName>
    <definedName name="abc" hidden="1">{"key inputs",#N/A,TRUE,"Key Inputs";"key outputs",#N/A,TRUE,"Outputs";"Other inputs",#N/A,TRUE,"Other Inputs";"Revenue",#N/A,TRUE,"Rev"}</definedName>
    <definedName name="accuracy">[10]Settings!$G$14</definedName>
    <definedName name="AllCases">[11]Input!$H$6:$AE$225</definedName>
    <definedName name="asd" localSheetId="0" hidden="1">{"key inputs",#N/A,FALSE,"Key Inputs";"key outputs",#N/A,FALSE,"Outputs";"Other inputs",#N/A,FALSE,"Other Inputs";"cashflow",#N/A,FALSE,"Statemnts"}</definedName>
    <definedName name="asd" hidden="1">{"key inputs",#N/A,FALSE,"Key Inputs";"key outputs",#N/A,FALSE,"Outputs";"Other inputs",#N/A,FALSE,"Other Inputs";"cashflow",#N/A,FALSE,"Statemnts"}</definedName>
    <definedName name="Assumptions" hidden="1">#N/A</definedName>
    <definedName name="case_refs">[12]Inputs!$E$5:$L$5</definedName>
    <definedName name="Currency">[10]Settings!$G$13</definedName>
    <definedName name="Header1" hidden="1">IF(COUNTA(#REF!)=0,0,INDEX(#REF!,MATCH(ROW(#REF!),#REF!,TRUE)))+1</definedName>
    <definedName name="Header2" localSheetId="0" hidden="1">[0]!Header1-1 &amp; "." &amp; MAX(1,COUNTA(INDEX(#REF!,MATCH([0]!Header1-1,#REF!,FALSE)):#REF!))</definedName>
    <definedName name="Header2" hidden="1">[0]!Header1-1 &amp; "." &amp; MAX(1,COUNTA(INDEX(#REF!,MATCH([0]!Header1-1,#REF!,FALSE)):#REF!))</definedName>
    <definedName name="Inputs_all">[12]Inputs!$C$6:$L$137</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 hidden="1">"c65"</definedName>
    <definedName name="IQ_AVG_INDUSTRY_REC" hidden="1">"c4455"</definedName>
    <definedName name="IQ_AVG_INDUSTRY_REC_NO" hidden="1">"c4454"</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REUT" hidden="1">"c5477"</definedName>
    <definedName name="IQ_BV_SHARE_EST" hidden="1">"c3541"</definedName>
    <definedName name="IQ_BV_SHARE_EST_REUT" hidden="1">"c5439"</definedName>
    <definedName name="IQ_BV_SHARE_HIGH_EST" hidden="1">"c3542"</definedName>
    <definedName name="IQ_BV_SHARE_HIGH_EST_REUT" hidden="1">"c5441"</definedName>
    <definedName name="IQ_BV_SHARE_LOW_EST" hidden="1">"c3543"</definedName>
    <definedName name="IQ_BV_SHARE_LOW_EST_REUT" hidden="1">"c5442"</definedName>
    <definedName name="IQ_BV_SHARE_MEDIAN_EST" hidden="1">"c3544"</definedName>
    <definedName name="IQ_BV_SHARE_MEDIAN_EST_REUT" hidden="1">"c5440"</definedName>
    <definedName name="IQ_BV_SHARE_NUM_EST" hidden="1">"c3539"</definedName>
    <definedName name="IQ_BV_SHARE_NUM_EST_REUT" hidden="1">"c5443"</definedName>
    <definedName name="IQ_BV_SHARE_STDDEV_EST" hidden="1">"c3540"</definedName>
    <definedName name="IQ_BV_SHARE_STDDEV_EST_REUT" hidden="1">"c5444"</definedName>
    <definedName name="IQ_BV_STDDEV_EST" hidden="1">"c5629"</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ACT_OR_EST" hidden="1">"c3584"</definedName>
    <definedName name="IQ_CAPEX_ACT_OR_EST_REUT" hidden="1">"c5474"</definedName>
    <definedName name="IQ_CAPEX_BNK" hidden="1">"c110"</definedName>
    <definedName name="IQ_CAPEX_BR" hidden="1">"c111"</definedName>
    <definedName name="IQ_CAPEX_EST" hidden="1">"c3523"</definedName>
    <definedName name="IQ_CAPEX_EST_REUT" hidden="1">"c3969"</definedName>
    <definedName name="IQ_CAPEX_FIN" hidden="1">"c112"</definedName>
    <definedName name="IQ_CAPEX_GUIDANCE" hidden="1">"c4150"</definedName>
    <definedName name="IQ_CAPEX_HIGH_EST" hidden="1">"c3524"</definedName>
    <definedName name="IQ_CAPEX_HIGH_EST_REUT" hidden="1">"c3971"</definedName>
    <definedName name="IQ_CAPEX_HIGH_GUIDANCE" hidden="1">"c4180"</definedName>
    <definedName name="IQ_CAPEX_INS" hidden="1">"c113"</definedName>
    <definedName name="IQ_CAPEX_LOW_EST" hidden="1">"c3525"</definedName>
    <definedName name="IQ_CAPEX_LOW_EST_REUT" hidden="1">"c3972"</definedName>
    <definedName name="IQ_CAPEX_LOW_GUIDANCE" hidden="1">"c4220"</definedName>
    <definedName name="IQ_CAPEX_MEDIAN_EST" hidden="1">"c3526"</definedName>
    <definedName name="IQ_CAPEX_MEDIAN_EST_REUT" hidden="1">"c3970"</definedName>
    <definedName name="IQ_CAPEX_NUM_EST" hidden="1">"c3521"</definedName>
    <definedName name="IQ_CAPEX_NUM_EST_REUT" hidden="1">"c3973"</definedName>
    <definedName name="IQ_CAPEX_STDDEV_EST" hidden="1">"c3522"</definedName>
    <definedName name="IQ_CAPEX_STDDEV_EST_REUT" hidden="1">"c3974"</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"c3460"</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UE_BANKS" hidden="1">"c1351"</definedName>
    <definedName name="IQ_CASH_EPS_ACT_OR_EST" hidden="1">"c5638"</definedName>
    <definedName name="IQ_CASH_EPS_EST" hidden="1">"c5631"</definedName>
    <definedName name="IQ_CASH_EPS_HIGH_EST" hidden="1">"c5633"</definedName>
    <definedName name="IQ_CASH_EPS_LOW_EST" hidden="1">"c5634"</definedName>
    <definedName name="IQ_CASH_EPS_MEDIAN_EST" hidden="1">"c5632"</definedName>
    <definedName name="IQ_CASH_EPS_NUM_EST" hidden="1">"c5635"</definedName>
    <definedName name="IQ_CASH_EPS_STDDEV_EST" hidden="1">"c5636"</definedName>
    <definedName name="IQ_CASH_EQUIV" hidden="1">"c118"</definedName>
    <definedName name="IQ_CASH_FINAN" hidden="1">"c119"</definedName>
    <definedName name="IQ_CASH_FLOW_ACT_OR_EST" hidden="1">"c4154"</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TEREST" hidden="1">"c120"</definedName>
    <definedName name="IQ_CASH_INVEST" hidden="1">"c121"</definedName>
    <definedName name="IQ_CASH_OPER" hidden="1">"c122"</definedName>
    <definedName name="IQ_CASH_OPER_ACT_OR_EST" hidden="1">"c4164"</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UM_EST" hidden="1">"c4246"</definedName>
    <definedName name="IQ_CASH_OPER_STDDEV_EST" hidden="1">"c4247"</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ACT_OR_EST" hidden="1">"c2217"</definedName>
    <definedName name="IQ_CFPS_ACT_OR_EST_REUT" hidden="1">"c5463"</definedName>
    <definedName name="IQ_CFPS_EST" hidden="1">"c1667"</definedName>
    <definedName name="IQ_CFPS_EST_REUT" hidden="1">"c3844"</definedName>
    <definedName name="IQ_CFPS_GUIDANCE" hidden="1">"c4256"</definedName>
    <definedName name="IQ_CFPS_HIGH_EST" hidden="1">"c1669"</definedName>
    <definedName name="IQ_CFPS_HIGH_EST_REUT" hidden="1">"c3846"</definedName>
    <definedName name="IQ_CFPS_HIGH_GUIDANCE" hidden="1">"c4167"</definedName>
    <definedName name="IQ_CFPS_LOW_EST" hidden="1">"c1670"</definedName>
    <definedName name="IQ_CFPS_LOW_EST_REUT" hidden="1">"c3847"</definedName>
    <definedName name="IQ_CFPS_LOW_GUIDANCE" hidden="1">"c4207"</definedName>
    <definedName name="IQ_CFPS_MEDIAN_EST" hidden="1">"c1668"</definedName>
    <definedName name="IQ_CFPS_MEDIAN_EST_REUT" hidden="1">"c3845"</definedName>
    <definedName name="IQ_CFPS_NUM_EST" hidden="1">"c1671"</definedName>
    <definedName name="IQ_CFPS_NUM_EST_REUT" hidden="1">"c3848"</definedName>
    <definedName name="IQ_CFPS_STDDEV_EST" hidden="1">"c1672"</definedName>
    <definedName name="IQ_CFPS_STDDEV_EST_REUT" hidden="1">"c3849"</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OSITS_INTEREST_SECURITIES" hidden="1">"c5509"</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FF_LASTCLOSE_TARGET_PRICE_REUT" hidden="1">"c5436"</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EST" hidden="1">"c4277"</definedName>
    <definedName name="IQ_DISTRIBUTABLE_CASH_GUIDANCE" hidden="1">"c4279"</definedName>
    <definedName name="IQ_DISTRIBUTABLE_CASH_HIGH_EST" hidden="1">"c4280"</definedName>
    <definedName name="IQ_DISTRIBUTABLE_CASH_HIGH_GUIDANCE" hidden="1">"c4198"</definedName>
    <definedName name="IQ_DISTRIBUTABLE_CASH_LOW_EST" hidden="1">"c4281"</definedName>
    <definedName name="IQ_DISTRIBUTABLE_CASH_LOW_GUIDANCE" hidden="1">"c4238"</definedName>
    <definedName name="IQ_DISTRIBUTABLE_CASH_MEDIAN_EST" hidden="1">"c4282"</definedName>
    <definedName name="IQ_DISTRIBUTABLE_CASH_NUM_EST" hidden="1">"c4283"</definedName>
    <definedName name="IQ_DISTRIBUTABLE_CASH_PAYOUT" hidden="1">"c3005"</definedName>
    <definedName name="IQ_DISTRIBUTABLE_CASH_SHARE" hidden="1">"c3003"</definedName>
    <definedName name="IQ_DISTRIBUTABLE_CASH_SHARE_ACT_OR_EST" hidden="1">"c4286"</definedName>
    <definedName name="IQ_DISTRIBUTABLE_CASH_SHARE_EST" hidden="1">"c4285"</definedName>
    <definedName name="IQ_DISTRIBUTABLE_CASH_SHARE_GUIDANCE" hidden="1">"c4287"</definedName>
    <definedName name="IQ_DISTRIBUTABLE_CASH_SHARE_HIGH_EST" hidden="1">"c4288"</definedName>
    <definedName name="IQ_DISTRIBUTABLE_CASH_SHARE_HIGH_GUIDANCE" hidden="1">"c4199"</definedName>
    <definedName name="IQ_DISTRIBUTABLE_CASH_SHARE_LOW_EST" hidden="1">"c4289"</definedName>
    <definedName name="IQ_DISTRIBUTABLE_CASH_SHARE_LOW_GUIDANCE" hidden="1">"c4239"</definedName>
    <definedName name="IQ_DISTRIBUTABLE_CASH_SHARE_MEDIAN_EST" hidden="1">"c4290"</definedName>
    <definedName name="IQ_DISTRIBUTABLE_CASH_SHARE_NUM_EST" hidden="1">"c4291"</definedName>
    <definedName name="IQ_DISTRIBUTABLE_CASH_SHARE_STDDEV_EST" hidden="1">"c4292"</definedName>
    <definedName name="IQ_DISTRIBUTABLE_CASH_STDDEV_EST" hidden="1">"c4294"</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ACT_OR_EST" hidden="1">"c2218"</definedName>
    <definedName name="IQ_DPS_ACT_OR_EST_REUT" hidden="1">"c5464"</definedName>
    <definedName name="IQ_DPS_EST" hidden="1">"c1674"</definedName>
    <definedName name="IQ_DPS_EST_BOTTOM_UP" hidden="1">"c5493"</definedName>
    <definedName name="IQ_DPS_EST_BOTTOM_UP_REUT" hidden="1">"c5501"</definedName>
    <definedName name="IQ_DPS_EST_REUT" hidden="1">"c3851"</definedName>
    <definedName name="IQ_DPS_GUIDANCE" hidden="1">"c4302"</definedName>
    <definedName name="IQ_DPS_HIGH_EST" hidden="1">"c1676"</definedName>
    <definedName name="IQ_DPS_HIGH_EST_REUT" hidden="1">"c3853"</definedName>
    <definedName name="IQ_DPS_HIGH_GUIDANCE" hidden="1">"c4168"</definedName>
    <definedName name="IQ_DPS_LOW_EST" hidden="1">"c1677"</definedName>
    <definedName name="IQ_DPS_LOW_EST_REUT" hidden="1">"c3854"</definedName>
    <definedName name="IQ_DPS_LOW_GUIDANCE" hidden="1">"c4208"</definedName>
    <definedName name="IQ_DPS_MEDIAN_EST" hidden="1">"c1675"</definedName>
    <definedName name="IQ_DPS_MEDIAN_EST_REUT" hidden="1">"c3852"</definedName>
    <definedName name="IQ_DPS_NUM_EST" hidden="1">"c1678"</definedName>
    <definedName name="IQ_DPS_NUM_EST_REUT" hidden="1">"c3855"</definedName>
    <definedName name="IQ_DPS_STDDEV_EST" hidden="1">"c1679"</definedName>
    <definedName name="IQ_DPS_STDDEV_EST_REUT" hidden="1">"c3856"</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ACT_OR_EST" hidden="1">"c2219"</definedName>
    <definedName name="IQ_EBIT_ACT_OR_EST_REUT" hidden="1">"c5465"</definedName>
    <definedName name="IQ_EBIT_EQ_INC" hidden="1">"c3498"</definedName>
    <definedName name="IQ_EBIT_EQ_INC_EXCL_SBC" hidden="1">"c3502"</definedName>
    <definedName name="IQ_EBIT_EST" hidden="1">"c1681"</definedName>
    <definedName name="IQ_EBIT_EST_REUT" hidden="1">"c5333"</definedName>
    <definedName name="IQ_EBIT_EXCL_SBC" hidden="1">"c3082"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REUT" hidden="1">"c5335"</definedName>
    <definedName name="IQ_EBIT_HIGH_GUIDANCE" hidden="1">"c4172"</definedName>
    <definedName name="IQ_EBIT_INT" hidden="1">"c360"</definedName>
    <definedName name="IQ_EBIT_LOW_EST" hidden="1">"c1684"</definedName>
    <definedName name="IQ_EBIT_LOW_EST_REUT" hidden="1">"c5336"</definedName>
    <definedName name="IQ_EBIT_LOW_GUIDANCE" hidden="1">"c4212"</definedName>
    <definedName name="IQ_EBIT_MARGIN" hidden="1">"c359"</definedName>
    <definedName name="IQ_EBIT_MEDIAN_EST" hidden="1">"c1682"</definedName>
    <definedName name="IQ_EBIT_MEDIAN_EST_REUT" hidden="1">"c5334"</definedName>
    <definedName name="IQ_EBIT_NUM_EST" hidden="1">"c1685"</definedName>
    <definedName name="IQ_EBIT_NUM_EST_REUT" hidden="1">"c5337"</definedName>
    <definedName name="IQ_EBIT_OVER_IE" hidden="1">"c1369"</definedName>
    <definedName name="IQ_EBIT_SBC_ACT_OR_EST" hidden="1">"c4316"</definedName>
    <definedName name="IQ_EBIT_SBC_EST" hidden="1">"c4315"</definedName>
    <definedName name="IQ_EBIT_SBC_GUIDANCE" hidden="1">"c4317"</definedName>
    <definedName name="IQ_EBIT_SBC_GW_ACT_OR_EST" hidden="1">"c4320"</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REUT" hidden="1">"c5338"</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ACT_OR_EST" hidden="1">"c2215"</definedName>
    <definedName name="IQ_EBITDA_ACT_OR_EST_REUT" hidden="1">"c5462"</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XCL_SBC" hidden="1">"c3081"</definedName>
    <definedName name="IQ_EBITDA_GUIDANCE" hidden="1">"c4334"</definedName>
    <definedName name="IQ_EBITDA_HIGH_EST" hidden="1">"c370"</definedName>
    <definedName name="IQ_EBITDA_HIGH_EST_REUT" hidden="1">"c3642"</definedName>
    <definedName name="IQ_EBITDA_HIGH_GUIDANCE" hidden="1">"c4170"</definedName>
    <definedName name="IQ_EBITDA_INT" hidden="1">"c373"</definedName>
    <definedName name="IQ_EBITDA_LOW_EST" hidden="1">"c371"</definedName>
    <definedName name="IQ_EBITDA_LOW_EST_REUT" hidden="1">"c3643"</definedName>
    <definedName name="IQ_EBITDA_LOW_GUIDANCE" hidden="1">"c4210"</definedName>
    <definedName name="IQ_EBITDA_MARGIN" hidden="1">"c372"</definedName>
    <definedName name="IQ_EBITDA_MEDIAN_EST" hidden="1">"c1663"</definedName>
    <definedName name="IQ_EBITDA_MEDIAN_EST_REUT" hidden="1">"c3641"</definedName>
    <definedName name="IQ_EBITDA_NUM_EST" hidden="1">"c374"</definedName>
    <definedName name="IQ_EBITDA_NUM_EST_REUT" hidden="1">"c3644"</definedName>
    <definedName name="IQ_EBITDA_OVER_TOTAL_IE" hidden="1">"c1371"</definedName>
    <definedName name="IQ_EBITDA_SBC_ACT_OR_EST" hidden="1">"c4337"</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REUT" hidden="1">"c3645"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IT" hidden="1">"c389"</definedName>
    <definedName name="IQ_EBT_SBC_ACT_OR_EST" hidden="1">"c4350"</definedName>
    <definedName name="IQ_EBT_SBC_EST" hidden="1">"c4349"</definedName>
    <definedName name="IQ_EBT_SBC_GUIDANCE" hidden="1">"c4351"</definedName>
    <definedName name="IQ_EBT_SBC_GW_ACT_OR_EST" hidden="1">"c4354"</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ACT_OR_EST" hidden="1">"c2213"</definedName>
    <definedName name="IQ_EPS_ACT_OR_EST_REUT" hidden="1">"c5460"</definedName>
    <definedName name="IQ_EPS_EST" hidden="1">"c399"</definedName>
    <definedName name="IQ_EPS_EST_BOTTOM_UP" hidden="1">"c5489"</definedName>
    <definedName name="IQ_EPS_EST_BOTTOM_UP_REUT" hidden="1">"c5497"</definedName>
    <definedName name="IQ_EPS_EST_REUT" hidden="1">"c5453"</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REUT" hidden="1">"c5469"</definedName>
    <definedName name="IQ_EPS_GW_EST" hidden="1">"c1737"</definedName>
    <definedName name="IQ_EPS_GW_EST_BOTTOM_UP" hidden="1">"c5491"</definedName>
    <definedName name="IQ_EPS_GW_EST_BOTTOM_UP_REUT" hidden="1">"c5499"</definedName>
    <definedName name="IQ_EPS_GW_EST_REUT" hidden="1">"c5389"</definedName>
    <definedName name="IQ_EPS_GW_GUIDANCE" hidden="1">"c4372"</definedName>
    <definedName name="IQ_EPS_GW_HIGH_EST" hidden="1">"c1739"</definedName>
    <definedName name="IQ_EPS_GW_HIGH_EST_REUT" hidden="1">"c5391"</definedName>
    <definedName name="IQ_EPS_GW_HIGH_GUIDANCE" hidden="1">"c4373"</definedName>
    <definedName name="IQ_EPS_GW_LOW_EST" hidden="1">"c1740"</definedName>
    <definedName name="IQ_EPS_GW_LOW_EST_REUT" hidden="1">"c5392"</definedName>
    <definedName name="IQ_EPS_GW_LOW_GUIDANCE" hidden="1">"c4206"</definedName>
    <definedName name="IQ_EPS_GW_MEDIAN_EST" hidden="1">"c1738"</definedName>
    <definedName name="IQ_EPS_GW_MEDIAN_EST_REUT" hidden="1">"c5390"</definedName>
    <definedName name="IQ_EPS_GW_NUM_EST" hidden="1">"c1741"</definedName>
    <definedName name="IQ_EPS_GW_NUM_EST_REUT" hidden="1">"c5393"</definedName>
    <definedName name="IQ_EPS_GW_STDDEV_EST" hidden="1">"c1742"</definedName>
    <definedName name="IQ_EPS_GW_STDDEV_EST_REUT" hidden="1">"c5394"</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 hidden="1">"c1902"</definedName>
    <definedName name="IQ_EPS_NORM_EST" hidden="1">"c2226"</definedName>
    <definedName name="IQ_EPS_NORM_EST_BOTTOM_UP" hidden="1">"c5490"</definedName>
    <definedName name="IQ_EPS_NORM_EST_BOTTOM_UP_REUT" hidden="1">"c5498"</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REPORT_ACT_OR_EST" hidden="1">"c2224"</definedName>
    <definedName name="IQ_EPS_REPORT_ACT_OR_EST_REUT" hidden="1">"c5470"</definedName>
    <definedName name="IQ_EPS_REPORTED_EST" hidden="1">"c1744"</definedName>
    <definedName name="IQ_EPS_REPORTED_EST_BOTTOM_UP" hidden="1">"c5492"</definedName>
    <definedName name="IQ_EPS_REPORTED_EST_BOTTOM_UP_REUT" hidden="1">"c5500"</definedName>
    <definedName name="IQ_EPS_REPORTED_EST_REUT" hidden="1">"c5396"</definedName>
    <definedName name="IQ_EPS_REPORTED_HIGH_EST" hidden="1">"c1746"</definedName>
    <definedName name="IQ_EPS_REPORTED_HIGH_EST_REUT" hidden="1">"c5398"</definedName>
    <definedName name="IQ_EPS_REPORTED_LOW_EST" hidden="1">"c1747"</definedName>
    <definedName name="IQ_EPS_REPORTED_LOW_EST_REUT" hidden="1">"c5399"</definedName>
    <definedName name="IQ_EPS_REPORTED_MEDIAN_EST" hidden="1">"c1745"</definedName>
    <definedName name="IQ_EPS_REPORTED_MEDIAN_EST_REUT" hidden="1">"c5397"</definedName>
    <definedName name="IQ_EPS_REPORTED_NUM_EST" hidden="1">"c1748"</definedName>
    <definedName name="IQ_EPS_REPORTED_NUM_EST_REUT" hidden="1">"c5400"</definedName>
    <definedName name="IQ_EPS_REPORTED_STDDEV_EST" hidden="1">"c1749"</definedName>
    <definedName name="IQ_EPS_REPORTED_STDDEV_EST_REUT" hidden="1">"c5401"</definedName>
    <definedName name="IQ_EPS_SBC_ACT_OR_EST" hidden="1">"c4376"</definedName>
    <definedName name="IQ_EPS_SBC_EST" hidden="1">"c4375"</definedName>
    <definedName name="IQ_EPS_SBC_GUIDANCE" hidden="1">"c4377"</definedName>
    <definedName name="IQ_EPS_SBC_GW_ACT_OR_EST" hidden="1">"c4380"</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REUT" hidden="1">"c5452"</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REUT" hidden="1">"c5445"</definedName>
    <definedName name="IQ_EST_ACT_CAPEX" hidden="1">"c3546"</definedName>
    <definedName name="IQ_EST_ACT_CAPEX_REUT" hidden="1">"c3975"</definedName>
    <definedName name="IQ_EST_ACT_CASH_EPS" hidden="1">"c5637"</definedName>
    <definedName name="IQ_EST_ACT_CASH_FLOW" hidden="1">"c4394"</definedName>
    <definedName name="IQ_EST_ACT_CASH_OPER" hidden="1">"c4395"</definedName>
    <definedName name="IQ_EST_ACT_CFPS" hidden="1">"c1673"</definedName>
    <definedName name="IQ_EST_ACT_CFPS_REUT" hidden="1">"c3850"</definedName>
    <definedName name="IQ_EST_ACT_DISTRIBUTABLE_CASH" hidden="1">"c4396"</definedName>
    <definedName name="IQ_EST_ACT_DISTRIBUTABLE_CASH_SHARE" hidden="1">"c4397"</definedName>
    <definedName name="IQ_EST_ACT_DPS" hidden="1">"c1680"</definedName>
    <definedName name="IQ_EST_ACT_DPS_REUT" hidden="1">"c3857"</definedName>
    <definedName name="IQ_EST_ACT_EBIT" hidden="1">"c1687"</definedName>
    <definedName name="IQ_EST_ACT_EBIT_GW" hidden="1">"c4398"</definedName>
    <definedName name="IQ_EST_ACT_EBIT_REUT" hidden="1">"c5339"</definedName>
    <definedName name="IQ_EST_ACT_EBIT_SBC" hidden="1">"c4399"</definedName>
    <definedName name="IQ_EST_ACT_EBIT_SBC_GW" hidden="1">"c4400"</definedName>
    <definedName name="IQ_EST_ACT_EBITDA" hidden="1">"c1664"</definedName>
    <definedName name="IQ_EST_ACT_EBITDA_REUT" hidden="1">"c3836"</definedName>
    <definedName name="IQ_EST_ACT_EBITDA_SBC" hidden="1">"c4401"</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REUT" hidden="1">"c5395"</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UT" hidden="1">"c5457"</definedName>
    <definedName name="IQ_EST_ACT_EPS_SBC" hidden="1">"c4404"</definedName>
    <definedName name="IQ_EST_ACT_EPS_SBC_GW" hidden="1">"c4405"</definedName>
    <definedName name="IQ_EST_ACT_FFO" hidden="1">"c1666"</definedName>
    <definedName name="IQ_EST_ACT_FFO_ADJ" hidden="1">"c4406"</definedName>
    <definedName name="IQ_EST_ACT_FFO_REUT" hidden="1">"c3843"</definedName>
    <definedName name="IQ_EST_ACT_FFO_SHARE" hidden="1">"c4407"</definedName>
    <definedName name="IQ_EST_ACT_GROSS_MARGIN" hidden="1">"c5553"</definedName>
    <definedName name="IQ_EST_ACT_MAINT_CAPEX" hidden="1">"c4408"</definedName>
    <definedName name="IQ_EST_ACT_NAV" hidden="1">"c1757"</definedName>
    <definedName name="IQ_EST_ACT_NAV_SHARE" hidden="1">"c5608"</definedName>
    <definedName name="IQ_EST_ACT_NAV_SHARE_REUT" hidden="1">"c5616"</definedName>
    <definedName name="IQ_EST_ACT_NET_DEBT" hidden="1">"c3545"</definedName>
    <definedName name="IQ_EST_ACT_NET_DEBT_REUT" hidden="1">"c5446"</definedName>
    <definedName name="IQ_EST_ACT_NI" hidden="1">"c1722"</definedName>
    <definedName name="IQ_EST_ACT_NI_GW" hidden="1">"c1729"</definedName>
    <definedName name="IQ_EST_ACT_NI_GW_REUT" hidden="1">"c5381"</definedName>
    <definedName name="IQ_EST_ACT_NI_REPORTED" hidden="1">"c1736"</definedName>
    <definedName name="IQ_EST_ACT_NI_REPORTED_REUT" hidden="1">"c5388"</definedName>
    <definedName name="IQ_EST_ACT_NI_REUT" hidden="1">"c5374"</definedName>
    <definedName name="IQ_EST_ACT_NI_SBC" hidden="1">"c4409"</definedName>
    <definedName name="IQ_EST_ACT_NI_SBC_GW" hidden="1">"c4410"</definedName>
    <definedName name="IQ_EST_ACT_OPER_INC" hidden="1">"c1694"</definedName>
    <definedName name="IQ_EST_ACT_OPER_INC_REUT" hidden="1">"c5346"</definedName>
    <definedName name="IQ_EST_ACT_PRETAX_GW_INC" hidden="1">"c1708"</definedName>
    <definedName name="IQ_EST_ACT_PRETAX_GW_INC_REUT" hidden="1">"c5360"</definedName>
    <definedName name="IQ_EST_ACT_PRETAX_INC" hidden="1">"c1701"</definedName>
    <definedName name="IQ_EST_ACT_PRETAX_INC_REUT" hidden="1">"c5353"</definedName>
    <definedName name="IQ_EST_ACT_PRETAX_REPORT_INC" hidden="1">"c1715"</definedName>
    <definedName name="IQ_EST_ACT_PRETAX_REPORT_INC_REUT" hidden="1">"c5367"</definedName>
    <definedName name="IQ_EST_ACT_RECURRING_PROFIT" hidden="1">"c4411"</definedName>
    <definedName name="IQ_EST_ACT_RECURRING_PROFIT_SHARE" hidden="1">"c4412"</definedName>
    <definedName name="IQ_EST_ACT_RETURN_ASSETS" hidden="1">"c3547"</definedName>
    <definedName name="IQ_EST_ACT_RETURN_ASSETS_REUT" hidden="1">"c3996"</definedName>
    <definedName name="IQ_EST_ACT_RETURN_EQUITY" hidden="1">"c3548"</definedName>
    <definedName name="IQ_EST_ACT_RETURN_EQUITY_REUT" hidden="1">"c3989"</definedName>
    <definedName name="IQ_EST_ACT_REV" hidden="1">"c2113"</definedName>
    <definedName name="IQ_EST_ACT_REV_REUT" hidden="1">"c3835"</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REUT" hidden="1">"c5447"</definedName>
    <definedName name="IQ_EST_CAPEX_GROWTH_2YR" hidden="1">"c3589"</definedName>
    <definedName name="IQ_EST_CAPEX_GROWTH_2YR_REUT" hidden="1">"c5448"</definedName>
    <definedName name="IQ_EST_CAPEX_GROWTH_Q_1YR" hidden="1">"c3590"</definedName>
    <definedName name="IQ_EST_CAPEX_GROWTH_Q_1YR_REUT" hidden="1">"c5449"</definedName>
    <definedName name="IQ_EST_CAPEX_SEQ_GROWTH_Q" hidden="1">"c3591"</definedName>
    <definedName name="IQ_EST_CAPEX_SEQ_GROWTH_Q_REUT" hidden="1">"c5450"</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REUT" hidden="1">"c3892"</definedName>
    <definedName name="IQ_EST_CFPS_GROWTH_1YR" hidden="1">"c1774"</definedName>
    <definedName name="IQ_EST_CFPS_GROWTH_1YR_REUT" hidden="1">"c3878"</definedName>
    <definedName name="IQ_EST_CFPS_GROWTH_2YR" hidden="1">"c1775"</definedName>
    <definedName name="IQ_EST_CFPS_GROWTH_2YR_REUT" hidden="1">"c3879"</definedName>
    <definedName name="IQ_EST_CFPS_GROWTH_Q_1YR" hidden="1">"c1776"</definedName>
    <definedName name="IQ_EST_CFPS_GROWTH_Q_1YR_REUT" hidden="1">"c3880"</definedName>
    <definedName name="IQ_EST_CFPS_SEQ_GROWTH_Q" hidden="1">"c1777"</definedName>
    <definedName name="IQ_EST_CFPS_SEQ_GROWTH_Q_REUT" hidden="1">"c3881"</definedName>
    <definedName name="IQ_EST_CFPS_SURPRISE_PERCENT" hidden="1">"c1872"</definedName>
    <definedName name="IQ_EST_CFPS_SURPRISE_PERCENT_REUT" hidden="1">"c3893"</definedName>
    <definedName name="IQ_EST_CURRENCY" hidden="1">"c2140"</definedName>
    <definedName name="IQ_EST_CURRENCY_REUT" hidden="1">"c5437"</definedName>
    <definedName name="IQ_EST_DATE" hidden="1">"c1634"</definedName>
    <definedName name="IQ_EST_DATE_REUT" hidden="1">"c5438"</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REUT" hidden="1">"c3894"</definedName>
    <definedName name="IQ_EST_DPS_GROWTH_1YR" hidden="1">"c1778"</definedName>
    <definedName name="IQ_EST_DPS_GROWTH_1YR_REUT" hidden="1">"c3882"</definedName>
    <definedName name="IQ_EST_DPS_GROWTH_2YR" hidden="1">"c1779"</definedName>
    <definedName name="IQ_EST_DPS_GROWTH_2YR_REUT" hidden="1">"c3883"</definedName>
    <definedName name="IQ_EST_DPS_GROWTH_Q_1YR" hidden="1">"c1780"</definedName>
    <definedName name="IQ_EST_DPS_GROWTH_Q_1YR_REUT" hidden="1">"c3884"</definedName>
    <definedName name="IQ_EST_DPS_SEQ_GROWTH_Q" hidden="1">"c1781"</definedName>
    <definedName name="IQ_EST_DPS_SEQ_GROWTH_Q_REUT" hidden="1">"c3885"</definedName>
    <definedName name="IQ_EST_DPS_SURPRISE_PERCENT" hidden="1">"c1874"</definedName>
    <definedName name="IQ_EST_DPS_SURPRISE_PERCENT_REUT" hidden="1">"c3895"</definedName>
    <definedName name="IQ_EST_EBIT_DIFF" hidden="1">"c1875"</definedName>
    <definedName name="IQ_EST_EBIT_DIFF_REUT" hidden="1">"c5413"</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REUT" hidden="1">"c5414"</definedName>
    <definedName name="IQ_EST_EBITDA_DIFF" hidden="1">"c1867"</definedName>
    <definedName name="IQ_EST_EBITDA_DIFF_REUT" hidden="1">"c3888"</definedName>
    <definedName name="IQ_EST_EBITDA_GROWTH_1YR" hidden="1">"c1766"</definedName>
    <definedName name="IQ_EST_EBITDA_GROWTH_1YR_REUT" hidden="1">"c3864"</definedName>
    <definedName name="IQ_EST_EBITDA_GROWTH_2YR" hidden="1">"c1767"</definedName>
    <definedName name="IQ_EST_EBITDA_GROWTH_2YR_REUT" hidden="1">"c3865"</definedName>
    <definedName name="IQ_EST_EBITDA_GROWTH_Q_1YR" hidden="1">"c1768"</definedName>
    <definedName name="IQ_EST_EBITDA_GROWTH_Q_1YR_REUT" hidden="1">"c3866"</definedName>
    <definedName name="IQ_EST_EBITDA_SBC_DIFF" hidden="1">"c4335"</definedName>
    <definedName name="IQ_EST_EBITDA_SBC_SURPRISE_PERCENT" hidden="1">"c4344"</definedName>
    <definedName name="IQ_EST_EBITDA_SEQ_GROWTH_Q" hidden="1">"c1769"</definedName>
    <definedName name="IQ_EST_EBITDA_SEQ_GROWTH_Q_REUT" hidden="1">"c3867"</definedName>
    <definedName name="IQ_EST_EBITDA_SURPRISE_PERCENT" hidden="1">"c1868"</definedName>
    <definedName name="IQ_EST_EBITDA_SURPRISE_PERCENT_REUT" hidden="1">"c3889"</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REUT" hidden="1">"c5458"</definedName>
    <definedName name="IQ_EST_EPS_GROWTH_1YR" hidden="1">"c1636"</definedName>
    <definedName name="IQ_EST_EPS_GROWTH_1YR_REUT" hidden="1">"c3646"</definedName>
    <definedName name="IQ_EST_EPS_GROWTH_2YR" hidden="1">"c1637"</definedName>
    <definedName name="IQ_EST_EPS_GROWTH_2YR_REUT" hidden="1">"c3858"</definedName>
    <definedName name="IQ_EST_EPS_GROWTH_5YR" hidden="1">"c1655"</definedName>
    <definedName name="IQ_EST_EPS_GROWTH_5YR_BOTTOM_UP" hidden="1">"c5487"</definedName>
    <definedName name="IQ_EST_EPS_GROWTH_5YR_BOTTOM_UP_REUT" hidden="1">"c5495"</definedName>
    <definedName name="IQ_EST_EPS_GROWTH_5YR_HIGH" hidden="1">"c1657"</definedName>
    <definedName name="IQ_EST_EPS_GROWTH_5YR_HIGH_REUT" hidden="1">"c5322"</definedName>
    <definedName name="IQ_EST_EPS_GROWTH_5YR_LOW" hidden="1">"c1658"</definedName>
    <definedName name="IQ_EST_EPS_GROWTH_5YR_LOW_REUT" hidden="1">"c5323"</definedName>
    <definedName name="IQ_EST_EPS_GROWTH_5YR_MEDIAN" hidden="1">"c1656"</definedName>
    <definedName name="IQ_EST_EPS_GROWTH_5YR_MEDIAN_REUT" hidden="1">"c5321"</definedName>
    <definedName name="IQ_EST_EPS_GROWTH_5YR_NUM" hidden="1">"c1659"</definedName>
    <definedName name="IQ_EST_EPS_GROWTH_5YR_NUM_REUT" hidden="1">"c5324"</definedName>
    <definedName name="IQ_EST_EPS_GROWTH_5YR_REUT" hidden="1">"c3633"</definedName>
    <definedName name="IQ_EST_EPS_GROWTH_5YR_STDDEV" hidden="1">"c1660"</definedName>
    <definedName name="IQ_EST_EPS_GROWTH_5YR_STDDEV_REUT" hidden="1">"c5325"</definedName>
    <definedName name="IQ_EST_EPS_GROWTH_Q_1YR" hidden="1">"c1641"</definedName>
    <definedName name="IQ_EST_EPS_GROWTH_Q_1YR_REUT" hidden="1">"c5410"</definedName>
    <definedName name="IQ_EST_EPS_GW_DIFF" hidden="1">"c1891"</definedName>
    <definedName name="IQ_EST_EPS_GW_DIFF_REUT" hidden="1">"c5429"</definedName>
    <definedName name="IQ_EST_EPS_GW_SURPRISE_PERCENT" hidden="1">"c1892"</definedName>
    <definedName name="IQ_EST_EPS_GW_SURPRISE_PERCENT_REUT" hidden="1">"c5430"</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SURPRISE_PERCENT" hidden="1">"c1894"</definedName>
    <definedName name="IQ_EST_EPS_REPORT_SURPRISE_PERCENT_REUT" hidden="1">"c5432"</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REUT" hidden="1">"c3859"</definedName>
    <definedName name="IQ_EST_EPS_SURPRISE_PERCENT" hidden="1">"c1635"</definedName>
    <definedName name="IQ_EST_EPS_SURPRISE_PERCENT_REUT" hidden="1">"c5459"</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GROWTH_1YR" hidden="1">"c1770"</definedName>
    <definedName name="IQ_EST_FFO_GROWTH_1YR_REUT" hidden="1">"c3874"</definedName>
    <definedName name="IQ_EST_FFO_GROWTH_2YR" hidden="1">"c1771"</definedName>
    <definedName name="IQ_EST_FFO_GROWTH_2YR_REUT" hidden="1">"c3875"</definedName>
    <definedName name="IQ_EST_FFO_GROWTH_Q_1YR" hidden="1">"c1772"</definedName>
    <definedName name="IQ_EST_FFO_GROWTH_Q_1YR_REUT" hidden="1">"c3876"</definedName>
    <definedName name="IQ_EST_FFO_SEQ_GROWTH_Q" hidden="1">"c1773"</definedName>
    <definedName name="IQ_EST_FFO_SEQ_GROWTH_Q_REUT" hidden="1">"c3877"</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OOTNOTE" hidden="1">"c4540"</definedName>
    <definedName name="IQ_EST_FOOTNOTE_REUT" hidden="1">"c5478"</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REUT" hidden="1">"c5423"</definedName>
    <definedName name="IQ_EST_NI_GW_DIFF" hidden="1">"c1887"</definedName>
    <definedName name="IQ_EST_NI_GW_DIFF_REUT" hidden="1">"c5425"</definedName>
    <definedName name="IQ_EST_NI_GW_SURPRISE_PERCENT" hidden="1">"c1888"</definedName>
    <definedName name="IQ_EST_NI_GW_SURPRISE_PERCENT_REUT" hidden="1">"c5426"</definedName>
    <definedName name="IQ_EST_NI_REPORT_DIFF" hidden="1">"c1889"</definedName>
    <definedName name="IQ_EST_NI_REPORT_DIFF_REUT" hidden="1">"c5427"</definedName>
    <definedName name="IQ_EST_NI_REPORT_SURPRISE_PERCENT" hidden="1">"c1890"</definedName>
    <definedName name="IQ_EST_NI_REPORT_SURPRISE_PERCENT_REUT" hidden="1">"c5428"</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REUT" hidden="1">"c5424"</definedName>
    <definedName name="IQ_EST_NUM_BUY" hidden="1">"c1759"</definedName>
    <definedName name="IQ_EST_NUM_BUY_REUT" hidden="1">"c3869"</definedName>
    <definedName name="IQ_EST_NUM_HOLD" hidden="1">"c1761"</definedName>
    <definedName name="IQ_EST_NUM_HOLD_REUT" hidden="1">"c3871"</definedName>
    <definedName name="IQ_EST_NUM_NO_OPINION" hidden="1">"c1758"</definedName>
    <definedName name="IQ_EST_NUM_NO_OPINION_REUT" hidden="1">"c3868"</definedName>
    <definedName name="IQ_EST_NUM_OUTPERFORM" hidden="1">"c1760"</definedName>
    <definedName name="IQ_EST_NUM_OUTPERFORM_REUT" hidden="1">"c3870"</definedName>
    <definedName name="IQ_EST_NUM_SELL" hidden="1">"c1763"</definedName>
    <definedName name="IQ_EST_NUM_SELL_REUT" hidden="1">"c3873"</definedName>
    <definedName name="IQ_EST_NUM_UNDERPERFORM" hidden="1">"c1762"</definedName>
    <definedName name="IQ_EST_NUM_UNDERPERFORM_REUT" hidden="1">"c3872"</definedName>
    <definedName name="IQ_EST_OPER_INC_DIFF" hidden="1">"c1877"</definedName>
    <definedName name="IQ_EST_OPER_INC_DIFF_REUT" hidden="1">"c5415"</definedName>
    <definedName name="IQ_EST_OPER_INC_SURPRISE_PERCENT" hidden="1">"c1878"</definedName>
    <definedName name="IQ_EST_OPER_INC_SURPRISE_PERCENT_REUT" hidden="1">"c5416"</definedName>
    <definedName name="IQ_EST_PRE_TAX_DIFF" hidden="1">"c1879"</definedName>
    <definedName name="IQ_EST_PRE_TAX_DIFF_REUT" hidden="1">"c5417"</definedName>
    <definedName name="IQ_EST_PRE_TAX_GW_DIFF" hidden="1">"c1881"</definedName>
    <definedName name="IQ_EST_PRE_TAX_GW_DIFF_REUT" hidden="1">"c5419"</definedName>
    <definedName name="IQ_EST_PRE_TAX_GW_SURPRISE_PERCENT" hidden="1">"c1882"</definedName>
    <definedName name="IQ_EST_PRE_TAX_GW_SURPRISE_PERCENT_REUT" hidden="1">"c5420"</definedName>
    <definedName name="IQ_EST_PRE_TAX_REPORT_DIFF" hidden="1">"c1883"</definedName>
    <definedName name="IQ_EST_PRE_TAX_REPORT_DIFF_REUT" hidden="1">"c5421"</definedName>
    <definedName name="IQ_EST_PRE_TAX_REPORT_SURPRISE_PERCENT" hidden="1">"c1884"</definedName>
    <definedName name="IQ_EST_PRE_TAX_REPORT_SURPRISE_PERCENT_REUT" hidden="1">"c5422"</definedName>
    <definedName name="IQ_EST_PRE_TAX_SURPRISE_PERCENT" hidden="1">"c1880"</definedName>
    <definedName name="IQ_EST_PRE_TAX_SURPRISE_PERCENT_REUT" hidden="1">"c5418"</definedName>
    <definedName name="IQ_EST_RECURRING_PROFIT_SHARE_DIFF" hidden="1">"c4505"</definedName>
    <definedName name="IQ_EST_RECURRING_PROFIT_SHARE_SURPRISE_PERCENT" hidden="1">"c4515"</definedName>
    <definedName name="IQ_EST_REV_DIFF" hidden="1">"c1865"</definedName>
    <definedName name="IQ_EST_REV_DIFF_REUT" hidden="1">"c3886"</definedName>
    <definedName name="IQ_EST_REV_GROWTH_1YR" hidden="1">"c1638"</definedName>
    <definedName name="IQ_EST_REV_GROWTH_1YR_REUT" hidden="1">"c3860"</definedName>
    <definedName name="IQ_EST_REV_GROWTH_2YR" hidden="1">"c1639"</definedName>
    <definedName name="IQ_EST_REV_GROWTH_2YR_REUT" hidden="1">"c3861"</definedName>
    <definedName name="IQ_EST_REV_GROWTH_Q_1YR" hidden="1">"c1640"</definedName>
    <definedName name="IQ_EST_REV_GROWTH_Q_1YR_REUT" hidden="1">"c3862"</definedName>
    <definedName name="IQ_EST_REV_SEQ_GROWTH_Q" hidden="1">"c1765"</definedName>
    <definedName name="IQ_EST_REV_SEQ_GROWTH_Q_REUT" hidden="1">"c3863"</definedName>
    <definedName name="IQ_EST_REV_SURPRISE_PERCENT" hidden="1">"c1866"</definedName>
    <definedName name="IQ_EST_REV_SURPRISE_PERCENT_REUT" hidden="1">"c3887"</definedName>
    <definedName name="IQ_EST_VENDOR" hidden="1">"c5564"</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ACT_OR_EST" hidden="1">"c2216"</definedName>
    <definedName name="IQ_FFO_ADJ_ACT_OR_EST" hidden="1">"c4435"</definedName>
    <definedName name="IQ_FFO_ADJ_EST" hidden="1">"c4434"</definedName>
    <definedName name="IQ_FFO_ADJ_GUIDANCE" hidden="1">"c4436"</definedName>
    <definedName name="IQ_FFO_ADJ_HIGH_EST" hidden="1">"c4437"</definedName>
    <definedName name="IQ_FFO_ADJ_HIGH_GUIDANCE" hidden="1">"c4202"</definedName>
    <definedName name="IQ_FFO_ADJ_LOW_EST" hidden="1">"c4438"</definedName>
    <definedName name="IQ_FFO_ADJ_LOW_GUIDANCE" hidden="1">"c4242"</definedName>
    <definedName name="IQ_FFO_ADJ_MEDIAN_EST" hidden="1">"c4439"</definedName>
    <definedName name="IQ_FFO_ADJ_NUM_EST" hidden="1">"c4440"</definedName>
    <definedName name="IQ_FFO_ADJ_STDDEV_EST" hidden="1">"c4441"</definedName>
    <definedName name="IQ_FFO_EST" hidden="1">"c418"</definedName>
    <definedName name="IQ_FFO_EST_REUT" hidden="1">"c3837"</definedName>
    <definedName name="IQ_FFO_GUIDANCE" hidden="1">"c4443"</definedName>
    <definedName name="IQ_FFO_HIGH_EST" hidden="1">"c419"</definedName>
    <definedName name="IQ_FFO_HIGH_EST_REUT" hidden="1">"c3839"</definedName>
    <definedName name="IQ_FFO_HIGH_GUIDANCE" hidden="1">"c4184"</definedName>
    <definedName name="IQ_FFO_LOW_EST" hidden="1">"c420"</definedName>
    <definedName name="IQ_FFO_LOW_EST_REUT" hidden="1">"c3840"</definedName>
    <definedName name="IQ_FFO_LOW_GUIDANCE" hidden="1">"c4224"</definedName>
    <definedName name="IQ_FFO_MEDIAN_EST" hidden="1">"c1665"</definedName>
    <definedName name="IQ_FFO_MEDIAN_EST_REUT" hidden="1">"c3838"</definedName>
    <definedName name="IQ_FFO_NUM_EST" hidden="1">"c421"</definedName>
    <definedName name="IQ_FFO_NUM_EST_REUT" hidden="1">"c3841"</definedName>
    <definedName name="IQ_FFO_PAYOUT_RATIO" hidden="1">"c3492"</definedName>
    <definedName name="IQ_FFO_SHARE_ACT_OR_EST" hidden="1">"c4446"</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REUT" hidden="1">"c3842"</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NOTES_PAY_TOTAL" hidden="1">"c5522"</definedName>
    <definedName name="IQ_FIN_DIV_REV" hidden="1">"c437"</definedName>
    <definedName name="IQ_FIN_DIV_ST_DEBT_TOTAL" hidden="1">"c5527"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EST" hidden="1">"c5547"</definedName>
    <definedName name="IQ_GROSS_MARGIN_HIGH_EST" hidden="1">"c5549"</definedName>
    <definedName name="IQ_GROSS_MARGIN_LOW_EST" hidden="1">"c5550"</definedName>
    <definedName name="IQ_GROSS_MARGIN_MEDIAN_EST" hidden="1">"c5548"</definedName>
    <definedName name="IQ_GROSS_MARGIN_NUM_EST" hidden="1">"c5551"</definedName>
    <definedName name="IQ_GROSS_MARGIN_STDDEV_EST" hidden="1">"c5552"</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_TARGET_PRICE_REUT" hidden="1">"c5317"</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NVEST_SECURITY_SUPPL" hidden="1">"c5511"</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_TARGET_PRICE_REUT" hidden="1">"c5318"</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MACHINERY" hidden="1">"c711"</definedName>
    <definedName name="IQ_MAINT_CAPEX" hidden="1">"c2947"</definedName>
    <definedName name="IQ_MAINT_CAPEX_ACT_OR_EST" hidden="1">"c4458"</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HARE_ACT_OR_EST" hidden="1">"c5615"</definedName>
    <definedName name="IQ_NAV_SHARE_ACT_OR_EST_REUT" hidden="1">"c5623"</definedName>
    <definedName name="IQ_NAV_SHARE_EST" hidden="1">"c5609"</definedName>
    <definedName name="IQ_NAV_SHARE_EST_REUT" hidden="1">"c5617"</definedName>
    <definedName name="IQ_NAV_SHARE_HIGH_EST" hidden="1">"c5612"</definedName>
    <definedName name="IQ_NAV_SHARE_HIGH_EST_REUT" hidden="1">"c5620"</definedName>
    <definedName name="IQ_NAV_SHARE_LOW_EST" hidden="1">"c5613"</definedName>
    <definedName name="IQ_NAV_SHARE_LOW_EST_REUT" hidden="1">"c5621"</definedName>
    <definedName name="IQ_NAV_SHARE_MEDIAN_EST" hidden="1">"c5610"</definedName>
    <definedName name="IQ_NAV_SHARE_MEDIAN_EST_REUT" hidden="1">"c5618"</definedName>
    <definedName name="IQ_NAV_SHARE_NUM_EST" hidden="1">"c5614"</definedName>
    <definedName name="IQ_NAV_SHARE_NUM_EST_REUT" hidden="1">"c5622"</definedName>
    <definedName name="IQ_NAV_SHARE_STDDEV_EST" hidden="1">"c5611"</definedName>
    <definedName name="IQ_NAV_SHARE_STDDEV_EST_REUT" hidden="1">"c5619"</definedName>
    <definedName name="IQ_NAV_STDDEV_EST" hidden="1">"c1756"</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REUT" hidden="1">"c5473"</definedName>
    <definedName name="IQ_NET_DEBT_EBITDA" hidden="1">"c750"</definedName>
    <definedName name="IQ_NET_DEBT_EBITDA_CAPEX" hidden="1">"c2949"</definedName>
    <definedName name="IQ_NET_DEBT_EST" hidden="1">"c3517"</definedName>
    <definedName name="IQ_NET_DEBT_EST_REUT" hidden="1">"c3976"</definedName>
    <definedName name="IQ_NET_DEBT_GUIDANCE" hidden="1">"c4467"</definedName>
    <definedName name="IQ_NET_DEBT_HIGH_EST" hidden="1">"c3518"</definedName>
    <definedName name="IQ_NET_DEBT_HIGH_EST_REUT" hidden="1">"c3978"</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DEBT_LOW_EST" hidden="1">"c3519"</definedName>
    <definedName name="IQ_NET_DEBT_LOW_EST_REUT" hidden="1">"c3979"</definedName>
    <definedName name="IQ_NET_DEBT_LOW_GUIDANCE" hidden="1">"c4221"</definedName>
    <definedName name="IQ_NET_DEBT_MEDIAN_EST" hidden="1">"c3520"</definedName>
    <definedName name="IQ_NET_DEBT_MEDIAN_EST_REUT" hidden="1">"c3977"</definedName>
    <definedName name="IQ_NET_DEBT_NUM_EST" hidden="1">"c3515"</definedName>
    <definedName name="IQ_NET_DEBT_NUM_EST_REUT" hidden="1">"c3980"</definedName>
    <definedName name="IQ_NET_DEBT_STDDEV_EST" hidden="1">"c3516"</definedName>
    <definedName name="IQ_NET_DEBT_STDDEV_EST_REUT" hidden="1">"c3981"</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CT_OR_EST" hidden="1">"c2222"</definedName>
    <definedName name="IQ_NI_ACT_OR_EST_REUT" hidden="1">"c5468"</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REUT" hidden="1">"c5368"</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EST" hidden="1">"c1723"</definedName>
    <definedName name="IQ_NI_GW_EST_REUT" hidden="1">"c5375"</definedName>
    <definedName name="IQ_NI_GW_GUIDANCE" hidden="1">"c4471"</definedName>
    <definedName name="IQ_NI_GW_HIGH_EST" hidden="1">"c1725"</definedName>
    <definedName name="IQ_NI_GW_HIGH_EST_REUT" hidden="1">"c5377"</definedName>
    <definedName name="IQ_NI_GW_HIGH_GUIDANCE" hidden="1">"c4178"</definedName>
    <definedName name="IQ_NI_GW_LOW_EST" hidden="1">"c1726"</definedName>
    <definedName name="IQ_NI_GW_LOW_EST_REUT" hidden="1">"c5378"</definedName>
    <definedName name="IQ_NI_GW_LOW_GUIDANCE" hidden="1">"c4218"</definedName>
    <definedName name="IQ_NI_GW_MEDIAN_EST" hidden="1">"c1724"</definedName>
    <definedName name="IQ_NI_GW_MEDIAN_EST_REUT" hidden="1">"c5376"</definedName>
    <definedName name="IQ_NI_GW_NUM_EST" hidden="1">"c1727"</definedName>
    <definedName name="IQ_NI_GW_NUM_EST_REUT" hidden="1">"c5379"</definedName>
    <definedName name="IQ_NI_GW_STDDEV_EST" hidden="1">"c1728"</definedName>
    <definedName name="IQ_NI_GW_STDDEV_EST_REUT" hidden="1">"c5380"</definedName>
    <definedName name="IQ_NI_HIGH_EST" hidden="1">"c1718"</definedName>
    <definedName name="IQ_NI_HIGH_EST_REUT" hidden="1">"c5370"</definedName>
    <definedName name="IQ_NI_HIGH_GUIDANCE" hidden="1">"c4176"</definedName>
    <definedName name="IQ_NI_LOW_EST" hidden="1">"c1719"</definedName>
    <definedName name="IQ_NI_LOW_EST_REUT" hidden="1">"c5371"</definedName>
    <definedName name="IQ_NI_LOW_GUIDANCE" hidden="1">"c4216"</definedName>
    <definedName name="IQ_NI_MARGIN" hidden="1">"c794"</definedName>
    <definedName name="IQ_NI_MEDIAN_EST" hidden="1">"c1717"</definedName>
    <definedName name="IQ_NI_MEDIAN_EST_REUT" hidden="1">"c5369"</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NUM_EST_REUT" hidden="1">"c5372"</definedName>
    <definedName name="IQ_NI_REPORTED_EST" hidden="1">"c1730"</definedName>
    <definedName name="IQ_NI_REPORTED_EST_REUT" hidden="1">"c5382"</definedName>
    <definedName name="IQ_NI_REPORTED_HIGH_EST" hidden="1">"c1732"</definedName>
    <definedName name="IQ_NI_REPORTED_HIGH_EST_REUT" hidden="1">"c5384"</definedName>
    <definedName name="IQ_NI_REPORTED_LOW_EST" hidden="1">"c1733"</definedName>
    <definedName name="IQ_NI_REPORTED_LOW_EST_REUT" hidden="1">"c5385"</definedName>
    <definedName name="IQ_NI_REPORTED_MEDIAN_EST" hidden="1">"c1731"</definedName>
    <definedName name="IQ_NI_REPORTED_MEDIAN_EST_REUT" hidden="1">"c5383"</definedName>
    <definedName name="IQ_NI_REPORTED_NUM_EST" hidden="1">"c1734"</definedName>
    <definedName name="IQ_NI_REPORTED_NUM_EST_REUT" hidden="1">"c5386"</definedName>
    <definedName name="IQ_NI_REPORTED_STDDEV_EST" hidden="1">"c1735"</definedName>
    <definedName name="IQ_NI_REPORTED_STDDEV_EST_REUT" hidden="1">"c5387"</definedName>
    <definedName name="IQ_NI_SBC_ACT_OR_EST" hidden="1">"c4474"</definedName>
    <definedName name="IQ_NI_SBC_EST" hidden="1">"c4473"</definedName>
    <definedName name="IQ_NI_SBC_GUIDANCE" hidden="1">"c4475"</definedName>
    <definedName name="IQ_NI_SBC_GW_ACT_OR_EST" hidden="1">"c4478"</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REUT" hidden="1">"c5373"</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_EPS_ACT_OR_EST" hidden="1">"c2249"</definedName>
    <definedName name="IQ_NORM_EPS_ACT_OR_EST_REUT" hidden="1">"c5472"</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REUT" hidden="1">"c5466"</definedName>
    <definedName name="IQ_OPER_INC_BR" hidden="1">"c850"</definedName>
    <definedName name="IQ_OPER_INC_EST" hidden="1">"c1688"</definedName>
    <definedName name="IQ_OPER_INC_EST_REUT" hidden="1">"c5340"</definedName>
    <definedName name="IQ_OPER_INC_FIN" hidden="1">"c851"</definedName>
    <definedName name="IQ_OPER_INC_HIGH_EST" hidden="1">"c1690"</definedName>
    <definedName name="IQ_OPER_INC_HIGH_EST_REUT" hidden="1">"c5342"</definedName>
    <definedName name="IQ_OPER_INC_INS" hidden="1">"c852"</definedName>
    <definedName name="IQ_OPER_INC_LOW_EST" hidden="1">"c1691"</definedName>
    <definedName name="IQ_OPER_INC_LOW_EST_REUT" hidden="1">"c5343"</definedName>
    <definedName name="IQ_OPER_INC_MARGIN" hidden="1">"c1448"</definedName>
    <definedName name="IQ_OPER_INC_MEDIAN_EST" hidden="1">"c1689"</definedName>
    <definedName name="IQ_OPER_INC_MEDIAN_EST_REUT" hidden="1">"c5341"</definedName>
    <definedName name="IQ_OPER_INC_NUM_EST" hidden="1">"c1692"</definedName>
    <definedName name="IQ_OPER_INC_NUM_EST_REUT" hidden="1">"c5344"</definedName>
    <definedName name="IQ_OPER_INC_REIT" hidden="1">"c853"</definedName>
    <definedName name="IQ_OPER_INC_STDDEV_EST" hidden="1">"c1693"</definedName>
    <definedName name="IQ_OPER_INC_STDDEV_EST_REUT" hidden="1">"c5345"</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MORT" hidden="1">"c5563"</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NORMALIZED" hidden="1">"c2207"</definedName>
    <definedName name="IQ_PE_RATIO" hidden="1">"c1610"</definedName>
    <definedName name="IQ_PEG_FWD" hidden="1">"c1863"</definedName>
    <definedName name="IQ_PEG_FWD_REUT" hidden="1">"c4052"</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REUT" hidden="1">"c3959"</definedName>
    <definedName name="IQ_PERCENT_CHANGE_EST_5YR_GROWTH_RATE_18MONTHS" hidden="1">"c1853"</definedName>
    <definedName name="IQ_PERCENT_CHANGE_EST_5YR_GROWTH_RATE_18MONTHS_REUT" hidden="1">"c3960"</definedName>
    <definedName name="IQ_PERCENT_CHANGE_EST_5YR_GROWTH_RATE_3MONTHS" hidden="1">"c1849"</definedName>
    <definedName name="IQ_PERCENT_CHANGE_EST_5YR_GROWTH_RATE_3MONTHS_REUT" hidden="1">"c3956"</definedName>
    <definedName name="IQ_PERCENT_CHANGE_EST_5YR_GROWTH_RATE_6MONTHS" hidden="1">"c1850"</definedName>
    <definedName name="IQ_PERCENT_CHANGE_EST_5YR_GROWTH_RATE_6MONTHS_REUT" hidden="1">"c3957"</definedName>
    <definedName name="IQ_PERCENT_CHANGE_EST_5YR_GROWTH_RATE_9MONTHS" hidden="1">"c1851"</definedName>
    <definedName name="IQ_PERCENT_CHANGE_EST_5YR_GROWTH_RATE_9MONTHS_REUT" hidden="1">"c3958"</definedName>
    <definedName name="IQ_PERCENT_CHANGE_EST_5YR_GROWTH_RATE_DAY" hidden="1">"c1846"</definedName>
    <definedName name="IQ_PERCENT_CHANGE_EST_5YR_GROWTH_RATE_DAY_REUT" hidden="1">"c3954"</definedName>
    <definedName name="IQ_PERCENT_CHANGE_EST_5YR_GROWTH_RATE_MONTH" hidden="1">"c1848"</definedName>
    <definedName name="IQ_PERCENT_CHANGE_EST_5YR_GROWTH_RATE_MONTH_REUT" hidden="1">"c3955"</definedName>
    <definedName name="IQ_PERCENT_CHANGE_EST_5YR_GROWTH_RATE_WEEK" hidden="1">"c1847"</definedName>
    <definedName name="IQ_PERCENT_CHANGE_EST_5YR_GROWTH_RATE_WEEK_REUT" hidden="1">"c5435"</definedName>
    <definedName name="IQ_PERCENT_CHANGE_EST_CFPS_12MONTHS" hidden="1">"c1812"</definedName>
    <definedName name="IQ_PERCENT_CHANGE_EST_CFPS_12MONTHS_REUT" hidden="1">"c3924"</definedName>
    <definedName name="IQ_PERCENT_CHANGE_EST_CFPS_18MONTHS" hidden="1">"c1813"</definedName>
    <definedName name="IQ_PERCENT_CHANGE_EST_CFPS_18MONTHS_REUT" hidden="1">"c3925"</definedName>
    <definedName name="IQ_PERCENT_CHANGE_EST_CFPS_3MONTHS" hidden="1">"c1809"</definedName>
    <definedName name="IQ_PERCENT_CHANGE_EST_CFPS_3MONTHS_REUT" hidden="1">"c3921"</definedName>
    <definedName name="IQ_PERCENT_CHANGE_EST_CFPS_6MONTHS" hidden="1">"c1810"</definedName>
    <definedName name="IQ_PERCENT_CHANGE_EST_CFPS_6MONTHS_REUT" hidden="1">"c3922"</definedName>
    <definedName name="IQ_PERCENT_CHANGE_EST_CFPS_9MONTHS" hidden="1">"c1811"</definedName>
    <definedName name="IQ_PERCENT_CHANGE_EST_CFPS_9MONTHS_REUT" hidden="1">"c3923"</definedName>
    <definedName name="IQ_PERCENT_CHANGE_EST_CFPS_DAY" hidden="1">"c1806"</definedName>
    <definedName name="IQ_PERCENT_CHANGE_EST_CFPS_DAY_REUT" hidden="1">"c3919"</definedName>
    <definedName name="IQ_PERCENT_CHANGE_EST_CFPS_MONTH" hidden="1">"c1808"</definedName>
    <definedName name="IQ_PERCENT_CHANGE_EST_CFPS_MONTH_REUT" hidden="1">"c3920"</definedName>
    <definedName name="IQ_PERCENT_CHANGE_EST_CFPS_WEEK" hidden="1">"c1807"</definedName>
    <definedName name="IQ_PERCENT_CHANGE_EST_CFPS_WEEK_REUT" hidden="1">"c3962"</definedName>
    <definedName name="IQ_PERCENT_CHANGE_EST_DPS_12MONTHS" hidden="1">"c1820"</definedName>
    <definedName name="IQ_PERCENT_CHANGE_EST_DPS_12MONTHS_REUT" hidden="1">"c3931"</definedName>
    <definedName name="IQ_PERCENT_CHANGE_EST_DPS_18MONTHS" hidden="1">"c1821"</definedName>
    <definedName name="IQ_PERCENT_CHANGE_EST_DPS_18MONTHS_REUT" hidden="1">"c3932"</definedName>
    <definedName name="IQ_PERCENT_CHANGE_EST_DPS_3MONTHS" hidden="1">"c1817"</definedName>
    <definedName name="IQ_PERCENT_CHANGE_EST_DPS_3MONTHS_REUT" hidden="1">"c3928"</definedName>
    <definedName name="IQ_PERCENT_CHANGE_EST_DPS_6MONTHS" hidden="1">"c1818"</definedName>
    <definedName name="IQ_PERCENT_CHANGE_EST_DPS_6MONTHS_REUT" hidden="1">"c3929"</definedName>
    <definedName name="IQ_PERCENT_CHANGE_EST_DPS_9MONTHS" hidden="1">"c1819"</definedName>
    <definedName name="IQ_PERCENT_CHANGE_EST_DPS_9MONTHS_REUT" hidden="1">"c3930"</definedName>
    <definedName name="IQ_PERCENT_CHANGE_EST_DPS_DAY" hidden="1">"c1814"</definedName>
    <definedName name="IQ_PERCENT_CHANGE_EST_DPS_DAY_REUT" hidden="1">"c3926"</definedName>
    <definedName name="IQ_PERCENT_CHANGE_EST_DPS_MONTH" hidden="1">"c1816"</definedName>
    <definedName name="IQ_PERCENT_CHANGE_EST_DPS_MONTH_REUT" hidden="1">"c3927"</definedName>
    <definedName name="IQ_PERCENT_CHANGE_EST_DPS_WEEK" hidden="1">"c1815"</definedName>
    <definedName name="IQ_PERCENT_CHANGE_EST_DPS_WEEK_REUT" hidden="1">"c3963"</definedName>
    <definedName name="IQ_PERCENT_CHANGE_EST_EBITDA_12MONTHS" hidden="1">"c1804"</definedName>
    <definedName name="IQ_PERCENT_CHANGE_EST_EBITDA_12MONTHS_REUT" hidden="1">"c3917"</definedName>
    <definedName name="IQ_PERCENT_CHANGE_EST_EBITDA_18MONTHS" hidden="1">"c1805"</definedName>
    <definedName name="IQ_PERCENT_CHANGE_EST_EBITDA_18MONTHS_REUT" hidden="1">"c3918"</definedName>
    <definedName name="IQ_PERCENT_CHANGE_EST_EBITDA_3MONTHS" hidden="1">"c1801"</definedName>
    <definedName name="IQ_PERCENT_CHANGE_EST_EBITDA_3MONTHS_REUT" hidden="1">"c3914"</definedName>
    <definedName name="IQ_PERCENT_CHANGE_EST_EBITDA_6MONTHS" hidden="1">"c1802"</definedName>
    <definedName name="IQ_PERCENT_CHANGE_EST_EBITDA_6MONTHS_REUT" hidden="1">"c3915"</definedName>
    <definedName name="IQ_PERCENT_CHANGE_EST_EBITDA_9MONTHS" hidden="1">"c1803"</definedName>
    <definedName name="IQ_PERCENT_CHANGE_EST_EBITDA_9MONTHS_REUT" hidden="1">"c3916"</definedName>
    <definedName name="IQ_PERCENT_CHANGE_EST_EBITDA_DAY" hidden="1">"c1798"</definedName>
    <definedName name="IQ_PERCENT_CHANGE_EST_EBITDA_DAY_REUT" hidden="1">"c3912"</definedName>
    <definedName name="IQ_PERCENT_CHANGE_EST_EBITDA_MONTH" hidden="1">"c1800"</definedName>
    <definedName name="IQ_PERCENT_CHANGE_EST_EBITDA_MONTH_REUT" hidden="1">"c3913"</definedName>
    <definedName name="IQ_PERCENT_CHANGE_EST_EBITDA_WEEK" hidden="1">"c1799"</definedName>
    <definedName name="IQ_PERCENT_CHANGE_EST_EBITDA_WEEK_REUT" hidden="1">"c3961"</definedName>
    <definedName name="IQ_PERCENT_CHANGE_EST_EPS_12MONTHS" hidden="1">"c1788"</definedName>
    <definedName name="IQ_PERCENT_CHANGE_EST_EPS_12MONTHS_REUT" hidden="1">"c3902"</definedName>
    <definedName name="IQ_PERCENT_CHANGE_EST_EPS_18MONTHS" hidden="1">"c1789"</definedName>
    <definedName name="IQ_PERCENT_CHANGE_EST_EPS_18MONTHS_REUT" hidden="1">"c3903"</definedName>
    <definedName name="IQ_PERCENT_CHANGE_EST_EPS_3MONTHS" hidden="1">"c1785"</definedName>
    <definedName name="IQ_PERCENT_CHANGE_EST_EPS_3MONTHS_REUT" hidden="1">"c3899"</definedName>
    <definedName name="IQ_PERCENT_CHANGE_EST_EPS_6MONTHS" hidden="1">"c1786"</definedName>
    <definedName name="IQ_PERCENT_CHANGE_EST_EPS_6MONTHS_REUT" hidden="1">"c3900"</definedName>
    <definedName name="IQ_PERCENT_CHANGE_EST_EPS_9MONTHS" hidden="1">"c1787"</definedName>
    <definedName name="IQ_PERCENT_CHANGE_EST_EPS_9MONTHS_REUT" hidden="1">"c3901"</definedName>
    <definedName name="IQ_PERCENT_CHANGE_EST_EPS_DAY" hidden="1">"c1782"</definedName>
    <definedName name="IQ_PERCENT_CHANGE_EST_EPS_DAY_REUT" hidden="1">"c3896"</definedName>
    <definedName name="IQ_PERCENT_CHANGE_EST_EPS_MONTH" hidden="1">"c1784"</definedName>
    <definedName name="IQ_PERCENT_CHANGE_EST_EPS_MONTH_REUT" hidden="1">"c3898"</definedName>
    <definedName name="IQ_PERCENT_CHANGE_EST_EPS_WEEK" hidden="1">"c1783"</definedName>
    <definedName name="IQ_PERCENT_CHANGE_EST_EPS_WEEK_REUT" hidden="1">"c3897"</definedName>
    <definedName name="IQ_PERCENT_CHANGE_EST_FFO_12MONTHS" hidden="1">"c1828"</definedName>
    <definedName name="IQ_PERCENT_CHANGE_EST_FFO_12MONTHS_REUT" hidden="1">"c3938"</definedName>
    <definedName name="IQ_PERCENT_CHANGE_EST_FFO_18MONTHS" hidden="1">"c1829"</definedName>
    <definedName name="IQ_PERCENT_CHANGE_EST_FFO_18MONTHS_REUT" hidden="1">"c3939"</definedName>
    <definedName name="IQ_PERCENT_CHANGE_EST_FFO_3MONTHS" hidden="1">"c1825"</definedName>
    <definedName name="IQ_PERCENT_CHANGE_EST_FFO_3MONTHS_REUT" hidden="1">"c3935"</definedName>
    <definedName name="IQ_PERCENT_CHANGE_EST_FFO_6MONTHS" hidden="1">"c1826"</definedName>
    <definedName name="IQ_PERCENT_CHANGE_EST_FFO_6MONTHS_REUT" hidden="1">"c3936"</definedName>
    <definedName name="IQ_PERCENT_CHANGE_EST_FFO_9MONTHS" hidden="1">"c1827"</definedName>
    <definedName name="IQ_PERCENT_CHANGE_EST_FFO_9MONTHS_REUT" hidden="1">"c3937"</definedName>
    <definedName name="IQ_PERCENT_CHANGE_EST_FFO_DAY" hidden="1">"c1822"</definedName>
    <definedName name="IQ_PERCENT_CHANGE_EST_FFO_DAY_REUT" hidden="1">"c3933"</definedName>
    <definedName name="IQ_PERCENT_CHANGE_EST_FFO_MONTH" hidden="1">"c1824"</definedName>
    <definedName name="IQ_PERCENT_CHANGE_EST_FFO_MONTH_REUT" hidden="1">"c3934"</definedName>
    <definedName name="IQ_PERCENT_CHANGE_EST_FFO_WEEK" hidden="1">"c1823"</definedName>
    <definedName name="IQ_PERCENT_CHANGE_EST_FFO_WEEK_REUT" hidden="1">"c3964"</definedName>
    <definedName name="IQ_PERCENT_CHANGE_EST_PRICE_TARGET_12MONTHS" hidden="1">"c1844"</definedName>
    <definedName name="IQ_PERCENT_CHANGE_EST_PRICE_TARGET_12MONTHS_REUT" hidden="1">"c3952"</definedName>
    <definedName name="IQ_PERCENT_CHANGE_EST_PRICE_TARGET_18MONTHS" hidden="1">"c1845"</definedName>
    <definedName name="IQ_PERCENT_CHANGE_EST_PRICE_TARGET_18MONTHS_REUT" hidden="1">"c3953"</definedName>
    <definedName name="IQ_PERCENT_CHANGE_EST_PRICE_TARGET_3MONTHS" hidden="1">"c1841"</definedName>
    <definedName name="IQ_PERCENT_CHANGE_EST_PRICE_TARGET_3MONTHS_REUT" hidden="1">"c3949"</definedName>
    <definedName name="IQ_PERCENT_CHANGE_EST_PRICE_TARGET_6MONTHS" hidden="1">"c1842"</definedName>
    <definedName name="IQ_PERCENT_CHANGE_EST_PRICE_TARGET_6MONTHS_REUT" hidden="1">"c3950"</definedName>
    <definedName name="IQ_PERCENT_CHANGE_EST_PRICE_TARGET_9MONTHS" hidden="1">"c1843"</definedName>
    <definedName name="IQ_PERCENT_CHANGE_EST_PRICE_TARGET_9MONTHS_REUT" hidden="1">"c3951"</definedName>
    <definedName name="IQ_PERCENT_CHANGE_EST_PRICE_TARGET_DAY" hidden="1">"c1838"</definedName>
    <definedName name="IQ_PERCENT_CHANGE_EST_PRICE_TARGET_DAY_REUT" hidden="1">"c3947"</definedName>
    <definedName name="IQ_PERCENT_CHANGE_EST_PRICE_TARGET_MONTH" hidden="1">"c1840"</definedName>
    <definedName name="IQ_PERCENT_CHANGE_EST_PRICE_TARGET_MONTH_REUT" hidden="1">"c3948"</definedName>
    <definedName name="IQ_PERCENT_CHANGE_EST_PRICE_TARGET_WEEK" hidden="1">"c1839"</definedName>
    <definedName name="IQ_PERCENT_CHANGE_EST_PRICE_TARGET_WEEK_REUT" hidden="1">"c3967"</definedName>
    <definedName name="IQ_PERCENT_CHANGE_EST_RECO_12MONTHS" hidden="1">"c1836"</definedName>
    <definedName name="IQ_PERCENT_CHANGE_EST_RECO_12MONTHS_REUT" hidden="1">"c3945"</definedName>
    <definedName name="IQ_PERCENT_CHANGE_EST_RECO_18MONTHS" hidden="1">"c1837"</definedName>
    <definedName name="IQ_PERCENT_CHANGE_EST_RECO_18MONTHS_REUT" hidden="1">"c3946"</definedName>
    <definedName name="IQ_PERCENT_CHANGE_EST_RECO_3MONTHS" hidden="1">"c1833"</definedName>
    <definedName name="IQ_PERCENT_CHANGE_EST_RECO_3MONTHS_REUT" hidden="1">"c3942"</definedName>
    <definedName name="IQ_PERCENT_CHANGE_EST_RECO_6MONTHS" hidden="1">"c1834"</definedName>
    <definedName name="IQ_PERCENT_CHANGE_EST_RECO_6MONTHS_REUT" hidden="1">"c3943"</definedName>
    <definedName name="IQ_PERCENT_CHANGE_EST_RECO_9MONTHS" hidden="1">"c1835"</definedName>
    <definedName name="IQ_PERCENT_CHANGE_EST_RECO_9MONTHS_REUT" hidden="1">"c3944"</definedName>
    <definedName name="IQ_PERCENT_CHANGE_EST_RECO_DAY" hidden="1">"c1830"</definedName>
    <definedName name="IQ_PERCENT_CHANGE_EST_RECO_DAY_REUT" hidden="1">"c3940"</definedName>
    <definedName name="IQ_PERCENT_CHANGE_EST_RECO_MONTH" hidden="1">"c1832"</definedName>
    <definedName name="IQ_PERCENT_CHANGE_EST_RECO_MONTH_REUT" hidden="1">"c3941"</definedName>
    <definedName name="IQ_PERCENT_CHANGE_EST_RECO_WEEK" hidden="1">"c1831"</definedName>
    <definedName name="IQ_PERCENT_CHANGE_EST_RECO_WEEK_REUT" hidden="1">"c3965"</definedName>
    <definedName name="IQ_PERCENT_CHANGE_EST_REV_12MONTHS" hidden="1">"c1796"</definedName>
    <definedName name="IQ_PERCENT_CHANGE_EST_REV_12MONTHS_REUT" hidden="1">"c3910"</definedName>
    <definedName name="IQ_PERCENT_CHANGE_EST_REV_18MONTHS" hidden="1">"c1797"</definedName>
    <definedName name="IQ_PERCENT_CHANGE_EST_REV_18MONTHS_REUT" hidden="1">"c3911"</definedName>
    <definedName name="IQ_PERCENT_CHANGE_EST_REV_3MONTHS" hidden="1">"c1793"</definedName>
    <definedName name="IQ_PERCENT_CHANGE_EST_REV_3MONTHS_REUT" hidden="1">"c3907"</definedName>
    <definedName name="IQ_PERCENT_CHANGE_EST_REV_6MONTHS" hidden="1">"c1794"</definedName>
    <definedName name="IQ_PERCENT_CHANGE_EST_REV_6MONTHS_REUT" hidden="1">"c3908"</definedName>
    <definedName name="IQ_PERCENT_CHANGE_EST_REV_9MONTHS" hidden="1">"c1795"</definedName>
    <definedName name="IQ_PERCENT_CHANGE_EST_REV_9MONTHS_REUT" hidden="1">"c3909"</definedName>
    <definedName name="IQ_PERCENT_CHANGE_EST_REV_DAY" hidden="1">"c1790"</definedName>
    <definedName name="IQ_PERCENT_CHANGE_EST_REV_DAY_REUT" hidden="1">"c3904"</definedName>
    <definedName name="IQ_PERCENT_CHANGE_EST_REV_MONTH" hidden="1">"c1792"</definedName>
    <definedName name="IQ_PERCENT_CHANGE_EST_REV_MONTH_REUT" hidden="1">"c3906"</definedName>
    <definedName name="IQ_PERCENT_CHANGE_EST_REV_WEEK" hidden="1">"c1791"</definedName>
    <definedName name="IQ_PERCENT_CHANGE_EST_REV_WEEK_REUT" hidden="1">"c3905"</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REUT" hidden="1">"c3968"</definedName>
    <definedName name="IQ_PRE_OPEN_COST" hidden="1">"c1040"</definedName>
    <definedName name="IQ_PRE_TAX_ACT_OR_EST" hidden="1">"c2221"</definedName>
    <definedName name="IQ_PRE_TAX_ACT_OR_EST_REUT" hidden="1">"c5467"</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EST_REUT" hidden="1">"c5354"</definedName>
    <definedName name="IQ_PRETAX_GW_INC_HIGH_EST" hidden="1">"c1704"</definedName>
    <definedName name="IQ_PRETAX_GW_INC_HIGH_EST_REUT" hidden="1">"c5356"</definedName>
    <definedName name="IQ_PRETAX_GW_INC_LOW_EST" hidden="1">"c1705"</definedName>
    <definedName name="IQ_PRETAX_GW_INC_LOW_EST_REUT" hidden="1">"c5357"</definedName>
    <definedName name="IQ_PRETAX_GW_INC_MEDIAN_EST" hidden="1">"c1703"</definedName>
    <definedName name="IQ_PRETAX_GW_INC_MEDIAN_EST_REUT" hidden="1">"c5355"</definedName>
    <definedName name="IQ_PRETAX_GW_INC_NUM_EST" hidden="1">"c1706"</definedName>
    <definedName name="IQ_PRETAX_GW_INC_NUM_EST_REUT" hidden="1">"c5358"</definedName>
    <definedName name="IQ_PRETAX_GW_INC_STDDEV_EST" hidden="1">"c1707"</definedName>
    <definedName name="IQ_PRETAX_GW_INC_STDDEV_EST_REUT" hidden="1">"c5359"</definedName>
    <definedName name="IQ_PRETAX_INC_EST" hidden="1">"c1695"</definedName>
    <definedName name="IQ_PRETAX_INC_EST_REUT" hidden="1">"c5347"</definedName>
    <definedName name="IQ_PRETAX_INC_HIGH_EST" hidden="1">"c1697"</definedName>
    <definedName name="IQ_PRETAX_INC_HIGH_EST_REUT" hidden="1">"c5349"</definedName>
    <definedName name="IQ_PRETAX_INC_LOW_EST" hidden="1">"c1698"</definedName>
    <definedName name="IQ_PRETAX_INC_LOW_EST_REUT" hidden="1">"c5350"</definedName>
    <definedName name="IQ_PRETAX_INC_MEDIAN_EST" hidden="1">"c1696"</definedName>
    <definedName name="IQ_PRETAX_INC_MEDIAN_EST_REUT" hidden="1">"c5348"</definedName>
    <definedName name="IQ_PRETAX_INC_NUM_EST" hidden="1">"c1699"</definedName>
    <definedName name="IQ_PRETAX_INC_NUM_EST_REUT" hidden="1">"c5351"</definedName>
    <definedName name="IQ_PRETAX_INC_STDDEV_EST" hidden="1">"c1700"</definedName>
    <definedName name="IQ_PRETAX_INC_STDDEV_EST_REUT" hidden="1">"c5352"</definedName>
    <definedName name="IQ_PRETAX_REPORT_INC_EST" hidden="1">"c1709"</definedName>
    <definedName name="IQ_PRETAX_REPORT_INC_EST_REUT" hidden="1">"c5361"</definedName>
    <definedName name="IQ_PRETAX_REPORT_INC_HIGH_EST" hidden="1">"c1711"</definedName>
    <definedName name="IQ_PRETAX_REPORT_INC_HIGH_EST_REUT" hidden="1">"c5363"</definedName>
    <definedName name="IQ_PRETAX_REPORT_INC_LOW_EST" hidden="1">"c1712"</definedName>
    <definedName name="IQ_PRETAX_REPORT_INC_LOW_EST_REUT" hidden="1">"c5364"</definedName>
    <definedName name="IQ_PRETAX_REPORT_INC_MEDIAN_EST" hidden="1">"c1710"</definedName>
    <definedName name="IQ_PRETAX_REPORT_INC_MEDIAN_EST_REUT" hidden="1">"c5362"</definedName>
    <definedName name="IQ_PRETAX_REPORT_INC_NUM_EST" hidden="1">"c1713"</definedName>
    <definedName name="IQ_PRETAX_REPORT_INC_NUM_EST_REUT" hidden="1">"c5365"</definedName>
    <definedName name="IQ_PRETAX_REPORT_INC_STDDEV_EST" hidden="1">"c1714"</definedName>
    <definedName name="IQ_PRETAX_REPORT_INC_STDDEV_EST_REUT" hidden="1">"c5366"</definedName>
    <definedName name="IQ_PRICE_CFPS_FWD" hidden="1">"c2237"</definedName>
    <definedName name="IQ_PRICE_CFPS_FWD_REUT" hidden="1">"c4053"</definedName>
    <definedName name="IQ_PRICE_OVER_BVPS" hidden="1">"c1412"</definedName>
    <definedName name="IQ_PRICE_OVER_LTM_EPS" hidden="1">"c1413"</definedName>
    <definedName name="IQ_PRICE_TARGET" hidden="1">"c82"</definedName>
    <definedName name="IQ_PRICE_TARGET_BOTTOM_UP" hidden="1">"c5486"</definedName>
    <definedName name="IQ_PRICE_TARGET_BOTTOM_UP_REUT" hidden="1">"c5494"</definedName>
    <definedName name="IQ_PRICE_TARGET_REUT" hidden="1">"c3631"</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ING_DATE" hidden="1">"c1613"</definedName>
    <definedName name="IQ_PRIMARY_EPS_TYPE" hidden="1">"c4498"</definedName>
    <definedName name="IQ_PRIMARY_EPS_TYPE_REUT" hidden="1">"c5481"</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CURRING_PROFIT_ACT_OR_EST" hidden="1">"c4507"</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ACT_OR_EST" hidden="1">"c3585"</definedName>
    <definedName name="IQ_RETURN_ASSETS_ACT_OR_EST_REUT" hidden="1">"c5475"</definedName>
    <definedName name="IQ_RETURN_ASSETS_BANK" hidden="1">"c1114"</definedName>
    <definedName name="IQ_RETURN_ASSETS_BROK" hidden="1">"c1115"</definedName>
    <definedName name="IQ_RETURN_ASSETS_EST" hidden="1">"c3529"</definedName>
    <definedName name="IQ_RETURN_ASSETS_EST_REUT" hidden="1">"c3990"</definedName>
    <definedName name="IQ_RETURN_ASSETS_FS" hidden="1">"c1116"</definedName>
    <definedName name="IQ_RETURN_ASSETS_GUIDANCE" hidden="1">"c4517"</definedName>
    <definedName name="IQ_RETURN_ASSETS_HIGH_EST" hidden="1">"c3530"</definedName>
    <definedName name="IQ_RETURN_ASSETS_HIGH_EST_REUT" hidden="1">"c3992"</definedName>
    <definedName name="IQ_RETURN_ASSETS_HIGH_GUIDANCE" hidden="1">"c4183"</definedName>
    <definedName name="IQ_RETURN_ASSETS_LOW_EST" hidden="1">"c3531"</definedName>
    <definedName name="IQ_RETURN_ASSETS_LOW_EST_REUT" hidden="1">"c3993"</definedName>
    <definedName name="IQ_RETURN_ASSETS_LOW_GUIDANCE" hidden="1">"c4223"</definedName>
    <definedName name="IQ_RETURN_ASSETS_MEDIAN_EST" hidden="1">"c3532"</definedName>
    <definedName name="IQ_RETURN_ASSETS_MEDIAN_EST_REUT" hidden="1">"c3991"</definedName>
    <definedName name="IQ_RETURN_ASSETS_NUM_EST" hidden="1">"c3527"</definedName>
    <definedName name="IQ_RETURN_ASSETS_NUM_EST_REUT" hidden="1">"c3994"</definedName>
    <definedName name="IQ_RETURN_ASSETS_STDDEV_EST" hidden="1">"c3528"</definedName>
    <definedName name="IQ_RETURN_ASSETS_STDDEV_EST_REUT" hidden="1">"c3995"</definedName>
    <definedName name="IQ_RETURN_CAPITAL" hidden="1">"c1117"</definedName>
    <definedName name="IQ_RETURN_EQUITY" hidden="1">"c1118"</definedName>
    <definedName name="IQ_RETURN_EQUITY_ACT_OR_EST" hidden="1">"c3586"</definedName>
    <definedName name="IQ_RETURN_EQUITY_ACT_OR_EST_REUT" hidden="1">"c5476"</definedName>
    <definedName name="IQ_RETURN_EQUITY_BANK" hidden="1">"c1119"</definedName>
    <definedName name="IQ_RETURN_EQUITY_BROK" hidden="1">"c1120"</definedName>
    <definedName name="IQ_RETURN_EQUITY_EST" hidden="1">"c3535"</definedName>
    <definedName name="IQ_RETURN_EQUITY_EST_REUT" hidden="1">"c3983"</definedName>
    <definedName name="IQ_RETURN_EQUITY_FS" hidden="1">"c1121"</definedName>
    <definedName name="IQ_RETURN_EQUITY_GUIDANCE" hidden="1">"c4518"</definedName>
    <definedName name="IQ_RETURN_EQUITY_HIGH_EST" hidden="1">"c3536"</definedName>
    <definedName name="IQ_RETURN_EQUITY_HIGH_EST_REUT" hidden="1">"c3985"</definedName>
    <definedName name="IQ_RETURN_EQUITY_HIGH_GUIDANCE" hidden="1">"c4182"</definedName>
    <definedName name="IQ_RETURN_EQUITY_LOW_EST" hidden="1">"c3537"</definedName>
    <definedName name="IQ_RETURN_EQUITY_LOW_EST_REUT" hidden="1">"c3986"</definedName>
    <definedName name="IQ_RETURN_EQUITY_LOW_GUIDANCE" hidden="1">"c4222"</definedName>
    <definedName name="IQ_RETURN_EQUITY_MEDIAN_EST" hidden="1">"c3538"</definedName>
    <definedName name="IQ_RETURN_EQUITY_MEDIAN_EST_REUT" hidden="1">"c3984"</definedName>
    <definedName name="IQ_RETURN_EQUITY_NUM_EST" hidden="1">"c3533"</definedName>
    <definedName name="IQ_RETURN_EQUITY_NUM_EST_REUT" hidden="1">"c3987"</definedName>
    <definedName name="IQ_RETURN_EQUITY_STDDEV_EST" hidden="1">"c3534"</definedName>
    <definedName name="IQ_RETURN_EQUITY_STDDEV_EST_REUT" hidden="1">"c3988"</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UTI" hidden="1">"c1125"</definedName>
    <definedName name="IQ_REVENUE" hidden="1">"c1422"</definedName>
    <definedName name="IQ_REVENUE_ACT_OR_EST" hidden="1">"c2214"</definedName>
    <definedName name="IQ_REVENUE_ACT_OR_EST_REUT" hidden="1">"c5461"</definedName>
    <definedName name="IQ_REVENUE_EST" hidden="1">"c1126"</definedName>
    <definedName name="IQ_REVENUE_EST_BOTTOM_UP" hidden="1">"c5488"</definedName>
    <definedName name="IQ_REVENUE_EST_BOTTOM_UP_REUT" hidden="1">"c5496"</definedName>
    <definedName name="IQ_REVENUE_EST_REUT" hidden="1">"c3634"</definedName>
    <definedName name="IQ_REVENUE_GUIDANCE" hidden="1">"c4519"</definedName>
    <definedName name="IQ_REVENUE_HIGH_EST" hidden="1">"c1127"</definedName>
    <definedName name="IQ_REVENUE_HIGH_EST_REUT" hidden="1">"c3636"</definedName>
    <definedName name="IQ_REVENUE_HIGH_GUIDANCE" hidden="1">"c4169"</definedName>
    <definedName name="IQ_REVENUE_LOW_EST" hidden="1">"c1128"</definedName>
    <definedName name="IQ_REVENUE_LOW_EST_REUT" hidden="1">"c3637"</definedName>
    <definedName name="IQ_REVENUE_LOW_GUIDANCE" hidden="1">"c4209"</definedName>
    <definedName name="IQ_REVENUE_MEDIAN_EST" hidden="1">"c1662"</definedName>
    <definedName name="IQ_REVENUE_MEDIAN_EST_REUT" hidden="1">"c3635"</definedName>
    <definedName name="IQ_REVENUE_NUM_EST" hidden="1">"c1129"</definedName>
    <definedName name="IQ_REVENUE_NUM_EST_REUT" hidden="1">"c3638"</definedName>
    <definedName name="IQ_REVISION_DATE_" hidden="1">39520.4343865741</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NUM_REUT" hidden="1">"c5319"</definedName>
    <definedName name="IQ_TARGET_PRICE_STDDEV" hidden="1">"c1654"</definedName>
    <definedName name="IQ_TARGET_PRICE_STDDEV_REUT" hidden="1">"c5320"</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REUT" hidden="1">"c4054"</definedName>
    <definedName name="IQ_TEV_EBITDA" hidden="1">"c1222"</definedName>
    <definedName name="IQ_TEV_EBITDA_AVG" hidden="1">"c1223"</definedName>
    <definedName name="IQ_TEV_EBITDA_FWD" hidden="1">"c1224"</definedName>
    <definedName name="IQ_TEV_EBITDA_FWD_REUT" hidden="1">"c4050"</definedName>
    <definedName name="IQ_TEV_EMPLOYEE_AVG" hidden="1">"c1225"</definedName>
    <definedName name="IQ_TEV_EST" hidden="1">"c4526"</definedName>
    <definedName name="IQ_TEV_HIGH_EST" hidden="1">"c4527"</definedName>
    <definedName name="IQ_TEV_LOW_EST" hidden="1">"c4528"</definedName>
    <definedName name="IQ_TEV_MEDIAN_EST" hidden="1">"c4529"</definedName>
    <definedName name="IQ_TEV_NUM_EST" hidden="1">"c4530"</definedName>
    <definedName name="IQ_TEV_STDDEV_EST" hidden="1">"c4531"</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BT_STDDEV_EST" hidden="1">"c4538"</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IGHTED_AVG_PRICE" hidden="1">"c1334"</definedName>
    <definedName name="IQ_WIP_INV" hidden="1">"c1335"</definedName>
    <definedName name="IQ_WORKING_CAP" hidden="1">"c3494"</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W" hidden="1">"c2163"</definedName>
    <definedName name="IQ_YTW_DATE" hidden="1">"c2164"</definedName>
    <definedName name="IQ_YTW_DATE_TYPE" hidden="1">"c2165"</definedName>
    <definedName name="IQ_Z_SCORE" hidden="1">"c1339"</definedName>
    <definedName name="Margin_on_Maintenance">[14]Assumptions!$C$54</definedName>
    <definedName name="Margin_to_cover_shipping__handling__warehousing">[14]Assumptions!$C$52</definedName>
    <definedName name="TaxRate">[15]Assumptions!$C$17</definedName>
    <definedName name="wrn.Inputs._.outputs." localSheetId="0" hidden="1">{"key inputs",#N/A,FALSE,"Key Inputs";"key outputs",#N/A,FALSE,"Outputs";"Other inputs",#N/A,FALSE,"Other Inputs";"cashflow",#N/A,FALSE,"Statemnts"}</definedName>
    <definedName name="wrn.Inputs._.outputs." hidden="1">{"key inputs",#N/A,FALSE,"Key Inputs";"key outputs",#N/A,FALSE,"Outputs";"Other inputs",#N/A,FALSE,"Other Inputs";"cashflow",#N/A,FALSE,"Statemnts"}</definedName>
    <definedName name="wrn.Summary._.results." localSheetId="0" hidden="1">{"key inputs",#N/A,TRUE,"Key Inputs";"key outputs",#N/A,TRUE,"Outputs";"Other inputs",#N/A,TRUE,"Other Inputs";"Revenue",#N/A,TRUE,"Rev"}</definedName>
    <definedName name="wrn.Summary._.results." hidden="1">{"key inputs",#N/A,TRUE,"Key Inputs";"key outputs",#N/A,TRUE,"Outputs";"Other inputs",#N/A,TRUE,"Other Inputs";"Revenue",#N/A,TRUE,"Rev"}</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134" i="12" l="1"/>
  <c r="E5" i="11" s="1"/>
  <c r="N134" i="12"/>
  <c r="D5" i="11" s="1"/>
  <c r="M134" i="12"/>
  <c r="C5" i="11" s="1"/>
  <c r="L134" i="12"/>
  <c r="E4" i="11" s="1"/>
  <c r="E6" i="11" s="1"/>
  <c r="K134" i="12"/>
  <c r="D4" i="11" s="1"/>
  <c r="D6" i="11" s="1"/>
  <c r="J134" i="12"/>
  <c r="I134" i="12"/>
  <c r="F6" i="11"/>
  <c r="C4" i="11"/>
  <c r="C6" i="11" s="1"/>
  <c r="F3" i="1" l="1"/>
  <c r="F2" i="1" l="1"/>
  <c r="EY78" i="5" l="1"/>
  <c r="EW78" i="5"/>
  <c r="EU78" i="5"/>
  <c r="ES78" i="5"/>
  <c r="EQ78" i="5"/>
  <c r="EO78" i="5"/>
  <c r="EM78" i="5"/>
  <c r="CY77" i="5"/>
  <c r="G1000" i="3" l="1"/>
  <c r="F1000" i="3"/>
  <c r="G999" i="3"/>
  <c r="F999" i="3"/>
  <c r="G998" i="3"/>
  <c r="F998" i="3"/>
  <c r="G997" i="3"/>
  <c r="F997" i="3"/>
  <c r="G996" i="3"/>
  <c r="F996" i="3"/>
  <c r="G995" i="3"/>
  <c r="F995" i="3"/>
  <c r="G994" i="3"/>
  <c r="F994" i="3"/>
  <c r="G993" i="3"/>
  <c r="F993" i="3"/>
  <c r="G992" i="3"/>
  <c r="F992" i="3"/>
  <c r="G991" i="3"/>
  <c r="F991" i="3"/>
  <c r="G990" i="3"/>
  <c r="F990" i="3"/>
  <c r="G989" i="3"/>
  <c r="F989" i="3"/>
  <c r="G988" i="3"/>
  <c r="F988" i="3"/>
  <c r="G987" i="3"/>
  <c r="F987" i="3"/>
  <c r="G986" i="3"/>
  <c r="F986" i="3"/>
  <c r="G985" i="3"/>
  <c r="F985" i="3"/>
  <c r="G984" i="3"/>
  <c r="F984" i="3"/>
  <c r="G983" i="3"/>
  <c r="F983" i="3"/>
  <c r="G982" i="3"/>
  <c r="F982" i="3"/>
  <c r="G981" i="3"/>
  <c r="F981" i="3"/>
  <c r="G980" i="3"/>
  <c r="F980" i="3"/>
  <c r="G979" i="3"/>
  <c r="F979" i="3"/>
  <c r="G978" i="3"/>
  <c r="F978" i="3"/>
  <c r="G977" i="3"/>
  <c r="F977" i="3"/>
  <c r="G976" i="3"/>
  <c r="F976" i="3"/>
  <c r="G975" i="3"/>
  <c r="F975" i="3"/>
  <c r="G974" i="3"/>
  <c r="F974" i="3"/>
  <c r="G973" i="3"/>
  <c r="F973" i="3"/>
  <c r="G972" i="3"/>
  <c r="F972" i="3"/>
  <c r="G971" i="3"/>
  <c r="F971" i="3"/>
  <c r="G970" i="3"/>
  <c r="F970" i="3"/>
  <c r="G969" i="3"/>
  <c r="F969" i="3"/>
  <c r="G968" i="3"/>
  <c r="F968" i="3"/>
  <c r="G967" i="3"/>
  <c r="F967" i="3"/>
  <c r="G966" i="3"/>
  <c r="F966" i="3"/>
  <c r="G965" i="3"/>
  <c r="F965" i="3"/>
  <c r="G964" i="3"/>
  <c r="F964" i="3"/>
  <c r="G963" i="3"/>
  <c r="F963" i="3"/>
  <c r="G962" i="3"/>
  <c r="F962" i="3"/>
  <c r="G961" i="3"/>
  <c r="F961" i="3"/>
  <c r="G960" i="3"/>
  <c r="F960" i="3"/>
  <c r="G959" i="3"/>
  <c r="F959" i="3"/>
  <c r="G958" i="3"/>
  <c r="F958" i="3"/>
  <c r="G957" i="3"/>
  <c r="F957" i="3"/>
  <c r="G956" i="3"/>
  <c r="F956" i="3"/>
  <c r="G955" i="3"/>
  <c r="F955" i="3"/>
  <c r="G954" i="3"/>
  <c r="F954" i="3"/>
  <c r="G953" i="3"/>
  <c r="F953" i="3"/>
  <c r="G952" i="3"/>
  <c r="F952" i="3"/>
  <c r="G951" i="3"/>
  <c r="F951" i="3"/>
  <c r="G950" i="3"/>
  <c r="F950" i="3"/>
  <c r="G949" i="3"/>
  <c r="F949" i="3"/>
  <c r="G948" i="3"/>
  <c r="F948" i="3"/>
  <c r="G947" i="3"/>
  <c r="F947" i="3"/>
  <c r="G946" i="3"/>
  <c r="F946" i="3"/>
  <c r="G945" i="3"/>
  <c r="F945" i="3"/>
  <c r="G944" i="3"/>
  <c r="F944" i="3"/>
  <c r="G943" i="3"/>
  <c r="F943" i="3"/>
  <c r="G942" i="3"/>
  <c r="F942" i="3"/>
  <c r="G941" i="3"/>
  <c r="F941" i="3"/>
  <c r="G940" i="3"/>
  <c r="F940" i="3"/>
  <c r="G939" i="3"/>
  <c r="F939" i="3"/>
  <c r="G938" i="3"/>
  <c r="F938" i="3"/>
  <c r="G937" i="3"/>
  <c r="F937" i="3"/>
  <c r="G936" i="3"/>
  <c r="F936" i="3"/>
  <c r="G935" i="3"/>
  <c r="F935" i="3"/>
  <c r="G934" i="3"/>
  <c r="F934" i="3"/>
  <c r="G933" i="3"/>
  <c r="F933" i="3"/>
  <c r="G932" i="3"/>
  <c r="F932" i="3"/>
  <c r="G931" i="3"/>
  <c r="F931" i="3"/>
  <c r="G930" i="3"/>
  <c r="F930" i="3"/>
  <c r="G929" i="3"/>
  <c r="F929" i="3"/>
  <c r="G928" i="3"/>
  <c r="F928" i="3"/>
  <c r="G927" i="3"/>
  <c r="F927" i="3"/>
  <c r="G926" i="3"/>
  <c r="F926" i="3"/>
  <c r="G925" i="3"/>
  <c r="F925" i="3"/>
  <c r="G924" i="3"/>
  <c r="F924" i="3"/>
  <c r="G923" i="3"/>
  <c r="F923" i="3"/>
  <c r="G922" i="3"/>
  <c r="F922" i="3"/>
  <c r="G921" i="3"/>
  <c r="F921" i="3"/>
  <c r="G920" i="3"/>
  <c r="F920" i="3"/>
  <c r="G919" i="3"/>
  <c r="F919" i="3"/>
  <c r="G918" i="3"/>
  <c r="F918" i="3"/>
  <c r="G917" i="3"/>
  <c r="F917" i="3"/>
  <c r="G916" i="3"/>
  <c r="F916" i="3"/>
  <c r="G915" i="3"/>
  <c r="F915" i="3"/>
  <c r="G914" i="3"/>
  <c r="F914" i="3"/>
  <c r="G913" i="3"/>
  <c r="F913" i="3"/>
  <c r="G912" i="3"/>
  <c r="F912" i="3"/>
  <c r="G911" i="3"/>
  <c r="F911" i="3"/>
  <c r="G910" i="3"/>
  <c r="F910" i="3"/>
  <c r="G909" i="3"/>
  <c r="F909" i="3"/>
  <c r="G908" i="3"/>
  <c r="F908" i="3"/>
  <c r="G907" i="3"/>
  <c r="F907" i="3"/>
  <c r="G906" i="3"/>
  <c r="F906" i="3"/>
  <c r="G905" i="3"/>
  <c r="F905" i="3"/>
  <c r="G904" i="3"/>
  <c r="F904" i="3"/>
  <c r="G903" i="3"/>
  <c r="F903" i="3"/>
  <c r="G902" i="3"/>
  <c r="F902" i="3"/>
  <c r="G901" i="3"/>
  <c r="F901" i="3"/>
  <c r="G900" i="3"/>
  <c r="F900" i="3"/>
  <c r="G899" i="3"/>
  <c r="F899" i="3"/>
  <c r="G898" i="3"/>
  <c r="F898" i="3"/>
  <c r="G897" i="3"/>
  <c r="F897" i="3"/>
  <c r="G896" i="3"/>
  <c r="F896" i="3"/>
  <c r="G895" i="3"/>
  <c r="F895" i="3"/>
  <c r="G894" i="3"/>
  <c r="F894" i="3"/>
  <c r="G893" i="3"/>
  <c r="F893" i="3"/>
  <c r="G892" i="3"/>
  <c r="F892" i="3"/>
  <c r="G891" i="3"/>
  <c r="F891" i="3"/>
  <c r="G890" i="3"/>
  <c r="F890" i="3"/>
  <c r="G889" i="3"/>
  <c r="F889" i="3"/>
  <c r="G888" i="3"/>
  <c r="F888" i="3"/>
  <c r="G887" i="3"/>
  <c r="F887" i="3"/>
  <c r="G886" i="3"/>
  <c r="F886" i="3"/>
  <c r="G885" i="3"/>
  <c r="F885" i="3"/>
  <c r="G884" i="3"/>
  <c r="F884" i="3"/>
  <c r="G883" i="3"/>
  <c r="F883" i="3"/>
  <c r="G882" i="3"/>
  <c r="F882" i="3"/>
  <c r="G881" i="3"/>
  <c r="F881" i="3"/>
  <c r="G880" i="3"/>
  <c r="F880" i="3"/>
  <c r="G879" i="3"/>
  <c r="F879" i="3"/>
  <c r="G878" i="3"/>
  <c r="F878" i="3"/>
  <c r="G877" i="3"/>
  <c r="F877" i="3"/>
  <c r="G876" i="3"/>
  <c r="F876" i="3"/>
  <c r="G875" i="3"/>
  <c r="F875" i="3"/>
  <c r="G874" i="3"/>
  <c r="F874" i="3"/>
  <c r="G873" i="3"/>
  <c r="F873" i="3"/>
  <c r="G872" i="3"/>
  <c r="F872" i="3"/>
  <c r="G871" i="3"/>
  <c r="F871" i="3"/>
  <c r="G870" i="3"/>
  <c r="F870" i="3"/>
  <c r="G869" i="3"/>
  <c r="F869" i="3"/>
  <c r="G868" i="3"/>
  <c r="F868" i="3"/>
  <c r="G867" i="3"/>
  <c r="F867" i="3"/>
  <c r="G866" i="3"/>
  <c r="F866" i="3"/>
  <c r="G865" i="3"/>
  <c r="F865" i="3"/>
  <c r="G864" i="3"/>
  <c r="F864" i="3"/>
  <c r="G863" i="3"/>
  <c r="F863" i="3"/>
  <c r="G862" i="3"/>
  <c r="F862" i="3"/>
  <c r="G861" i="3"/>
  <c r="F861" i="3"/>
  <c r="G860" i="3"/>
  <c r="F860" i="3"/>
  <c r="G859" i="3"/>
  <c r="F859" i="3"/>
  <c r="G858" i="3"/>
  <c r="F858" i="3"/>
  <c r="G857" i="3"/>
  <c r="F857" i="3"/>
  <c r="G856" i="3"/>
  <c r="F856" i="3"/>
  <c r="G855" i="3"/>
  <c r="F855" i="3"/>
  <c r="G854" i="3"/>
  <c r="F854" i="3"/>
  <c r="G853" i="3"/>
  <c r="F853" i="3"/>
  <c r="G852" i="3"/>
  <c r="F852" i="3"/>
  <c r="G851" i="3"/>
  <c r="F851" i="3"/>
  <c r="G850" i="3"/>
  <c r="F850" i="3"/>
  <c r="G849" i="3"/>
  <c r="F849" i="3"/>
  <c r="G848" i="3"/>
  <c r="F848" i="3"/>
  <c r="G847" i="3"/>
  <c r="F847" i="3"/>
  <c r="G846" i="3"/>
  <c r="F846" i="3"/>
  <c r="G845" i="3"/>
  <c r="F845" i="3"/>
  <c r="G844" i="3"/>
  <c r="F844" i="3"/>
  <c r="G843" i="3"/>
  <c r="F843" i="3"/>
  <c r="G842" i="3"/>
  <c r="F842" i="3"/>
  <c r="G841" i="3"/>
  <c r="F841" i="3"/>
  <c r="G840" i="3"/>
  <c r="F840" i="3"/>
  <c r="G839" i="3"/>
  <c r="F839" i="3"/>
  <c r="G838" i="3"/>
  <c r="F838" i="3"/>
  <c r="G837" i="3"/>
  <c r="F837" i="3"/>
  <c r="G836" i="3"/>
  <c r="F836" i="3"/>
  <c r="G835" i="3"/>
  <c r="F835" i="3"/>
  <c r="G834" i="3"/>
  <c r="F834" i="3"/>
  <c r="G833" i="3"/>
  <c r="F833" i="3"/>
  <c r="G832" i="3"/>
  <c r="F832" i="3"/>
  <c r="G831" i="3"/>
  <c r="F831" i="3"/>
  <c r="G830" i="3"/>
  <c r="F830" i="3"/>
  <c r="G829" i="3"/>
  <c r="F829" i="3"/>
  <c r="G828" i="3"/>
  <c r="F828" i="3"/>
  <c r="G827" i="3"/>
  <c r="F827" i="3"/>
  <c r="G826" i="3"/>
  <c r="F826" i="3"/>
  <c r="G825" i="3"/>
  <c r="F825" i="3"/>
  <c r="G824" i="3"/>
  <c r="F824" i="3"/>
  <c r="G823" i="3"/>
  <c r="F823" i="3"/>
  <c r="G822" i="3"/>
  <c r="F822" i="3"/>
  <c r="G821" i="3"/>
  <c r="F821" i="3"/>
  <c r="G820" i="3"/>
  <c r="F820" i="3"/>
  <c r="G819" i="3"/>
  <c r="F819" i="3"/>
  <c r="G818" i="3"/>
  <c r="F818" i="3"/>
  <c r="G817" i="3"/>
  <c r="F817" i="3"/>
  <c r="G816" i="3"/>
  <c r="F816" i="3"/>
  <c r="G815" i="3"/>
  <c r="F815" i="3"/>
  <c r="G814" i="3"/>
  <c r="F814" i="3"/>
  <c r="G813" i="3"/>
  <c r="F813" i="3"/>
  <c r="G812" i="3"/>
  <c r="F812" i="3"/>
  <c r="G811" i="3"/>
  <c r="F811" i="3"/>
  <c r="G810" i="3"/>
  <c r="F810" i="3"/>
  <c r="G809" i="3"/>
  <c r="F809" i="3"/>
  <c r="G808" i="3"/>
  <c r="F808" i="3"/>
  <c r="G807" i="3"/>
  <c r="F807" i="3"/>
  <c r="G806" i="3"/>
  <c r="F806" i="3"/>
  <c r="G805" i="3"/>
  <c r="F805" i="3"/>
  <c r="G804" i="3"/>
  <c r="F804" i="3"/>
  <c r="G803" i="3"/>
  <c r="F803" i="3"/>
  <c r="G802" i="3"/>
  <c r="F802" i="3"/>
  <c r="G801" i="3"/>
  <c r="F801" i="3"/>
  <c r="G800" i="3"/>
  <c r="F800" i="3"/>
  <c r="G799" i="3"/>
  <c r="F799" i="3"/>
  <c r="G798" i="3"/>
  <c r="F798" i="3"/>
  <c r="G797" i="3"/>
  <c r="F797" i="3"/>
  <c r="G796" i="3"/>
  <c r="F796" i="3"/>
  <c r="G795" i="3"/>
  <c r="F795" i="3"/>
  <c r="G794" i="3"/>
  <c r="F794" i="3"/>
  <c r="G793" i="3"/>
  <c r="F793" i="3"/>
  <c r="G792" i="3"/>
  <c r="F792" i="3"/>
  <c r="G791" i="3"/>
  <c r="F791" i="3"/>
  <c r="G790" i="3"/>
  <c r="F790" i="3"/>
  <c r="G789" i="3"/>
  <c r="F789" i="3"/>
  <c r="G788" i="3"/>
  <c r="F788" i="3"/>
  <c r="G787" i="3"/>
  <c r="F787" i="3"/>
  <c r="G786" i="3"/>
  <c r="F786" i="3"/>
  <c r="G785" i="3"/>
  <c r="F785" i="3"/>
  <c r="G784" i="3"/>
  <c r="F784" i="3"/>
  <c r="G783" i="3"/>
  <c r="F783" i="3"/>
  <c r="G782" i="3"/>
  <c r="F782" i="3"/>
  <c r="G781" i="3"/>
  <c r="F781" i="3"/>
  <c r="G780" i="3"/>
  <c r="F780" i="3"/>
  <c r="G779" i="3"/>
  <c r="F779" i="3"/>
  <c r="G778" i="3"/>
  <c r="F778" i="3"/>
  <c r="G777" i="3"/>
  <c r="F777" i="3"/>
  <c r="G776" i="3"/>
  <c r="F776" i="3"/>
  <c r="G775" i="3"/>
  <c r="F775" i="3"/>
  <c r="G774" i="3"/>
  <c r="F774" i="3"/>
  <c r="G773" i="3"/>
  <c r="F773" i="3"/>
  <c r="G772" i="3"/>
  <c r="F772" i="3"/>
  <c r="G771" i="3"/>
  <c r="F771" i="3"/>
  <c r="G770" i="3"/>
  <c r="F770" i="3"/>
  <c r="G769" i="3"/>
  <c r="F769" i="3"/>
  <c r="G768" i="3"/>
  <c r="F768" i="3"/>
  <c r="G767" i="3"/>
  <c r="F767" i="3"/>
  <c r="G766" i="3"/>
  <c r="F766" i="3"/>
  <c r="G765" i="3"/>
  <c r="F765" i="3"/>
  <c r="G764" i="3"/>
  <c r="F764" i="3"/>
  <c r="G763" i="3"/>
  <c r="F763" i="3"/>
  <c r="G762" i="3"/>
  <c r="F762" i="3"/>
  <c r="G761" i="3"/>
  <c r="F761" i="3"/>
  <c r="G760" i="3"/>
  <c r="F760" i="3"/>
  <c r="G759" i="3"/>
  <c r="F759" i="3"/>
  <c r="G758" i="3"/>
  <c r="F758" i="3"/>
  <c r="G757" i="3"/>
  <c r="F757" i="3"/>
  <c r="G756" i="3"/>
  <c r="F756" i="3"/>
  <c r="G755" i="3"/>
  <c r="F755" i="3"/>
  <c r="G754" i="3"/>
  <c r="F754" i="3"/>
  <c r="G753" i="3"/>
  <c r="F753" i="3"/>
  <c r="G752" i="3"/>
  <c r="F752" i="3"/>
  <c r="G751" i="3"/>
  <c r="F751" i="3"/>
  <c r="G750" i="3"/>
  <c r="F750" i="3"/>
  <c r="G749" i="3"/>
  <c r="F749" i="3"/>
  <c r="G748" i="3"/>
  <c r="F748" i="3"/>
  <c r="G747" i="3"/>
  <c r="F747" i="3"/>
  <c r="G746" i="3"/>
  <c r="F746" i="3"/>
  <c r="G745" i="3"/>
  <c r="F745" i="3"/>
  <c r="G744" i="3"/>
  <c r="F744" i="3"/>
  <c r="G743" i="3"/>
  <c r="F743" i="3"/>
  <c r="G742" i="3"/>
  <c r="F742" i="3"/>
  <c r="G741" i="3"/>
  <c r="F741" i="3"/>
  <c r="G740" i="3"/>
  <c r="F740" i="3"/>
  <c r="G739" i="3"/>
  <c r="F739" i="3"/>
  <c r="G738" i="3"/>
  <c r="F738" i="3"/>
  <c r="G737" i="3"/>
  <c r="F737" i="3"/>
  <c r="G736" i="3"/>
  <c r="F736" i="3"/>
  <c r="G735" i="3"/>
  <c r="F735" i="3"/>
  <c r="G734" i="3"/>
  <c r="F734" i="3"/>
  <c r="G733" i="3"/>
  <c r="F733" i="3"/>
  <c r="G732" i="3"/>
  <c r="F732" i="3"/>
  <c r="G731" i="3"/>
  <c r="F731" i="3"/>
  <c r="G730" i="3"/>
  <c r="F730" i="3"/>
  <c r="G729" i="3"/>
  <c r="F729" i="3"/>
  <c r="G728" i="3"/>
  <c r="F728" i="3"/>
  <c r="G727" i="3"/>
  <c r="F727" i="3"/>
  <c r="G726" i="3"/>
  <c r="F726" i="3"/>
  <c r="G725" i="3"/>
  <c r="F725" i="3"/>
  <c r="G724" i="3"/>
  <c r="F724" i="3"/>
  <c r="G723" i="3"/>
  <c r="F723" i="3"/>
  <c r="G722" i="3"/>
  <c r="F722" i="3"/>
  <c r="G721" i="3"/>
  <c r="F721" i="3"/>
  <c r="G720" i="3"/>
  <c r="F720" i="3"/>
  <c r="G719" i="3"/>
  <c r="F719" i="3"/>
  <c r="G718" i="3"/>
  <c r="F718" i="3"/>
  <c r="G717" i="3"/>
  <c r="F717" i="3"/>
  <c r="G716" i="3"/>
  <c r="F716" i="3"/>
  <c r="G715" i="3"/>
  <c r="F715" i="3"/>
  <c r="G714" i="3"/>
  <c r="F714" i="3"/>
  <c r="G713" i="3"/>
  <c r="F713" i="3"/>
  <c r="G712" i="3"/>
  <c r="F712" i="3"/>
  <c r="G711" i="3"/>
  <c r="F711" i="3"/>
  <c r="G710" i="3"/>
  <c r="F710" i="3"/>
  <c r="G709" i="3"/>
  <c r="F709" i="3"/>
  <c r="G708" i="3"/>
  <c r="F708" i="3"/>
  <c r="G707" i="3"/>
  <c r="F707" i="3"/>
  <c r="G706" i="3"/>
  <c r="F706" i="3"/>
  <c r="G705" i="3"/>
  <c r="F705" i="3"/>
  <c r="G704" i="3"/>
  <c r="F704" i="3"/>
  <c r="G703" i="3"/>
  <c r="F703" i="3"/>
  <c r="G702" i="3"/>
  <c r="F702" i="3"/>
  <c r="G701" i="3"/>
  <c r="F701" i="3"/>
  <c r="G700" i="3"/>
  <c r="F700" i="3"/>
  <c r="G699" i="3"/>
  <c r="F699" i="3"/>
  <c r="G698" i="3"/>
  <c r="F698" i="3"/>
  <c r="G697" i="3"/>
  <c r="F697" i="3"/>
  <c r="G696" i="3"/>
  <c r="F696" i="3"/>
  <c r="G695" i="3"/>
  <c r="F695" i="3"/>
  <c r="G694" i="3"/>
  <c r="F694" i="3"/>
  <c r="G693" i="3"/>
  <c r="F693" i="3"/>
  <c r="G692" i="3"/>
  <c r="F692" i="3"/>
  <c r="G691" i="3"/>
  <c r="F691" i="3"/>
  <c r="G690" i="3"/>
  <c r="F690" i="3"/>
  <c r="G689" i="3"/>
  <c r="F689" i="3"/>
  <c r="G688" i="3"/>
  <c r="F688" i="3"/>
  <c r="G687" i="3"/>
  <c r="F687" i="3"/>
  <c r="G686" i="3"/>
  <c r="F686" i="3"/>
  <c r="G685" i="3"/>
  <c r="F685" i="3"/>
  <c r="G684" i="3"/>
  <c r="F684" i="3"/>
  <c r="G683" i="3"/>
  <c r="F683" i="3"/>
  <c r="G682" i="3"/>
  <c r="F682" i="3"/>
  <c r="G681" i="3"/>
  <c r="F681" i="3"/>
  <c r="G680" i="3"/>
  <c r="F680" i="3"/>
  <c r="G679" i="3"/>
  <c r="F679" i="3"/>
  <c r="G678" i="3"/>
  <c r="F678" i="3"/>
  <c r="G677" i="3"/>
  <c r="F677" i="3"/>
  <c r="G676" i="3"/>
  <c r="F676" i="3"/>
  <c r="G675" i="3"/>
  <c r="F675" i="3"/>
  <c r="G674" i="3"/>
  <c r="F674" i="3"/>
  <c r="G673" i="3"/>
  <c r="F673" i="3"/>
  <c r="G672" i="3"/>
  <c r="F672" i="3"/>
  <c r="G671" i="3"/>
  <c r="F671" i="3"/>
  <c r="G670" i="3"/>
  <c r="F670" i="3"/>
  <c r="G669" i="3"/>
  <c r="F669" i="3"/>
  <c r="G668" i="3"/>
  <c r="F668" i="3"/>
  <c r="G667" i="3"/>
  <c r="F667" i="3"/>
  <c r="G666" i="3"/>
  <c r="F666" i="3"/>
  <c r="G665" i="3"/>
  <c r="F665" i="3"/>
  <c r="G664" i="3"/>
  <c r="F664" i="3"/>
  <c r="G663" i="3"/>
  <c r="F663" i="3"/>
  <c r="G662" i="3"/>
  <c r="F662" i="3"/>
  <c r="G661" i="3"/>
  <c r="F661" i="3"/>
  <c r="G660" i="3"/>
  <c r="F660" i="3"/>
  <c r="G659" i="3"/>
  <c r="F659" i="3"/>
  <c r="G658" i="3"/>
  <c r="F658" i="3"/>
  <c r="G657" i="3"/>
  <c r="F657" i="3"/>
  <c r="G656" i="3"/>
  <c r="F656" i="3"/>
  <c r="G655" i="3"/>
  <c r="F655" i="3"/>
  <c r="G654" i="3"/>
  <c r="F654" i="3"/>
  <c r="G653" i="3"/>
  <c r="F653" i="3"/>
  <c r="G652" i="3"/>
  <c r="F652" i="3"/>
  <c r="G651" i="3"/>
  <c r="F651" i="3"/>
  <c r="G650" i="3"/>
  <c r="F650" i="3"/>
  <c r="G649" i="3"/>
  <c r="F649" i="3"/>
  <c r="G648" i="3"/>
  <c r="F648" i="3"/>
  <c r="G647" i="3"/>
  <c r="F647" i="3"/>
  <c r="G646" i="3"/>
  <c r="F646" i="3"/>
  <c r="G645" i="3"/>
  <c r="F645" i="3"/>
  <c r="G644" i="3"/>
  <c r="F644" i="3"/>
  <c r="G643" i="3"/>
  <c r="F643" i="3"/>
  <c r="G642" i="3"/>
  <c r="F642" i="3"/>
  <c r="G641" i="3"/>
  <c r="F641" i="3"/>
  <c r="G640" i="3"/>
  <c r="F640" i="3"/>
  <c r="G639" i="3"/>
  <c r="F639" i="3"/>
  <c r="G638" i="3"/>
  <c r="F638" i="3"/>
  <c r="G637" i="3"/>
  <c r="F637" i="3"/>
  <c r="G636" i="3"/>
  <c r="F636" i="3"/>
  <c r="G635" i="3"/>
  <c r="F635" i="3"/>
  <c r="G634" i="3"/>
  <c r="F634" i="3"/>
  <c r="G633" i="3"/>
  <c r="F633" i="3"/>
  <c r="G632" i="3"/>
  <c r="F632" i="3"/>
  <c r="G631" i="3"/>
  <c r="F631" i="3"/>
  <c r="G630" i="3"/>
  <c r="F630" i="3"/>
  <c r="G629" i="3"/>
  <c r="F629" i="3"/>
  <c r="G628" i="3"/>
  <c r="F628" i="3"/>
  <c r="G627" i="3"/>
  <c r="F627" i="3"/>
  <c r="G626" i="3"/>
  <c r="F626" i="3"/>
  <c r="G625" i="3"/>
  <c r="F625" i="3"/>
  <c r="G624" i="3"/>
  <c r="F624" i="3"/>
  <c r="G623" i="3"/>
  <c r="F623" i="3"/>
  <c r="G622" i="3"/>
  <c r="F622" i="3"/>
  <c r="G621" i="3"/>
  <c r="F621" i="3"/>
  <c r="G620" i="3"/>
  <c r="F620" i="3"/>
  <c r="G619" i="3"/>
  <c r="F619" i="3"/>
  <c r="G618" i="3"/>
  <c r="F618" i="3"/>
  <c r="G617" i="3"/>
  <c r="F617" i="3"/>
  <c r="G616" i="3"/>
  <c r="F616" i="3"/>
  <c r="G615" i="3"/>
  <c r="F615" i="3"/>
  <c r="G614" i="3"/>
  <c r="F614" i="3"/>
  <c r="G613" i="3"/>
  <c r="F613" i="3"/>
  <c r="G612" i="3"/>
  <c r="F612" i="3"/>
  <c r="G611" i="3"/>
  <c r="F611" i="3"/>
  <c r="G610" i="3"/>
  <c r="F610" i="3"/>
  <c r="G609" i="3"/>
  <c r="F609" i="3"/>
  <c r="G608" i="3"/>
  <c r="F608" i="3"/>
  <c r="G607" i="3"/>
  <c r="F607" i="3"/>
  <c r="G606" i="3"/>
  <c r="F606" i="3"/>
  <c r="G605" i="3"/>
  <c r="F605" i="3"/>
  <c r="G604" i="3"/>
  <c r="F604" i="3"/>
  <c r="G603" i="3"/>
  <c r="F603" i="3"/>
  <c r="G602" i="3"/>
  <c r="F602" i="3"/>
  <c r="G601" i="3"/>
  <c r="F601" i="3"/>
  <c r="G600" i="3"/>
  <c r="F600" i="3"/>
  <c r="G599" i="3"/>
  <c r="F599" i="3"/>
  <c r="G598" i="3"/>
  <c r="F598" i="3"/>
  <c r="G597" i="3"/>
  <c r="F597" i="3"/>
  <c r="G596" i="3"/>
  <c r="F596" i="3"/>
  <c r="G595" i="3"/>
  <c r="F595" i="3"/>
  <c r="G594" i="3"/>
  <c r="F594" i="3"/>
  <c r="G593" i="3"/>
  <c r="F593" i="3"/>
  <c r="G592" i="3"/>
  <c r="F592" i="3"/>
  <c r="G591" i="3"/>
  <c r="F591" i="3"/>
  <c r="G590" i="3"/>
  <c r="F590" i="3"/>
  <c r="G589" i="3"/>
  <c r="F589" i="3"/>
  <c r="G588" i="3"/>
  <c r="F588" i="3"/>
  <c r="G587" i="3"/>
  <c r="F587" i="3"/>
  <c r="G586" i="3"/>
  <c r="F586" i="3"/>
  <c r="G585" i="3"/>
  <c r="F585" i="3"/>
  <c r="G584" i="3"/>
  <c r="F584" i="3"/>
  <c r="G583" i="3"/>
  <c r="F583" i="3"/>
  <c r="G582" i="3"/>
  <c r="F582" i="3"/>
  <c r="G581" i="3"/>
  <c r="F581" i="3"/>
  <c r="G580" i="3"/>
  <c r="F580" i="3"/>
  <c r="G579" i="3"/>
  <c r="F579" i="3"/>
  <c r="G578" i="3"/>
  <c r="F578" i="3"/>
  <c r="G577" i="3"/>
  <c r="F577" i="3"/>
  <c r="G576" i="3"/>
  <c r="F576" i="3"/>
  <c r="G575" i="3"/>
  <c r="F575" i="3"/>
  <c r="G574" i="3"/>
  <c r="F574" i="3"/>
  <c r="G573" i="3"/>
  <c r="F573" i="3"/>
  <c r="G572" i="3"/>
  <c r="F572" i="3"/>
  <c r="G571" i="3"/>
  <c r="F571" i="3"/>
  <c r="G570" i="3"/>
  <c r="F570" i="3"/>
  <c r="G569" i="3"/>
  <c r="F569" i="3"/>
  <c r="G568" i="3"/>
  <c r="F568" i="3"/>
  <c r="G567" i="3"/>
  <c r="F567" i="3"/>
  <c r="G566" i="3"/>
  <c r="F566" i="3"/>
  <c r="G565" i="3"/>
  <c r="F565" i="3"/>
  <c r="G564" i="3"/>
  <c r="F564" i="3"/>
  <c r="G563" i="3"/>
  <c r="F563" i="3"/>
  <c r="G562" i="3"/>
  <c r="F562" i="3"/>
  <c r="G561" i="3"/>
  <c r="F561" i="3"/>
  <c r="G560" i="3"/>
  <c r="F560" i="3"/>
  <c r="G559" i="3"/>
  <c r="F559" i="3"/>
  <c r="G558" i="3"/>
  <c r="F558" i="3"/>
  <c r="G557" i="3"/>
  <c r="F557" i="3"/>
  <c r="G556" i="3"/>
  <c r="F556" i="3"/>
  <c r="G555" i="3"/>
  <c r="F555" i="3"/>
  <c r="G554" i="3"/>
  <c r="F554" i="3"/>
  <c r="G553" i="3"/>
  <c r="F553" i="3"/>
  <c r="G552" i="3"/>
  <c r="F552" i="3"/>
  <c r="G551" i="3"/>
  <c r="F551" i="3"/>
  <c r="G550" i="3"/>
  <c r="F550" i="3"/>
  <c r="G549" i="3"/>
  <c r="F549" i="3"/>
  <c r="G548" i="3"/>
  <c r="F548" i="3"/>
  <c r="G547" i="3"/>
  <c r="F547" i="3"/>
  <c r="G546" i="3"/>
  <c r="F546" i="3"/>
  <c r="G545" i="3"/>
  <c r="F545" i="3"/>
  <c r="G544" i="3"/>
  <c r="F544" i="3"/>
  <c r="G543" i="3"/>
  <c r="F543" i="3"/>
  <c r="G542" i="3"/>
  <c r="F542" i="3"/>
  <c r="G541" i="3"/>
  <c r="F541" i="3"/>
  <c r="G540" i="3"/>
  <c r="F540" i="3"/>
  <c r="G539" i="3"/>
  <c r="F539" i="3"/>
  <c r="G538" i="3"/>
  <c r="F538" i="3"/>
  <c r="G537" i="3"/>
  <c r="F537" i="3"/>
  <c r="G536" i="3"/>
  <c r="F536" i="3"/>
  <c r="G535" i="3"/>
  <c r="F535" i="3"/>
  <c r="G534" i="3"/>
  <c r="F534" i="3"/>
  <c r="G533" i="3"/>
  <c r="F533" i="3"/>
  <c r="G532" i="3"/>
  <c r="F532" i="3"/>
  <c r="G531" i="3"/>
  <c r="F531" i="3"/>
  <c r="G530" i="3"/>
  <c r="F530" i="3"/>
  <c r="G529" i="3"/>
  <c r="F529" i="3"/>
  <c r="G528" i="3"/>
  <c r="F528" i="3"/>
  <c r="G527" i="3"/>
  <c r="F527" i="3"/>
  <c r="G526" i="3"/>
  <c r="F526" i="3"/>
  <c r="G525" i="3"/>
  <c r="F525" i="3"/>
  <c r="G524" i="3"/>
  <c r="F524" i="3"/>
  <c r="G523" i="3"/>
  <c r="F523" i="3"/>
  <c r="G522" i="3"/>
  <c r="F522" i="3"/>
  <c r="G521" i="3"/>
  <c r="F521" i="3"/>
  <c r="G520" i="3"/>
  <c r="F520" i="3"/>
  <c r="G519" i="3"/>
  <c r="F519" i="3"/>
  <c r="G518" i="3"/>
  <c r="F518" i="3"/>
  <c r="G517" i="3"/>
  <c r="F517" i="3"/>
  <c r="G516" i="3"/>
  <c r="F516" i="3"/>
  <c r="G515" i="3"/>
  <c r="F515" i="3"/>
  <c r="G514" i="3"/>
  <c r="F514" i="3"/>
  <c r="G513" i="3"/>
  <c r="F513" i="3"/>
  <c r="G512" i="3"/>
  <c r="F512" i="3"/>
  <c r="G511" i="3"/>
  <c r="F511" i="3"/>
  <c r="G510" i="3"/>
  <c r="F510" i="3"/>
  <c r="G509" i="3"/>
  <c r="F509" i="3"/>
  <c r="G508" i="3"/>
  <c r="F508" i="3"/>
  <c r="G507" i="3"/>
  <c r="F507" i="3"/>
  <c r="G506" i="3"/>
  <c r="F506" i="3"/>
  <c r="G505" i="3"/>
  <c r="F505" i="3"/>
  <c r="G504" i="3"/>
  <c r="F504" i="3"/>
  <c r="G503" i="3"/>
  <c r="F503" i="3"/>
  <c r="G502" i="3"/>
  <c r="F502" i="3"/>
  <c r="G501" i="3"/>
  <c r="F501" i="3"/>
  <c r="G500" i="3"/>
  <c r="F500" i="3"/>
  <c r="G499" i="3"/>
  <c r="F499" i="3"/>
  <c r="G498" i="3"/>
  <c r="F498" i="3"/>
  <c r="G497" i="3"/>
  <c r="F497" i="3"/>
  <c r="G496" i="3"/>
  <c r="F496" i="3"/>
  <c r="G495" i="3"/>
  <c r="F495" i="3"/>
  <c r="G494" i="3"/>
  <c r="F494" i="3"/>
  <c r="G493" i="3"/>
  <c r="F493" i="3"/>
  <c r="G492" i="3"/>
  <c r="F492" i="3"/>
  <c r="G491" i="3"/>
  <c r="F491" i="3"/>
  <c r="G490" i="3"/>
  <c r="F490" i="3"/>
  <c r="G489" i="3"/>
  <c r="F489" i="3"/>
  <c r="G488" i="3"/>
  <c r="F488" i="3"/>
  <c r="G487" i="3"/>
  <c r="F487" i="3"/>
  <c r="G486" i="3"/>
  <c r="F486" i="3"/>
  <c r="G485" i="3"/>
  <c r="F485" i="3"/>
  <c r="G484" i="3"/>
  <c r="F484" i="3"/>
  <c r="G483" i="3"/>
  <c r="F483" i="3"/>
  <c r="G482" i="3"/>
  <c r="F482" i="3"/>
  <c r="G481" i="3"/>
  <c r="F481" i="3"/>
  <c r="G480" i="3"/>
  <c r="F480" i="3"/>
  <c r="G479" i="3"/>
  <c r="F479" i="3"/>
  <c r="G478" i="3"/>
  <c r="F478" i="3"/>
  <c r="G477" i="3"/>
  <c r="F477" i="3"/>
  <c r="G476" i="3"/>
  <c r="F476" i="3"/>
  <c r="G475" i="3"/>
  <c r="F475" i="3"/>
  <c r="G474" i="3"/>
  <c r="F474" i="3"/>
  <c r="G473" i="3"/>
  <c r="F473" i="3"/>
  <c r="G472" i="3"/>
  <c r="F472" i="3"/>
  <c r="G471" i="3"/>
  <c r="F471" i="3"/>
  <c r="G470" i="3"/>
  <c r="F470" i="3"/>
  <c r="G469" i="3"/>
  <c r="F469" i="3"/>
  <c r="G468" i="3"/>
  <c r="F468" i="3"/>
  <c r="G467" i="3"/>
  <c r="F467" i="3"/>
  <c r="G466" i="3"/>
  <c r="F466" i="3"/>
  <c r="G465" i="3"/>
  <c r="F465" i="3"/>
  <c r="G464" i="3"/>
  <c r="F464" i="3"/>
  <c r="G463" i="3"/>
  <c r="F463" i="3"/>
  <c r="G462" i="3"/>
  <c r="F462" i="3"/>
  <c r="G461" i="3"/>
  <c r="F461" i="3"/>
  <c r="G460" i="3"/>
  <c r="F460" i="3"/>
  <c r="G459" i="3"/>
  <c r="F459" i="3"/>
  <c r="G458" i="3"/>
  <c r="F458" i="3"/>
  <c r="G457" i="3"/>
  <c r="F457" i="3"/>
  <c r="G456" i="3"/>
  <c r="F456" i="3"/>
  <c r="G455" i="3"/>
  <c r="F455" i="3"/>
  <c r="G454" i="3"/>
  <c r="F454" i="3"/>
  <c r="G453" i="3"/>
  <c r="F453" i="3"/>
  <c r="G452" i="3"/>
  <c r="F452" i="3"/>
  <c r="G451" i="3"/>
  <c r="F451" i="3"/>
  <c r="G450" i="3"/>
  <c r="F450" i="3"/>
  <c r="G449" i="3"/>
  <c r="F449" i="3"/>
  <c r="G448" i="3"/>
  <c r="F448" i="3"/>
  <c r="G447" i="3"/>
  <c r="F447" i="3"/>
  <c r="G446" i="3"/>
  <c r="F446" i="3"/>
  <c r="G445" i="3"/>
  <c r="F445" i="3"/>
  <c r="G444" i="3"/>
  <c r="F444" i="3"/>
  <c r="G443" i="3"/>
  <c r="F443" i="3"/>
  <c r="G442" i="3"/>
  <c r="F442" i="3"/>
  <c r="G441" i="3"/>
  <c r="F441" i="3"/>
  <c r="G440" i="3"/>
  <c r="F440" i="3"/>
  <c r="G439" i="3"/>
  <c r="F439" i="3"/>
  <c r="G438" i="3"/>
  <c r="F438" i="3"/>
  <c r="G437" i="3"/>
  <c r="F437" i="3"/>
  <c r="G436" i="3"/>
  <c r="F436" i="3"/>
  <c r="G435" i="3"/>
  <c r="F435" i="3"/>
  <c r="G434" i="3"/>
  <c r="F434" i="3"/>
  <c r="G433" i="3"/>
  <c r="F433" i="3"/>
  <c r="G432" i="3"/>
  <c r="F432" i="3"/>
  <c r="G431" i="3"/>
  <c r="F431" i="3"/>
  <c r="G430" i="3"/>
  <c r="F430" i="3"/>
  <c r="G429" i="3"/>
  <c r="F429" i="3"/>
  <c r="G428" i="3"/>
  <c r="F428" i="3"/>
  <c r="G427" i="3"/>
  <c r="F427" i="3"/>
  <c r="G426" i="3"/>
  <c r="F426" i="3"/>
  <c r="G425" i="3"/>
  <c r="F425" i="3"/>
  <c r="G424" i="3"/>
  <c r="F424" i="3"/>
  <c r="G423" i="3"/>
  <c r="F423" i="3"/>
  <c r="G422" i="3"/>
  <c r="F422" i="3"/>
  <c r="G421" i="3"/>
  <c r="F421" i="3"/>
  <c r="G420" i="3"/>
  <c r="F420" i="3"/>
  <c r="G419" i="3"/>
  <c r="F419" i="3"/>
  <c r="G418" i="3"/>
  <c r="F418" i="3"/>
  <c r="G417" i="3"/>
  <c r="F417" i="3"/>
  <c r="G416" i="3"/>
  <c r="F416" i="3"/>
  <c r="G415" i="3"/>
  <c r="F415" i="3"/>
  <c r="G414" i="3"/>
  <c r="F414" i="3"/>
  <c r="G413" i="3"/>
  <c r="F413" i="3"/>
  <c r="G412" i="3"/>
  <c r="F412" i="3"/>
  <c r="G411" i="3"/>
  <c r="F411" i="3"/>
  <c r="G410" i="3"/>
  <c r="F410" i="3"/>
  <c r="G409" i="3"/>
  <c r="F409" i="3"/>
  <c r="G408" i="3"/>
  <c r="F408" i="3"/>
  <c r="G407" i="3"/>
  <c r="F407" i="3"/>
  <c r="G406" i="3"/>
  <c r="F406" i="3"/>
  <c r="G405" i="3"/>
  <c r="F405" i="3"/>
  <c r="G404" i="3"/>
  <c r="F404" i="3"/>
  <c r="G403" i="3"/>
  <c r="F403" i="3"/>
  <c r="G402" i="3"/>
  <c r="F402" i="3"/>
  <c r="G401" i="3"/>
  <c r="F401" i="3"/>
  <c r="G400" i="3"/>
  <c r="F400" i="3"/>
  <c r="G399" i="3"/>
  <c r="F399" i="3"/>
  <c r="G398" i="3"/>
  <c r="F398" i="3"/>
  <c r="G397" i="3"/>
  <c r="F397" i="3"/>
  <c r="G396" i="3"/>
  <c r="F396" i="3"/>
  <c r="G395" i="3"/>
  <c r="F395" i="3"/>
  <c r="G394" i="3"/>
  <c r="F394" i="3"/>
  <c r="G393" i="3"/>
  <c r="F393" i="3"/>
  <c r="G392" i="3"/>
  <c r="F392" i="3"/>
  <c r="G391" i="3"/>
  <c r="F391" i="3"/>
  <c r="G390" i="3"/>
  <c r="F390" i="3"/>
  <c r="G389" i="3"/>
  <c r="F389" i="3"/>
  <c r="G388" i="3"/>
  <c r="F388" i="3"/>
  <c r="G387" i="3"/>
  <c r="F387" i="3"/>
  <c r="G386" i="3"/>
  <c r="F386" i="3"/>
  <c r="G385" i="3"/>
  <c r="F385" i="3"/>
  <c r="G384" i="3"/>
  <c r="F384" i="3"/>
  <c r="G383" i="3"/>
  <c r="F383" i="3"/>
  <c r="G382" i="3"/>
  <c r="F382" i="3"/>
  <c r="G381" i="3"/>
  <c r="F381" i="3"/>
  <c r="G380" i="3"/>
  <c r="F380" i="3"/>
  <c r="G379" i="3"/>
  <c r="F379" i="3"/>
  <c r="G378" i="3"/>
  <c r="F378" i="3"/>
  <c r="G377" i="3"/>
  <c r="F377" i="3"/>
  <c r="G376" i="3"/>
  <c r="F376" i="3"/>
  <c r="G375" i="3"/>
  <c r="F375" i="3"/>
  <c r="G374" i="3"/>
  <c r="F374" i="3"/>
  <c r="G373" i="3"/>
  <c r="F373" i="3"/>
  <c r="G372" i="3"/>
  <c r="F372" i="3"/>
  <c r="G371" i="3"/>
  <c r="F371" i="3"/>
  <c r="G370" i="3"/>
  <c r="F370" i="3"/>
  <c r="G369" i="3"/>
  <c r="F369" i="3"/>
  <c r="G368" i="3"/>
  <c r="F368" i="3"/>
  <c r="G367" i="3"/>
  <c r="F367" i="3"/>
  <c r="G366" i="3"/>
  <c r="F366" i="3"/>
  <c r="G365" i="3"/>
  <c r="F365" i="3"/>
  <c r="G364" i="3"/>
  <c r="F364" i="3"/>
  <c r="G363" i="3"/>
  <c r="F363" i="3"/>
  <c r="G362" i="3"/>
  <c r="F362" i="3"/>
  <c r="G361" i="3"/>
  <c r="F361" i="3"/>
  <c r="G360" i="3"/>
  <c r="F360" i="3"/>
  <c r="G359" i="3"/>
  <c r="F359" i="3"/>
  <c r="G358" i="3"/>
  <c r="F358" i="3"/>
  <c r="G357" i="3"/>
  <c r="F357" i="3"/>
  <c r="G356" i="3"/>
  <c r="F356" i="3"/>
  <c r="G355" i="3"/>
  <c r="F355" i="3"/>
  <c r="G354" i="3"/>
  <c r="F354" i="3"/>
  <c r="G353" i="3"/>
  <c r="F353" i="3"/>
  <c r="G352" i="3"/>
  <c r="F352" i="3"/>
  <c r="G351" i="3"/>
  <c r="F351" i="3"/>
  <c r="G350" i="3"/>
  <c r="F350" i="3"/>
  <c r="G349" i="3"/>
  <c r="F349" i="3"/>
  <c r="G348" i="3"/>
  <c r="F348" i="3"/>
  <c r="G347" i="3"/>
  <c r="F347" i="3"/>
  <c r="G346" i="3"/>
  <c r="F346" i="3"/>
  <c r="G345" i="3"/>
  <c r="F345" i="3"/>
  <c r="G344" i="3"/>
  <c r="F344" i="3"/>
  <c r="G343" i="3"/>
  <c r="F343" i="3"/>
  <c r="G342" i="3"/>
  <c r="F342" i="3"/>
  <c r="G341" i="3"/>
  <c r="F341" i="3"/>
  <c r="G340" i="3"/>
  <c r="F340" i="3"/>
  <c r="G339" i="3"/>
  <c r="F339" i="3"/>
  <c r="G338" i="3"/>
  <c r="F338" i="3"/>
  <c r="G337" i="3"/>
  <c r="F337" i="3"/>
  <c r="G336" i="3"/>
  <c r="F336" i="3"/>
  <c r="G335" i="3"/>
  <c r="F335" i="3"/>
  <c r="G334" i="3"/>
  <c r="F334" i="3"/>
  <c r="G333" i="3"/>
  <c r="F333" i="3"/>
  <c r="G332" i="3"/>
  <c r="F332" i="3"/>
  <c r="G331" i="3"/>
  <c r="F331" i="3"/>
  <c r="G330" i="3"/>
  <c r="F330" i="3"/>
  <c r="G329" i="3"/>
  <c r="F329" i="3"/>
  <c r="G328" i="3"/>
  <c r="F328" i="3"/>
  <c r="G327" i="3"/>
  <c r="F327" i="3"/>
  <c r="G326" i="3"/>
  <c r="F326" i="3"/>
  <c r="G325" i="3"/>
  <c r="F325" i="3"/>
  <c r="G324" i="3"/>
  <c r="F324" i="3"/>
  <c r="G323" i="3"/>
  <c r="F323" i="3"/>
  <c r="G322" i="3"/>
  <c r="F322" i="3"/>
  <c r="G321" i="3"/>
  <c r="F321" i="3"/>
  <c r="G320" i="3"/>
  <c r="F320" i="3"/>
  <c r="G319" i="3"/>
  <c r="F319" i="3"/>
  <c r="G318" i="3"/>
  <c r="F318" i="3"/>
  <c r="G317" i="3"/>
  <c r="F317" i="3"/>
  <c r="G316" i="3"/>
  <c r="F316" i="3"/>
  <c r="G315" i="3"/>
  <c r="F315" i="3"/>
  <c r="G314" i="3"/>
  <c r="F314" i="3"/>
  <c r="G313" i="3"/>
  <c r="F313" i="3"/>
  <c r="G312" i="3"/>
  <c r="F312" i="3"/>
  <c r="G311" i="3"/>
  <c r="F311" i="3"/>
  <c r="G310" i="3"/>
  <c r="F310" i="3"/>
  <c r="G309" i="3"/>
  <c r="F309" i="3"/>
  <c r="G308" i="3"/>
  <c r="F308" i="3"/>
  <c r="G307" i="3"/>
  <c r="F307" i="3"/>
  <c r="G306" i="3"/>
  <c r="F306" i="3"/>
  <c r="G305" i="3"/>
  <c r="F305" i="3"/>
  <c r="G304" i="3"/>
  <c r="F304" i="3"/>
  <c r="G303" i="3"/>
  <c r="F303" i="3"/>
  <c r="G302" i="3"/>
  <c r="F302" i="3"/>
  <c r="G301" i="3"/>
  <c r="F301" i="3"/>
  <c r="G300" i="3"/>
  <c r="F300" i="3"/>
  <c r="G299" i="3"/>
  <c r="F299" i="3"/>
  <c r="G298" i="3"/>
  <c r="F298" i="3"/>
  <c r="G297" i="3"/>
  <c r="F297" i="3"/>
  <c r="G296" i="3"/>
  <c r="F296" i="3"/>
  <c r="G295" i="3"/>
  <c r="F295" i="3"/>
  <c r="G294" i="3"/>
  <c r="F294" i="3"/>
  <c r="G293" i="3"/>
  <c r="F293" i="3"/>
  <c r="G292" i="3"/>
  <c r="F292" i="3"/>
  <c r="G291" i="3"/>
  <c r="F291" i="3"/>
  <c r="G290" i="3"/>
  <c r="F290" i="3"/>
  <c r="G289" i="3"/>
  <c r="F289" i="3"/>
  <c r="G288" i="3"/>
  <c r="F288" i="3"/>
  <c r="G287" i="3"/>
  <c r="F287" i="3"/>
  <c r="G286" i="3"/>
  <c r="F286" i="3"/>
  <c r="G285" i="3"/>
  <c r="F285" i="3"/>
  <c r="G284" i="3"/>
  <c r="F284" i="3"/>
  <c r="G283" i="3"/>
  <c r="F283" i="3"/>
  <c r="G282" i="3"/>
  <c r="F282" i="3"/>
  <c r="G281" i="3"/>
  <c r="F281" i="3"/>
  <c r="G280" i="3"/>
  <c r="F280" i="3"/>
  <c r="G279" i="3"/>
  <c r="F279" i="3"/>
  <c r="G278" i="3"/>
  <c r="F278" i="3"/>
  <c r="G277" i="3"/>
  <c r="F277" i="3"/>
  <c r="G276" i="3"/>
  <c r="F276" i="3"/>
  <c r="G275" i="3"/>
  <c r="F275" i="3"/>
  <c r="G274" i="3"/>
  <c r="F274" i="3"/>
  <c r="G273" i="3"/>
  <c r="F273" i="3"/>
  <c r="G272" i="3"/>
  <c r="F272" i="3"/>
  <c r="G271" i="3"/>
  <c r="F271" i="3"/>
  <c r="G270" i="3"/>
  <c r="F270" i="3"/>
  <c r="G269" i="3"/>
  <c r="F269" i="3"/>
  <c r="G268" i="3"/>
  <c r="F268" i="3"/>
  <c r="G267" i="3"/>
  <c r="F267" i="3"/>
  <c r="G266" i="3"/>
  <c r="F266" i="3"/>
  <c r="G265" i="3"/>
  <c r="F265" i="3"/>
  <c r="G264" i="3"/>
  <c r="F264" i="3"/>
  <c r="G263" i="3"/>
  <c r="F263" i="3"/>
  <c r="G262" i="3"/>
  <c r="F262" i="3"/>
  <c r="G261" i="3"/>
  <c r="F261" i="3"/>
  <c r="G260" i="3"/>
  <c r="F260" i="3"/>
  <c r="G259" i="3"/>
  <c r="F259" i="3"/>
  <c r="G258" i="3"/>
  <c r="F258" i="3"/>
  <c r="G257" i="3"/>
  <c r="F257" i="3"/>
  <c r="G256" i="3"/>
  <c r="F256" i="3"/>
  <c r="G255" i="3"/>
  <c r="F255" i="3"/>
  <c r="G254" i="3"/>
  <c r="F254" i="3"/>
  <c r="G253" i="3"/>
  <c r="F253" i="3"/>
  <c r="G252" i="3"/>
  <c r="F252" i="3"/>
  <c r="G251" i="3"/>
  <c r="F251" i="3"/>
  <c r="G250" i="3"/>
  <c r="F250" i="3"/>
  <c r="G249" i="3"/>
  <c r="F249" i="3"/>
  <c r="G248" i="3"/>
  <c r="F248" i="3"/>
  <c r="G247" i="3"/>
  <c r="F247" i="3"/>
  <c r="G246" i="3"/>
  <c r="F246" i="3"/>
  <c r="G245" i="3"/>
  <c r="F245" i="3"/>
  <c r="G244" i="3"/>
  <c r="F244" i="3"/>
  <c r="G243" i="3"/>
  <c r="F243" i="3"/>
  <c r="G242" i="3"/>
  <c r="F242" i="3"/>
  <c r="G241" i="3"/>
  <c r="F241" i="3"/>
  <c r="G240" i="3"/>
  <c r="F240" i="3"/>
  <c r="G239" i="3"/>
  <c r="F239" i="3"/>
  <c r="G238" i="3"/>
  <c r="F238" i="3"/>
  <c r="G237" i="3"/>
  <c r="F237" i="3"/>
  <c r="G236" i="3"/>
  <c r="F236" i="3"/>
  <c r="G235" i="3"/>
  <c r="F235" i="3"/>
  <c r="G234" i="3"/>
  <c r="F234" i="3"/>
  <c r="G233" i="3"/>
  <c r="F233" i="3"/>
  <c r="G232" i="3"/>
  <c r="F232" i="3"/>
  <c r="G231" i="3"/>
  <c r="F231" i="3"/>
  <c r="G230" i="3"/>
  <c r="F230" i="3"/>
  <c r="G229" i="3"/>
  <c r="F229" i="3"/>
  <c r="G228" i="3"/>
  <c r="F228" i="3"/>
  <c r="G227" i="3"/>
  <c r="F227" i="3"/>
  <c r="G226" i="3"/>
  <c r="F226" i="3"/>
  <c r="G225" i="3"/>
  <c r="F225" i="3"/>
  <c r="G224" i="3"/>
  <c r="F224" i="3"/>
  <c r="G223" i="3"/>
  <c r="F223" i="3"/>
  <c r="G222" i="3"/>
  <c r="F222" i="3"/>
  <c r="G221" i="3"/>
  <c r="F221" i="3"/>
  <c r="G220" i="3"/>
  <c r="F220" i="3"/>
  <c r="G219" i="3"/>
  <c r="F219" i="3"/>
  <c r="G218" i="3"/>
  <c r="F218" i="3"/>
  <c r="G217" i="3"/>
  <c r="F217" i="3"/>
  <c r="G216" i="3"/>
  <c r="F216" i="3"/>
  <c r="G215" i="3"/>
  <c r="F215" i="3"/>
  <c r="G214" i="3"/>
  <c r="F214" i="3"/>
  <c r="G213" i="3"/>
  <c r="F213" i="3"/>
  <c r="G212" i="3"/>
  <c r="F212" i="3"/>
  <c r="G211" i="3"/>
  <c r="F211" i="3"/>
  <c r="G210" i="3"/>
  <c r="F210" i="3"/>
  <c r="G209" i="3"/>
  <c r="F209" i="3"/>
  <c r="G208" i="3"/>
  <c r="F208" i="3"/>
  <c r="G207" i="3"/>
  <c r="F207" i="3"/>
  <c r="G206" i="3"/>
  <c r="F206" i="3"/>
  <c r="G205" i="3"/>
  <c r="F205" i="3"/>
  <c r="G204" i="3"/>
  <c r="F204" i="3"/>
  <c r="G203" i="3"/>
  <c r="F203" i="3"/>
  <c r="G202" i="3"/>
  <c r="F202" i="3"/>
  <c r="G201" i="3"/>
  <c r="F201" i="3"/>
  <c r="G200" i="3"/>
  <c r="F200" i="3"/>
  <c r="G199" i="3"/>
  <c r="F199" i="3"/>
  <c r="G198" i="3"/>
  <c r="F198" i="3"/>
  <c r="G197" i="3"/>
  <c r="F197" i="3"/>
  <c r="G196" i="3"/>
  <c r="F196" i="3"/>
  <c r="G195" i="3"/>
  <c r="F195" i="3"/>
  <c r="G194" i="3"/>
  <c r="F194" i="3"/>
  <c r="G193" i="3"/>
  <c r="F193" i="3"/>
  <c r="G192" i="3"/>
  <c r="F192" i="3"/>
  <c r="G191" i="3"/>
  <c r="F191" i="3"/>
  <c r="G190" i="3"/>
  <c r="F190" i="3"/>
  <c r="G189" i="3"/>
  <c r="F189" i="3"/>
  <c r="G188" i="3"/>
  <c r="F188" i="3"/>
  <c r="G187" i="3"/>
  <c r="F187" i="3"/>
  <c r="G186" i="3"/>
  <c r="F186" i="3"/>
  <c r="G185" i="3"/>
  <c r="F185" i="3"/>
  <c r="G184" i="3"/>
  <c r="F184" i="3"/>
  <c r="G183" i="3"/>
  <c r="F183" i="3"/>
  <c r="G182" i="3"/>
  <c r="F182" i="3"/>
  <c r="G181" i="3"/>
  <c r="F181" i="3"/>
  <c r="G180" i="3"/>
  <c r="F180" i="3"/>
  <c r="G179" i="3"/>
  <c r="F179" i="3"/>
  <c r="G178" i="3"/>
  <c r="F178" i="3"/>
  <c r="G177" i="3"/>
  <c r="F177" i="3"/>
  <c r="G176" i="3"/>
  <c r="F176" i="3"/>
  <c r="G175" i="3"/>
  <c r="F175" i="3"/>
  <c r="G174" i="3"/>
  <c r="F174" i="3"/>
  <c r="G173" i="3"/>
  <c r="F173" i="3"/>
  <c r="G172" i="3"/>
  <c r="F172" i="3"/>
  <c r="G171" i="3"/>
  <c r="F171" i="3"/>
  <c r="G170" i="3"/>
  <c r="F170" i="3"/>
  <c r="G169" i="3"/>
  <c r="F169" i="3"/>
  <c r="G168" i="3"/>
  <c r="F168" i="3"/>
  <c r="G167" i="3"/>
  <c r="F167" i="3"/>
  <c r="G166" i="3"/>
  <c r="F166" i="3"/>
  <c r="G165" i="3"/>
  <c r="F165" i="3"/>
  <c r="G164" i="3"/>
  <c r="F164" i="3"/>
  <c r="G163" i="3"/>
  <c r="F163" i="3"/>
  <c r="G162" i="3"/>
  <c r="F162" i="3"/>
  <c r="G161" i="3"/>
  <c r="F161" i="3"/>
  <c r="G160" i="3"/>
  <c r="F160" i="3"/>
  <c r="G159" i="3"/>
  <c r="F159" i="3"/>
  <c r="G158" i="3"/>
  <c r="F158" i="3"/>
  <c r="G157" i="3"/>
  <c r="F157" i="3"/>
  <c r="G156" i="3"/>
  <c r="F156" i="3"/>
  <c r="G155" i="3"/>
  <c r="F155" i="3"/>
  <c r="G154" i="3"/>
  <c r="F154" i="3"/>
  <c r="G153" i="3"/>
  <c r="F153" i="3"/>
  <c r="G152" i="3"/>
  <c r="F152" i="3"/>
  <c r="G151" i="3"/>
  <c r="F151" i="3"/>
  <c r="G150" i="3"/>
  <c r="F150" i="3"/>
  <c r="G149" i="3"/>
  <c r="F149" i="3"/>
  <c r="G148" i="3"/>
  <c r="F148" i="3"/>
  <c r="G147" i="3"/>
  <c r="F147" i="3"/>
  <c r="G146" i="3"/>
  <c r="F146" i="3"/>
  <c r="G145" i="3"/>
  <c r="F145" i="3"/>
  <c r="G144" i="3"/>
  <c r="F144" i="3"/>
  <c r="G143" i="3"/>
  <c r="F143" i="3"/>
  <c r="G142" i="3"/>
  <c r="F142" i="3"/>
  <c r="G141" i="3"/>
  <c r="F141" i="3"/>
  <c r="G140" i="3"/>
  <c r="F140" i="3"/>
  <c r="G139" i="3"/>
  <c r="F139" i="3"/>
  <c r="G138" i="3"/>
  <c r="F138" i="3"/>
  <c r="G137" i="3"/>
  <c r="F137" i="3"/>
  <c r="G136" i="3"/>
  <c r="F136" i="3"/>
  <c r="G135" i="3"/>
  <c r="F135" i="3"/>
  <c r="G134" i="3"/>
  <c r="F134" i="3"/>
  <c r="G133" i="3"/>
  <c r="F133" i="3"/>
  <c r="G132" i="3"/>
  <c r="F132" i="3"/>
  <c r="G131" i="3"/>
  <c r="F131" i="3"/>
  <c r="G130" i="3"/>
  <c r="F130" i="3"/>
  <c r="G129" i="3"/>
  <c r="F129" i="3"/>
  <c r="G128" i="3"/>
  <c r="F128" i="3"/>
  <c r="G127" i="3"/>
  <c r="F127" i="3"/>
  <c r="G126" i="3"/>
  <c r="F126" i="3"/>
  <c r="G125" i="3"/>
  <c r="F125" i="3"/>
  <c r="G124" i="3"/>
  <c r="F124" i="3"/>
  <c r="G123" i="3"/>
  <c r="F123" i="3"/>
  <c r="G122" i="3"/>
  <c r="F122" i="3"/>
  <c r="G121" i="3"/>
  <c r="F121" i="3"/>
  <c r="G120" i="3"/>
  <c r="F120" i="3"/>
  <c r="G119" i="3"/>
  <c r="F119" i="3"/>
  <c r="G118" i="3"/>
  <c r="F118" i="3"/>
  <c r="G117" i="3"/>
  <c r="F117" i="3"/>
  <c r="G116" i="3"/>
  <c r="F116" i="3"/>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G64" i="3"/>
  <c r="F64" i="3"/>
  <c r="G63" i="3"/>
  <c r="F63" i="3"/>
  <c r="G62" i="3"/>
  <c r="F62" i="3"/>
  <c r="G61" i="3"/>
  <c r="F61" i="3"/>
  <c r="G60" i="3"/>
  <c r="F60" i="3"/>
  <c r="G59" i="3"/>
  <c r="F59" i="3"/>
  <c r="G58" i="3"/>
  <c r="F58" i="3"/>
  <c r="G57" i="3"/>
  <c r="F57" i="3"/>
  <c r="G56" i="3"/>
  <c r="F56" i="3"/>
  <c r="G55" i="3"/>
  <c r="F55" i="3"/>
  <c r="G52" i="3"/>
  <c r="F52" i="3"/>
  <c r="G49" i="3"/>
  <c r="F49" i="3"/>
  <c r="G44" i="3"/>
  <c r="F44" i="3"/>
  <c r="G43" i="3"/>
  <c r="F43" i="3"/>
  <c r="G42" i="3"/>
  <c r="F42" i="3"/>
  <c r="G40" i="3"/>
  <c r="F40" i="3"/>
  <c r="G34" i="3"/>
  <c r="F34" i="3"/>
  <c r="F33" i="3"/>
  <c r="F32" i="3"/>
  <c r="G23" i="3"/>
  <c r="F23" i="3"/>
  <c r="F13" i="3"/>
  <c r="G7" i="3"/>
  <c r="F7" i="3"/>
  <c r="F6" i="3"/>
  <c r="G5" i="3"/>
  <c r="F5" i="3"/>
  <c r="F2" i="3"/>
  <c r="CZ58"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Jean-Marc Boffa</author>
  </authors>
  <commentList>
    <comment ref="Q12" authorId="0" shapeId="0" xr:uid="{4E8C2BB6-F2DD-482E-ADC4-F70AF50CBD33}">
      <text>
        <r>
          <rPr>
            <b/>
            <sz val="9"/>
            <color indexed="81"/>
            <rFont val="Tahoma"/>
            <family val="2"/>
          </rPr>
          <t>Jean-Marc Boffa:</t>
        </r>
        <r>
          <rPr>
            <sz val="9"/>
            <color indexed="81"/>
            <rFont val="Tahoma"/>
            <family val="2"/>
          </rPr>
          <t xml:space="preserve">
Numero appartient a Secretaire KANDO Bintou</t>
        </r>
      </text>
    </comment>
  </commentList>
</comments>
</file>

<file path=xl/sharedStrings.xml><?xml version="1.0" encoding="utf-8"?>
<sst xmlns="http://schemas.openxmlformats.org/spreadsheetml/2006/main" count="48504" uniqueCount="7703">
  <si>
    <t>Group ID</t>
  </si>
  <si>
    <t>Group name</t>
  </si>
  <si>
    <t>Group Commune</t>
  </si>
  <si>
    <t>Source</t>
  </si>
  <si>
    <t>Metadata</t>
  </si>
  <si>
    <t>Ouezena</t>
  </si>
  <si>
    <t>Po</t>
  </si>
  <si>
    <t>Ecodata</t>
  </si>
  <si>
    <t>Number of groups</t>
  </si>
  <si>
    <t>Tiligrinooma</t>
  </si>
  <si>
    <t>Yako</t>
  </si>
  <si>
    <t>Groups without commune:</t>
  </si>
  <si>
    <t>Danyiwè</t>
  </si>
  <si>
    <t>Femme 2000</t>
  </si>
  <si>
    <t>Ziniaré</t>
  </si>
  <si>
    <t>centre alpha</t>
  </si>
  <si>
    <t>Sapouy</t>
  </si>
  <si>
    <t>Bi-Songo</t>
  </si>
  <si>
    <t>Saponé</t>
  </si>
  <si>
    <t>Songtaaba de Po</t>
  </si>
  <si>
    <t>Pug-wissinga</t>
  </si>
  <si>
    <t>Ouargaye</t>
  </si>
  <si>
    <t>Songtaaba de Dourtenga</t>
  </si>
  <si>
    <t>Dourtenga</t>
  </si>
  <si>
    <t>Toucormone</t>
  </si>
  <si>
    <t>Nongtaaba de Zorgho 1</t>
  </si>
  <si>
    <t>Zorgho</t>
  </si>
  <si>
    <t>Benkadi de Korome</t>
  </si>
  <si>
    <t>Di</t>
  </si>
  <si>
    <t>Benkadi entraide</t>
  </si>
  <si>
    <t>Boromo</t>
  </si>
  <si>
    <t>Noussondia</t>
  </si>
  <si>
    <t>Tougan ville</t>
  </si>
  <si>
    <t>Benkagni</t>
  </si>
  <si>
    <t>Nouna</t>
  </si>
  <si>
    <t xml:space="preserve">Wematou </t>
  </si>
  <si>
    <t>Songtaaba de Solenzo</t>
  </si>
  <si>
    <t>Solenzo</t>
  </si>
  <si>
    <t>Wend denda de Boromo</t>
  </si>
  <si>
    <t>Lawa-taa de Tougan</t>
  </si>
  <si>
    <t>Tougan</t>
  </si>
  <si>
    <t>Wend denda de Kirsi</t>
  </si>
  <si>
    <t>Kirsi</t>
  </si>
  <si>
    <t>KOLGUEGUESSE SOUGRINOOMA</t>
  </si>
  <si>
    <t>Mougnou de Tougan</t>
  </si>
  <si>
    <t>GRÂCE ET MERVEILLES</t>
  </si>
  <si>
    <t>Roumtenga</t>
  </si>
  <si>
    <t>ZEMSTAABA</t>
  </si>
  <si>
    <t>Mougnou de Nouna</t>
  </si>
  <si>
    <t xml:space="preserve">association pour l'intégration socioéconomiques des filles mère en difficulté dans la région de toma </t>
  </si>
  <si>
    <t>Toma</t>
  </si>
  <si>
    <t>Rimtéreb-Som</t>
  </si>
  <si>
    <t>OUAGADOUGOU</t>
  </si>
  <si>
    <t>Ecodata / Technoserve</t>
  </si>
  <si>
    <t>lonkiokoè</t>
  </si>
  <si>
    <t>Union communale des transformatrices des produits forestiers non ligneux</t>
  </si>
  <si>
    <t>Dassa</t>
  </si>
  <si>
    <t>Sougryinga</t>
  </si>
  <si>
    <t>KOUDOUGOU</t>
  </si>
  <si>
    <t>NAMANEGBZANGA de TANILI</t>
  </si>
  <si>
    <t>Zitenga</t>
  </si>
  <si>
    <t>Nature plus</t>
  </si>
  <si>
    <t>Tiankoura</t>
  </si>
  <si>
    <t>Songdo-woaga</t>
  </si>
  <si>
    <t>Songtaaba de Siglé</t>
  </si>
  <si>
    <t>Siglé</t>
  </si>
  <si>
    <t>Teega Wendé de Ziniaré</t>
  </si>
  <si>
    <t>Wend Songdo de Boura</t>
  </si>
  <si>
    <t>Guiba</t>
  </si>
  <si>
    <t>Manegre nooma</t>
  </si>
  <si>
    <t>Union des Groupements de Productrices de Produits Karité (UGPPK) du Houet</t>
  </si>
  <si>
    <t>Bobo</t>
  </si>
  <si>
    <t>Delwendé de Boudry</t>
  </si>
  <si>
    <t>Boudry</t>
  </si>
  <si>
    <t>union des productrices de beurre</t>
  </si>
  <si>
    <t>Tiébélé</t>
  </si>
  <si>
    <t>Wenpenga</t>
  </si>
  <si>
    <t>Uromu</t>
  </si>
  <si>
    <t>Karibel</t>
  </si>
  <si>
    <t>Wamhana</t>
  </si>
  <si>
    <t>Piela</t>
  </si>
  <si>
    <t>Waogtaaba</t>
  </si>
  <si>
    <t>Nobéré</t>
  </si>
  <si>
    <t>Wend-woaga</t>
  </si>
  <si>
    <t>Koudougou ville</t>
  </si>
  <si>
    <t>Wendyiida</t>
  </si>
  <si>
    <t>Neyalatisson</t>
  </si>
  <si>
    <t>Bieha</t>
  </si>
  <si>
    <t>Wend Panga de Tiogo</t>
  </si>
  <si>
    <t>Koudougou</t>
  </si>
  <si>
    <t>Aditou</t>
  </si>
  <si>
    <t>Boussera</t>
  </si>
  <si>
    <t>groupement de femmes productrices de noix de karité volatile de gossina</t>
  </si>
  <si>
    <t>Nam zood nooma</t>
  </si>
  <si>
    <t>Gourcy</t>
  </si>
  <si>
    <t>ABPJF\ UPROKA</t>
  </si>
  <si>
    <t>Ouagadougou</t>
  </si>
  <si>
    <t>bomafola de massako</t>
  </si>
  <si>
    <t>Gossina</t>
  </si>
  <si>
    <t>Bomafola de Gossina</t>
  </si>
  <si>
    <t>Sononyé de Kyon</t>
  </si>
  <si>
    <t>KYON</t>
  </si>
  <si>
    <t xml:space="preserve">bientama </t>
  </si>
  <si>
    <t>Santa Soutra</t>
  </si>
  <si>
    <t>Karangasso-Sambla</t>
  </si>
  <si>
    <t>Zink-waogtaba</t>
  </si>
  <si>
    <t>Zecco</t>
  </si>
  <si>
    <t>Dwi-yè</t>
  </si>
  <si>
    <t>TENADO</t>
  </si>
  <si>
    <t>Zemstaaba de Koudougou</t>
  </si>
  <si>
    <t>Lagmtaaba</t>
  </si>
  <si>
    <t>Fada</t>
  </si>
  <si>
    <t>Nabonswendé de Ouargaye</t>
  </si>
  <si>
    <t>Songtaaba de Ouargaye</t>
  </si>
  <si>
    <t>Songtaaba de Gourcy</t>
  </si>
  <si>
    <t>Sugrnooma de Ouargaye</t>
  </si>
  <si>
    <t>Songtaaba de Tambaga</t>
  </si>
  <si>
    <t>Tambaga</t>
  </si>
  <si>
    <t>Sugrnooma de Kaya</t>
  </si>
  <si>
    <t>Kaya</t>
  </si>
  <si>
    <t>Nongtaba de Niamba</t>
  </si>
  <si>
    <t>Boussé</t>
  </si>
  <si>
    <t>Nabonswendé Zoundwéogo</t>
  </si>
  <si>
    <t>Yagtenga</t>
  </si>
  <si>
    <t>Nabouyibzanga pour le développement intégré</t>
  </si>
  <si>
    <t>Kombissiri</t>
  </si>
  <si>
    <t>Okampélé</t>
  </si>
  <si>
    <t>Loropeni</t>
  </si>
  <si>
    <t>Nongtaaba de Iolonioro</t>
  </si>
  <si>
    <t>Iolonioro</t>
  </si>
  <si>
    <t>Namanegbzanga de Pouni</t>
  </si>
  <si>
    <t>Pouni</t>
  </si>
  <si>
    <t xml:space="preserve">Lawa-taa de Diébougou </t>
  </si>
  <si>
    <t>Diébougou</t>
  </si>
  <si>
    <t>Nyow-kaar</t>
  </si>
  <si>
    <t>Koper</t>
  </si>
  <si>
    <t>lamôgoya</t>
  </si>
  <si>
    <t>Lanaya</t>
  </si>
  <si>
    <t>Batié</t>
  </si>
  <si>
    <t>Fadefso</t>
  </si>
  <si>
    <t>Dolo</t>
  </si>
  <si>
    <t>Pang be ne wendé d'Ourgou</t>
  </si>
  <si>
    <t>OURGOU-MANEGA</t>
  </si>
  <si>
    <t>association pour la promotion sociale des personnes vulnérables</t>
  </si>
  <si>
    <t>Faso bara</t>
  </si>
  <si>
    <t>Douroula</t>
  </si>
  <si>
    <t>Kaan-vla</t>
  </si>
  <si>
    <t>Niego</t>
  </si>
  <si>
    <t>Pang be ne wendé</t>
  </si>
  <si>
    <t>bowdour de choyo</t>
  </si>
  <si>
    <t>Fasodjigui</t>
  </si>
  <si>
    <t>Loropéni</t>
  </si>
  <si>
    <t>Yeleem</t>
  </si>
  <si>
    <t>Hampugine</t>
  </si>
  <si>
    <t>Bogande</t>
  </si>
  <si>
    <t>Guétawendé de Gaoua</t>
  </si>
  <si>
    <t>Gaoua</t>
  </si>
  <si>
    <t>APES de Poni</t>
  </si>
  <si>
    <t>association</t>
  </si>
  <si>
    <t>SONG ZENE</t>
  </si>
  <si>
    <t>Laguemtaaba cooperatives</t>
  </si>
  <si>
    <t>TANGBABLOSSE</t>
  </si>
  <si>
    <t>LABAN KOGNOUMA</t>
  </si>
  <si>
    <t>Delwendé de Poni</t>
  </si>
  <si>
    <t>zood nooma</t>
  </si>
  <si>
    <t>Manga</t>
  </si>
  <si>
    <t>Iridjè</t>
  </si>
  <si>
    <t>Nako</t>
  </si>
  <si>
    <t>Pébatioga</t>
  </si>
  <si>
    <t>Tiebele</t>
  </si>
  <si>
    <t>Iyorou dolobane</t>
  </si>
  <si>
    <t>Wolonkoto</t>
  </si>
  <si>
    <t xml:space="preserve">Association des jeunes femmes de Zecco </t>
  </si>
  <si>
    <t>Pendwendé de Koudougou</t>
  </si>
  <si>
    <t>Baosongré</t>
  </si>
  <si>
    <t>Mouyou</t>
  </si>
  <si>
    <t>Zemstaaba de Salbissigo</t>
  </si>
  <si>
    <t>Salbissigo</t>
  </si>
  <si>
    <t>Nongtaaba de Zorgho 2</t>
  </si>
  <si>
    <t>Wend Penga de Guy</t>
  </si>
  <si>
    <t>Wendsoo</t>
  </si>
  <si>
    <t>Nongtaaba de Tenkodogo</t>
  </si>
  <si>
    <t>Tenkodogo</t>
  </si>
  <si>
    <t>Coopérative simplifiée Koroto des produits non ligneux de Kwen</t>
  </si>
  <si>
    <t>Didyr</t>
  </si>
  <si>
    <t>Sononyè de Mogueya</t>
  </si>
  <si>
    <t>DIDYR</t>
  </si>
  <si>
    <t>Bakouando de Daolo</t>
  </si>
  <si>
    <t>Koroto Doumpo de Ladiou</t>
  </si>
  <si>
    <t>Ben nafa</t>
  </si>
  <si>
    <t>Yiwazhena de Kwen</t>
  </si>
  <si>
    <t>Kotongnongo</t>
  </si>
  <si>
    <t>Loumana</t>
  </si>
  <si>
    <t>Kidonenye de Goumi</t>
  </si>
  <si>
    <t>Kidonenye de Divolet</t>
  </si>
  <si>
    <t>Pyinèmatuin de Ladiou</t>
  </si>
  <si>
    <t>Soulou nye de Tonton</t>
  </si>
  <si>
    <t>YiwoaZhena de Yierdion</t>
  </si>
  <si>
    <t>Etiono nyè de Ladiou</t>
  </si>
  <si>
    <t>Wend la Panga de Kouka</t>
  </si>
  <si>
    <t>Kouka</t>
  </si>
  <si>
    <t>Sababougnouma de Solenzo 1</t>
  </si>
  <si>
    <t>Wend la Panga de Solenzo</t>
  </si>
  <si>
    <t>Benkelekan</t>
  </si>
  <si>
    <t>Sabougnouma</t>
  </si>
  <si>
    <t>Shiisun gnataga</t>
  </si>
  <si>
    <t>Goulou-nyē de Bouldié</t>
  </si>
  <si>
    <t>Yiwoadjan de Gooko</t>
  </si>
  <si>
    <t>Kilounye de kwen</t>
  </si>
  <si>
    <t>Yanaba</t>
  </si>
  <si>
    <t>Pama</t>
  </si>
  <si>
    <t>Tiononyé de Ladiou</t>
  </si>
  <si>
    <t>kolomtaaba</t>
  </si>
  <si>
    <t>Andemtenga</t>
  </si>
  <si>
    <t>Delwendé d'Andemtenga</t>
  </si>
  <si>
    <t>Ratamanegre</t>
  </si>
  <si>
    <t>Kiswendsida de Yondé</t>
  </si>
  <si>
    <t>Yondé</t>
  </si>
  <si>
    <t>Benkadi de Di</t>
  </si>
  <si>
    <t>Ratamalgré</t>
  </si>
  <si>
    <t>Nabonswendé de Tougan</t>
  </si>
  <si>
    <t>Wend Lamita</t>
  </si>
  <si>
    <t>Wend Panga de Latodin</t>
  </si>
  <si>
    <t>Latodin</t>
  </si>
  <si>
    <t>Nabonswendé de Gourcy</t>
  </si>
  <si>
    <t>ADMGA</t>
  </si>
  <si>
    <t>Nabonswendé de Zorgho</t>
  </si>
  <si>
    <t>Piakoro de Niabouri</t>
  </si>
  <si>
    <t>Niabouri</t>
  </si>
  <si>
    <t>Wend Panga de Bouroum</t>
  </si>
  <si>
    <t>Bouroum</t>
  </si>
  <si>
    <t>Wend La Siida</t>
  </si>
  <si>
    <t>Arbollé</t>
  </si>
  <si>
    <t>Buuyaaba</t>
  </si>
  <si>
    <t>Songtaaba d'Arbolé</t>
  </si>
  <si>
    <t>Arbolé</t>
  </si>
  <si>
    <t>Wend la teenda</t>
  </si>
  <si>
    <t>Bassi</t>
  </si>
  <si>
    <t>shekina-teebpidisgou</t>
  </si>
  <si>
    <t>Teega Wendé de Pissila</t>
  </si>
  <si>
    <t>Pissila</t>
  </si>
  <si>
    <t>Guétawendé de Koudougou</t>
  </si>
  <si>
    <t>Teega Wendé de Kaya</t>
  </si>
  <si>
    <t>Neema</t>
  </si>
  <si>
    <t>Houndé</t>
  </si>
  <si>
    <t>Teega Wendé</t>
  </si>
  <si>
    <t>Kaya ville secteur 6</t>
  </si>
  <si>
    <t>Neeb-la-Taaba</t>
  </si>
  <si>
    <t>laafi la boumbou</t>
  </si>
  <si>
    <t>Delwendé de Pissila</t>
  </si>
  <si>
    <t>Béréwé</t>
  </si>
  <si>
    <t>Satiri</t>
  </si>
  <si>
    <t>Delwendé de Ouargaye</t>
  </si>
  <si>
    <t>Dioramae simplifiée Koroto des produits non ligneux de Kwen</t>
  </si>
  <si>
    <t>Dioulmale</t>
  </si>
  <si>
    <t>Wend-Songda de Konki Ipala</t>
  </si>
  <si>
    <t>KONKIIPALA</t>
  </si>
  <si>
    <t>TIMALKAAR</t>
  </si>
  <si>
    <t>NOBIEL</t>
  </si>
  <si>
    <t>Périgan</t>
  </si>
  <si>
    <t>SIBGLOKAR</t>
  </si>
  <si>
    <t>Azebène de Pouni</t>
  </si>
  <si>
    <t>Sidimokar</t>
  </si>
  <si>
    <t>Songtaaba de Bouroum-Bouroum</t>
  </si>
  <si>
    <t>Bouroum-Bouroum</t>
  </si>
  <si>
    <t>NOOBÉEN</t>
  </si>
  <si>
    <t>Malba</t>
  </si>
  <si>
    <t>Sidnomwende</t>
  </si>
  <si>
    <t>AZEBENE de Kpuéré</t>
  </si>
  <si>
    <t>Kpueré</t>
  </si>
  <si>
    <t>Sodoboua</t>
  </si>
  <si>
    <t>Perigban</t>
  </si>
  <si>
    <t>KANTCHIOLI</t>
  </si>
  <si>
    <t>ZEMSTAABA RELWENDE</t>
  </si>
  <si>
    <t>WEND WAOGO</t>
  </si>
  <si>
    <t>BGEBEWAALA</t>
  </si>
  <si>
    <t>Gbomblora</t>
  </si>
  <si>
    <t>ALLAH BARKA</t>
  </si>
  <si>
    <t>Allah kabo</t>
  </si>
  <si>
    <t>NIONKO</t>
  </si>
  <si>
    <t>union départementale d'Orodara</t>
  </si>
  <si>
    <t>Orodara</t>
  </si>
  <si>
    <t>Amarian yiidian</t>
  </si>
  <si>
    <t>Léo</t>
  </si>
  <si>
    <t>Miyamba</t>
  </si>
  <si>
    <t>Tambibongo</t>
  </si>
  <si>
    <t>Benkéléma</t>
  </si>
  <si>
    <t>Mossodougou</t>
  </si>
  <si>
    <t>union départementale des productrices de beurre</t>
  </si>
  <si>
    <t>Woignon</t>
  </si>
  <si>
    <t>Gbansoangou</t>
  </si>
  <si>
    <t>Madjoari</t>
  </si>
  <si>
    <t>Kagnonsé Léraba</t>
  </si>
  <si>
    <t>Sindou</t>
  </si>
  <si>
    <t>Gnoumankadi</t>
  </si>
  <si>
    <t>Wowanyon</t>
  </si>
  <si>
    <t>MINGA BINKA</t>
  </si>
  <si>
    <t>Bitou</t>
  </si>
  <si>
    <t>KOANG-MAASSOUM</t>
  </si>
  <si>
    <t>Moabzanga</t>
  </si>
  <si>
    <t>Toécé</t>
  </si>
  <si>
    <t>Zemstaaba de Tenkodogo</t>
  </si>
  <si>
    <t>association des femmes pour la solidarité et le développement de Bitou</t>
  </si>
  <si>
    <t>zemstaaba de Tambarga</t>
  </si>
  <si>
    <t>Tambarga</t>
  </si>
  <si>
    <t xml:space="preserve">Relwendé de Nabouri </t>
  </si>
  <si>
    <t>Konki Ipala</t>
  </si>
  <si>
    <t>Sugrnooma de Tanglogo</t>
  </si>
  <si>
    <t>Tanglogo</t>
  </si>
  <si>
    <t>Tagsbeoyélé</t>
  </si>
  <si>
    <t>union departementale de Boni</t>
  </si>
  <si>
    <t>Boni</t>
  </si>
  <si>
    <t>Tamyaaba</t>
  </si>
  <si>
    <t>Wend gounsi</t>
  </si>
  <si>
    <t>Wussoum'cri des femmes de zigla polacé</t>
  </si>
  <si>
    <t>Garango</t>
  </si>
  <si>
    <t>Yijan</t>
  </si>
  <si>
    <t>association y croire</t>
  </si>
  <si>
    <t>Kokoubinka</t>
  </si>
  <si>
    <t>Femmes actives</t>
  </si>
  <si>
    <t>Boussouma</t>
  </si>
  <si>
    <t>Nongtaaba de Kampouga</t>
  </si>
  <si>
    <t>Kampouga</t>
  </si>
  <si>
    <t>Gnitamoussin</t>
  </si>
  <si>
    <t>Dédougou</t>
  </si>
  <si>
    <t>Laafi karité</t>
  </si>
  <si>
    <t>Kiswensida de Fara</t>
  </si>
  <si>
    <t>Yiriwalibaara</t>
  </si>
  <si>
    <t>Kiswendsida de Pabré</t>
  </si>
  <si>
    <t>PABRÉ</t>
  </si>
  <si>
    <t>Yitenedjo</t>
  </si>
  <si>
    <t>Niankorodougou</t>
  </si>
  <si>
    <t>Associaton pour la promotion économique et sociale des femmes</t>
  </si>
  <si>
    <t>Wend Panga de DABARÉ</t>
  </si>
  <si>
    <t>Pabré</t>
  </si>
  <si>
    <t>Sababougnouma de Solenzo 2</t>
  </si>
  <si>
    <t>Teega Wendé de Kandaaga</t>
  </si>
  <si>
    <t>Pella</t>
  </si>
  <si>
    <t>Relwendé de Pella</t>
  </si>
  <si>
    <t>Teega Wendé de Tenkodogo</t>
  </si>
  <si>
    <t>Teega Wendé de Boulsa</t>
  </si>
  <si>
    <t>Boulsa</t>
  </si>
  <si>
    <t>Relwendé de Mané</t>
  </si>
  <si>
    <t>Teeli kuba de boulsa</t>
  </si>
  <si>
    <t>Teega Wendé de Goaga</t>
  </si>
  <si>
    <t>Teeltaaba</t>
  </si>
  <si>
    <t>Pengdwendé de Boulsa</t>
  </si>
  <si>
    <t>Teeltaaba de Kaya</t>
  </si>
  <si>
    <t>Buud-yam</t>
  </si>
  <si>
    <t>Teewendé</t>
  </si>
  <si>
    <t>Benewendé de Solenzo</t>
  </si>
  <si>
    <t>Pougoumba</t>
  </si>
  <si>
    <t>Benéwendé de Kando</t>
  </si>
  <si>
    <t>Koupéla</t>
  </si>
  <si>
    <t>Teega Wende de Zamo</t>
  </si>
  <si>
    <t>Zamo</t>
  </si>
  <si>
    <t>Bengnouma</t>
  </si>
  <si>
    <t>Dedougou</t>
  </si>
  <si>
    <t>Nongtaaba de Songretenga</t>
  </si>
  <si>
    <t>Songretenga</t>
  </si>
  <si>
    <t>Association Pour les Femmes de Kouritenga (APFK)</t>
  </si>
  <si>
    <t>Koupela</t>
  </si>
  <si>
    <t>Kuumtaaba</t>
  </si>
  <si>
    <t>Benibwa</t>
  </si>
  <si>
    <t>Gayeri</t>
  </si>
  <si>
    <t>Sougr-nooma de Nandiala</t>
  </si>
  <si>
    <t>Yoninyēn de Kordié</t>
  </si>
  <si>
    <t>Kordié</t>
  </si>
  <si>
    <t>Nongtaaba de Guiba</t>
  </si>
  <si>
    <t>Dollebou</t>
  </si>
  <si>
    <t>Yerèkorosi</t>
  </si>
  <si>
    <t>Senimi</t>
  </si>
  <si>
    <t>Yérénon</t>
  </si>
  <si>
    <t>Tondossin</t>
  </si>
  <si>
    <t>Sabari kagni de Nouna</t>
  </si>
  <si>
    <t>Ratanéné</t>
  </si>
  <si>
    <t>Nongtaaba de Tougan</t>
  </si>
  <si>
    <t>Relwende de Kaya</t>
  </si>
  <si>
    <t>Relwendé de Loukoura</t>
  </si>
  <si>
    <t>Ioronioro</t>
  </si>
  <si>
    <t>Santjoil</t>
  </si>
  <si>
    <t>Kpuéré</t>
  </si>
  <si>
    <t>Benkadi de Vigué</t>
  </si>
  <si>
    <t>Karankasso</t>
  </si>
  <si>
    <t xml:space="preserve">transformatrice de beurre de karité </t>
  </si>
  <si>
    <t>union communale des productrice de beurre de karité de toma</t>
  </si>
  <si>
    <t>Nongtaaba d'Andemtenga</t>
  </si>
  <si>
    <t>Teega Wendé de Koupela</t>
  </si>
  <si>
    <t>Sababougnouma de Bieha</t>
  </si>
  <si>
    <t>Sababougnouma de Sindou</t>
  </si>
  <si>
    <t>Sababougnouma  de Koudougou</t>
  </si>
  <si>
    <t>Sabari kagni de Dédougou</t>
  </si>
  <si>
    <t xml:space="preserve"> Allah Dari</t>
  </si>
  <si>
    <t>Ramonwende</t>
  </si>
  <si>
    <t>Tibga</t>
  </si>
  <si>
    <t>Buudnoma</t>
  </si>
  <si>
    <t>Koudougou Secteur 1</t>
  </si>
  <si>
    <t>Tiedwanenye de Mouzoumou</t>
  </si>
  <si>
    <t>Kidonenye de Ziladir</t>
  </si>
  <si>
    <t>Koroto de Nigiolo N'Tounou</t>
  </si>
  <si>
    <t>Pyacene de Nigiolo</t>
  </si>
  <si>
    <t>Yanta du Houet</t>
  </si>
  <si>
    <t>Bobo Secteur 10</t>
  </si>
  <si>
    <t>Miriya Gnouma du Houet</t>
  </si>
  <si>
    <t>RPBHC</t>
  </si>
  <si>
    <t>Lolo</t>
  </si>
  <si>
    <t>Dandé</t>
  </si>
  <si>
    <t>Sabari kagni de Peni</t>
  </si>
  <si>
    <t>Peni</t>
  </si>
  <si>
    <t>Kayansé</t>
  </si>
  <si>
    <t>ASSOCIATION FEMME LEVE TOI ET MARCHE DE GAOUA</t>
  </si>
  <si>
    <t>Lombo</t>
  </si>
  <si>
    <t>Kôti</t>
  </si>
  <si>
    <t>Kokologho</t>
  </si>
  <si>
    <t>AAVC de Loropeni</t>
  </si>
  <si>
    <t>YELEEN NOUS POUR VOUS</t>
  </si>
  <si>
    <t>UGPPK Comoe - Kagnonsé</t>
  </si>
  <si>
    <t>Banfora</t>
  </si>
  <si>
    <t>CYE DWANE NYEE</t>
  </si>
  <si>
    <t>Réo</t>
  </si>
  <si>
    <t>Nevelya de Sapouy</t>
  </si>
  <si>
    <t>Nununa</t>
  </si>
  <si>
    <t>Leo</t>
  </si>
  <si>
    <t>wend benedo/ ancien Kabeela</t>
  </si>
  <si>
    <t>ZINIARÉ</t>
  </si>
  <si>
    <t>Songo Zena</t>
  </si>
  <si>
    <t>Tiebelé</t>
  </si>
  <si>
    <t>Wend lamanegda (UNPK)</t>
  </si>
  <si>
    <t>Pabre</t>
  </si>
  <si>
    <t>ZEMSTAABA de Nagretenga</t>
  </si>
  <si>
    <t>Nagréongo</t>
  </si>
  <si>
    <t>APES de Kombissiri</t>
  </si>
  <si>
    <t>RAGUSSI</t>
  </si>
  <si>
    <t>Tanghindassouri</t>
  </si>
  <si>
    <t>Kiswendsida de Ouaga</t>
  </si>
  <si>
    <t>VENEGREWAYA</t>
  </si>
  <si>
    <t>Sakoula</t>
  </si>
  <si>
    <t>Bao-Manag-ré /URBAPK-COS</t>
  </si>
  <si>
    <t>Benkadi Shiriyi Nafa</t>
  </si>
  <si>
    <t>TEEL TAABA</t>
  </si>
  <si>
    <t>Benkadi Nayo</t>
  </si>
  <si>
    <t>Diebougou</t>
  </si>
  <si>
    <t>SIRIYI NAFA KA BON</t>
  </si>
  <si>
    <t>DJIGUIDEY</t>
  </si>
  <si>
    <t>COOPERATIVE DES PRODUCTRICES DE BEURRE DE KARITE de Manga</t>
  </si>
  <si>
    <t>ASSOCIATION POUR LES FEMMES DU KOURITENGA</t>
  </si>
  <si>
    <t>Nakaglezanga</t>
  </si>
  <si>
    <t>FAMDIMA</t>
  </si>
  <si>
    <t>LAMPIAGUI</t>
  </si>
  <si>
    <t>Wend Raabo</t>
  </si>
  <si>
    <t xml:space="preserve">BEIGNIN </t>
  </si>
  <si>
    <t>Zambo</t>
  </si>
  <si>
    <t xml:space="preserve">GNOWKAA </t>
  </si>
  <si>
    <t xml:space="preserve">IBELGNIN </t>
  </si>
  <si>
    <t>IGNIN de KANKAMPELE</t>
  </si>
  <si>
    <t xml:space="preserve">IGNIN DE SEGRO </t>
  </si>
  <si>
    <t xml:space="preserve">IGNIN de TAMPLA V1 </t>
  </si>
  <si>
    <t xml:space="preserve">KONEBERE </t>
  </si>
  <si>
    <t>LAW-ZI-YER DIEBOUGOU</t>
  </si>
  <si>
    <t xml:space="preserve">MALIGNELE DE MOLO </t>
  </si>
  <si>
    <t>Relwende de Menega-Passambiri</t>
  </si>
  <si>
    <t>KOKOLOGHO</t>
  </si>
  <si>
    <t xml:space="preserve">POGBE LAONTAA </t>
  </si>
  <si>
    <t>POGBE FATAA</t>
  </si>
  <si>
    <t>Relwende de Imasgo</t>
  </si>
  <si>
    <t>Imasgo</t>
  </si>
  <si>
    <t>Songof'too</t>
  </si>
  <si>
    <t xml:space="preserve">TCHAMBIERE </t>
  </si>
  <si>
    <t xml:space="preserve">TIETA </t>
  </si>
  <si>
    <t>Timbuaaba</t>
  </si>
  <si>
    <t>Diapangou</t>
  </si>
  <si>
    <t>TI-MI-PAN-ZAWNA DISSIN</t>
  </si>
  <si>
    <t>Dissin</t>
  </si>
  <si>
    <t xml:space="preserve">TOAYINKAN DE LAOGNIN KANKANPELE </t>
  </si>
  <si>
    <t>Yijougnin de Kamedji</t>
  </si>
  <si>
    <t xml:space="preserve">ZEOMIN DE SEGRO </t>
  </si>
  <si>
    <t>Nabonswendé des Veuves de Békuy</t>
  </si>
  <si>
    <t>Bekuy</t>
  </si>
  <si>
    <t>Wend Panga de Lahirasso</t>
  </si>
  <si>
    <t>Padema</t>
  </si>
  <si>
    <t>Nongtaaba laboumbou</t>
  </si>
  <si>
    <t>KOMSILGA</t>
  </si>
  <si>
    <t>Technoserve</t>
  </si>
  <si>
    <t>Teeltaaba de Komsilga</t>
  </si>
  <si>
    <t>Association Pingnooma</t>
  </si>
  <si>
    <t>BOUSSÉ</t>
  </si>
  <si>
    <t>Bissongo</t>
  </si>
  <si>
    <t>KOMBISSIRI</t>
  </si>
  <si>
    <t>Teeltaaba de Poa</t>
  </si>
  <si>
    <t>POA</t>
  </si>
  <si>
    <t>Nongtaaba</t>
  </si>
  <si>
    <t>Wenkieta</t>
  </si>
  <si>
    <t>Nyi Dwii Nyé</t>
  </si>
  <si>
    <t>Jintoua</t>
  </si>
  <si>
    <t>Kédoinigné de Ténado</t>
  </si>
  <si>
    <t>Kelaignien</t>
  </si>
  <si>
    <t>DASSA</t>
  </si>
  <si>
    <t>Yisokiené</t>
  </si>
  <si>
    <t>Benkadi de Sibi</t>
  </si>
  <si>
    <t>SIBI</t>
  </si>
  <si>
    <t>Zemstaaba</t>
  </si>
  <si>
    <t>RAMONGO</t>
  </si>
  <si>
    <t>Teegawendé de Pella/Tandaga</t>
  </si>
  <si>
    <t>PELLA</t>
  </si>
  <si>
    <t>Benkadi</t>
  </si>
  <si>
    <t>Delwendé</t>
  </si>
  <si>
    <t>Dwí-yē</t>
  </si>
  <si>
    <t>Tenado</t>
  </si>
  <si>
    <t>Kilounyē de Kwen</t>
  </si>
  <si>
    <t>Koudougou Secteur 10</t>
  </si>
  <si>
    <t>Nabonswendé</t>
  </si>
  <si>
    <t>Namanegbzanga</t>
  </si>
  <si>
    <t>nongtaaba</t>
  </si>
  <si>
    <t>Ourgou</t>
  </si>
  <si>
    <t>Passamyiri</t>
  </si>
  <si>
    <t>Pendwendé</t>
  </si>
  <si>
    <t>Rimtérèb-Som</t>
  </si>
  <si>
    <t>Songof'Too</t>
  </si>
  <si>
    <t>Kyon</t>
  </si>
  <si>
    <t>Sabou</t>
  </si>
  <si>
    <t>Konki ipala</t>
  </si>
  <si>
    <t>Adana</t>
  </si>
  <si>
    <t>Maimouna</t>
  </si>
  <si>
    <t>zida</t>
  </si>
  <si>
    <t>alizeta</t>
  </si>
  <si>
    <t>Tiendrebeogo/Kourabou</t>
  </si>
  <si>
    <t>A. Marie Élène Zara</t>
  </si>
  <si>
    <t>Ouedraogo</t>
  </si>
  <si>
    <t>Chantal</t>
  </si>
  <si>
    <t>Benao</t>
  </si>
  <si>
    <t>Kapebie</t>
  </si>
  <si>
    <t>Rouamba</t>
  </si>
  <si>
    <t>Jean Christophe</t>
  </si>
  <si>
    <t>Waida</t>
  </si>
  <si>
    <t>Alimata</t>
  </si>
  <si>
    <t>Segda /Yanna</t>
  </si>
  <si>
    <t>Viviane</t>
  </si>
  <si>
    <t>ouedraogo</t>
  </si>
  <si>
    <t>Matthias</t>
  </si>
  <si>
    <t>nebie</t>
  </si>
  <si>
    <t>kalwan</t>
  </si>
  <si>
    <t>KABORE</t>
  </si>
  <si>
    <t>BIBATA</t>
  </si>
  <si>
    <t>Paré</t>
  </si>
  <si>
    <t>Sanata</t>
  </si>
  <si>
    <t>Tiébo</t>
  </si>
  <si>
    <t>Alizeta</t>
  </si>
  <si>
    <t>koussoubé</t>
  </si>
  <si>
    <t>adjaratou</t>
  </si>
  <si>
    <t>Drabo</t>
  </si>
  <si>
    <t>Alira</t>
  </si>
  <si>
    <t>SANA</t>
  </si>
  <si>
    <t>Salimata</t>
  </si>
  <si>
    <t>yéyé</t>
  </si>
  <si>
    <t>bè</t>
  </si>
  <si>
    <t>Karambiri</t>
  </si>
  <si>
    <t>Bintou</t>
  </si>
  <si>
    <t>Zida</t>
  </si>
  <si>
    <t>Awa</t>
  </si>
  <si>
    <t>GAMPOKO</t>
  </si>
  <si>
    <t>Sarambé</t>
  </si>
  <si>
    <t>Alima</t>
  </si>
  <si>
    <t>BATIOBO/ZAMANEJ</t>
  </si>
  <si>
    <t>Hortense</t>
  </si>
  <si>
    <t>ALIMATA</t>
  </si>
  <si>
    <t>Traoré</t>
  </si>
  <si>
    <t>Mariam</t>
  </si>
  <si>
    <t>TOE</t>
  </si>
  <si>
    <t>NATALIE</t>
  </si>
  <si>
    <t>KABORÉ</t>
  </si>
  <si>
    <t>Martine</t>
  </si>
  <si>
    <t>KY</t>
  </si>
  <si>
    <t>Thérèse</t>
  </si>
  <si>
    <t>ESSIE</t>
  </si>
  <si>
    <t>Bernadette</t>
  </si>
  <si>
    <t>Zoungrana</t>
  </si>
  <si>
    <t>JUSTINE</t>
  </si>
  <si>
    <t>ouédraogo</t>
  </si>
  <si>
    <t>Sibiri Hamidou</t>
  </si>
  <si>
    <t>kambou</t>
  </si>
  <si>
    <t>bébé</t>
  </si>
  <si>
    <t>Wangrawa</t>
  </si>
  <si>
    <t>Véronique</t>
  </si>
  <si>
    <t>kagambega</t>
  </si>
  <si>
    <t>jeanne</t>
  </si>
  <si>
    <t>sandwidi</t>
  </si>
  <si>
    <t>BonKoungou</t>
  </si>
  <si>
    <t>rabenewende</t>
  </si>
  <si>
    <t>Congo</t>
  </si>
  <si>
    <t>adissa</t>
  </si>
  <si>
    <t>Abdoulaye</t>
  </si>
  <si>
    <t>76525082 / 70632764</t>
  </si>
  <si>
    <t>OUEDRAOGO</t>
  </si>
  <si>
    <t>CATHERINE</t>
  </si>
  <si>
    <t>Nion</t>
  </si>
  <si>
    <t>kalira</t>
  </si>
  <si>
    <t>Dombo</t>
  </si>
  <si>
    <t>Clementine Y</t>
  </si>
  <si>
    <t>sanou</t>
  </si>
  <si>
    <t>badja</t>
  </si>
  <si>
    <t>OUÉDRAOGO / SORE</t>
  </si>
  <si>
    <t>Aissata</t>
  </si>
  <si>
    <t>Lankoandé</t>
  </si>
  <si>
    <t>Lamoussa</t>
  </si>
  <si>
    <t>Tiendrébeogo</t>
  </si>
  <si>
    <t>Mabinia Georgette</t>
  </si>
  <si>
    <t>Bamogo</t>
  </si>
  <si>
    <t>rachelle</t>
  </si>
  <si>
    <t>Nacro</t>
  </si>
  <si>
    <t>Fati</t>
  </si>
  <si>
    <t>Bamouni / Yameogo</t>
  </si>
  <si>
    <t>Pascaline</t>
  </si>
  <si>
    <t>Dah</t>
  </si>
  <si>
    <t>Diemi</t>
  </si>
  <si>
    <t>KARAMBIRI</t>
  </si>
  <si>
    <t>Marie</t>
  </si>
  <si>
    <t>Nikiema</t>
  </si>
  <si>
    <t>Sandrine</t>
  </si>
  <si>
    <t>PARE</t>
  </si>
  <si>
    <t>Souma véronique</t>
  </si>
  <si>
    <t>Kanyélé</t>
  </si>
  <si>
    <t>Edoa</t>
  </si>
  <si>
    <t>KI</t>
  </si>
  <si>
    <t>kaya</t>
  </si>
  <si>
    <t>Maïmouna</t>
  </si>
  <si>
    <t>Boua</t>
  </si>
  <si>
    <t>Ramatou</t>
  </si>
  <si>
    <t>KANDO</t>
  </si>
  <si>
    <t>Albertine</t>
  </si>
  <si>
    <t>Yameogo Zoma</t>
  </si>
  <si>
    <t>Rosine</t>
  </si>
  <si>
    <t>Catherine</t>
  </si>
  <si>
    <t>Ouedraogo / Zoungrana</t>
  </si>
  <si>
    <t>Marina</t>
  </si>
  <si>
    <t>kouti</t>
  </si>
  <si>
    <t>koama</t>
  </si>
  <si>
    <t>limata</t>
  </si>
  <si>
    <t>Sombré</t>
  </si>
  <si>
    <t>Elise</t>
  </si>
  <si>
    <t>sepama</t>
  </si>
  <si>
    <t>tani</t>
  </si>
  <si>
    <t>Tamalgo Bibata</t>
  </si>
  <si>
    <t>Katio</t>
  </si>
  <si>
    <t>Soré</t>
  </si>
  <si>
    <t>Lassé</t>
  </si>
  <si>
    <t>Pakodé</t>
  </si>
  <si>
    <t>zana Fati</t>
  </si>
  <si>
    <t>Gansonré</t>
  </si>
  <si>
    <t>Fatimata</t>
  </si>
  <si>
    <t>Hien</t>
  </si>
  <si>
    <t>ba tiene</t>
  </si>
  <si>
    <t>sawadogo</t>
  </si>
  <si>
    <t>bintou</t>
  </si>
  <si>
    <t>Kaboré</t>
  </si>
  <si>
    <t>Dabire nee Poda</t>
  </si>
  <si>
    <t>Claire</t>
  </si>
  <si>
    <t>SOME</t>
  </si>
  <si>
    <t>marie africa</t>
  </si>
  <si>
    <t>Agnés</t>
  </si>
  <si>
    <t>Konaté</t>
  </si>
  <si>
    <t>Mardiata</t>
  </si>
  <si>
    <t>Pale</t>
  </si>
  <si>
    <t>Niekerkele</t>
  </si>
  <si>
    <t>Nabi</t>
  </si>
  <si>
    <t>Poda</t>
  </si>
  <si>
    <t>Fatima</t>
  </si>
  <si>
    <t>Koîta</t>
  </si>
  <si>
    <t>Djata</t>
  </si>
  <si>
    <t>Somda</t>
  </si>
  <si>
    <t>N Jeanne</t>
  </si>
  <si>
    <t>Sawadogo</t>
  </si>
  <si>
    <t>Momo</t>
  </si>
  <si>
    <t>Denise</t>
  </si>
  <si>
    <t>Bamba</t>
  </si>
  <si>
    <t>biba</t>
  </si>
  <si>
    <t>Agnès</t>
  </si>
  <si>
    <t>Celestine</t>
  </si>
  <si>
    <t>DAH</t>
  </si>
  <si>
    <t>LUCIE</t>
  </si>
  <si>
    <t>FARMA</t>
  </si>
  <si>
    <t>DANIEL</t>
  </si>
  <si>
    <t>Lompo</t>
  </si>
  <si>
    <t>Wambo</t>
  </si>
  <si>
    <t>TRAORE</t>
  </si>
  <si>
    <t>TABAKALI</t>
  </si>
  <si>
    <t>Zabsonré / Lompo</t>
  </si>
  <si>
    <t>Marguerite</t>
  </si>
  <si>
    <t>KAMBOU</t>
  </si>
  <si>
    <t>YERI</t>
  </si>
  <si>
    <t>BAMBA</t>
  </si>
  <si>
    <t>HABIDJATA</t>
  </si>
  <si>
    <t>D SALIMENTA</t>
  </si>
  <si>
    <t>congo</t>
  </si>
  <si>
    <t>habibou</t>
  </si>
  <si>
    <t>Somé</t>
  </si>
  <si>
    <t>Sybni</t>
  </si>
  <si>
    <t>Nassera/Idogo</t>
  </si>
  <si>
    <t>Asseta</t>
  </si>
  <si>
    <t>Sanon</t>
  </si>
  <si>
    <t>Bissi</t>
  </si>
  <si>
    <t>Pouan</t>
  </si>
  <si>
    <t>N'ma</t>
  </si>
  <si>
    <t>Tiono</t>
  </si>
  <si>
    <t>Rosalie</t>
  </si>
  <si>
    <t>Gbangou</t>
  </si>
  <si>
    <t>Kandolo</t>
  </si>
  <si>
    <t>zongo</t>
  </si>
  <si>
    <t>palingwendé</t>
  </si>
  <si>
    <t>DEMBELE</t>
  </si>
  <si>
    <t>AGNÈS</t>
  </si>
  <si>
    <t>Yameogo</t>
  </si>
  <si>
    <t>Helène</t>
  </si>
  <si>
    <t>Monique</t>
  </si>
  <si>
    <t>MINOUNGOU</t>
  </si>
  <si>
    <t>bila</t>
  </si>
  <si>
    <t>KANKO</t>
  </si>
  <si>
    <t>Sylvie</t>
  </si>
  <si>
    <t>Bazié</t>
  </si>
  <si>
    <t>Geneviève</t>
  </si>
  <si>
    <t>Kankouan</t>
  </si>
  <si>
    <t>Edo Pascaline</t>
  </si>
  <si>
    <t>Dramé</t>
  </si>
  <si>
    <t>Kadiatou</t>
  </si>
  <si>
    <t>kanko</t>
  </si>
  <si>
    <t>fatimata</t>
  </si>
  <si>
    <t>Kando</t>
  </si>
  <si>
    <t>Eguiné</t>
  </si>
  <si>
    <t>KANKOUAN</t>
  </si>
  <si>
    <t>Maimounata</t>
  </si>
  <si>
    <t>KANDOLO</t>
  </si>
  <si>
    <t>Eyembié</t>
  </si>
  <si>
    <t>KANSANE</t>
  </si>
  <si>
    <t>Jeanne</t>
  </si>
  <si>
    <t>Kanko</t>
  </si>
  <si>
    <t>Ezomboué</t>
  </si>
  <si>
    <t>Sita Rachelle</t>
  </si>
  <si>
    <t>KINDA</t>
  </si>
  <si>
    <t>Ramata</t>
  </si>
  <si>
    <t>MAIGA</t>
  </si>
  <si>
    <t>Djeneba</t>
  </si>
  <si>
    <t>Porgo</t>
  </si>
  <si>
    <t>Abibou</t>
  </si>
  <si>
    <t>WIBIGA</t>
  </si>
  <si>
    <t>Fatimata Bintou</t>
  </si>
  <si>
    <t>KONATE</t>
  </si>
  <si>
    <t>SEREME</t>
  </si>
  <si>
    <t>Adjara</t>
  </si>
  <si>
    <t>KANTORO</t>
  </si>
  <si>
    <t>Eya</t>
  </si>
  <si>
    <t>Zenabou</t>
  </si>
  <si>
    <t>Ezilbié</t>
  </si>
  <si>
    <t>yonaba</t>
  </si>
  <si>
    <t>assana</t>
  </si>
  <si>
    <t>Bakouin</t>
  </si>
  <si>
    <t>Zabsonré</t>
  </si>
  <si>
    <t>Salamata</t>
  </si>
  <si>
    <t>Kouraogo</t>
  </si>
  <si>
    <t>Marceline</t>
  </si>
  <si>
    <t>Angeles</t>
  </si>
  <si>
    <t>DAKANE</t>
  </si>
  <si>
    <t>EZOIN</t>
  </si>
  <si>
    <t>Sougué</t>
  </si>
  <si>
    <t>DIANDA</t>
  </si>
  <si>
    <t>Habibou</t>
  </si>
  <si>
    <t>Bonkoungou</t>
  </si>
  <si>
    <t>SORO</t>
  </si>
  <si>
    <t>Haguiratou</t>
  </si>
  <si>
    <t>SAWADOGO</t>
  </si>
  <si>
    <t>Kadidjatou</t>
  </si>
  <si>
    <t>Compaoré</t>
  </si>
  <si>
    <t>Perpetue</t>
  </si>
  <si>
    <t>Nignan</t>
  </si>
  <si>
    <t>Arzouma</t>
  </si>
  <si>
    <t>lizeta</t>
  </si>
  <si>
    <t>NABALOUM</t>
  </si>
  <si>
    <t>combari</t>
  </si>
  <si>
    <t>denise</t>
  </si>
  <si>
    <t>KOUGOUINDIGA</t>
  </si>
  <si>
    <t>viviane</t>
  </si>
  <si>
    <t>salif</t>
  </si>
  <si>
    <t>Gompoko Rosalie</t>
  </si>
  <si>
    <t>suzanne</t>
  </si>
  <si>
    <t>Alizeta P.</t>
  </si>
  <si>
    <t>Kambou</t>
  </si>
  <si>
    <t>Sike</t>
  </si>
  <si>
    <t>Aminata</t>
  </si>
  <si>
    <t>W.Solange</t>
  </si>
  <si>
    <t>koumbou</t>
  </si>
  <si>
    <t>rabelgma</t>
  </si>
  <si>
    <t>Kayatou</t>
  </si>
  <si>
    <t>segda</t>
  </si>
  <si>
    <t>zenabou</t>
  </si>
  <si>
    <t>Onadja</t>
  </si>
  <si>
    <t>Talari</t>
  </si>
  <si>
    <t>Namoano</t>
  </si>
  <si>
    <t>Jacqueline</t>
  </si>
  <si>
    <t>Clémentine</t>
  </si>
  <si>
    <t>LAWA</t>
  </si>
  <si>
    <t>SIB INI</t>
  </si>
  <si>
    <t>ANICK</t>
  </si>
  <si>
    <t>HIEN</t>
  </si>
  <si>
    <t>Nagalo</t>
  </si>
  <si>
    <t>Abia</t>
  </si>
  <si>
    <t>Palenfo</t>
  </si>
  <si>
    <t>tetoumare</t>
  </si>
  <si>
    <t>OUMAROU</t>
  </si>
  <si>
    <t>Alinterre</t>
  </si>
  <si>
    <t>compaore</t>
  </si>
  <si>
    <t>mama</t>
  </si>
  <si>
    <t>TARABOR</t>
  </si>
  <si>
    <t>da</t>
  </si>
  <si>
    <t>sossere</t>
  </si>
  <si>
    <t>AWA</t>
  </si>
  <si>
    <t>SIENOU</t>
  </si>
  <si>
    <t>ZALISSA</t>
  </si>
  <si>
    <t>ALINTERRE</t>
  </si>
  <si>
    <t>NOUFE</t>
  </si>
  <si>
    <t>DIALLO</t>
  </si>
  <si>
    <t>ABIBATA</t>
  </si>
  <si>
    <t>Coulibaly</t>
  </si>
  <si>
    <t>Assita</t>
  </si>
  <si>
    <t>YELI</t>
  </si>
  <si>
    <t>adama</t>
  </si>
  <si>
    <t>Ziba</t>
  </si>
  <si>
    <t>lady</t>
  </si>
  <si>
    <t>Dioné</t>
  </si>
  <si>
    <t>Boyona</t>
  </si>
  <si>
    <t>Korotimi</t>
  </si>
  <si>
    <t>onadja</t>
  </si>
  <si>
    <t>oumpani</t>
  </si>
  <si>
    <t>ouatta</t>
  </si>
  <si>
    <t>madjara</t>
  </si>
  <si>
    <t>Assana</t>
  </si>
  <si>
    <t>ouedraogo/kara</t>
  </si>
  <si>
    <t>debordé odile</t>
  </si>
  <si>
    <t>Sidibé</t>
  </si>
  <si>
    <t>Bohi</t>
  </si>
  <si>
    <t>Ouattara</t>
  </si>
  <si>
    <t>djata</t>
  </si>
  <si>
    <t>TARNAGDA</t>
  </si>
  <si>
    <t>SALAMATOU</t>
  </si>
  <si>
    <t>SANDWIDI</t>
  </si>
  <si>
    <t>Limata</t>
  </si>
  <si>
    <t>sanata</t>
  </si>
  <si>
    <t>SORGHO</t>
  </si>
  <si>
    <t>HABIBOU</t>
  </si>
  <si>
    <t>DABRE</t>
  </si>
  <si>
    <t>maimouna</t>
  </si>
  <si>
    <t>dahani</t>
  </si>
  <si>
    <t>adizza</t>
  </si>
  <si>
    <t>KOLOGO</t>
  </si>
  <si>
    <t>Safiatou</t>
  </si>
  <si>
    <t>OUILI</t>
  </si>
  <si>
    <t>Bewoulgou</t>
  </si>
  <si>
    <t>lamien</t>
  </si>
  <si>
    <t>Idani</t>
  </si>
  <si>
    <t>Kabore</t>
  </si>
  <si>
    <t>Fany</t>
  </si>
  <si>
    <t>Bandaogo</t>
  </si>
  <si>
    <t>Assetou</t>
  </si>
  <si>
    <t>Nana</t>
  </si>
  <si>
    <t>Sita</t>
  </si>
  <si>
    <t>catherine</t>
  </si>
  <si>
    <t>Lingani</t>
  </si>
  <si>
    <t>Bansé</t>
  </si>
  <si>
    <t>Oubda</t>
  </si>
  <si>
    <t>Mady</t>
  </si>
  <si>
    <t>Marthe</t>
  </si>
  <si>
    <t>Zeba</t>
  </si>
  <si>
    <t>Guira</t>
  </si>
  <si>
    <t>Tenin</t>
  </si>
  <si>
    <t>Lamien</t>
  </si>
  <si>
    <t>B.Korotimi</t>
  </si>
  <si>
    <t>GUISSOU</t>
  </si>
  <si>
    <t>Solange</t>
  </si>
  <si>
    <t>Djara</t>
  </si>
  <si>
    <t>Fatoumata</t>
  </si>
  <si>
    <t>Rasmata</t>
  </si>
  <si>
    <t>Kone</t>
  </si>
  <si>
    <t>Kaboré TIEMTORÉ</t>
  </si>
  <si>
    <t>GANSORE</t>
  </si>
  <si>
    <t>Leontine</t>
  </si>
  <si>
    <t>Korgo</t>
  </si>
  <si>
    <t>Damiba</t>
  </si>
  <si>
    <t>simpore</t>
  </si>
  <si>
    <t>Haoua</t>
  </si>
  <si>
    <t>Zidwemba</t>
  </si>
  <si>
    <t>Delphine</t>
  </si>
  <si>
    <t>Ilboudo</t>
  </si>
  <si>
    <t>Godo</t>
  </si>
  <si>
    <t>salamata</t>
  </si>
  <si>
    <t>wampoko</t>
  </si>
  <si>
    <t>Sana</t>
  </si>
  <si>
    <t>alice</t>
  </si>
  <si>
    <t>Balima</t>
  </si>
  <si>
    <t>Odile</t>
  </si>
  <si>
    <t>Kéré</t>
  </si>
  <si>
    <t>Marita</t>
  </si>
  <si>
    <t>Thérère</t>
  </si>
  <si>
    <t>YAMEOGO</t>
  </si>
  <si>
    <t>T. Rosalie</t>
  </si>
  <si>
    <t>NASSA</t>
  </si>
  <si>
    <t>KANYILI</t>
  </si>
  <si>
    <t>Ekié Kétié</t>
  </si>
  <si>
    <t>bilogo</t>
  </si>
  <si>
    <t>rasmata</t>
  </si>
  <si>
    <t>Mone</t>
  </si>
  <si>
    <t>F.Bernadette</t>
  </si>
  <si>
    <t>dion</t>
  </si>
  <si>
    <t>oumar</t>
  </si>
  <si>
    <t>saho</t>
  </si>
  <si>
    <t>marie anne</t>
  </si>
  <si>
    <t>Koumaré</t>
  </si>
  <si>
    <t>Adissa</t>
  </si>
  <si>
    <t>traoré</t>
  </si>
  <si>
    <t>Berthe</t>
  </si>
  <si>
    <t>Tionou</t>
  </si>
  <si>
    <t>djeneba</t>
  </si>
  <si>
    <t>Toni</t>
  </si>
  <si>
    <t>Ester</t>
  </si>
  <si>
    <t>awa</t>
  </si>
  <si>
    <t>Dabiré</t>
  </si>
  <si>
    <t>Mabodjo</t>
  </si>
  <si>
    <t>YELEMOU/PARE</t>
  </si>
  <si>
    <t>CHRISTINE</t>
  </si>
  <si>
    <t>Dihia</t>
  </si>
  <si>
    <t>Noelie</t>
  </si>
  <si>
    <t>NACRO</t>
  </si>
  <si>
    <t>Karidja</t>
  </si>
  <si>
    <t>Gnanou</t>
  </si>
  <si>
    <t>minata</t>
  </si>
  <si>
    <t>Dakio</t>
  </si>
  <si>
    <t>justine</t>
  </si>
  <si>
    <t>Neya</t>
  </si>
  <si>
    <t>Ouoba Lompo</t>
  </si>
  <si>
    <t>Magloire Nonguierma</t>
  </si>
  <si>
    <t>BADO</t>
  </si>
  <si>
    <t>Germaine</t>
  </si>
  <si>
    <t>72714340 / 54249712</t>
  </si>
  <si>
    <t>KANZIE</t>
  </si>
  <si>
    <t>Edama</t>
  </si>
  <si>
    <t>Kanara</t>
  </si>
  <si>
    <t>Piado Odette</t>
  </si>
  <si>
    <t>Damata</t>
  </si>
  <si>
    <t>BATIONO</t>
  </si>
  <si>
    <t>Roseline</t>
  </si>
  <si>
    <t>76 55 35 98</t>
  </si>
  <si>
    <t>Traore</t>
  </si>
  <si>
    <t>Ténin</t>
  </si>
  <si>
    <t>Tinta</t>
  </si>
  <si>
    <t>Djakale</t>
  </si>
  <si>
    <t>Millogo</t>
  </si>
  <si>
    <t>Some / Dabire</t>
  </si>
  <si>
    <t>CHANTALE</t>
  </si>
  <si>
    <t>Abzeta</t>
  </si>
  <si>
    <t>PODA</t>
  </si>
  <si>
    <t>Tiemtarboum</t>
  </si>
  <si>
    <t>Henriette</t>
  </si>
  <si>
    <t>Tamboura</t>
  </si>
  <si>
    <t>Kansané</t>
  </si>
  <si>
    <t>Bahione N</t>
  </si>
  <si>
    <t>NONGUIERMA</t>
  </si>
  <si>
    <t>AMBROISE</t>
  </si>
  <si>
    <t>NANA</t>
  </si>
  <si>
    <t>Angeline</t>
  </si>
  <si>
    <t>ZEBA</t>
  </si>
  <si>
    <t>Lady</t>
  </si>
  <si>
    <t>Suzanne</t>
  </si>
  <si>
    <t>OUELE</t>
  </si>
  <si>
    <t>K Léontine</t>
  </si>
  <si>
    <t>BILGO</t>
  </si>
  <si>
    <t>Eveline</t>
  </si>
  <si>
    <t>DENISE</t>
  </si>
  <si>
    <t>77406239 / 70231650</t>
  </si>
  <si>
    <t>FATIMATA</t>
  </si>
  <si>
    <t>DIALLO / OUEDRAOGO</t>
  </si>
  <si>
    <t>CAROLINE</t>
  </si>
  <si>
    <t>SOPHIE</t>
  </si>
  <si>
    <t>71569640
70232952</t>
  </si>
  <si>
    <t>JOSEPHINE</t>
  </si>
  <si>
    <t>Zoungrana ZOMA</t>
  </si>
  <si>
    <t>MONIQUE</t>
  </si>
  <si>
    <t>DRABO</t>
  </si>
  <si>
    <t>Yvonne</t>
  </si>
  <si>
    <t>Cecile</t>
  </si>
  <si>
    <t>70382271 / 78353320</t>
  </si>
  <si>
    <t>COULIBALY</t>
  </si>
  <si>
    <t>AGATHE</t>
  </si>
  <si>
    <t>Ragnimwendé</t>
  </si>
  <si>
    <t>Pouya</t>
  </si>
  <si>
    <t>Blanche</t>
  </si>
  <si>
    <t>Tougma</t>
  </si>
  <si>
    <t>Josiane</t>
  </si>
  <si>
    <t>YANABA</t>
  </si>
  <si>
    <t>LOMPO</t>
  </si>
  <si>
    <t>YOUMANLI</t>
  </si>
  <si>
    <t>Cécile</t>
  </si>
  <si>
    <t>MEDA</t>
  </si>
  <si>
    <t>EDITH</t>
  </si>
  <si>
    <t>71 34 65 13</t>
  </si>
  <si>
    <t>PODA/KAMBIRE</t>
  </si>
  <si>
    <t>MARIE SIMONE</t>
  </si>
  <si>
    <t>70 27 29 42</t>
  </si>
  <si>
    <t>ODILE</t>
  </si>
  <si>
    <t>72 10 93 67</t>
  </si>
  <si>
    <t>SOMDA</t>
  </si>
  <si>
    <t>AMBETIERE</t>
  </si>
  <si>
    <t>71 28 64 32</t>
  </si>
  <si>
    <t>MALHIRE</t>
  </si>
  <si>
    <t>58 08 09 71</t>
  </si>
  <si>
    <t>YAA</t>
  </si>
  <si>
    <t>60 79 97 14</t>
  </si>
  <si>
    <t>KOUN-HION</t>
  </si>
  <si>
    <t>60 34 90 73</t>
  </si>
  <si>
    <t>MARCELINA</t>
  </si>
  <si>
    <t>78 20 22 72</t>
  </si>
  <si>
    <t>GISELE</t>
  </si>
  <si>
    <t>52 18 82 98</t>
  </si>
  <si>
    <t>Felicité</t>
  </si>
  <si>
    <t>Kalago</t>
  </si>
  <si>
    <t>ZOROKUI</t>
  </si>
  <si>
    <t>63 00 44 50</t>
  </si>
  <si>
    <t>DABIRE</t>
  </si>
  <si>
    <t>FIDELIA</t>
  </si>
  <si>
    <t>62 64 83 26</t>
  </si>
  <si>
    <t>Guissou</t>
  </si>
  <si>
    <t>SAMION</t>
  </si>
  <si>
    <t>61 98 92 06</t>
  </si>
  <si>
    <t>DIANYELE</t>
  </si>
  <si>
    <t>72 58 95 36</t>
  </si>
  <si>
    <t>Wambo Natama</t>
  </si>
  <si>
    <t>AUGUSTINE</t>
  </si>
  <si>
    <t>72 49 09 16</t>
  </si>
  <si>
    <t>SANBEKA</t>
  </si>
  <si>
    <t>60 08 52 40</t>
  </si>
  <si>
    <t>BASSON / KAMA</t>
  </si>
  <si>
    <t>Madeleine</t>
  </si>
  <si>
    <t>KAMBIRE</t>
  </si>
  <si>
    <t>ALICE</t>
  </si>
  <si>
    <t>61 95 52 16</t>
  </si>
  <si>
    <t>Ouedraogo Aissata</t>
  </si>
  <si>
    <t>Porgho</t>
  </si>
  <si>
    <t>Centre-sud</t>
  </si>
  <si>
    <t>Nahouri</t>
  </si>
  <si>
    <t>Nord</t>
  </si>
  <si>
    <t>Passoré</t>
  </si>
  <si>
    <t>Gompossom</t>
  </si>
  <si>
    <t>Plateau Central</t>
  </si>
  <si>
    <t>Oubritenga</t>
  </si>
  <si>
    <t>Centre-ouest</t>
  </si>
  <si>
    <t>Ziro</t>
  </si>
  <si>
    <t>Bazega</t>
  </si>
  <si>
    <t>Centre-est</t>
  </si>
  <si>
    <t>Koulpélogo</t>
  </si>
  <si>
    <t>Koulpelogo</t>
  </si>
  <si>
    <t>Sanga</t>
  </si>
  <si>
    <t>Ganzourgou</t>
  </si>
  <si>
    <t>Boucle Mouhoun</t>
  </si>
  <si>
    <t>Sourou</t>
  </si>
  <si>
    <t>Balés</t>
  </si>
  <si>
    <t>Kossi</t>
  </si>
  <si>
    <t>Banwa</t>
  </si>
  <si>
    <t>Centre</t>
  </si>
  <si>
    <t>Nayala</t>
  </si>
  <si>
    <t>Kadiogo</t>
  </si>
  <si>
    <t>Sanguié</t>
  </si>
  <si>
    <t>Boulkiemde</t>
  </si>
  <si>
    <t>Tanlili</t>
  </si>
  <si>
    <t>Sud ouest</t>
  </si>
  <si>
    <t>Bougouriba</t>
  </si>
  <si>
    <t>Boulkiemdé</t>
  </si>
  <si>
    <t>Zoundwéogo</t>
  </si>
  <si>
    <t>Boura</t>
  </si>
  <si>
    <t>Hauts-Bassins</t>
  </si>
  <si>
    <t>Houet</t>
  </si>
  <si>
    <t>Centre-Sud</t>
  </si>
  <si>
    <t>Est</t>
  </si>
  <si>
    <t>Gnagna</t>
  </si>
  <si>
    <t>Zoundweogo</t>
  </si>
  <si>
    <t>Sissili</t>
  </si>
  <si>
    <t>Tiogo</t>
  </si>
  <si>
    <t>Poni</t>
  </si>
  <si>
    <t>Zondoma</t>
  </si>
  <si>
    <t>Massako</t>
  </si>
  <si>
    <t>Sanguie</t>
  </si>
  <si>
    <t>Hauts Bassins</t>
  </si>
  <si>
    <t>Centre-Ouest</t>
  </si>
  <si>
    <t>Gourma</t>
  </si>
  <si>
    <t>Komandjari</t>
  </si>
  <si>
    <t>Centre-nord</t>
  </si>
  <si>
    <t>Sanmatenga</t>
  </si>
  <si>
    <t>Kourweogo</t>
  </si>
  <si>
    <t>Niamba</t>
  </si>
  <si>
    <t>Ioba</t>
  </si>
  <si>
    <t>Noumbiel</t>
  </si>
  <si>
    <t>Mouhoun</t>
  </si>
  <si>
    <t>Secteur 3</t>
  </si>
  <si>
    <t>Secteur 1</t>
  </si>
  <si>
    <t>Cascades</t>
  </si>
  <si>
    <t>Léraba</t>
  </si>
  <si>
    <t>ZinGuédé</t>
  </si>
  <si>
    <t>Zakin / Secteur 3</t>
  </si>
  <si>
    <t>Centre est</t>
  </si>
  <si>
    <t>Boulgou</t>
  </si>
  <si>
    <t>Kwen</t>
  </si>
  <si>
    <t>Mogueya</t>
  </si>
  <si>
    <t>Goumi</t>
  </si>
  <si>
    <t>Divolet</t>
  </si>
  <si>
    <t>Ladiou</t>
  </si>
  <si>
    <t>Tonton</t>
  </si>
  <si>
    <t>Yierdion</t>
  </si>
  <si>
    <t>Mousseo</t>
  </si>
  <si>
    <t>Balavé</t>
  </si>
  <si>
    <t>Kenedougou</t>
  </si>
  <si>
    <t>Bouldie, Sodjir 1</t>
  </si>
  <si>
    <t>Goko</t>
  </si>
  <si>
    <t>Kompienga</t>
  </si>
  <si>
    <t>Kouritenga</t>
  </si>
  <si>
    <t>Zondona</t>
  </si>
  <si>
    <t>Passore</t>
  </si>
  <si>
    <t>Zongoma</t>
  </si>
  <si>
    <t>Namentenga</t>
  </si>
  <si>
    <t>Secteur 5</t>
  </si>
  <si>
    <t>Tuy</t>
  </si>
  <si>
    <t>Batie</t>
  </si>
  <si>
    <t>Nanfor</t>
  </si>
  <si>
    <t>Kénédougou</t>
  </si>
  <si>
    <t>Comoe</t>
  </si>
  <si>
    <t>Tapoa</t>
  </si>
  <si>
    <t>Zigla Poulasse</t>
  </si>
  <si>
    <t>Fara</t>
  </si>
  <si>
    <t>Dabare</t>
  </si>
  <si>
    <t>Kandaaga</t>
  </si>
  <si>
    <t>mane</t>
  </si>
  <si>
    <t>Goaga</t>
  </si>
  <si>
    <t>Nandelia</t>
  </si>
  <si>
    <t>Loukoura</t>
  </si>
  <si>
    <t>Vigué</t>
  </si>
  <si>
    <t>Mouzomou</t>
  </si>
  <si>
    <t>Ziladir</t>
  </si>
  <si>
    <t>Nigiolo Toumou</t>
  </si>
  <si>
    <t>Nigiolo</t>
  </si>
  <si>
    <t>Yeguere</t>
  </si>
  <si>
    <t>BOBO-DIOULASSO</t>
  </si>
  <si>
    <t>Dande</t>
  </si>
  <si>
    <t>Leraba</t>
  </si>
  <si>
    <t>Tourni</t>
  </si>
  <si>
    <t>Indini</t>
  </si>
  <si>
    <t>Hautes Bassins</t>
  </si>
  <si>
    <t>Comoé</t>
  </si>
  <si>
    <t>Reo</t>
  </si>
  <si>
    <t>Guy</t>
  </si>
  <si>
    <t>Guiloungou</t>
  </si>
  <si>
    <t>Centre sud</t>
  </si>
  <si>
    <t>Saabtenga</t>
  </si>
  <si>
    <t>Nagretenga</t>
  </si>
  <si>
    <t>Bazèga</t>
  </si>
  <si>
    <t>Tanghin</t>
  </si>
  <si>
    <t>Koulweoguin</t>
  </si>
  <si>
    <t>Sanematenga</t>
  </si>
  <si>
    <t>Kousisian</t>
  </si>
  <si>
    <t>Secteur 6</t>
  </si>
  <si>
    <t>Sogpelse</t>
  </si>
  <si>
    <t>Bawan</t>
  </si>
  <si>
    <t>Secteur 7</t>
  </si>
  <si>
    <t>Djipologo</t>
  </si>
  <si>
    <t>Kankampele</t>
  </si>
  <si>
    <t>Bontioli</t>
  </si>
  <si>
    <t>Tampla V1</t>
  </si>
  <si>
    <t>Bilbale</t>
  </si>
  <si>
    <t>Mologaone</t>
  </si>
  <si>
    <t>Menega-Passambiri</t>
  </si>
  <si>
    <t>Dombe</t>
  </si>
  <si>
    <t>Rana</t>
  </si>
  <si>
    <t>Secteur 2</t>
  </si>
  <si>
    <t>Kamedji</t>
  </si>
  <si>
    <t>Lahirasso</t>
  </si>
  <si>
    <t>Region</t>
  </si>
  <si>
    <t>Province</t>
  </si>
  <si>
    <t>Communes</t>
  </si>
  <si>
    <t>Village</t>
  </si>
  <si>
    <t>Secteur</t>
  </si>
  <si>
    <t>Input nr</t>
  </si>
  <si>
    <t>Enquêteurs</t>
  </si>
  <si>
    <t>Date enquête</t>
  </si>
  <si>
    <t>1. Nom groupement</t>
  </si>
  <si>
    <t>No. groupement</t>
  </si>
  <si>
    <t>Commune supposée</t>
  </si>
  <si>
    <t>2. Région</t>
  </si>
  <si>
    <t>2. Province</t>
  </si>
  <si>
    <t>2. Commune</t>
  </si>
  <si>
    <t>2. Village</t>
  </si>
  <si>
    <t>3. Distanc goudron km</t>
  </si>
  <si>
    <t>3. Diff d'accès</t>
  </si>
  <si>
    <t>4. Zone d'action</t>
  </si>
  <si>
    <t>5. Nom Présidente</t>
  </si>
  <si>
    <t>5. Prénom Présidente</t>
  </si>
  <si>
    <t>5. Tel Présidente</t>
  </si>
  <si>
    <t>5. Bureau</t>
  </si>
  <si>
    <t>5. Nb. personnes</t>
  </si>
  <si>
    <t>6. Statut groupt</t>
  </si>
  <si>
    <t>7. Année création</t>
  </si>
  <si>
    <t>7. Né comment?</t>
  </si>
  <si>
    <t>7. Changements</t>
  </si>
  <si>
    <t>8. Demande Coopérative</t>
  </si>
  <si>
    <t>8. Date demande</t>
  </si>
  <si>
    <t>8. Date obtention</t>
  </si>
  <si>
    <t>9. Nb. membres</t>
  </si>
  <si>
    <t>10. Registre</t>
  </si>
  <si>
    <t>11. Nb produits agric.</t>
  </si>
  <si>
    <t>11. Amandes</t>
  </si>
  <si>
    <t>11. Beurre</t>
  </si>
  <si>
    <t>11. Savon</t>
  </si>
  <si>
    <t>11. Pommade</t>
  </si>
  <si>
    <t>11. Autre</t>
  </si>
  <si>
    <t>12. 1ere annee beurre</t>
  </si>
  <si>
    <t>13. Fruits au siege</t>
  </si>
  <si>
    <t>13. Etapes groupe</t>
  </si>
  <si>
    <t>13. Collecte</t>
  </si>
  <si>
    <t>13. Dépulpage</t>
  </si>
  <si>
    <t xml:space="preserve"> 13. Ebouillantage </t>
  </si>
  <si>
    <t>13. Décorticage</t>
  </si>
  <si>
    <t>13. Séchage</t>
  </si>
  <si>
    <t>13. Stockage</t>
  </si>
  <si>
    <t>13. Transform beurre</t>
  </si>
  <si>
    <t>14. Ramassage</t>
  </si>
  <si>
    <t>14. Circonstances</t>
  </si>
  <si>
    <t>15. Cotisation</t>
  </si>
  <si>
    <t>15. Adhésion</t>
  </si>
  <si>
    <t>15. Pour quoi faire</t>
  </si>
  <si>
    <t>16. Bienfaits groupe</t>
  </si>
  <si>
    <t>17. Minimum</t>
  </si>
  <si>
    <t>17. Qté infer.</t>
  </si>
  <si>
    <t>17. Qté super.</t>
  </si>
  <si>
    <t>18. Activ Karikis 19</t>
  </si>
  <si>
    <t>18. Activ Karikis 18</t>
  </si>
  <si>
    <t>18. Activ Karikis 17</t>
  </si>
  <si>
    <t>19. Village 1 memb</t>
  </si>
  <si>
    <t>19. Village 2 memb</t>
  </si>
  <si>
    <t>19. Village 3 memb</t>
  </si>
  <si>
    <t>20. Cham/Jach Dist</t>
  </si>
  <si>
    <t>20. Brousse Dist</t>
  </si>
  <si>
    <t>20. Forêt Dist</t>
  </si>
  <si>
    <t xml:space="preserve"> 21. ChampJac Transp</t>
  </si>
  <si>
    <t>21. Brousse Transp</t>
  </si>
  <si>
    <t>21. Forêt Transp</t>
  </si>
  <si>
    <t>22. Zone sécurisée</t>
  </si>
  <si>
    <t>22. Par qui?</t>
  </si>
  <si>
    <t>22. Pour qui?</t>
  </si>
  <si>
    <t>23.Jeunes ramassent</t>
  </si>
  <si>
    <t>24. Hom ramassent</t>
  </si>
  <si>
    <t>24. Prop partagée</t>
  </si>
  <si>
    <t>25. Droit collecte</t>
  </si>
  <si>
    <t>26. Nom Zone d'abond</t>
  </si>
  <si>
    <t>26. Conflits</t>
  </si>
  <si>
    <t>26. Résolution</t>
  </si>
  <si>
    <t>27. Achat non-membres</t>
  </si>
  <si>
    <t>27. Produit acheté</t>
  </si>
  <si>
    <t>27. Type non-memb</t>
  </si>
  <si>
    <t>27. Noms villages</t>
  </si>
  <si>
    <t>28. Noix vendues 17</t>
  </si>
  <si>
    <t>28. Noix vendues 18</t>
  </si>
  <si>
    <t>29.Noix vendues 19</t>
  </si>
  <si>
    <t>30. Amand vendu 17</t>
  </si>
  <si>
    <t>30. Amand vendu 18</t>
  </si>
  <si>
    <t>31. Amand vend 19</t>
  </si>
  <si>
    <t>32. Beurre vendu 17</t>
  </si>
  <si>
    <t>32. Beurre vendu 18</t>
  </si>
  <si>
    <t>33. Beurre vendu 19</t>
  </si>
  <si>
    <t>34. Pportion self 17</t>
  </si>
  <si>
    <t>34. Pportion self 18</t>
  </si>
  <si>
    <t>35. Pportion achat 17</t>
  </si>
  <si>
    <t>35. Pportion achat 18</t>
  </si>
  <si>
    <t>36. Mode Transform</t>
  </si>
  <si>
    <t>36. Equipts possédés</t>
  </si>
  <si>
    <t>36. Op mécanisée</t>
  </si>
  <si>
    <t>37. Dist centre transf</t>
  </si>
  <si>
    <t>37. Transport</t>
  </si>
  <si>
    <t>37. Coût par volum</t>
  </si>
  <si>
    <t>37. MO comprise?</t>
  </si>
  <si>
    <t>37. Justif service</t>
  </si>
  <si>
    <t>38. Vente loc amandes</t>
  </si>
  <si>
    <t>38. Pportion vente locale</t>
  </si>
  <si>
    <t>38. Pportion vente group</t>
  </si>
  <si>
    <t>39. Périodes vente</t>
  </si>
  <si>
    <t>39. Raisons vente</t>
  </si>
  <si>
    <t>39. Nb ventes</t>
  </si>
  <si>
    <t>40. Mois prix avant</t>
  </si>
  <si>
    <t>40. Mois prix début</t>
  </si>
  <si>
    <t>40. Mois prix milieu</t>
  </si>
  <si>
    <t>40. Mois prix fin</t>
  </si>
  <si>
    <t>40. Mois prix après</t>
  </si>
  <si>
    <t>41. Vos clients amandes</t>
  </si>
  <si>
    <t>41. Vos clients beurre</t>
  </si>
  <si>
    <t>41. Vos clients savon</t>
  </si>
  <si>
    <t>41. Vos clients pommade</t>
  </si>
  <si>
    <t>42. Acheteurs amandes</t>
  </si>
  <si>
    <t>42. Acheteurs beurre</t>
  </si>
  <si>
    <t>42. Négociants cours</t>
  </si>
  <si>
    <t>42. Modalités achat</t>
  </si>
  <si>
    <t>43. Mbres autorisés</t>
  </si>
  <si>
    <t>43. Circonstances</t>
  </si>
  <si>
    <t>44. Contrat de vente</t>
  </si>
  <si>
    <t>44. Avec qui?</t>
  </si>
  <si>
    <t>45. Qté amandes contrat</t>
  </si>
  <si>
    <t>46. Qté beurre contrat</t>
  </si>
  <si>
    <t>47. Disposé à vendre</t>
  </si>
  <si>
    <t>48. Volume à vendre</t>
  </si>
  <si>
    <t>49. Prêt livrer noix?</t>
  </si>
  <si>
    <t>50. Problème</t>
  </si>
  <si>
    <t>50. Pourquoi?</t>
  </si>
  <si>
    <t>51. Intérêt livrer noix</t>
  </si>
  <si>
    <t>52. Besoin service</t>
  </si>
  <si>
    <t>53. Intéressées modèle</t>
  </si>
  <si>
    <t>53. Pourquoi?</t>
  </si>
  <si>
    <t>54. Pportion conservée</t>
  </si>
  <si>
    <t>55. Chez vous/ centre</t>
  </si>
  <si>
    <t>56. Exp préfinance</t>
  </si>
  <si>
    <t>56. % versé</t>
  </si>
  <si>
    <t>57. Avantag pour vous</t>
  </si>
  <si>
    <t>57. Avantag pour acheteur</t>
  </si>
  <si>
    <t>58. Améliorations</t>
  </si>
  <si>
    <t>59. Position ABC</t>
  </si>
  <si>
    <t>Critère 1</t>
  </si>
  <si>
    <t>Justif 1</t>
  </si>
  <si>
    <t>Critère 2</t>
  </si>
  <si>
    <t>Justif 2</t>
  </si>
  <si>
    <t>Critère 3</t>
  </si>
  <si>
    <t>Justif 3</t>
  </si>
  <si>
    <t>Critère 4</t>
  </si>
  <si>
    <t>Justif 4</t>
  </si>
  <si>
    <t>Critère 5</t>
  </si>
  <si>
    <t>Justif 5</t>
  </si>
  <si>
    <t>Critère 6</t>
  </si>
  <si>
    <t>Justif 6</t>
  </si>
  <si>
    <t>Critère 7</t>
  </si>
  <si>
    <t>Justif 7</t>
  </si>
  <si>
    <t>LB-YY</t>
  </si>
  <si>
    <t>koniberè</t>
  </si>
  <si>
    <t>sud-ouest</t>
  </si>
  <si>
    <t>ioba</t>
  </si>
  <si>
    <t>Bilbalè</t>
  </si>
  <si>
    <t>no</t>
  </si>
  <si>
    <t>communale</t>
  </si>
  <si>
    <t>pauhoko</t>
  </si>
  <si>
    <t>Yes</t>
  </si>
  <si>
    <t>groupement</t>
  </si>
  <si>
    <t>sous impulsion de madame PODA</t>
  </si>
  <si>
    <t>acheteur et lieux de vente fixe</t>
  </si>
  <si>
    <t>No</t>
  </si>
  <si>
    <t>tranformation</t>
  </si>
  <si>
    <t>seul</t>
  </si>
  <si>
    <t>groupe</t>
  </si>
  <si>
    <t>séparement</t>
  </si>
  <si>
    <t xml:space="preserve">utilisé pour transformation du karité(beurre,savon)  </t>
  </si>
  <si>
    <t>plus de quantité,plus de bénefice</t>
  </si>
  <si>
    <t>50kg</t>
  </si>
  <si>
    <t>150kg</t>
  </si>
  <si>
    <t>aucune</t>
  </si>
  <si>
    <t>bilbalé</t>
  </si>
  <si>
    <t>pied</t>
  </si>
  <si>
    <t>oui(quelqué endroit de bilbaré)</t>
  </si>
  <si>
    <t>amandes</t>
  </si>
  <si>
    <t>pas encore organisées</t>
  </si>
  <si>
    <t>0kg</t>
  </si>
  <si>
    <t>semi-mecanique</t>
  </si>
  <si>
    <t>aucun</t>
  </si>
  <si>
    <t>broyage</t>
  </si>
  <si>
    <t>pied, velo</t>
  </si>
  <si>
    <t>20f/kg</t>
  </si>
  <si>
    <t>reduction effort physique,gain de temps</t>
  </si>
  <si>
    <t>août,septembre,octobre</t>
  </si>
  <si>
    <t>besoin d'argent</t>
  </si>
  <si>
    <t>aucune reponse</t>
  </si>
  <si>
    <t>juillet,août: 133F/kg</t>
  </si>
  <si>
    <t>septembre:200F/kg</t>
  </si>
  <si>
    <t>octobre:300F/kg</t>
  </si>
  <si>
    <t>novembre,decembre:400F/kg</t>
  </si>
  <si>
    <t>madame PODA</t>
  </si>
  <si>
    <t>marché local</t>
  </si>
  <si>
    <t>petit commerçants</t>
  </si>
  <si>
    <t>femmes du village</t>
  </si>
  <si>
    <t>quant le groupement n'a plus les moins financiers</t>
  </si>
  <si>
    <t>yes</t>
  </si>
  <si>
    <t>0litres</t>
  </si>
  <si>
    <t>200kg</t>
  </si>
  <si>
    <t>permetra d'avoir un acheteur de plus</t>
  </si>
  <si>
    <t>centre,car permet la reduction de l'effort physique</t>
  </si>
  <si>
    <t>aucune idé</t>
  </si>
  <si>
    <t>B</t>
  </si>
  <si>
    <t>pas en coorperative, absence de registre cotisation pas trop claire et different membre ne semblent pas avoir trop d'information sur leur structure.</t>
  </si>
  <si>
    <t>car n'ayant pas l'equipement modernes.</t>
  </si>
  <si>
    <t>pas de bousculade pour la collete car assez de karité pour tous</t>
  </si>
  <si>
    <t>car presence de brousses et jachères</t>
  </si>
  <si>
    <t>presence d'un seul acheteur</t>
  </si>
  <si>
    <t>pas trop distant de la voie bitumée</t>
  </si>
  <si>
    <t>connais juste de nom</t>
  </si>
  <si>
    <t>Mokar</t>
  </si>
  <si>
    <t>dissin</t>
  </si>
  <si>
    <t>marie clopars</t>
  </si>
  <si>
    <t>Sous impulsion de l'0NG plan</t>
  </si>
  <si>
    <t>mieux organisé qu'avant</t>
  </si>
  <si>
    <t>pas encore</t>
  </si>
  <si>
    <t>pour prêt, ceremonies</t>
  </si>
  <si>
    <t>joie,plus d'idées</t>
  </si>
  <si>
    <t>secteur1</t>
  </si>
  <si>
    <t>djikologo</t>
  </si>
  <si>
    <t>40f/kg</t>
  </si>
  <si>
    <t>qualité,gain de temps</t>
  </si>
  <si>
    <t>commerçants</t>
  </si>
  <si>
    <t>grands et petits commerçants</t>
  </si>
  <si>
    <t>aucune idée</t>
  </si>
  <si>
    <t xml:space="preserve">besoins urgent d'argent </t>
  </si>
  <si>
    <t>1000kg</t>
  </si>
  <si>
    <t>permetra d'avoir un contra et un acheteur fixe</t>
  </si>
  <si>
    <t>chez nous,pour ne pas oublier certaine pratique de la transformation manuelle</t>
  </si>
  <si>
    <t>C</t>
  </si>
  <si>
    <t>formé par l'ong plan,le bureau très bien intruit</t>
  </si>
  <si>
    <t>car achete plus que ne collecte,pas assez de karité a proximité</t>
  </si>
  <si>
    <t>presence de jachères et brousse mais eloigné</t>
  </si>
  <si>
    <t>presence de commerçants locaux et étrangers</t>
  </si>
  <si>
    <t>25m du goudron</t>
  </si>
  <si>
    <t>bergnour-powbé</t>
  </si>
  <si>
    <t>edwige</t>
  </si>
  <si>
    <t>motivé et impulsé par une personne de ouaga</t>
  </si>
  <si>
    <t>augmentation du nombre de membre et de la production</t>
  </si>
  <si>
    <t>toutes les etapes</t>
  </si>
  <si>
    <t>en groupe lorsqué ces enbrousse</t>
  </si>
  <si>
    <t xml:space="preserve"> prêt, ceremonies,commerce</t>
  </si>
  <si>
    <t xml:space="preserve">partage d'idées,augmentation de production </t>
  </si>
  <si>
    <t>contrat,formation,reunion</t>
  </si>
  <si>
    <t>dissin-secteur 6</t>
  </si>
  <si>
    <t>dissin-secteur7</t>
  </si>
  <si>
    <t>Pied,vélo</t>
  </si>
  <si>
    <t>pied,vélo</t>
  </si>
  <si>
    <t>0litrs</t>
  </si>
  <si>
    <t>500kg</t>
  </si>
  <si>
    <t>chez nous,pour ne pas trop s'habitué et devenir paresseux par la suite.</t>
  </si>
  <si>
    <t xml:space="preserve">car étant crée en 2003, doté d'un bereau qui fonctionne avec des membres toutes instruites  </t>
  </si>
  <si>
    <t>les femmes ne collecte pas toutes au même lieux,assez de karité</t>
  </si>
  <si>
    <t>possibilité de collecter dans la reserve de bontioli en plus des sites habituels</t>
  </si>
  <si>
    <t>le nombre d'acheteur potentiel étant elévé(commerçants)</t>
  </si>
  <si>
    <t>centre,magasin a 25m du goudron</t>
  </si>
  <si>
    <t>connais de nom et reputation</t>
  </si>
  <si>
    <t>dam-ir</t>
  </si>
  <si>
    <t>diébougou</t>
  </si>
  <si>
    <t>bougouriba</t>
  </si>
  <si>
    <t>bapla-birifore</t>
  </si>
  <si>
    <t>provinciale</t>
  </si>
  <si>
    <t>DA</t>
  </si>
  <si>
    <t>bezola</t>
  </si>
  <si>
    <t>impulsion de leur maris</t>
  </si>
  <si>
    <t>participation a différents rencontres, foires,formation</t>
  </si>
  <si>
    <t>stockage,trasform</t>
  </si>
  <si>
    <t>totalité des biens du groupements depuis la creation</t>
  </si>
  <si>
    <t>voyages,céremonies</t>
  </si>
  <si>
    <t>joie,plus d'idées,augmentation de la production</t>
  </si>
  <si>
    <t>bapla-birifor</t>
  </si>
  <si>
    <t>pied,vélo,tricycle</t>
  </si>
  <si>
    <t>vélo,tricycle</t>
  </si>
  <si>
    <t>propriétaire terrien</t>
  </si>
  <si>
    <t>le groupement</t>
  </si>
  <si>
    <t>bapla-birifor(impeut partout)</t>
  </si>
  <si>
    <t>bapla,bapla-birifor,navielgane</t>
  </si>
  <si>
    <t>300litres</t>
  </si>
  <si>
    <t>concasseur,torréfacteur,broyeur</t>
  </si>
  <si>
    <t>commerçants étrangers, personnes physique</t>
  </si>
  <si>
    <t xml:space="preserve"> personnes physique,femmes du village</t>
  </si>
  <si>
    <t>aucune idée de leur pratique</t>
  </si>
  <si>
    <t>nous avons dejà les equipements de production</t>
  </si>
  <si>
    <t>créer en 2002, participation a plusieurs formation , foires</t>
  </si>
  <si>
    <t>expérience dans la transformation,équipements modernes,production estimé à 600litres</t>
  </si>
  <si>
    <t>zone de collecte assez grande</t>
  </si>
  <si>
    <t>grande surface en jachère,presence de parcelle de 100*100m² securisé</t>
  </si>
  <si>
    <t>plusieurs commerçant s'y interesse pour les achats.</t>
  </si>
  <si>
    <t>centre,magasin a 70m du goudron</t>
  </si>
  <si>
    <t>connaissance de nom et reputation</t>
  </si>
  <si>
    <t>Ikar</t>
  </si>
  <si>
    <t>tieyer</t>
  </si>
  <si>
    <t>prise de consience et impulsion personnelle</t>
  </si>
  <si>
    <t>achat amande et céremonies</t>
  </si>
  <si>
    <t>different zones de bougouriba</t>
  </si>
  <si>
    <t>100litres</t>
  </si>
  <si>
    <t>juillet,aût,septembre</t>
  </si>
  <si>
    <t>commerçants de diébougou</t>
  </si>
  <si>
    <t>personne physique venue de diébougou</t>
  </si>
  <si>
    <t xml:space="preserve"> personnes physique</t>
  </si>
  <si>
    <t>besoins urgent d'argent et quant le groupement n'a plus les moins financiers</t>
  </si>
  <si>
    <t>10litres</t>
  </si>
  <si>
    <t>pas de reponse</t>
  </si>
  <si>
    <t>pas en coorperative, absence de registre cotisation pas trop claire</t>
  </si>
  <si>
    <t>car n'ayant pas l'equipement modernes et n'ayant assez d'expérience</t>
  </si>
  <si>
    <t>presence de grandes surface en jachères , brousse  et forêt.</t>
  </si>
  <si>
    <t>presence de juste quelqués commerçans</t>
  </si>
  <si>
    <t>centre a quelqués metre du goudron</t>
  </si>
  <si>
    <t>de nom</t>
  </si>
  <si>
    <t>law-taa</t>
  </si>
  <si>
    <t>regionale</t>
  </si>
  <si>
    <t>edith</t>
  </si>
  <si>
    <t>cooperative</t>
  </si>
  <si>
    <t>existait sous forme association depuis 1994</t>
  </si>
  <si>
    <t>augmentation nombre, capacité,  production,doté de centre de transformation, d'equipements</t>
  </si>
  <si>
    <t>just pour les affaires courantes du bureau(voyage,rencontre)</t>
  </si>
  <si>
    <t>succés, plus benefique</t>
  </si>
  <si>
    <t>tout les secteurs de diébougou</t>
  </si>
  <si>
    <t>tous les 31 village de la commune</t>
  </si>
  <si>
    <t>mecanisée</t>
  </si>
  <si>
    <t>concasseur,torréfacteur,broyeur,barate</t>
  </si>
  <si>
    <t>Juin,juillet:175kg</t>
  </si>
  <si>
    <t>septembre,novembre:600F/kg</t>
  </si>
  <si>
    <t>olevea</t>
  </si>
  <si>
    <t>commerçants étrangers</t>
  </si>
  <si>
    <t>versé selon la commande</t>
  </si>
  <si>
    <t>permet de planifier nos achats</t>
  </si>
  <si>
    <t>garanti pour sa commande</t>
  </si>
  <si>
    <t>créer en 1994, participation a plusieurs formation , foires dans plusieurs villes</t>
  </si>
  <si>
    <t>expérience dans la transformation,équipements modernes,production estimé à 2000 litres</t>
  </si>
  <si>
    <t>centre a 15m du goudron</t>
  </si>
  <si>
    <t xml:space="preserve"> de nom</t>
  </si>
  <si>
    <t>lanzi-yai</t>
  </si>
  <si>
    <t>irène</t>
  </si>
  <si>
    <t>idée commune de création,sous impulsion des membres</t>
  </si>
  <si>
    <t>évolution des activités</t>
  </si>
  <si>
    <t>pas encore commencé a le faire ensemble</t>
  </si>
  <si>
    <t>pour prêt( forme tontine)</t>
  </si>
  <si>
    <t>diébougou-secteur 2</t>
  </si>
  <si>
    <t>diébougou-secteur 7</t>
  </si>
  <si>
    <t>barrage bougouriba</t>
  </si>
  <si>
    <t>reduction effort physique</t>
  </si>
  <si>
    <t>personnes physique</t>
  </si>
  <si>
    <t>le tout</t>
  </si>
  <si>
    <t>parcequé nous voulons l'argent</t>
  </si>
  <si>
    <t>permetra de collecter ensemble</t>
  </si>
  <si>
    <t>centre,car falitéra la suite des traveaux pour nous</t>
  </si>
  <si>
    <t>creation recente pas de registre, cotisation regulière</t>
  </si>
  <si>
    <t xml:space="preserve"> pas l'equipement moderne,ne transforme pas en groupe</t>
  </si>
  <si>
    <t>presence de grands  commerçants locaux et étrangers</t>
  </si>
  <si>
    <t>centre a 25m du goudron</t>
  </si>
  <si>
    <t>Zeomin</t>
  </si>
  <si>
    <t>SUD-OUEST</t>
  </si>
  <si>
    <t>Djikologo</t>
  </si>
  <si>
    <t>Communale</t>
  </si>
  <si>
    <t>Ténir</t>
  </si>
  <si>
    <t>61-95-55-16</t>
  </si>
  <si>
    <t>Groupement</t>
  </si>
  <si>
    <t>sous impulsion de Mme PODA</t>
  </si>
  <si>
    <t>possibilté d'accès au credit la caisse, amélioration du niveau de vie des femmes</t>
  </si>
  <si>
    <t>pas encore obtenu</t>
  </si>
  <si>
    <t>Non</t>
  </si>
  <si>
    <t>Stockage et tranformation</t>
  </si>
  <si>
    <t>individuelle</t>
  </si>
  <si>
    <t>Groupe</t>
  </si>
  <si>
    <t>Individuel</t>
  </si>
  <si>
    <t>En groupe si en forêt et individuel si dans les champs</t>
  </si>
  <si>
    <t xml:space="preserve">pour le foctionnement du groupe et achat </t>
  </si>
  <si>
    <t xml:space="preserve">Apport de plus de bénéfice et cohesion sociale </t>
  </si>
  <si>
    <t>Néant</t>
  </si>
  <si>
    <t>Formation, Achat, Crédit, reunion</t>
  </si>
  <si>
    <t>même village quatier segro</t>
  </si>
  <si>
    <t>Pied</t>
  </si>
  <si>
    <t>Bontioli, Zambo, Djikologo</t>
  </si>
  <si>
    <t>Amande</t>
  </si>
  <si>
    <t>Femmes non organisée</t>
  </si>
  <si>
    <t>Naka</t>
  </si>
  <si>
    <t>mecanique</t>
  </si>
  <si>
    <t>Aucun</t>
  </si>
  <si>
    <t>tranformation d'amande en beure</t>
  </si>
  <si>
    <t>17F/kg</t>
  </si>
  <si>
    <t>Gain en temps, quatité, qualité,etc</t>
  </si>
  <si>
    <t>juiellet et decembre</t>
  </si>
  <si>
    <t>juin:400/yorouba</t>
  </si>
  <si>
    <t>juillet:450/yorouba</t>
  </si>
  <si>
    <t>septembre octobre:800/yorouba</t>
  </si>
  <si>
    <t>novembre decembre1000/yorouba</t>
  </si>
  <si>
    <t>javier fevrier:1200/yorouba</t>
  </si>
  <si>
    <t>Mm PODA</t>
  </si>
  <si>
    <t>Consommation familliale</t>
  </si>
  <si>
    <t>consommation familliale</t>
  </si>
  <si>
    <t>Mme PODA</t>
  </si>
  <si>
    <t>Mme PODA seul acheteur</t>
  </si>
  <si>
    <t>Car une tache en moins(tranformation manuelle de noix en amande)</t>
  </si>
  <si>
    <t>cela nous permettra de vendre rapidement une partie de nos produits</t>
  </si>
  <si>
    <t>centre,car permet la reduction de l'effort physique tout au long du processus de transformation</t>
  </si>
  <si>
    <t>Fonction de la quanté voulu</t>
  </si>
  <si>
    <t>Souce de motivation et d'angagement</t>
  </si>
  <si>
    <t xml:space="preserve">Assurance </t>
  </si>
  <si>
    <t>parcequé doté de bureau, cotisation regulière</t>
  </si>
  <si>
    <t>grande augmentation de quantité de beure entre 2017et 2019</t>
  </si>
  <si>
    <t>car la foêt est éloignée des concessions</t>
  </si>
  <si>
    <t>existance de forêt, champs, jachère</t>
  </si>
  <si>
    <t>Mme poda</t>
  </si>
  <si>
    <t>excistance de voie bitumée</t>
  </si>
  <si>
    <t>KARIKIS seul</t>
  </si>
  <si>
    <t>Tiémé</t>
  </si>
  <si>
    <t>Debnadar</t>
  </si>
  <si>
    <t>60-77-97-14/75-25-98-66</t>
  </si>
  <si>
    <t>1000F/persoon</t>
  </si>
  <si>
    <t>2plats</t>
  </si>
  <si>
    <t>1plats</t>
  </si>
  <si>
    <t>3à5plats</t>
  </si>
  <si>
    <t>Djikologo qaurtier V1 Tapla</t>
  </si>
  <si>
    <t>partie de la forêt située à djikologo</t>
  </si>
  <si>
    <t>Napalè, limorè, nomoirè</t>
  </si>
  <si>
    <t>50F/kg</t>
  </si>
  <si>
    <t>Gain en temps, quatité, qualité, Energie physiqueetc</t>
  </si>
  <si>
    <t>cela nous evitera de vendre en detaille une partie de nos produits</t>
  </si>
  <si>
    <t>chez vous si le service est à un bon prix et pas très éloigné de nos connsessions</t>
  </si>
  <si>
    <t>parcequé doté de bureau, cotisation</t>
  </si>
  <si>
    <t>faible quantité de beure depuis 2017</t>
  </si>
  <si>
    <t>Tiété</t>
  </si>
  <si>
    <t>Dianyélé</t>
  </si>
  <si>
    <t>72-58-95-36</t>
  </si>
  <si>
    <t>Individuelle</t>
  </si>
  <si>
    <t>Elles font tous individuellement sauf la transformation</t>
  </si>
  <si>
    <t>1200F/an/persoone</t>
  </si>
  <si>
    <t xml:space="preserve">pour le foctionnement du groupe et achat et construction de leurs siège </t>
  </si>
  <si>
    <t>5plats</t>
  </si>
  <si>
    <t>3à2plats</t>
  </si>
  <si>
    <t>10plats</t>
  </si>
  <si>
    <t>Même village (kankanpèlè</t>
  </si>
  <si>
    <t>Djikologo, Bontioli</t>
  </si>
  <si>
    <t>kankanpèlè</t>
  </si>
  <si>
    <t>car ayant un bureau des reglements et des cotisations regullière</t>
  </si>
  <si>
    <t>Manque de voie bitumée</t>
  </si>
  <si>
    <t>Chambièrè</t>
  </si>
  <si>
    <t>Disshin</t>
  </si>
  <si>
    <t>Sakhomion</t>
  </si>
  <si>
    <t>Sous leur propre itiative</t>
  </si>
  <si>
    <t>Même village (Bilbalè)</t>
  </si>
  <si>
    <t>Chambèrè</t>
  </si>
  <si>
    <t>car le service serait avantageux pour elles</t>
  </si>
  <si>
    <t>grande augmentation de quantité de beure entre 2018et 2019</t>
  </si>
  <si>
    <t>Song-Taaba</t>
  </si>
  <si>
    <t>75-81-29-90</t>
  </si>
  <si>
    <t>Oui</t>
  </si>
  <si>
    <t>En groupe en forêt et dans les champs</t>
  </si>
  <si>
    <t>500F/personne</t>
  </si>
  <si>
    <t>Aide aux femmes en difficulté et fonctionnement du groupe</t>
  </si>
  <si>
    <t>Aucun mais elles en ont eu il y'a très longtemps</t>
  </si>
  <si>
    <t>Juin à décembre</t>
  </si>
  <si>
    <t>Economique</t>
  </si>
  <si>
    <t>mai:150/petit plats</t>
  </si>
  <si>
    <t>juin:200/petit plat</t>
  </si>
  <si>
    <t>septembre octobre:225/petit plat</t>
  </si>
  <si>
    <t>novembre decembre:300/petit plat</t>
  </si>
  <si>
    <t>janvier fevrier:325/petit plat</t>
  </si>
  <si>
    <t>Commerçants locaux</t>
  </si>
  <si>
    <t>Si il y'a la demande</t>
  </si>
  <si>
    <t>pas de production de beure depuis 2017</t>
  </si>
  <si>
    <t>les champs ne sont pas très éloignés des concessions</t>
  </si>
  <si>
    <t>existance, champs, jachère</t>
  </si>
  <si>
    <t>Commerçant locaux</t>
  </si>
  <si>
    <t>Rell-Wende</t>
  </si>
  <si>
    <t>DIANDE</t>
  </si>
  <si>
    <t>fati</t>
  </si>
  <si>
    <t>74-17-56-03</t>
  </si>
  <si>
    <t>pas de production de beure depuis 2018</t>
  </si>
  <si>
    <t xml:space="preserve">                                                                                              </t>
  </si>
  <si>
    <t>Caanulé</t>
  </si>
  <si>
    <t>Terretant</t>
  </si>
  <si>
    <t>Balnibedib</t>
  </si>
  <si>
    <t>52-10-80-67</t>
  </si>
  <si>
    <t>possibilté d'accès au credit la caisse, amélioration du niveau de vie des femmes, ambiance sociale, acquisition de novelles idées</t>
  </si>
  <si>
    <t>toutes les étapes</t>
  </si>
  <si>
    <t xml:space="preserve">1500F+1plat d'amande pour les vielles et 2500F+1plat pour celles qui ont toujours la forces </t>
  </si>
  <si>
    <t>pour le fonctionnement et achat d'amande pour le beure</t>
  </si>
  <si>
    <t>Apport de plus de bénéfice et cohesion sociale, partage d'expérience dans la fabication du savon</t>
  </si>
  <si>
    <t>Formation</t>
  </si>
  <si>
    <t>Taretéan</t>
  </si>
  <si>
    <t>à vélo ou à pierd</t>
  </si>
  <si>
    <t>Teretiant</t>
  </si>
  <si>
    <t>Moulin</t>
  </si>
  <si>
    <t>yes (FADEPSO) et KARIKIS</t>
  </si>
  <si>
    <t>mai:300/yorouba</t>
  </si>
  <si>
    <t>juin:400/Yorouba</t>
  </si>
  <si>
    <t>septembre octobre:600/Yorouba</t>
  </si>
  <si>
    <t>novembre decembre:800/yorouba</t>
  </si>
  <si>
    <t>janvier fevrier1200/yorouba</t>
  </si>
  <si>
    <t>FADEPSO ET KARIKIS</t>
  </si>
  <si>
    <t>FADEPSO</t>
  </si>
  <si>
    <t>chez nous;pour ne pas oublier certaine pratique de la transformation manuelle</t>
  </si>
  <si>
    <t>sa nous profite</t>
  </si>
  <si>
    <t xml:space="preserve">Profite plus </t>
  </si>
  <si>
    <t>Garde le  système de FADEPSO</t>
  </si>
  <si>
    <t>parceque ayant un bureau, un  registre et une cotisation regulière</t>
  </si>
  <si>
    <t>car les champs sont éloignés des concessions</t>
  </si>
  <si>
    <t>existance, champs</t>
  </si>
  <si>
    <t>FADEPSO et KARIKIS</t>
  </si>
  <si>
    <t>KARIKIS et FADEPSO</t>
  </si>
  <si>
    <t>Tow-wan</t>
  </si>
  <si>
    <t>Sud-Ouest</t>
  </si>
  <si>
    <t>Bapla</t>
  </si>
  <si>
    <t>village</t>
  </si>
  <si>
    <t xml:space="preserve">DA </t>
  </si>
  <si>
    <t>domba boulo</t>
  </si>
  <si>
    <t>sous impulsion personnelle</t>
  </si>
  <si>
    <t>augmentation des membres et de la production</t>
  </si>
  <si>
    <t>stockage,transform</t>
  </si>
  <si>
    <t>10000f</t>
  </si>
  <si>
    <t>achat d'amandes,festivité,ceremonies</t>
  </si>
  <si>
    <t>renforcement d'idées,partage de techniques,d'experience</t>
  </si>
  <si>
    <t>bapla-centre</t>
  </si>
  <si>
    <t>pied,velo</t>
  </si>
  <si>
    <t>pieds,vélo,tricycle</t>
  </si>
  <si>
    <t>1-village de navielgane, village de sorgou</t>
  </si>
  <si>
    <t>bapla</t>
  </si>
  <si>
    <t>pied, vélo</t>
  </si>
  <si>
    <t>66/kg</t>
  </si>
  <si>
    <t>gain de temps</t>
  </si>
  <si>
    <t>besoins d'argent</t>
  </si>
  <si>
    <t>avril,mai333F/kg</t>
  </si>
  <si>
    <t>juillet,août:133F/kg</t>
  </si>
  <si>
    <t>octobre:250F/kg</t>
  </si>
  <si>
    <t>novembre,decembre:333F/kg</t>
  </si>
  <si>
    <t>revendeurs</t>
  </si>
  <si>
    <t>olevea,commerçants</t>
  </si>
  <si>
    <t>sacs de 100kg,au prix du marché,livraison au bord du gougron.</t>
  </si>
  <si>
    <t>1200kg</t>
  </si>
  <si>
    <t>centre(car permet la reduction de l'effort physique)</t>
  </si>
  <si>
    <t>motivation des membres du groupe</t>
  </si>
  <si>
    <t>garantis qu'il aura ces noix ou amandes</t>
  </si>
  <si>
    <t>car étant crée en 2002, doté d'un bereau qui fonctionne avec un secrétaire lettré.</t>
  </si>
  <si>
    <t>parcequé ne produissant pas a la hauteur du nombre(12 personnes pour 20 à 45litres) toute la saisson.</t>
  </si>
  <si>
    <t>ramassant toutes dans les champs de leurs marie.</t>
  </si>
  <si>
    <t>car existant des champs en jachère, des brousses( mais situé a longue distance)</t>
  </si>
  <si>
    <t>centre,magasin a 50m</t>
  </si>
  <si>
    <t>jamais entendu parlé,jamais vue</t>
  </si>
  <si>
    <t>IKA</t>
  </si>
  <si>
    <t>X</t>
  </si>
  <si>
    <t>yelwonie</t>
  </si>
  <si>
    <t>51764527/55167548</t>
  </si>
  <si>
    <t>sous impulsion des 10 membres</t>
  </si>
  <si>
    <t>beneficié de magasin,de formation</t>
  </si>
  <si>
    <t>goupe</t>
  </si>
  <si>
    <t>9600f</t>
  </si>
  <si>
    <t>achat d'amandes,ceremonies</t>
  </si>
  <si>
    <t>renforcement d'idées,partage de technique</t>
  </si>
  <si>
    <t>300kg</t>
  </si>
  <si>
    <t>100kg</t>
  </si>
  <si>
    <t>1-village de navielgane,2-forêt de bontiolli</t>
  </si>
  <si>
    <t>bapla,bapla-birifore</t>
  </si>
  <si>
    <t>pied, velo, tricycle</t>
  </si>
  <si>
    <t>66f/kg</t>
  </si>
  <si>
    <t>reduction effort pysique</t>
  </si>
  <si>
    <t>août,septembre</t>
  </si>
  <si>
    <t>"olevea",revendeurs</t>
  </si>
  <si>
    <t>utilisation personnelle</t>
  </si>
  <si>
    <t>800kg</t>
  </si>
  <si>
    <t>decharge d'un suplement de tachâ</t>
  </si>
  <si>
    <t>parcequé vous avez dit "bon prix"</t>
  </si>
  <si>
    <t>centre(car permet la reduction de l'effort physique tout au long du processus de transformation)</t>
  </si>
  <si>
    <t>garantis pour nous de collecter plus</t>
  </si>
  <si>
    <t xml:space="preserve">s'il donne la totalité de la somme </t>
  </si>
  <si>
    <t xml:space="preserve"> car ayant un bureau des reglements et des cotisations regullière</t>
  </si>
  <si>
    <t xml:space="preserve"> car n'ayant pas materiel mecanique,et ne produissant assez pour la vente</t>
  </si>
  <si>
    <t>Babonkélè</t>
  </si>
  <si>
    <t>ditouo</t>
  </si>
  <si>
    <t>impulsion de monsieur HIEN notre secretaire</t>
  </si>
  <si>
    <t>acces a un centre,formation pour tranformation du karité</t>
  </si>
  <si>
    <t>transform</t>
  </si>
  <si>
    <t>ceremonies,rejouissance</t>
  </si>
  <si>
    <t>partage d'idées,augmentation de production et vente</t>
  </si>
  <si>
    <t>bapla-palagan</t>
  </si>
  <si>
    <t>village de dankodangdjou,village de navielgane</t>
  </si>
  <si>
    <t>Septembre:200F/kg</t>
  </si>
  <si>
    <t>900kg</t>
  </si>
  <si>
    <t>Garantis qu'il aura ces noix ou amandes</t>
  </si>
  <si>
    <t>car ayant débuté recement(2017) avec une très faible quantité,et n'ayant pas d'equipement moderne de transformation.</t>
  </si>
  <si>
    <t>car existance de plusieurs zones de ramassage</t>
  </si>
  <si>
    <t>centre,magasin a 100m</t>
  </si>
  <si>
    <t>Daïr(dayr)</t>
  </si>
  <si>
    <t>arborman</t>
  </si>
  <si>
    <t>sous impulsion du cvd</t>
  </si>
  <si>
    <t>de 4 personnes à 12, augmentation de capacité</t>
  </si>
  <si>
    <t>achat amande,ceremonie</t>
  </si>
  <si>
    <t>partage de techniques,d'experience,plus de gain d'argent</t>
  </si>
  <si>
    <t>bapla-baloti</t>
  </si>
  <si>
    <t>village navielgane</t>
  </si>
  <si>
    <t>pied, vélo, tricycle</t>
  </si>
  <si>
    <t>Août,septembre,octobre</t>
  </si>
  <si>
    <t>Novembre,decembre:333F/kg</t>
  </si>
  <si>
    <t xml:space="preserve"> car ayant un bureau des reglements et des cotisations regullière,mais pas de registre</t>
  </si>
  <si>
    <t>pas d'equipement moderne de transformation</t>
  </si>
  <si>
    <t>sozema indielai</t>
  </si>
  <si>
    <t>dansour</t>
  </si>
  <si>
    <t>fête,ceremonies,achat amande</t>
  </si>
  <si>
    <t>bapla-tembili</t>
  </si>
  <si>
    <t>pied,velo,tricycle</t>
  </si>
  <si>
    <t>village navielgane, village de dankodangdjou</t>
  </si>
  <si>
    <t>reduction effort pysique,gain de temps</t>
  </si>
  <si>
    <t>Femmes du village</t>
  </si>
  <si>
    <t>quant le groupement n'a plus les moins financiers ou n'a plus besoin d'amende</t>
  </si>
  <si>
    <t>chez nous(pour ne pas oublier certaine pratique de la transformation manuelle)</t>
  </si>
  <si>
    <t>bien qu'ayant un bureau, les activés au sein du groupe ne semble pas être bien coordonnées</t>
  </si>
  <si>
    <t>centre, magasin a 50m</t>
  </si>
  <si>
    <t>TD-JO</t>
  </si>
  <si>
    <t>Bantiolio</t>
  </si>
  <si>
    <t>facilement accesible</t>
  </si>
  <si>
    <t>Méda</t>
  </si>
  <si>
    <t>Edihe</t>
  </si>
  <si>
    <t>à la recherche de l'union et changements dans nos vies</t>
  </si>
  <si>
    <t xml:space="preserve"> stockage,transformation
</t>
  </si>
  <si>
    <t>individuel</t>
  </si>
  <si>
    <t>separement</t>
  </si>
  <si>
    <t>non</t>
  </si>
  <si>
    <t>100/mois</t>
  </si>
  <si>
    <t>services, charges</t>
  </si>
  <si>
    <t>Subvenir aux Charges du groupement</t>
  </si>
  <si>
    <t>pas de precision</t>
  </si>
  <si>
    <t>Formation(collecte,tra,sformation,) et credit</t>
  </si>
  <si>
    <t>meme village</t>
  </si>
  <si>
    <t xml:space="preserve">nous venons du meme village Lawgné Kankanpelè </t>
  </si>
  <si>
    <t>pied sur nos tetes, velo</t>
  </si>
  <si>
    <t>jeunes,elèves</t>
  </si>
  <si>
    <t xml:space="preserve">Djkologo </t>
  </si>
  <si>
    <t>on ne vend pas</t>
  </si>
  <si>
    <t>semi-mecanisé</t>
  </si>
  <si>
    <t>broyage au moulin</t>
  </si>
  <si>
    <t>tricycle</t>
  </si>
  <si>
    <t>50f/plat de 2,5kg</t>
  </si>
  <si>
    <t>epargne du temps et allège le travail</t>
  </si>
  <si>
    <t>Aout-sept</t>
  </si>
  <si>
    <t>gain financier</t>
  </si>
  <si>
    <t>400f/plat de 2,5kg</t>
  </si>
  <si>
    <t>250f/plat</t>
  </si>
  <si>
    <t>400f/Plat</t>
  </si>
  <si>
    <t>750/plat</t>
  </si>
  <si>
    <t>aucune repos</t>
  </si>
  <si>
    <t>Madame PODA(le contrat cette année est de 40 tonnes)</t>
  </si>
  <si>
    <t>les particulier,pas de gros acheteurs</t>
  </si>
  <si>
    <t>pas d'acheteur outre que Mme PODA</t>
  </si>
  <si>
    <t>On a recu 100000f de la part de Mme PODA qui rachete nos noix</t>
  </si>
  <si>
    <t>quant la personne respet la qté min le reste il peut en sont compte</t>
  </si>
  <si>
    <t>nous ne pouvons pas estimé le volume,  demandé</t>
  </si>
  <si>
    <t>c'est une aide et une experience pour nous</t>
  </si>
  <si>
    <t>cela va amelioré la qualité des nos produits</t>
  </si>
  <si>
    <t>centre</t>
  </si>
  <si>
    <t>une somme de 100000f</t>
  </si>
  <si>
    <t>plus d'de courage et de reussite dans nos colletes</t>
  </si>
  <si>
    <t>assurance d'avoir des noix, amandes de bonne qualité</t>
  </si>
  <si>
    <t>respect des contrats, le financement au debut des activités</t>
  </si>
  <si>
    <t>A</t>
  </si>
  <si>
    <t>Bureau, siege, connaissance du marché,</t>
  </si>
  <si>
    <t>Maintrise du système de transformation</t>
  </si>
  <si>
    <t>bcp de groupement collettent dans la foret mais la foret est vaste et les femmes n'arrievnt meme pas à ramasser tous les noix</t>
  </si>
  <si>
    <t>existance de foret à forte potentiel productive, mais de moyen de locomotion</t>
  </si>
  <si>
    <t>Maman PODA est la seule acheuteur du groupement</t>
  </si>
  <si>
    <t>existance de ravins sur la route</t>
  </si>
  <si>
    <t>Foramtion, reunion</t>
  </si>
  <si>
    <t>Toukaa</t>
  </si>
  <si>
    <t>Lawgné Kankanpélè</t>
  </si>
  <si>
    <t>difficilement accèssible</t>
  </si>
  <si>
    <t>Cummunale</t>
  </si>
  <si>
    <t>Belokourè</t>
  </si>
  <si>
    <t>dans la recherche de l'union</t>
  </si>
  <si>
    <t xml:space="preserve">plus de visibilité,de production et de gain , </t>
  </si>
  <si>
    <t>rien</t>
  </si>
  <si>
    <t xml:space="preserve">
 production2019</t>
  </si>
  <si>
    <t xml:space="preserve">c'est notre premiere année
on a pas encore fixé de cotisation </t>
  </si>
  <si>
    <t xml:space="preserve">c'est notre premiere année, 
on a pas encore fixé de cotisation </t>
  </si>
  <si>
    <t>si on fixe la cotisation les frais 
seront utilisés pour le fonctionnnement du grpupement</t>
  </si>
  <si>
    <t xml:space="preserve">Plus de rentabilité economique, plus de visibilité, </t>
  </si>
  <si>
    <t>oui</t>
  </si>
  <si>
    <t>pas de conflit
 donc pas de resolution</t>
  </si>
  <si>
    <t>à cette date on 
n'existait pas (on ne vend pas)</t>
  </si>
  <si>
    <t>aucune estimation
n'existait pas (on ne vend pas)</t>
  </si>
  <si>
    <t>aucune estimation</t>
  </si>
  <si>
    <t>à cette date le groupe n'existait pas</t>
  </si>
  <si>
    <t>semi mecanisé</t>
  </si>
  <si>
    <t>broyage au mouli</t>
  </si>
  <si>
    <t>Un plat (2,5kg) à 300f</t>
  </si>
  <si>
    <t>reduction de temps de travail, de peine</t>
  </si>
  <si>
    <t>Nous avons livré 4sacs de 100kg à Madane PODA</t>
  </si>
  <si>
    <t>Aout 250f/plat</t>
  </si>
  <si>
    <t>350f/plat</t>
  </si>
  <si>
    <t>Novembre 750</t>
  </si>
  <si>
    <t>Madame PODA</t>
  </si>
  <si>
    <t>Madame PODA, le reste si y'a lieu on le vend au marché</t>
  </si>
  <si>
    <t>la population</t>
  </si>
  <si>
    <t>4sacs</t>
  </si>
  <si>
    <t>no, cest une nouvelle experience</t>
  </si>
  <si>
    <t>cela va amelioré la qualité de nos amande, facilité nos activités</t>
  </si>
  <si>
    <t>Nous avons recu 100000f chez Madame PODA au debut des activités</t>
  </si>
  <si>
    <t>gain economique, plus de motivation</t>
  </si>
  <si>
    <t>aasurance d'avoir des noix à temps, plus de noix</t>
  </si>
  <si>
    <t>le prefinancement vient en depuis de nos activité</t>
  </si>
  <si>
    <t>a</t>
  </si>
  <si>
    <t>ayant un bureau, existance de siege, procedures de création de coopérative</t>
  </si>
  <si>
    <t>pas encore bien structuré, premiere année d'experience</t>
  </si>
  <si>
    <t>existance de champs de karité, mais les moyens de collectes de rudimentaires</t>
  </si>
  <si>
    <t xml:space="preserve"> c'est notre premiere année, pas d'activité avec Karitis</t>
  </si>
  <si>
    <t xml:space="preserve">PODA/KAMBIRE </t>
  </si>
  <si>
    <t>Marie Simone</t>
  </si>
  <si>
    <t>union, dans le but de gagné plus</t>
  </si>
  <si>
    <t>obtention de formation, plus de gain</t>
  </si>
  <si>
    <t>Stockage,transformation</t>
  </si>
  <si>
    <t>seule</t>
  </si>
  <si>
    <t>1200/an</t>
  </si>
  <si>
    <t>plus gain</t>
  </si>
  <si>
    <t>Formation, reunion,sensibilisation,vente</t>
  </si>
  <si>
    <t>Djkologo centre</t>
  </si>
  <si>
    <t>Dombé, Mollogan,</t>
  </si>
  <si>
    <t>acune</t>
  </si>
  <si>
    <t>aucune vente</t>
  </si>
  <si>
    <t>pas d'estimation</t>
  </si>
  <si>
    <t>pas d'stimation</t>
  </si>
  <si>
    <t>375 tonnes</t>
  </si>
  <si>
    <t>125tonnes</t>
  </si>
  <si>
    <t>333f</t>
  </si>
  <si>
    <t>Juiellet-Aout 250F/plat</t>
  </si>
  <si>
    <t>AOUT 300f/plat</t>
  </si>
  <si>
    <t>Aout-sept400f</t>
  </si>
  <si>
    <t>Novembre 750f</t>
  </si>
  <si>
    <t>Nous livrons la quantité demandé par l'acheteur</t>
  </si>
  <si>
    <t>nous ne pouvons pas estimé le volume, il ya beuacoup de noix dans la zone.nous somme prêt à vous livré la qté demandé</t>
  </si>
  <si>
    <t>Association Wie Malo</t>
  </si>
  <si>
    <t>Foroteon</t>
  </si>
  <si>
    <t>Accés difficile</t>
  </si>
  <si>
    <t>SORO/SOMDA</t>
  </si>
  <si>
    <t>Cornelie</t>
  </si>
  <si>
    <t>Association</t>
  </si>
  <si>
    <t>Né à la recherche d'aide, de formation dans le but d'ameliorer nos rendements</t>
  </si>
  <si>
    <t>Obtention de fonds,formation sur la tranformation des noix en beurre</t>
  </si>
  <si>
    <t>1 tine d'amande/membre</t>
  </si>
  <si>
    <t>2tine d'amande</t>
  </si>
  <si>
    <t xml:space="preserve">transforme puis on vend pour les charges </t>
  </si>
  <si>
    <t>autonomie</t>
  </si>
  <si>
    <t>6plats d'amande de 2,5kg</t>
  </si>
  <si>
    <t xml:space="preserve">Il y'a des membre de la diapora, mais ils n'ont pas pu donné de nbre </t>
  </si>
  <si>
    <t>oui la Foret à 10km</t>
  </si>
  <si>
    <t>les femmes paient au marché, chez les jeunes</t>
  </si>
  <si>
    <t>la vente est individuelle et non controlé, dc il est difficile estimé la qté</t>
  </si>
  <si>
    <t>torrecfacteur,concasseur</t>
  </si>
  <si>
    <t>600f/tine</t>
  </si>
  <si>
    <t>reduction de temps de travail,de peine</t>
  </si>
  <si>
    <t>pas de vente</t>
  </si>
  <si>
    <t>500f/plat</t>
  </si>
  <si>
    <t>Juiellet-Aout 250F/t</t>
  </si>
  <si>
    <t>Aout 600plat</t>
  </si>
  <si>
    <t>1000f/plat Aout-Sept</t>
  </si>
  <si>
    <t>pas de clients</t>
  </si>
  <si>
    <t>à la population</t>
  </si>
  <si>
    <t xml:space="preserve">on ne vend pas </t>
  </si>
  <si>
    <t>la population,les particuliers</t>
  </si>
  <si>
    <t>la vente est inviduelle</t>
  </si>
  <si>
    <t>nous somme prêt à vous vendre la qté demandé</t>
  </si>
  <si>
    <t>c'estopportunité d'avoir des partenaires</t>
  </si>
  <si>
    <t>amelioration de la qalité des nos produits(amandes, beurre)</t>
  </si>
  <si>
    <t>nous</t>
  </si>
  <si>
    <t>collette rapide, facilite les deplacement</t>
  </si>
  <si>
    <t xml:space="preserve">respect des contrats, </t>
  </si>
  <si>
    <t>pas de registe, manque de formation</t>
  </si>
  <si>
    <t>maintrise du système de transformation, possede des moyens de transformation</t>
  </si>
  <si>
    <t xml:space="preserve">Dans la zone il n'ya pas de gros d'acheteur </t>
  </si>
  <si>
    <t>pas de bonne voirie, voie en mauvaises etats</t>
  </si>
  <si>
    <t>on ne connait pas Karitis, dans de formation de leurs part</t>
  </si>
  <si>
    <t>Fourougnè</t>
  </si>
  <si>
    <t xml:space="preserve">Disshin </t>
  </si>
  <si>
    <t>Disshin seceteur1</t>
  </si>
  <si>
    <t>Jaceline</t>
  </si>
  <si>
    <t>dansl'optique de faciliciter  le travail et plus rentable</t>
  </si>
  <si>
    <t>evolution dans le travail,aides de la part des partenaires</t>
  </si>
  <si>
    <t>prendre en charges les depenses du groupement</t>
  </si>
  <si>
    <t>resolution des problemes</t>
  </si>
  <si>
    <t>en 2017  la qté est evaluée à 2plats de yoraba et 1plat en 2018</t>
  </si>
  <si>
    <t>foramtion, reunion</t>
  </si>
  <si>
    <t>meme village Disshin secteur1</t>
  </si>
  <si>
    <t>Boulmourtéon,Benvou,Navripkè</t>
  </si>
  <si>
    <t>par le chef du village</t>
  </si>
  <si>
    <t>jeunes</t>
  </si>
  <si>
    <t>Boulmourtéon,Benvou,Navripkè,Disshin</t>
  </si>
  <si>
    <t>pour la qualité et le temps gagné</t>
  </si>
  <si>
    <t xml:space="preserve">la grande majorité </t>
  </si>
  <si>
    <t>Aout-Octobre</t>
  </si>
  <si>
    <t>lorsqu'il y'a pas d'acheteurs chaque membre est autorisé à vendre individuellement</t>
  </si>
  <si>
    <t>250f</t>
  </si>
  <si>
    <t>300f/plat</t>
  </si>
  <si>
    <t>1000f</t>
  </si>
  <si>
    <t>pas de client</t>
  </si>
  <si>
    <t>la population,les particuliers,les touristes</t>
  </si>
  <si>
    <t>c'est opportunité d'avoir des partenaires</t>
  </si>
  <si>
    <t>cela va amelioré le travail,les gens vont octroyer des moyens necessaire pour produire plus</t>
  </si>
  <si>
    <t>gain de financement, facilite nos acuivités</t>
  </si>
  <si>
    <t>voir ce que vous demandé en temps et qualité</t>
  </si>
  <si>
    <t>octroyé l'argent en debu des activités</t>
  </si>
  <si>
    <t>ayantun bureau,pas de procedure de cooperative</t>
  </si>
  <si>
    <t>activités de transformation est collectives et maitrisé, maitrise la qté de beurre produite</t>
  </si>
  <si>
    <t>les collectent se font dans les champs souvent à petite superficie et les sites mais eloingnés  des collectrices</t>
  </si>
  <si>
    <t>champs de petites superficie, les site Meon est difficilement accesible</t>
  </si>
  <si>
    <t xml:space="preserve">pas de clients aux produit </t>
  </si>
  <si>
    <t>la voie est meilleure jusqu’à Disshin ville mais etroite et difficile verss les sites</t>
  </si>
  <si>
    <t>Tminatoura</t>
  </si>
  <si>
    <t>Disshin seceteur3</t>
  </si>
  <si>
    <t>Marie Moelle</t>
  </si>
  <si>
    <t>71 72 85 74</t>
  </si>
  <si>
    <t>recherche d'efficacité</t>
  </si>
  <si>
    <t xml:space="preserve">plus de visibilité dans nos activités,de production et de gain , </t>
  </si>
  <si>
    <t>fonctionner le groupement et méner des activités pour des benefices</t>
  </si>
  <si>
    <t>plus de rentabilité economique, plus de visibilité, aides avec les partenaires (Etat, ONG)</t>
  </si>
  <si>
    <t>yes(5plats/memebre en 2017 et 2018)</t>
  </si>
  <si>
    <t>meme village Disshin secteur3 et une femme de Méon</t>
  </si>
  <si>
    <t>les groupement collectent dans le site de Meon(km)et Bolomotéon(16km)</t>
  </si>
  <si>
    <t>Pied,velo</t>
  </si>
  <si>
    <t>Disshin Tovor,Kankanpèla,Sola,Meon,Kpomon</t>
  </si>
  <si>
    <t>au collectrices du meme village</t>
  </si>
  <si>
    <t>Disshin Sect3</t>
  </si>
  <si>
    <t>sem-mecanisé</t>
  </si>
  <si>
    <t>charrette</t>
  </si>
  <si>
    <t>4000f</t>
  </si>
  <si>
    <t>plus rapide et la qualité</t>
  </si>
  <si>
    <t>400f</t>
  </si>
  <si>
    <t>500f</t>
  </si>
  <si>
    <t>750f</t>
  </si>
  <si>
    <t xml:space="preserve">1000F/plat </t>
  </si>
  <si>
    <t>AAK</t>
  </si>
  <si>
    <t>population</t>
  </si>
  <si>
    <t>commercants du marché local, du Ghana, des acheteurs direct vers FADEPSO</t>
  </si>
  <si>
    <t>il nous rachette ce qu'il avait demandé</t>
  </si>
  <si>
    <t>vendre et faire ses benefices dans la mesure de renserver l'argent du produit au groupemnt</t>
  </si>
  <si>
    <t>Possibilité d'amelioré la qualité par le pretraitement, cela soulagera nos peines</t>
  </si>
  <si>
    <t>c'est un soutien dans nos activités</t>
  </si>
  <si>
    <t>permet de bien faire le travail</t>
  </si>
  <si>
    <t>confiance d'avoir des noix et amandes</t>
  </si>
  <si>
    <t>existance de registre, procedure de cooperative, bureau</t>
  </si>
  <si>
    <t>champs de petites superficie, les site de collcte est difficilement accesible</t>
  </si>
  <si>
    <t>gros acheteur FADEPSO</t>
  </si>
  <si>
    <t>Siyaba Sako</t>
  </si>
  <si>
    <t>accés facile</t>
  </si>
  <si>
    <t>villagoise</t>
  </si>
  <si>
    <t>Mimine</t>
  </si>
  <si>
    <t>on a eu des acheteurs</t>
  </si>
  <si>
    <t>stockage,transformation</t>
  </si>
  <si>
    <t>les charges du groupe</t>
  </si>
  <si>
    <t>augmentation du gain économique</t>
  </si>
  <si>
    <t>meme village Bouroum Bouroum</t>
  </si>
  <si>
    <t>Sébera(7km),Tikiena(9km),Bonfora(8km),Banlo(15km)</t>
  </si>
  <si>
    <t>à l'amiable</t>
  </si>
  <si>
    <t>autre femmes</t>
  </si>
  <si>
    <t>Bakora,Tébio</t>
  </si>
  <si>
    <t>aucne estimation</t>
  </si>
  <si>
    <t>3000f</t>
  </si>
  <si>
    <t>reduction de temps de travail et de peine</t>
  </si>
  <si>
    <t>nous ne vendons pas</t>
  </si>
  <si>
    <t>on ne vent pas mais le prix est de 400f/plat</t>
  </si>
  <si>
    <t>600f/plat</t>
  </si>
  <si>
    <t>800f/plat</t>
  </si>
  <si>
    <t>des racheteurs</t>
  </si>
  <si>
    <t>oui la vente du savon,du beurre peut se faire individuellement</t>
  </si>
  <si>
    <t>la qté demandé</t>
  </si>
  <si>
    <t>c'est une experience</t>
  </si>
  <si>
    <t>nous allons apprendre des nouvelles technique et methodes dans notre travail</t>
  </si>
  <si>
    <t>avoir des noix, des amandes de bonnes qualité</t>
  </si>
  <si>
    <t>par les respect des termes du contrat</t>
  </si>
  <si>
    <t>pas de procedures de cooperatives, pas de registre</t>
  </si>
  <si>
    <t>production faible</t>
  </si>
  <si>
    <t>esxistance de foret et des zones d'abondances dans les village voisins</t>
  </si>
  <si>
    <t>existances de foret</t>
  </si>
  <si>
    <t>pas degros acheteur</t>
  </si>
  <si>
    <t>accés difficiles aux forets et champs à cause de etat mauvais des routes</t>
  </si>
  <si>
    <t>pas de contacts(formation,reunion)</t>
  </si>
  <si>
    <t>Songtaba</t>
  </si>
  <si>
    <t>nous ne vendons que des amandes que nous rachetons auprès des colletrice</t>
  </si>
  <si>
    <t>formation</t>
  </si>
  <si>
    <t>nous ne collectons pas, nous achetons aupres des colletrice en ville, au marché</t>
  </si>
  <si>
    <t>chez les collectrices</t>
  </si>
  <si>
    <t>Sebera,Tieeno,Banlo,Bonfora</t>
  </si>
  <si>
    <t>acune reponse</t>
  </si>
  <si>
    <t>nous ne transformons pas</t>
  </si>
  <si>
    <t>Aout_Sept</t>
  </si>
  <si>
    <t>c'est notre activité principale, recherche de gain</t>
  </si>
  <si>
    <t>1000sacs de 1000kg</t>
  </si>
  <si>
    <t>2000f/tine</t>
  </si>
  <si>
    <t>2500f/plat</t>
  </si>
  <si>
    <t>3000f/tine</t>
  </si>
  <si>
    <t>un particulier qui paie et revend à AAK</t>
  </si>
  <si>
    <t>à condition de reversé la somme de la marchandise</t>
  </si>
  <si>
    <t>un racheteur au compte de AAK</t>
  </si>
  <si>
    <t>qté pas fixé, il nous rachete toute notre production</t>
  </si>
  <si>
    <t>Yes(si vous avez besion, nous pouvons racheter et vous vendre)</t>
  </si>
  <si>
    <t>c'est occasion d'apprendre plus</t>
  </si>
  <si>
    <t>nous ne transformons, dc nous ne pouvons repondre</t>
  </si>
  <si>
    <t>ameliorations dans nos activités, le rachats sera plus rapide</t>
  </si>
  <si>
    <t>avoir de produits à la bonne saison et de qualité</t>
  </si>
  <si>
    <t>obtenir le finacemeent au debut des activités</t>
  </si>
  <si>
    <t>ne transforme pas les noix en beurre</t>
  </si>
  <si>
    <t>difficile à evaluer car elles ne collettent pas</t>
  </si>
  <si>
    <t>Pas de justification</t>
  </si>
  <si>
    <t>on ne collete pas</t>
  </si>
  <si>
    <t>existance d'n gros acheteur AAK</t>
  </si>
  <si>
    <t>nos vente se deroule au bord de voie groudoné</t>
  </si>
  <si>
    <t>elles ont recu une foramation mais pas regulirere</t>
  </si>
  <si>
    <t>Eben Ezer</t>
  </si>
  <si>
    <t>accès difficile</t>
  </si>
  <si>
    <t>Implusé par la présidente</t>
  </si>
  <si>
    <t>accès facile au marché et meilleurs vente</t>
  </si>
  <si>
    <t>Toutes les activités sont en groupe(c'est un grouepement de femme ayant un handicape physique</t>
  </si>
  <si>
    <t>collective</t>
  </si>
  <si>
    <t>250f/mois</t>
  </si>
  <si>
    <t>meme village Nako</t>
  </si>
  <si>
    <t>Nous collectons que dans les forets(Vakara(7km) et Bourour(5km)</t>
  </si>
  <si>
    <t>Vakara(7km) et Bourour(5km)</t>
  </si>
  <si>
    <t>femmes au marché</t>
  </si>
  <si>
    <t>acune estimation</t>
  </si>
  <si>
    <t>Semi mecanisé</t>
  </si>
  <si>
    <t>gain de temps et plus de gain</t>
  </si>
  <si>
    <t>400F/plat</t>
  </si>
  <si>
    <t>250/plat</t>
  </si>
  <si>
    <t>la popluation</t>
  </si>
  <si>
    <t>recherche de gain financier</t>
  </si>
  <si>
    <t>pas de registre,pas de procedure de cooperatives</t>
  </si>
  <si>
    <t>leur activité principale</t>
  </si>
  <si>
    <t>potentiel forestiere et peu de collectrices</t>
  </si>
  <si>
    <t>existance de foret</t>
  </si>
  <si>
    <t xml:space="preserve">pas de d'acheteur de nos produits </t>
  </si>
  <si>
    <t>pas de bonne voirie</t>
  </si>
  <si>
    <t>pas de contact avec Karikis</t>
  </si>
  <si>
    <t>Cilana</t>
  </si>
  <si>
    <t>Tchourouafana</t>
  </si>
  <si>
    <t>se faire de plus de revenu</t>
  </si>
  <si>
    <t>obtention de gain economique</t>
  </si>
  <si>
    <t>nous ne transformons,on achete chez les collecteurs et on reveend;les achats se font en groupe</t>
  </si>
  <si>
    <t>Aout_Octobre</t>
  </si>
  <si>
    <t>gain financier,ameliorer notre qualité de vie</t>
  </si>
  <si>
    <t>100sacs</t>
  </si>
  <si>
    <t>500/plat</t>
  </si>
  <si>
    <t>il nos rachette ce que nous avons obtenu</t>
  </si>
  <si>
    <t>Yes(le contrat est verbal,il nous donne l'argent et on achete les amandes pour lui)</t>
  </si>
  <si>
    <t>pas fixe on le vendons ce que nous avons pu acheté</t>
  </si>
  <si>
    <t>il nous donne une somme et on rachete</t>
  </si>
  <si>
    <t>gain d'amande en temps opportun</t>
  </si>
  <si>
    <t>obtenir des amande en bonne qualité</t>
  </si>
  <si>
    <t>notre but c'est la commercialisation</t>
  </si>
  <si>
    <t>on un gros acheteur</t>
  </si>
  <si>
    <t>Oumarou</t>
  </si>
  <si>
    <t>beneficier facilement d'aide et d'approvisionnement</t>
  </si>
  <si>
    <t>plus de visibilité</t>
  </si>
  <si>
    <t>100000f</t>
  </si>
  <si>
    <t>les charges du groupe,achats des amandes</t>
  </si>
  <si>
    <t>30sacs</t>
  </si>
  <si>
    <t>40sacs</t>
  </si>
  <si>
    <t>reunion,formation,achats,credit(ils n'ont pas pu classer en fonction des années</t>
  </si>
  <si>
    <t>meme village bourou bouroum</t>
  </si>
  <si>
    <t>Barkpana,Dimolo,Dipeo,Tiyo,Ouargora</t>
  </si>
  <si>
    <t>Aout-sept-octobre</t>
  </si>
  <si>
    <t>350/plat</t>
  </si>
  <si>
    <t>Maman Karité est la principale acheteur, en plus des commercants au marché,</t>
  </si>
  <si>
    <t>se faire plus de benefice si le memebre suppose que la vent indviduelle est plus rentable</t>
  </si>
  <si>
    <t>Maman Karité</t>
  </si>
  <si>
    <t xml:space="preserve">pas fixe </t>
  </si>
  <si>
    <t xml:space="preserve">c'est du commerce, </t>
  </si>
  <si>
    <t>c'est une porte pour nous d'ameliorer nos services</t>
  </si>
  <si>
    <t>chez nous</t>
  </si>
  <si>
    <t>confiance d'avoir des noix et amandes  à la bonne periode</t>
  </si>
  <si>
    <t>bureau, siege, cotisation</t>
  </si>
  <si>
    <t>il ya beaucoup d'cheteur et beucoup de collecteur</t>
  </si>
  <si>
    <t>y'a des foret ou les femmes collectent mais trop de distance et accès difficil</t>
  </si>
  <si>
    <t>Maman Karité et aurtres gros commercant</t>
  </si>
  <si>
    <t>on achete souvent dans des village à accès difficile</t>
  </si>
  <si>
    <t>foramtion, reunion et vente de nos amandes</t>
  </si>
  <si>
    <t>Tegawendé</t>
  </si>
  <si>
    <t>Zarata</t>
  </si>
  <si>
    <t>sous l'initiative d'un parent</t>
  </si>
  <si>
    <t>nous recu d'aide ,plus de gain economique</t>
  </si>
  <si>
    <t>2000f</t>
  </si>
  <si>
    <t>le fonctionnement, les achats</t>
  </si>
  <si>
    <t>nous somme tous de bouroum-bouroum</t>
  </si>
  <si>
    <t>Sibera,Gonfera,Moulo,</t>
  </si>
  <si>
    <t>amande</t>
  </si>
  <si>
    <t>en 2017 et 2018 nous avons vendu 1180 sacs de 100kg</t>
  </si>
  <si>
    <t xml:space="preserve">la population </t>
  </si>
  <si>
    <t>apres la vente en groupe chacun est libre de vendre</t>
  </si>
  <si>
    <t xml:space="preserve">un racheteur </t>
  </si>
  <si>
    <t>le surplus</t>
  </si>
  <si>
    <t>c'est une experience de plus</t>
  </si>
  <si>
    <t>à cause de l'amelioration de la qualité de nos produits</t>
  </si>
  <si>
    <t>rachats rapide</t>
  </si>
  <si>
    <t>obtenir des amande rapidement</t>
  </si>
  <si>
    <t>il ya beaucoup d'cheteur et beucoup de collecteur  dans les sites</t>
  </si>
  <si>
    <t xml:space="preserve">pas d'acheteurs fixe, </t>
  </si>
  <si>
    <t>pas de formation,de reunion, et d'achats</t>
  </si>
  <si>
    <t>Ala Waal</t>
  </si>
  <si>
    <t>accès facile</t>
  </si>
  <si>
    <t>CISSE</t>
  </si>
  <si>
    <t>Aicha</t>
  </si>
  <si>
    <t>200f/plat</t>
  </si>
  <si>
    <t>un monsieur au compte de AAK</t>
  </si>
  <si>
    <t xml:space="preserve">les commercants </t>
  </si>
  <si>
    <t xml:space="preserve">                </t>
  </si>
  <si>
    <t>pas de procedures de cooperatives, pas de registre, elle eu du mal à estimer leur production,elles ne sont bien structuré</t>
  </si>
  <si>
    <t>Sud-ouest</t>
  </si>
  <si>
    <t>accèes facile</t>
  </si>
  <si>
    <t>SOME/DABIRE</t>
  </si>
  <si>
    <t>Implusé par l'eveque de s'unir pour mieux avancé dans le travail</t>
  </si>
  <si>
    <t>decouvertes des richesse du karité, plus de visibilité</t>
  </si>
  <si>
    <t>achats ,stockage,transformation, vente</t>
  </si>
  <si>
    <t>nous somme toutes de Gaoua</t>
  </si>
  <si>
    <t>nous ne collectons pas, nous achetons aupres des colletrice en ville, au marché et nous transformons</t>
  </si>
  <si>
    <t>nous ne collectons pas donc nous pouvons pas repondre</t>
  </si>
  <si>
    <t>chez les collecteurs aupres des femmes,jeunes</t>
  </si>
  <si>
    <t>les achats se vont en ville</t>
  </si>
  <si>
    <t>1200f/basine</t>
  </si>
  <si>
    <t>reduit le temps et allège des activités</t>
  </si>
  <si>
    <t>nous ne vendons les amandes on achete , le prix d'un plat de 2,5kg varie de 150f, 300f, à 400f</t>
  </si>
  <si>
    <t>150/plat</t>
  </si>
  <si>
    <t>400f/plat</t>
  </si>
  <si>
    <t>c'est une aide et une nouvelle experience</t>
  </si>
  <si>
    <t>aucune estimation, nous ne collectons pas donc difficile de repondre</t>
  </si>
  <si>
    <t>le rachat serat rapide</t>
  </si>
  <si>
    <t>vous allez avoir des amandes,noix de bon qualité</t>
  </si>
  <si>
    <t>respect des cotisation,existance d'un siege</t>
  </si>
  <si>
    <t>maitrise du systèm de transformation et peu moyen de tranformation</t>
  </si>
  <si>
    <t>il y'a du potentiel (foret), souent les noix pouris dans les forets</t>
  </si>
  <si>
    <t>existance des forets (Nako)</t>
  </si>
  <si>
    <t>achats se font en details, a la population, rarement les touristes fond la commande en gros</t>
  </si>
  <si>
    <t>les routes sont etroites, beaucoup de ravin</t>
  </si>
  <si>
    <t>pas de contact</t>
  </si>
  <si>
    <t>Kerbour</t>
  </si>
  <si>
    <t>DA/PALE</t>
  </si>
  <si>
    <t>implusé par Mme Zongo Laure née Hien dans le but d'avoir plus d'aide et occupé les femmes par une activité</t>
  </si>
  <si>
    <t>obtention d'aide au nieveau du projet PLAN, de l'action sociale</t>
  </si>
  <si>
    <t>100f/mois</t>
  </si>
  <si>
    <t>subvenir aux Charges du groupement, et à achats des amandes</t>
  </si>
  <si>
    <t>plus de benefice</t>
  </si>
  <si>
    <t>Holi 12km</t>
  </si>
  <si>
    <t>à l' amiable</t>
  </si>
  <si>
    <t xml:space="preserve">aupres des collecteurs de </t>
  </si>
  <si>
    <t>Nako(31km),Malba(45km),Helo(15km),Holi(12km)</t>
  </si>
  <si>
    <t>100% (30sacs de 100kg)</t>
  </si>
  <si>
    <t>100%(15sacs de 100kg)</t>
  </si>
  <si>
    <t>Broyage au moulin</t>
  </si>
  <si>
    <t>velo, tricycle</t>
  </si>
  <si>
    <t>3000f/2,5kg</t>
  </si>
  <si>
    <t>reduits la fatigue, gain de temps</t>
  </si>
  <si>
    <t>nous ne vendons les amandes on achete , le prix de 2,5kg varie de 250f, 300f,350f à 400f</t>
  </si>
  <si>
    <t>300/plat</t>
  </si>
  <si>
    <t>recherche profit</t>
  </si>
  <si>
    <t>c'est une nouvelle occassion pour nous d'avoir des parteniares</t>
  </si>
  <si>
    <t>notre but c'est avoir plus gain, si vous etes prets dans un accord bien etabli nous allons vous en livré</t>
  </si>
  <si>
    <t>motivation des memebres dans les achats</t>
  </si>
  <si>
    <t>avoir les produits demandé au momment opportun</t>
  </si>
  <si>
    <t>c'est premiere pour nous, nous vous demandons de respecter les engagements</t>
  </si>
  <si>
    <t>respect despricipes du groupement, cotisation</t>
  </si>
  <si>
    <t>existance des forets (Nako,Malba,Helo,Holi)</t>
  </si>
  <si>
    <t>achats se font en details, a la population,</t>
  </si>
  <si>
    <t>Association Femme Catholiques</t>
  </si>
  <si>
    <t>DA/PODA</t>
  </si>
  <si>
    <t>Oho Victorienne</t>
  </si>
  <si>
    <t>à la recherche de plus de gain</t>
  </si>
  <si>
    <t xml:space="preserve">PLus de visibilité,de production et de gain , </t>
  </si>
  <si>
    <t>200/mois</t>
  </si>
  <si>
    <t>pour les achats,</t>
  </si>
  <si>
    <t>Tiekora,Dipeo,Bousera</t>
  </si>
  <si>
    <t>les femmes, les jeunes</t>
  </si>
  <si>
    <t>Gaoua,Bouroum-Bouroum,Kampti et Diebougou</t>
  </si>
  <si>
    <t>100% une tonne</t>
  </si>
  <si>
    <t>100% pas de quantité precise</t>
  </si>
  <si>
    <t>facilite le travail et ameliore la qualité des noix</t>
  </si>
  <si>
    <t>les etrangés, les touristes,</t>
  </si>
  <si>
    <t>plus d'achat et de motivation dans le travail</t>
  </si>
  <si>
    <t>il faut d'abord respecter les engagements ensuite on parlera de la suite</t>
  </si>
  <si>
    <t>specialisé dans la transformation en beurre</t>
  </si>
  <si>
    <t>il y'a du potentiel (foret), selon les collecteurs les noix pouris dans les forets</t>
  </si>
  <si>
    <t>Tangha Boulossi</t>
  </si>
  <si>
    <t xml:space="preserve">Kambou </t>
  </si>
  <si>
    <t>Marie Odille</t>
  </si>
  <si>
    <t>78 94 21 20</t>
  </si>
  <si>
    <t>pour permettre aux memebres d'avoir plus de moyen/aides pour travailler</t>
  </si>
  <si>
    <t>Esprit d'equipe,renforcement de la cohesion sociale</t>
  </si>
  <si>
    <t>nous achetons au merché de Holly,de helo, de Doudou</t>
  </si>
  <si>
    <t>Holly et Helo 12km, Doudou 14km</t>
  </si>
  <si>
    <t>100% (5sacs de 100kg)</t>
  </si>
  <si>
    <t>100% (3sacs de 100kg)</t>
  </si>
  <si>
    <t>nous ne vendons les amandes on achete , le prix d'un plat de 2,5kg à varié en 2018 de 300f, 400f, à 750f</t>
  </si>
  <si>
    <t>population dans les marché et boutiques, lors des foires</t>
  </si>
  <si>
    <t>recherche profit, amelioré son gain</t>
  </si>
  <si>
    <t xml:space="preserve">pour avoir plus d'experience,avoir des nouvelles methodes entrant dans le pretraitement </t>
  </si>
  <si>
    <t>facilite l'approvisionnemet</t>
  </si>
  <si>
    <t>avoir des noix,amande à la bonne periode</t>
  </si>
  <si>
    <t>AZ-OK</t>
  </si>
  <si>
    <t>IOBA</t>
  </si>
  <si>
    <t>Kawkampèlè/alawgnè</t>
  </si>
  <si>
    <t>moindre</t>
  </si>
  <si>
    <t>Provinciale</t>
  </si>
  <si>
    <t xml:space="preserve">MEDA </t>
  </si>
  <si>
    <t>Sawbèka</t>
  </si>
  <si>
    <t xml:space="preserve">Groupement </t>
  </si>
  <si>
    <t>Initiative des femmes</t>
  </si>
  <si>
    <t>Renouvellement du bureau</t>
  </si>
  <si>
    <t>Non encore Obtenu</t>
  </si>
  <si>
    <t>néant</t>
  </si>
  <si>
    <t>stockage et transformation</t>
  </si>
  <si>
    <t>en groupe</t>
  </si>
  <si>
    <t>2500 fcfa/an</t>
  </si>
  <si>
    <t>achat et transport des amendes</t>
  </si>
  <si>
    <t>partage d'expérience; formation; revenus élévés</t>
  </si>
  <si>
    <t>2 sacs de 120 kg</t>
  </si>
  <si>
    <t>4 sacs de 120 kg</t>
  </si>
  <si>
    <t>Achat</t>
  </si>
  <si>
    <t>Kawkanpèlè</t>
  </si>
  <si>
    <t>Lawgnè</t>
  </si>
  <si>
    <t>/</t>
  </si>
  <si>
    <t>réserve de Bontioli</t>
  </si>
  <si>
    <t>amendes</t>
  </si>
  <si>
    <t>femmes individuelles</t>
  </si>
  <si>
    <t>Lawgnè-Djikologo</t>
  </si>
  <si>
    <t>4/10 du stock</t>
  </si>
  <si>
    <t>3/10 du stock</t>
  </si>
  <si>
    <t>Majorité manuelle</t>
  </si>
  <si>
    <t>Broyage</t>
  </si>
  <si>
    <t>50 fcfa/3kg</t>
  </si>
  <si>
    <t>Moins de fatigue, gain de temps</t>
  </si>
  <si>
    <t>aucune période</t>
  </si>
  <si>
    <t>250fcfa/3kg</t>
  </si>
  <si>
    <t>Juin 300 fcfa/3 kg</t>
  </si>
  <si>
    <t>Septembre:450 fcfa</t>
  </si>
  <si>
    <t>Novembre 1000 fcfa</t>
  </si>
  <si>
    <t>1000 fcfa/3kg</t>
  </si>
  <si>
    <t>amendes/Karikis</t>
  </si>
  <si>
    <t>Karikis</t>
  </si>
  <si>
    <t>marché local et revendeurs à Ouaga</t>
  </si>
  <si>
    <t>chaque jour de marché et les prix vont de 300fcfa à 1000fcfa selon la période</t>
  </si>
  <si>
    <t>le volume que Karikis ne pourra pas acheter</t>
  </si>
  <si>
    <t>elles s'adapteront</t>
  </si>
  <si>
    <t>gain de temps-allège la difficulté- augmentera la production</t>
  </si>
  <si>
    <t xml:space="preserve">Chez elles si la quantité est moindre. Au centre pour les grosses quantités </t>
  </si>
  <si>
    <t>la totalité</t>
  </si>
  <si>
    <t>motivation de collecte-peuvent acheter quand les prix sont toujours bas-subvient immédiatement aux besoins</t>
  </si>
  <si>
    <t>motivation de collecte-fidéloté-re</t>
  </si>
  <si>
    <t>préfinancer tôt avant le début de la saison</t>
  </si>
  <si>
    <t>il ya un bureau mais qui peine à très bien fonctionner</t>
  </si>
  <si>
    <t>la réserve de Bontioli est un  très grand atout pour le groupement</t>
  </si>
  <si>
    <t>les étrangers peuvent collecter-aucun conflit</t>
  </si>
  <si>
    <t>la réserve de Bontioli présente de fortes potentialités non encore exploitées</t>
  </si>
  <si>
    <t>A part Karikis, il n'ya que des petits commerçants locaux</t>
  </si>
  <si>
    <t>proche du goudron mais ils ne disposent pas bâtiments et d'équipements</t>
  </si>
  <si>
    <t>très fidélisés à Karikis</t>
  </si>
  <si>
    <t>Jeannette</t>
  </si>
  <si>
    <t>72 80 64 93</t>
  </si>
  <si>
    <t>Coopérative</t>
  </si>
  <si>
    <t>A partir du projet "Coton bio'</t>
  </si>
  <si>
    <t>obtention du statut de coopérative</t>
  </si>
  <si>
    <t>transformation</t>
  </si>
  <si>
    <t>1000fcfa/an</t>
  </si>
  <si>
    <t>solidarité-transport des amendes</t>
  </si>
  <si>
    <t>1 sac de 120 kg</t>
  </si>
  <si>
    <t>3 sacs de 120 kg</t>
  </si>
  <si>
    <t>réunion</t>
  </si>
  <si>
    <t>v1-Djikologo</t>
  </si>
  <si>
    <t>transport 9000 fcfa; broyage 3000/ 300 kg</t>
  </si>
  <si>
    <t>Juin 350 fcfa/3kg</t>
  </si>
  <si>
    <t>Septembre:500 fcfa</t>
  </si>
  <si>
    <t>ne peuvent estimer dépendra de la production</t>
  </si>
  <si>
    <t>elles vont essayer de s'adapter</t>
  </si>
  <si>
    <t>gain de temps-allège la difficulté</t>
  </si>
  <si>
    <t>préfinancer tôt avant le début de la saison et plus de préfinancement</t>
  </si>
  <si>
    <t>le bureau fonctinnement mais à besoin d'être bien accompagné</t>
  </si>
  <si>
    <t>les étrangers ne peuvent pas collecter mais aucun conflit</t>
  </si>
  <si>
    <t>Louhaziè</t>
  </si>
  <si>
    <t>Initiative des femmes pour une plus grande efficaité</t>
  </si>
  <si>
    <t>demande de coopérative</t>
  </si>
  <si>
    <t>12 kg d'amendes</t>
  </si>
  <si>
    <t>aucun quota</t>
  </si>
  <si>
    <t>Sièglo</t>
  </si>
  <si>
    <t>chef de Siègro</t>
  </si>
  <si>
    <t>le groupement Inien</t>
  </si>
  <si>
    <t>700 fcfa/15 plats</t>
  </si>
  <si>
    <t>Juin 350 fcfa/3 kg</t>
  </si>
  <si>
    <t>marché local et revendeurs à Diebougou</t>
  </si>
  <si>
    <t>2 sacs de 120 kg pour cette saison</t>
  </si>
  <si>
    <t>tant que cela faciliterait les tâches</t>
  </si>
  <si>
    <t xml:space="preserve">Chez elles, les quantités destinées aux petites consommations familiales. Au centre pour les grosses quantités </t>
  </si>
  <si>
    <t>peu difficile</t>
  </si>
  <si>
    <t>Zorokuih</t>
  </si>
  <si>
    <t>61 20 08 80</t>
  </si>
  <si>
    <t>Initiative de Mme PODA</t>
  </si>
  <si>
    <t>noix de néré</t>
  </si>
  <si>
    <t>100 fcfa/mois</t>
  </si>
  <si>
    <t>achat - transport- solidarité- pourobteniir l'agrément de coopérative</t>
  </si>
  <si>
    <t>Rapporte plus- partage d'expérience30 kg par femmes</t>
  </si>
  <si>
    <t>formation en élevage de porcs-</t>
  </si>
  <si>
    <t>transformation du karité</t>
  </si>
  <si>
    <t>Dombin</t>
  </si>
  <si>
    <t>moindre dans la dréserve de Bontioli mais possible</t>
  </si>
  <si>
    <t>femmes individuelles et souvent certains autres groupements</t>
  </si>
  <si>
    <t>2/10 du stock</t>
  </si>
  <si>
    <t>75 fcfa/ 3kg</t>
  </si>
  <si>
    <t>gain de temps et broyage de grandes quantités</t>
  </si>
  <si>
    <t>160 kg</t>
  </si>
  <si>
    <t>le bureau fonctinne mais à besoin d'être bien accompagné</t>
  </si>
  <si>
    <t>la réserve de Bontioli est un atout mais le groupement ne l'exploite pas d'abord</t>
  </si>
  <si>
    <t>fidélisés à Karikis</t>
  </si>
  <si>
    <t>Yawtaa- Eka</t>
  </si>
  <si>
    <t>Tovor</t>
  </si>
  <si>
    <t>très difficile</t>
  </si>
  <si>
    <t>Marcelline</t>
  </si>
  <si>
    <t>69 65 52 56</t>
  </si>
  <si>
    <t>1000 fcfa/an</t>
  </si>
  <si>
    <t>solidarité-transport-achat des amendes</t>
  </si>
  <si>
    <t>partage d'expérience; revenus élévés</t>
  </si>
  <si>
    <t>120 kg</t>
  </si>
  <si>
    <t>240 kg</t>
  </si>
  <si>
    <t>partage mais non obligatoire</t>
  </si>
  <si>
    <t>la brousse de Tovor</t>
  </si>
  <si>
    <t>femmes individuelles et les jeunes de Tovor qui collectent</t>
  </si>
  <si>
    <t>1/10 du stock</t>
  </si>
  <si>
    <t>vélo</t>
  </si>
  <si>
    <t>125 fcfa/ 3 kg</t>
  </si>
  <si>
    <t>une grande quantité d'amende peut être traitée à la fois</t>
  </si>
  <si>
    <t>200 fcfa/3kg</t>
  </si>
  <si>
    <t>Juin 200 fcfa/3kg</t>
  </si>
  <si>
    <t>Novembre 800 fcfa</t>
  </si>
  <si>
    <t>800 fcfa/3kg</t>
  </si>
  <si>
    <t>amendes/Commerçant basé à Ouagadougou</t>
  </si>
  <si>
    <t>Etranger de Ouagadougou</t>
  </si>
  <si>
    <t>responsabilise des personnes de Tovor pour acheter et stocker</t>
  </si>
  <si>
    <t>Lorsque le client de Ouagadougou n'est pas encore prêt</t>
  </si>
  <si>
    <t>tout le volume car le client de Ouaga n'est pas régulier</t>
  </si>
  <si>
    <t>Elles s'y adapteront</t>
  </si>
  <si>
    <t>gain de temps-allège la difficulté-réduira peut-être la distance qu'elles parcourent pour payer le service</t>
  </si>
  <si>
    <t>Elles recherchent d'abord la fidélisation d'un client qui acceptera les préfinancer</t>
  </si>
  <si>
    <t>une bonne partie de la brousse n'est pas encore exploitée</t>
  </si>
  <si>
    <t>Elles peuvent ratisser encore pour recolter davantage</t>
  </si>
  <si>
    <t>il n'ya qu'un client qui n'est pas non plus régulier</t>
  </si>
  <si>
    <t>Eloigné du goudron, la voie est en plus d'une très mauvaise qualité</t>
  </si>
  <si>
    <t>Aucune relation avec Karikis</t>
  </si>
  <si>
    <t>Gnawingsoum</t>
  </si>
  <si>
    <t>Appoline</t>
  </si>
  <si>
    <t>58 78 20 82</t>
  </si>
  <si>
    <t>Soumbala</t>
  </si>
  <si>
    <t>500/mois</t>
  </si>
  <si>
    <t>partage d'expérience;revenus élévés</t>
  </si>
  <si>
    <t>24 kg</t>
  </si>
  <si>
    <t>900 litres</t>
  </si>
  <si>
    <t>1/2 du stock</t>
  </si>
  <si>
    <t>1/4 du stock</t>
  </si>
  <si>
    <t>lorsque le groupement manque de moyens pour acheter</t>
  </si>
  <si>
    <t>le volume qui ne sera pas transformé</t>
  </si>
  <si>
    <t>Elles pourront s'adapter</t>
  </si>
  <si>
    <t>allège la difficulté- augmentera la production</t>
  </si>
  <si>
    <t>le groupement est assez bien organisé</t>
  </si>
  <si>
    <t xml:space="preserve">KAMBIRE </t>
  </si>
  <si>
    <t>Marie Hortense</t>
  </si>
  <si>
    <t>74 72 53 74</t>
  </si>
  <si>
    <t>Impulsion de Mme Poda</t>
  </si>
  <si>
    <t>Soumbala/dolo</t>
  </si>
  <si>
    <t>1100 fcfa/mois</t>
  </si>
  <si>
    <t>48 kg</t>
  </si>
  <si>
    <t>Dissin - sect 1</t>
  </si>
  <si>
    <t>la brousse de Dissin</t>
  </si>
  <si>
    <t xml:space="preserve">femmes individuelles </t>
  </si>
  <si>
    <t>100 fcfa/3 kg</t>
  </si>
  <si>
    <t>marché de Dissin</t>
  </si>
  <si>
    <t>viennent eux-mêmes au marché</t>
  </si>
  <si>
    <t>500 litres</t>
  </si>
  <si>
    <t>la deamade est prononcée à Dissin</t>
  </si>
  <si>
    <t>les étrangers peuvent collecter mais les femmes sont nombreuses</t>
  </si>
  <si>
    <t>la brousse est toujours fructueuse mais les femmes qui collectent sont de plus en plus nombreuses</t>
  </si>
  <si>
    <t xml:space="preserve">Très proche du goudron </t>
  </si>
  <si>
    <t>Association Maaka de Batié</t>
  </si>
  <si>
    <t>Christine</t>
  </si>
  <si>
    <t>Soumbala/riz etuvé</t>
  </si>
  <si>
    <t>500fcfa/mois</t>
  </si>
  <si>
    <t>36kg</t>
  </si>
  <si>
    <t>Batié-sect 1</t>
  </si>
  <si>
    <t>la brousse de koudjo</t>
  </si>
  <si>
    <t>Batié/koudjo/medebdo</t>
  </si>
  <si>
    <t>6tones</t>
  </si>
  <si>
    <t>semimecanisé</t>
  </si>
  <si>
    <t>concasseur,torefacteur non encore fonctionnel</t>
  </si>
  <si>
    <t>Broyage,pretraitement</t>
  </si>
  <si>
    <t>1750f/8plats</t>
  </si>
  <si>
    <t>500fcfa/3kg</t>
  </si>
  <si>
    <t>Juin 500fcfa/3kg</t>
  </si>
  <si>
    <t>Septembre:750 fcfa</t>
  </si>
  <si>
    <t>1000fcfa/3kg</t>
  </si>
  <si>
    <t>travaillaient avec Aak</t>
  </si>
  <si>
    <t>commercant bobolais et ouagalais</t>
  </si>
  <si>
    <t>fils de Batié residant à ouaga</t>
  </si>
  <si>
    <t>le bureau fonctionne bien</t>
  </si>
  <si>
    <t>elles peuvent ellargir leur zone d'action</t>
  </si>
  <si>
    <t>travaillaient avec AAK et autres commercants mais elles ont arreté</t>
  </si>
  <si>
    <t>très éloigné de Gaoua et la voie est impraticable</t>
  </si>
  <si>
    <t>Soung-taa yirmal</t>
  </si>
  <si>
    <t>koudjo</t>
  </si>
  <si>
    <t>Dalo</t>
  </si>
  <si>
    <t>Initié par le pasteur du village</t>
  </si>
  <si>
    <t>Aucune cotisation</t>
  </si>
  <si>
    <t>Fonctionnement</t>
  </si>
  <si>
    <t>24kg</t>
  </si>
  <si>
    <t>chef de koudjo</t>
  </si>
  <si>
    <t>soung taa yirmal</t>
  </si>
  <si>
    <t>zone pastorale</t>
  </si>
  <si>
    <t>1500f/30kg</t>
  </si>
  <si>
    <t>octobre-novembre</t>
  </si>
  <si>
    <t>subvenir aux besoins primaires</t>
  </si>
  <si>
    <t>100fc/kg</t>
  </si>
  <si>
    <t>Juin 150fcfa/kg</t>
  </si>
  <si>
    <t>Septembre:200 fcfa</t>
  </si>
  <si>
    <t>Novembre 300 fcfa</t>
  </si>
  <si>
    <t>300fcfa/3kg</t>
  </si>
  <si>
    <t>groupements de Batié Gaoua</t>
  </si>
  <si>
    <t>marché de Batié</t>
  </si>
  <si>
    <t>viennent au marché de Batié ou de Koudjo</t>
  </si>
  <si>
    <t>950 kg</t>
  </si>
  <si>
    <t xml:space="preserve">peuvent se conformer </t>
  </si>
  <si>
    <t>elles peuvent mettre à profit la zone sécurisée</t>
  </si>
  <si>
    <t>a part quelques femmes de Batié qui y collectent la saturation foncière</t>
  </si>
  <si>
    <t>Une opportunité avec la zone sécurisée</t>
  </si>
  <si>
    <t>aucun client potentiel</t>
  </si>
  <si>
    <t>Zantar</t>
  </si>
  <si>
    <t>Ikoro</t>
  </si>
  <si>
    <t>63 38 16 60</t>
  </si>
  <si>
    <t>Initié par Mme SOME Ikoro</t>
  </si>
  <si>
    <t>solisarité et achat d'amendes</t>
  </si>
  <si>
    <t>vie sociale animée, revenus importants</t>
  </si>
  <si>
    <t>72 kg</t>
  </si>
  <si>
    <t>Batié-sect 3</t>
  </si>
  <si>
    <t>Partage des revenus</t>
  </si>
  <si>
    <t>la brousse de Mediabdou</t>
  </si>
  <si>
    <t>femmes individuelles et groupement de Koudjô</t>
  </si>
  <si>
    <t>Barate, torefacteur, moulin, concasseur</t>
  </si>
  <si>
    <t xml:space="preserve">Broyage, compression </t>
  </si>
  <si>
    <t>Siège Zantar</t>
  </si>
  <si>
    <t>allège les tâches du centre</t>
  </si>
  <si>
    <t>500 Fcfa/3kg</t>
  </si>
  <si>
    <t>Septembre:750 fcfa/3kg</t>
  </si>
  <si>
    <t>Novembre 1000 fcfa/3kg</t>
  </si>
  <si>
    <t>1000fcfa</t>
  </si>
  <si>
    <t>Aucun officiel/ Bobolais/Ouagalais</t>
  </si>
  <si>
    <t>commerçants bobolais/ouagalais</t>
  </si>
  <si>
    <t>Marché de Batié, Gaoua</t>
  </si>
  <si>
    <t xml:space="preserve">viennent au marché de Batié </t>
  </si>
  <si>
    <t>Peuvent vendre la totalité du volume destiné à la vente au projet</t>
  </si>
  <si>
    <t>Elles sont capables de s'adapter</t>
  </si>
  <si>
    <t>cela renforcera davantage le matériel qu'elles ont déjaà</t>
  </si>
  <si>
    <t>Le groupement est très bien organisé</t>
  </si>
  <si>
    <t>elles peuvent élargir la zone d'action jusqu'au carrefour de Gnèmien</t>
  </si>
  <si>
    <t>les étrangers ne peuvent pas collecter mais les femmes sont semi-urbaines donc ont tentance à ne plus collecter</t>
  </si>
  <si>
    <t>Koudjô, Mediabdou, Gnemien présnetent d'énormes potentialités qui peuvent être exploitées</t>
  </si>
  <si>
    <t>secteur 2</t>
  </si>
  <si>
    <t>OUATTARA</t>
  </si>
  <si>
    <t>Extension de l'association Benkelema</t>
  </si>
  <si>
    <t>500 fcfa/mois</t>
  </si>
  <si>
    <t>partage d'expérience</t>
  </si>
  <si>
    <t>batié-sect 2</t>
  </si>
  <si>
    <t>Femmes individuelles</t>
  </si>
  <si>
    <t>1500fcfa/30kg</t>
  </si>
  <si>
    <t>150 fcfa/kg</t>
  </si>
  <si>
    <t>Septembre:175 fcfa/kg</t>
  </si>
  <si>
    <t>Novembre 200 fcfa/kg</t>
  </si>
  <si>
    <t>200 fcfa</t>
  </si>
  <si>
    <t>aucun officiel/commerçants et groupements de Gaoua surtout</t>
  </si>
  <si>
    <t>commerçants de Gaoua</t>
  </si>
  <si>
    <t>Groupements de Gaoua</t>
  </si>
  <si>
    <t>OLVEA/FADEPSO</t>
  </si>
  <si>
    <t>Commerçants de Ouagadougou</t>
  </si>
  <si>
    <t>OLVEA</t>
  </si>
  <si>
    <t>FADEPSO/OLVEA dénotent la concurrence</t>
  </si>
  <si>
    <t>secteur 3</t>
  </si>
  <si>
    <t>Zalissa</t>
  </si>
  <si>
    <t>76 11 51 58</t>
  </si>
  <si>
    <t>volonté de travailler en commun</t>
  </si>
  <si>
    <t>3000fcfa/an</t>
  </si>
  <si>
    <t>vie sociale animée, revenus plus importants</t>
  </si>
  <si>
    <t>60 kg</t>
  </si>
  <si>
    <t>Maire de Nako</t>
  </si>
  <si>
    <t xml:space="preserve">Le groupement </t>
  </si>
  <si>
    <t>la brousse entre Boroum-Boroum et Nako</t>
  </si>
  <si>
    <t>2/3 du stock</t>
  </si>
  <si>
    <t>200fcfa/kg</t>
  </si>
  <si>
    <t>Mois d'Aout</t>
  </si>
  <si>
    <t>300 fcfa/3kg</t>
  </si>
  <si>
    <t>Juin 300fcfa/3kg</t>
  </si>
  <si>
    <t>Septembre:400 fcfa/3kg</t>
  </si>
  <si>
    <t>Novembre 600 fcfa/3kg</t>
  </si>
  <si>
    <t>600 fcfa</t>
  </si>
  <si>
    <t>Commerçants de Bobo</t>
  </si>
  <si>
    <t>commerçants de Bobo</t>
  </si>
  <si>
    <t>Marché de Nako</t>
  </si>
  <si>
    <t>viennent directement au marché de Nako</t>
  </si>
  <si>
    <t>peuvent vendre la totalité du volume destiné à la vente au projet</t>
  </si>
  <si>
    <t>le bureau fonctionne bien et il a une longue expérience dans la filière</t>
  </si>
  <si>
    <t>elles peuvent augmenter la collecter si elles sont sures de pouvoir tout écouler</t>
  </si>
  <si>
    <t xml:space="preserve">elles ne collectaient pas beaucoup car elles ne pouvaient pas tout écouler </t>
  </si>
  <si>
    <t>SINEKA</t>
  </si>
  <si>
    <t>secteur 1</t>
  </si>
  <si>
    <t>Sogate</t>
  </si>
  <si>
    <t>61 68 64 61</t>
  </si>
  <si>
    <t>2500fcfa/an</t>
  </si>
  <si>
    <t>aucun officiel/commerçants de Boroum-Boroum</t>
  </si>
  <si>
    <t>commerçants de Boroum-Boroum</t>
  </si>
  <si>
    <t>Sabarakadi</t>
  </si>
  <si>
    <t>74 96 92 17</t>
  </si>
  <si>
    <t>250 fcfa/semaine</t>
  </si>
  <si>
    <t>pied/vélo</t>
  </si>
  <si>
    <t>nako</t>
  </si>
  <si>
    <t>aucun officiel</t>
  </si>
  <si>
    <t>elles sont à majorité jeunes donc peuvent augmenter la collecte</t>
  </si>
  <si>
    <t>leur jeunesse est un grand atout pour le Dabo</t>
  </si>
  <si>
    <t>Siwintaa</t>
  </si>
  <si>
    <t>secteur 4</t>
  </si>
  <si>
    <t>Blandine</t>
  </si>
  <si>
    <t>75 23 16 49</t>
  </si>
  <si>
    <t>2700fcfa/3mois</t>
  </si>
  <si>
    <t>cohésion des femmes du secteur</t>
  </si>
  <si>
    <t>en partance pour Batié</t>
  </si>
  <si>
    <t>Commerçants au marché de Gaoua</t>
  </si>
  <si>
    <t>1500fcfa/10kg</t>
  </si>
  <si>
    <t>marchands</t>
  </si>
  <si>
    <t>marché de Gaoua</t>
  </si>
  <si>
    <t>se rencontrent au marché de Gaoua</t>
  </si>
  <si>
    <t>l'urbanité de la zone fait que les amendes ne sont pas disponible</t>
  </si>
  <si>
    <t>la brousse fructueuse est très éloignée de la ville</t>
  </si>
  <si>
    <t>Baffoudji Nombiel</t>
  </si>
  <si>
    <t>69 14 76 25</t>
  </si>
  <si>
    <t>1200fcfa/an</t>
  </si>
  <si>
    <t>achat-solidarité</t>
  </si>
  <si>
    <t>à la rentrée de Gaoua à 10km de la cité des forces vives</t>
  </si>
  <si>
    <t>240kg</t>
  </si>
  <si>
    <t>9/10 du stock</t>
  </si>
  <si>
    <t>un fils installé à Ouaga</t>
  </si>
  <si>
    <t>aucun client potentiel à part le fils basé à Ouaga</t>
  </si>
  <si>
    <t>Baa N luu</t>
  </si>
  <si>
    <t>ILBOUDO</t>
  </si>
  <si>
    <t>Larba</t>
  </si>
  <si>
    <t>70 59 45 04</t>
  </si>
  <si>
    <t>Soumbala/sachet plastique</t>
  </si>
  <si>
    <t>pour plus d'influence</t>
  </si>
  <si>
    <t>Groupements de Bormou-Boroum/Batié/Nako</t>
  </si>
  <si>
    <t>Boroum-Borum/Nako-Bati2</t>
  </si>
  <si>
    <t>torrefacteur/concasseur</t>
  </si>
  <si>
    <t>Broyage/prétraitement</t>
  </si>
  <si>
    <t>renforce l'équipement déjà acquis,une grande quantité d'amende peut être traitée à la fois</t>
  </si>
  <si>
    <t>gain de temps-allège la difficulté-renforce le matériel du groupement</t>
  </si>
  <si>
    <t>aucun client potentiel mais ils sont financés par le Fond d'Intervention pour l'Environnement</t>
  </si>
  <si>
    <t>3. Distanc goudron</t>
  </si>
  <si>
    <t>Niorognè</t>
  </si>
  <si>
    <t>Aucune difficulté</t>
  </si>
  <si>
    <t>Fanta</t>
  </si>
  <si>
    <t>65 71 94 76</t>
  </si>
  <si>
    <t>renouvellement du bureau et adhesion de nouveaux membres</t>
  </si>
  <si>
    <t>Non encore obtenu</t>
  </si>
  <si>
    <t xml:space="preserve">Stockage </t>
  </si>
  <si>
    <t>Neant</t>
  </si>
  <si>
    <t>200/semaine</t>
  </si>
  <si>
    <t>Fonctionnement ;social</t>
  </si>
  <si>
    <t>Augmentation des revenus;partage d'expérience</t>
  </si>
  <si>
    <t>Aucune</t>
  </si>
  <si>
    <t>Reunion</t>
  </si>
  <si>
    <t>Brousse de Goumi</t>
  </si>
  <si>
    <t>femmes idividuelles</t>
  </si>
  <si>
    <t>Goumi,Bouldie</t>
  </si>
  <si>
    <t>manuelle</t>
  </si>
  <si>
    <t>75f/3kg</t>
  </si>
  <si>
    <t>moindre fatigue et gain de temps</t>
  </si>
  <si>
    <t>Auccune</t>
  </si>
  <si>
    <t>Aucune vente</t>
  </si>
  <si>
    <t>250f/3kg</t>
  </si>
  <si>
    <t>Juin 350f/3kg</t>
  </si>
  <si>
    <t>Septembre 500f/3kg</t>
  </si>
  <si>
    <t>Novembre 7500f/3kg</t>
  </si>
  <si>
    <t>Jeanne KASSANE</t>
  </si>
  <si>
    <t>union</t>
  </si>
  <si>
    <t>Marche local,union</t>
  </si>
  <si>
    <t>ce que Jeanne pourra achete</t>
  </si>
  <si>
    <t>On attend pour experimenter et on s'adaptera vu qu'on aura pas a faire le reste du processus du travail</t>
  </si>
  <si>
    <t>Gain de temps,allège notre souffrance</t>
  </si>
  <si>
    <t>motivation de collecte-fidélité-re</t>
  </si>
  <si>
    <t>Elles peuvent ellargir leur zone d'action au cas où elles auront un client qui puisse acheter beaucoup</t>
  </si>
  <si>
    <t>aucun client potentiel à part Jeanne</t>
  </si>
  <si>
    <t>pas très loin  du goudron mais ils ne disposent pas bâtiments et d'équipements</t>
  </si>
  <si>
    <t>Sodjir</t>
  </si>
  <si>
    <t>75 19 89 78</t>
  </si>
  <si>
    <t>Soumbala haricot</t>
  </si>
  <si>
    <t>100/semaine</t>
  </si>
  <si>
    <t>social-achat fonctionnement</t>
  </si>
  <si>
    <t>Reunion-formation</t>
  </si>
  <si>
    <t>brousse de sodjir</t>
  </si>
  <si>
    <t>Bakondo de Doolo</t>
  </si>
  <si>
    <t>54 13 89 21</t>
  </si>
  <si>
    <t>Impulsion de Jeanne</t>
  </si>
  <si>
    <t>1000/an</t>
  </si>
  <si>
    <t xml:space="preserve">Reunion </t>
  </si>
  <si>
    <t>Champs de Didyr</t>
  </si>
  <si>
    <t>social</t>
  </si>
  <si>
    <t>septembre 500f/3kg</t>
  </si>
  <si>
    <t>5sacs de 120kg</t>
  </si>
  <si>
    <t>un peu saturé mais peuvent ratisser encore pour recolter davantage</t>
  </si>
  <si>
    <t>Très proche du goudron</t>
  </si>
  <si>
    <t>N'tounou</t>
  </si>
  <si>
    <t>un peu difficile</t>
  </si>
  <si>
    <t>villageoise</t>
  </si>
  <si>
    <t>66 19 20 36</t>
  </si>
  <si>
    <t>Changement de statut-adhesion de nouveaux membres</t>
  </si>
  <si>
    <t>Haricot</t>
  </si>
  <si>
    <t>N'Tounou</t>
  </si>
  <si>
    <t>Brousse de Ladiou</t>
  </si>
  <si>
    <t>100f/kg</t>
  </si>
  <si>
    <t>pas de clients fixe</t>
  </si>
  <si>
    <t>Eloigné du goudron et ne dispose aucun equipement ni de magasin</t>
  </si>
  <si>
    <t xml:space="preserve"> </t>
  </si>
  <si>
    <t>KOROTO</t>
  </si>
  <si>
    <t>DAKANI</t>
  </si>
  <si>
    <t>66 48 77 15</t>
  </si>
  <si>
    <t>cooperative simplifiée de koroto</t>
  </si>
  <si>
    <t>500/an</t>
  </si>
  <si>
    <t>Commune</t>
  </si>
  <si>
    <t>Gnoufié-Bouli</t>
  </si>
  <si>
    <t xml:space="preserve">presence de la foret qui est un atout pour elles </t>
  </si>
  <si>
    <t>la reserve de Ladiou présente de fortes potentialités mais très éloigné du goudron</t>
  </si>
  <si>
    <t>Eloigné du goudron et la voie n'est pas bonne</t>
  </si>
  <si>
    <t>Sono Nyè</t>
  </si>
  <si>
    <t>Mogaya</t>
  </si>
  <si>
    <t xml:space="preserve">BAZIE </t>
  </si>
  <si>
    <t>61 26 40 55</t>
  </si>
  <si>
    <t>Cooperative simplifiée de Mogaya</t>
  </si>
  <si>
    <t>octroi de credit aux membres-achat-fonctionnement</t>
  </si>
  <si>
    <t>Foret</t>
  </si>
  <si>
    <t>pas de periode fixe</t>
  </si>
  <si>
    <t>presence de la foret qui est un atout pour elles</t>
  </si>
  <si>
    <t>la reserve de Mogaya présente de fortes potentialités mais très éloigné du goudron</t>
  </si>
  <si>
    <t>Kyidone nyè</t>
  </si>
  <si>
    <t>zhiladyr</t>
  </si>
  <si>
    <t>Mamounata</t>
  </si>
  <si>
    <t xml:space="preserve">77 55 34 10 </t>
  </si>
  <si>
    <t>Changement de membre du bureau</t>
  </si>
  <si>
    <t>Stockage</t>
  </si>
  <si>
    <t>500f/mois</t>
  </si>
  <si>
    <t>30kg</t>
  </si>
  <si>
    <t>Zhiladir</t>
  </si>
  <si>
    <t>sur tete</t>
  </si>
  <si>
    <t>elles peuvent ellargir leur zone d'action au cas où  elles auront un client qui puisse acheter beaucoup</t>
  </si>
  <si>
    <t>pas loin du goudron et ne dispose aucun equipement ni de magasin</t>
  </si>
  <si>
    <t>ça-dwa-nyè/koroto</t>
  </si>
  <si>
    <t>63 11 39 66</t>
  </si>
  <si>
    <t>Changement de bureau-adhesion de nouveaux membres</t>
  </si>
  <si>
    <t>céreale-soumbala</t>
  </si>
  <si>
    <t>250f/semaine</t>
  </si>
  <si>
    <t>kwen</t>
  </si>
  <si>
    <t>Brousse de kwen</t>
  </si>
  <si>
    <t>proche du goudron et ne dispose aucun equipement ni de magasin</t>
  </si>
  <si>
    <t>pougnè</t>
  </si>
  <si>
    <t>Nedjendjr(Pouni)</t>
  </si>
  <si>
    <t>DANGO</t>
  </si>
  <si>
    <t>60 54 68 55</t>
  </si>
  <si>
    <t>Soumbala-haricot</t>
  </si>
  <si>
    <t>6kg</t>
  </si>
  <si>
    <t>Nedjrndjr/pouni</t>
  </si>
  <si>
    <t>Brousse de pouni</t>
  </si>
  <si>
    <t>Sito Rachelle</t>
  </si>
  <si>
    <t>75 24 44 95</t>
  </si>
  <si>
    <t>oignon-tomate</t>
  </si>
  <si>
    <t>stockage</t>
  </si>
  <si>
    <t xml:space="preserve">champs </t>
  </si>
  <si>
    <t>neant</t>
  </si>
  <si>
    <t>la brousse est fructueuse mais très eloign du goudron</t>
  </si>
  <si>
    <t>Kinègnè</t>
  </si>
  <si>
    <t>Eshinadyr</t>
  </si>
  <si>
    <t>Ezhilboué</t>
  </si>
  <si>
    <t>volonté d'unir les forces</t>
  </si>
  <si>
    <t>100 fcfa/semaine</t>
  </si>
  <si>
    <t>fonctionnement et solidarité</t>
  </si>
  <si>
    <t>Réunion à travers Mme KANSANE</t>
  </si>
  <si>
    <t>la mairie de Didyr</t>
  </si>
  <si>
    <t>les femmes  de la commune</t>
  </si>
  <si>
    <t>aucune zone précise à part l'intérieur de la brousse</t>
  </si>
  <si>
    <t>Didyr-Bouldié-Doolo</t>
  </si>
  <si>
    <t>//</t>
  </si>
  <si>
    <t>amendes/ UNION DE JEANNE</t>
  </si>
  <si>
    <t>union de Didyr</t>
  </si>
  <si>
    <t>marché local du village</t>
  </si>
  <si>
    <t>la forêt communale de Kya possède un excellent atout</t>
  </si>
  <si>
    <t xml:space="preserve">la brousse de Kya est toujours fructueuse et peut être mise à profit </t>
  </si>
  <si>
    <t>A part l'union, il n'ya que des petits commerçants locaux</t>
  </si>
  <si>
    <t>Koroto</t>
  </si>
  <si>
    <t>Bissou</t>
  </si>
  <si>
    <t>Kélol</t>
  </si>
  <si>
    <t>iniative des femmes</t>
  </si>
  <si>
    <t>500 fcfa/semaine</t>
  </si>
  <si>
    <t>le chef de Mogueya</t>
  </si>
  <si>
    <t>kya-mogueya</t>
  </si>
  <si>
    <t>la forêt de Mogueya</t>
  </si>
  <si>
    <t xml:space="preserve">la brousse de Kya et de Bissou est toujours fructueuse et peut être mise à profit </t>
  </si>
  <si>
    <t>Yichipiè</t>
  </si>
  <si>
    <t>Godyr</t>
  </si>
  <si>
    <t>Demapoun</t>
  </si>
  <si>
    <t>Efoma</t>
  </si>
  <si>
    <t>parti d'une association des femmes pour travailler mutuellement dans les champs</t>
  </si>
  <si>
    <t>haricot</t>
  </si>
  <si>
    <t>l'adhérente se met à jour des cotisations</t>
  </si>
  <si>
    <t xml:space="preserve">cadre de rencontre des femmes </t>
  </si>
  <si>
    <t>Aout-Septembre</t>
  </si>
  <si>
    <t>Juin 400 fcfa/3 kg</t>
  </si>
  <si>
    <t>Septembre:600 fcfa</t>
  </si>
  <si>
    <t>Aucun client fixe</t>
  </si>
  <si>
    <t xml:space="preserve">commercçants rarement la CDN </t>
  </si>
  <si>
    <t>chaque jour de marché et les prix vont de 300fcfa à 1200fcfa selon la période</t>
  </si>
  <si>
    <t>tout le volume car ne disposant pas de clients fixes</t>
  </si>
  <si>
    <t>la forêt de Godyr est un excellent atout</t>
  </si>
  <si>
    <t>la forêt de Godyr présente de fortes potentialités non encore exploitéesdu fait de l'absence d'acheteurs</t>
  </si>
  <si>
    <t>aucun client potentiel/commerçants</t>
  </si>
  <si>
    <t>Eloigné du goudron et l'état de la voie n'est pas bonne</t>
  </si>
  <si>
    <t>Club des paysannes forestières</t>
  </si>
  <si>
    <t>Clarisse</t>
  </si>
  <si>
    <t>sésame</t>
  </si>
  <si>
    <t>achat - transport- solidarité</t>
  </si>
  <si>
    <t>1001 fcfa/3kg</t>
  </si>
  <si>
    <t>Yilwalgnè</t>
  </si>
  <si>
    <t>Yorkio-Nediolo</t>
  </si>
  <si>
    <t xml:space="preserve"> difficile</t>
  </si>
  <si>
    <t>BAZIE</t>
  </si>
  <si>
    <t>Forzia</t>
  </si>
  <si>
    <t>dynamisme dans le travail</t>
  </si>
  <si>
    <t>1002 fcfa/3kg</t>
  </si>
  <si>
    <t>Sulugnè</t>
  </si>
  <si>
    <t>Semaga</t>
  </si>
  <si>
    <t>Eguiboué</t>
  </si>
  <si>
    <t>1003 fcfa/3kg</t>
  </si>
  <si>
    <t>Koroto de Boho</t>
  </si>
  <si>
    <t>Boho</t>
  </si>
  <si>
    <t>Elili</t>
  </si>
  <si>
    <t>1004 fcfa/3kg</t>
  </si>
  <si>
    <t>Gnidwignè</t>
  </si>
  <si>
    <t>Pouni-Nord</t>
  </si>
  <si>
    <t>KOGO</t>
  </si>
  <si>
    <t>volonté d'entraide mutuelle</t>
  </si>
  <si>
    <t>300fcfa/mois</t>
  </si>
  <si>
    <t>concasseur non fonctionnel</t>
  </si>
  <si>
    <t>150 fcfa/3kg</t>
  </si>
  <si>
    <t>la forêt de Pouni "ZANLOUN" regorge d'énormes potentialités</t>
  </si>
  <si>
    <t>la forêt de Pouni "ZANLOUN" peut être mise à profit</t>
  </si>
  <si>
    <t xml:space="preserve">très proche du goudron </t>
  </si>
  <si>
    <t>Yiwènègnenebyé</t>
  </si>
  <si>
    <t>Kordie</t>
  </si>
  <si>
    <t>kordié</t>
  </si>
  <si>
    <t>Eyimbié</t>
  </si>
  <si>
    <t>400fc/6kg</t>
  </si>
  <si>
    <t>Juin 400fcfa/6kg</t>
  </si>
  <si>
    <t>Septembre:800 fcfa/6kg</t>
  </si>
  <si>
    <t>Novembre 1200 fcfa/6kg</t>
  </si>
  <si>
    <t xml:space="preserve"> 1200 fcfa/6kg</t>
  </si>
  <si>
    <t>elles peuvent élargir leurs zones d'action,</t>
  </si>
  <si>
    <t>l'isolement de la commune de Kordié a créé la disponibilité de la ressource</t>
  </si>
  <si>
    <t>très éloigné du Goudron que ce soit par Réo ou par Godyr</t>
  </si>
  <si>
    <t>Sonognè</t>
  </si>
  <si>
    <t>KANZONGO</t>
  </si>
  <si>
    <t>Kézoumbié</t>
  </si>
  <si>
    <t>motivation et partage d'expérience</t>
  </si>
  <si>
    <t xml:space="preserve"> 1201 fcfa/6kg</t>
  </si>
  <si>
    <t>Gulugnè</t>
  </si>
  <si>
    <t>Keyom</t>
  </si>
  <si>
    <t xml:space="preserve"> transformation</t>
  </si>
  <si>
    <t>marché local de Kordié</t>
  </si>
  <si>
    <t>motivation de collecte-fidélité</t>
  </si>
  <si>
    <t>Tumegnè</t>
  </si>
  <si>
    <t>Kédjima</t>
  </si>
  <si>
    <t>200 fcfa/semaine</t>
  </si>
  <si>
    <t>Yiwo</t>
  </si>
  <si>
    <t>BAYALA</t>
  </si>
  <si>
    <t>Maîmouna</t>
  </si>
  <si>
    <t>solidarité et fonctionnement</t>
  </si>
  <si>
    <t xml:space="preserve"> 1202 fcfa/6kg</t>
  </si>
  <si>
    <t>elles peuvent ratisser plus large</t>
  </si>
  <si>
    <t>la demande n'est pas encore prononcée</t>
  </si>
  <si>
    <t xml:space="preserve">KANSOLE </t>
  </si>
  <si>
    <t>550 fcfa/semaine</t>
  </si>
  <si>
    <t xml:space="preserve"> 1203 fcfa/6kg</t>
  </si>
  <si>
    <t>Ozado</t>
  </si>
  <si>
    <t>KIENTEGA</t>
  </si>
  <si>
    <t>Képima</t>
  </si>
  <si>
    <t>soumbala</t>
  </si>
  <si>
    <t xml:space="preserve"> 1204 fcfa/6kg</t>
  </si>
  <si>
    <t>sanandoné</t>
  </si>
  <si>
    <t>Kézouén</t>
  </si>
  <si>
    <t xml:space="preserve">Palier à certains problèmes survenus au cours de la saison hivernale  </t>
  </si>
  <si>
    <t xml:space="preserve"> 1205 fcfa/6kg</t>
  </si>
  <si>
    <t>Képioulou</t>
  </si>
  <si>
    <t>dolo</t>
  </si>
  <si>
    <t xml:space="preserve"> 1206 fcfa/6kg</t>
  </si>
  <si>
    <t>Sandonegnè</t>
  </si>
  <si>
    <t>Ninion</t>
  </si>
  <si>
    <t>YILI</t>
  </si>
  <si>
    <t>Ezona</t>
  </si>
  <si>
    <t xml:space="preserve"> 1207 fcfa/6kg</t>
  </si>
  <si>
    <t>marché local de Ninion</t>
  </si>
  <si>
    <t>elles peuvent élargir leurs zones d'action jusqu'à la brousse de Pouni</t>
  </si>
  <si>
    <t>Gulugnè de Kiro</t>
  </si>
  <si>
    <t>kiro</t>
  </si>
  <si>
    <t>KANSINGA</t>
  </si>
  <si>
    <t>Elisabeth</t>
  </si>
  <si>
    <t>Kiro</t>
  </si>
  <si>
    <t xml:space="preserve"> 1208 fcfa/6kg</t>
  </si>
  <si>
    <t>marché local de Kiro</t>
  </si>
  <si>
    <t>didyr</t>
  </si>
  <si>
    <t>goumi</t>
  </si>
  <si>
    <t>eguiné</t>
  </si>
  <si>
    <t>decission personnelle des membres</t>
  </si>
  <si>
    <t>stockage,trasform,vente</t>
  </si>
  <si>
    <t>prêt,achat amande</t>
  </si>
  <si>
    <t>plus de profit,vente en  gros,partage idées</t>
  </si>
  <si>
    <t>9kg</t>
  </si>
  <si>
    <t>reunion</t>
  </si>
  <si>
    <t>goumi2</t>
  </si>
  <si>
    <t>goumi2,goumi</t>
  </si>
  <si>
    <t>manuel</t>
  </si>
  <si>
    <t>août,septembre,octobre,novembre</t>
  </si>
  <si>
    <t xml:space="preserve"> achat fourniture scolaire</t>
  </si>
  <si>
    <t>juillet,août:100f/kg</t>
  </si>
  <si>
    <t>septembre,octobre:133f/kg</t>
  </si>
  <si>
    <t>novembre,decembre:166f/kg</t>
  </si>
  <si>
    <t>jeanne KASSANE</t>
  </si>
  <si>
    <t>commerçant,femmes du village</t>
  </si>
  <si>
    <t>jeanne KASSANE,commerçant locaux et étrangers</t>
  </si>
  <si>
    <t>commerçant locaux et étrangers,personnes physiques</t>
  </si>
  <si>
    <t>achète par mesure de yorouba(400f) dans les cours ou sur les places publiques</t>
  </si>
  <si>
    <t>parcequé la transformation de noix n'est pas une necesité pour nous</t>
  </si>
  <si>
    <t>parce que votre prix sera plus valorisant</t>
  </si>
  <si>
    <t>presence de bureau,cotisation regulière,rencontre regulière,absence de registre,pas en cooperative</t>
  </si>
  <si>
    <t xml:space="preserve"> pas l'equipement moderne de transformation,quantité transformée très faible par rapport au nombre de membre</t>
  </si>
  <si>
    <t>pas assez de karité a proximité,pression asez grande sur les sites de collecte situés a 3,4km de didyr</t>
  </si>
  <si>
    <t>presence de brousse et forêt de grande surface</t>
  </si>
  <si>
    <t>presence de  commerçants locaux et étrangers(CDN)</t>
  </si>
  <si>
    <t>centre de stockage a quelqués metres du goudron</t>
  </si>
  <si>
    <t>KANSSANE</t>
  </si>
  <si>
    <t>ezilibié</t>
  </si>
  <si>
    <t>augmentation nombre de membre,ainsi que capacité de production</t>
  </si>
  <si>
    <t>3(oignon,tomate,choux)</t>
  </si>
  <si>
    <t>cas d'urgence(santé,frais scolarité)</t>
  </si>
  <si>
    <t>plus de profit,succés</t>
  </si>
  <si>
    <t>forêt de kya</t>
  </si>
  <si>
    <t>ecoulement rapide et facile de nos  noix collectés</t>
  </si>
  <si>
    <t>centre car nous n'avons pas d'equipements</t>
  </si>
  <si>
    <t>Yéridion</t>
  </si>
  <si>
    <t>70321172/54741615</t>
  </si>
  <si>
    <t>augmentation nombre, capacité,  production,dotation equipements</t>
  </si>
  <si>
    <t>2 (néré,neem)</t>
  </si>
  <si>
    <t>prêt,achat amande,cas d'urgence</t>
  </si>
  <si>
    <t>partage d'idées,savoir-faire,joie</t>
  </si>
  <si>
    <t>33kg</t>
  </si>
  <si>
    <t xml:space="preserve"> Yierdion</t>
  </si>
  <si>
    <t>quelquées zones de Yierdion</t>
  </si>
  <si>
    <t>membres dont le groupe n'a pas puis achéter la production</t>
  </si>
  <si>
    <t>kwen,goumi,ladjou,pouni,tonton,bouldié</t>
  </si>
  <si>
    <t>41f/kg</t>
  </si>
  <si>
    <t>jeanne KASSANE,CDN</t>
  </si>
  <si>
    <t>commerçant,femmes du village,CDN</t>
  </si>
  <si>
    <t>femmes du village,clients étragers</t>
  </si>
  <si>
    <t>3000kg</t>
  </si>
  <si>
    <t>bon prix,ecoulement rapide de noix</t>
  </si>
  <si>
    <t>chez nous,car venons de recevoir un équipement</t>
  </si>
  <si>
    <t>presence de bureau,cotisation regulière,rencontre regulière,presence de registre,participation a des formations,expositions</t>
  </si>
  <si>
    <t>quantité de beurre assez elevée(1000 a 2000litres) et implication dans la transformation en produit fini(savon,pomade)</t>
  </si>
  <si>
    <t>ziladié</t>
  </si>
  <si>
    <t>73295636/65189104</t>
  </si>
  <si>
    <t>reglément interieur,bien organisées,augmentation en nombre</t>
  </si>
  <si>
    <t>prêt entre membres du groupement</t>
  </si>
  <si>
    <t>plus de profit,succés,joie,partage d'idées</t>
  </si>
  <si>
    <t>nidjolo,yamadjo</t>
  </si>
  <si>
    <t>femmes du village,personne physique</t>
  </si>
  <si>
    <t>vente de noix, donc ecoulement rapide</t>
  </si>
  <si>
    <t>pas l'equipement moderne de transformation,quantité transformée très faible par rapport au nombre de membre</t>
  </si>
  <si>
    <t>zouinbilou</t>
  </si>
  <si>
    <t>pouni</t>
  </si>
  <si>
    <t>KAWAR</t>
  </si>
  <si>
    <t>elilie</t>
  </si>
  <si>
    <t>61392065/63286448</t>
  </si>
  <si>
    <t>mieux organisé qu'avant,augmentation nombre de membre</t>
  </si>
  <si>
    <t>stockage,vente</t>
  </si>
  <si>
    <t>prêt,cas d'urgence</t>
  </si>
  <si>
    <t>pouni(quardir 2)</t>
  </si>
  <si>
    <t>zalou,djilo</t>
  </si>
  <si>
    <t>400kg</t>
  </si>
  <si>
    <t>aucune transformation d'amande en beurre</t>
  </si>
  <si>
    <t>pas assez de karité a proximité,pression asez grande sur les sites de collecte situés a 3,4km de pouni</t>
  </si>
  <si>
    <t>jamais entandu parlé</t>
  </si>
  <si>
    <t>tonton</t>
  </si>
  <si>
    <t>2(oignon,tomate)</t>
  </si>
  <si>
    <t>prêt entre membres du groupemen</t>
  </si>
  <si>
    <t>mogoya,kya</t>
  </si>
  <si>
    <t>septembre,octobre,novembre</t>
  </si>
  <si>
    <t>santé,achat article scolaire(bic,crayon,craie)</t>
  </si>
  <si>
    <t>personnes physiques</t>
  </si>
  <si>
    <t>Kiédoneyin</t>
  </si>
  <si>
    <t>Mousoumou</t>
  </si>
  <si>
    <t>54-24-97-12</t>
  </si>
  <si>
    <t>initiative des femmes</t>
  </si>
  <si>
    <t xml:space="preserve">1( soumbala) </t>
  </si>
  <si>
    <t>lorsque c'est dans les champs et dans la forêt</t>
  </si>
  <si>
    <t>Fonctionnement interne du groupementet pour les évenement heureux ou malheureux, aide à la scolarisation des enfants des femmes dont les moyens sont limités</t>
  </si>
  <si>
    <t>Partage d'expérience, augmentation de revenu</t>
  </si>
  <si>
    <t>21kg</t>
  </si>
  <si>
    <t>Formation, reunion par l'intermediaure de Jeanne</t>
  </si>
  <si>
    <t>mouzoumou</t>
  </si>
  <si>
    <t>A pied ou à vélo pour ceux qui ont les moyens</t>
  </si>
  <si>
    <t>les  groupements</t>
  </si>
  <si>
    <t>femmes non organisées,leurs enfants</t>
  </si>
  <si>
    <t>Jeanne seule acheteur</t>
  </si>
  <si>
    <t>Elles vont s'adaptés</t>
  </si>
  <si>
    <t>facil et moins fatiguant et moins de depense</t>
  </si>
  <si>
    <t>chez vous si le service n'est pas couteux</t>
  </si>
  <si>
    <t>date de formation, cotisation, demande de coopérative registre</t>
  </si>
  <si>
    <t>Champs, et jachère, forêt et parcelle sécurisée</t>
  </si>
  <si>
    <t>Commerçants locaux et Jeanne</t>
  </si>
  <si>
    <t>Etat defectieux de la route</t>
  </si>
  <si>
    <t>travail avec Krikis par l'intermédiaire de Jeanne</t>
  </si>
  <si>
    <t>Kidoniyè</t>
  </si>
  <si>
    <t>Zenabo</t>
  </si>
  <si>
    <t>74-80-81-42/71-56-37-16</t>
  </si>
  <si>
    <t>2 (haricot, arachide)</t>
  </si>
  <si>
    <t>lorsque c'est dans les champs</t>
  </si>
  <si>
    <t>Fonctionnement interne du groupementet pour les évenement heureux ou malheureux</t>
  </si>
  <si>
    <t>Soutient social, ouverture de compte, accès aux credits</t>
  </si>
  <si>
    <t>Nassazoulou</t>
  </si>
  <si>
    <t>Abadont de la zonne</t>
  </si>
  <si>
    <t>leurs enfants</t>
  </si>
  <si>
    <t>Jeanne et commerçants locaux</t>
  </si>
  <si>
    <t xml:space="preserve">Jeanne </t>
  </si>
  <si>
    <t>Avatageux et facile</t>
  </si>
  <si>
    <t>facil et moins fatiguant</t>
  </si>
  <si>
    <t>date de formation, cotisation, demande de coopérative</t>
  </si>
  <si>
    <t>ne transforme pas</t>
  </si>
  <si>
    <t>existance de jachère et champs</t>
  </si>
  <si>
    <t>cedwanenyen</t>
  </si>
  <si>
    <t>KANZOLE</t>
  </si>
  <si>
    <t>epiman</t>
  </si>
  <si>
    <t>1(sorgho)</t>
  </si>
  <si>
    <t>bière locale</t>
  </si>
  <si>
    <t>mouzoumou(kourbo)</t>
  </si>
  <si>
    <t>1km</t>
  </si>
  <si>
    <t>les groupements des quartiers(piabor,kourbo,soso)</t>
  </si>
  <si>
    <t>pas encore organisées,leurs enfants</t>
  </si>
  <si>
    <t>personnes physiques(didyr,mousoumou)</t>
  </si>
  <si>
    <t>achète par mesure de yorouba(400f) les jours de marchés sur la place publique</t>
  </si>
  <si>
    <t>ecoulement rapide et facile de nos noix collectés</t>
  </si>
  <si>
    <t>pas l'equipement moderne de transformation,mais produit assez pour une pratique totalement manuelle(150litres)</t>
  </si>
  <si>
    <t>site de collect pas trop loin,assez de fruit de karité pour tous</t>
  </si>
  <si>
    <t>presence de brousse,forêt  et parcelle securisée</t>
  </si>
  <si>
    <t>presence de petits commerçants</t>
  </si>
  <si>
    <t xml:space="preserve"> voie peu pratiquable et  distant du goudron(7km) </t>
  </si>
  <si>
    <t>sulunye</t>
  </si>
  <si>
    <t>margueritte</t>
  </si>
  <si>
    <t>mouzoumou(piabor)</t>
  </si>
  <si>
    <t>les groupements des quartiers (piabor,kourbo,soso)</t>
  </si>
  <si>
    <t>presence de brousse, forêt et parcelle securisée</t>
  </si>
  <si>
    <t>voie peu pratiquable et  distant du goudron(7km)</t>
  </si>
  <si>
    <t>dye edu t'a pwa mun</t>
  </si>
  <si>
    <t xml:space="preserve">KANZONGO </t>
  </si>
  <si>
    <t>elou</t>
  </si>
  <si>
    <t>initiative personnelle des femmes</t>
  </si>
  <si>
    <t>augmentation nombre de membre,mieux organisé qu'avant</t>
  </si>
  <si>
    <t>1(niébé)</t>
  </si>
  <si>
    <t>mouzoumou(sosso)</t>
  </si>
  <si>
    <t>les parties impeut eloignée de mouzoumou centre</t>
  </si>
  <si>
    <t>personnes physiques de mouzoumou</t>
  </si>
  <si>
    <t>700kg</t>
  </si>
  <si>
    <t>site de collect pas trop loin(2 à 3km),assez de fruit de karité pour tous,presence de parcelle securisé mais peu productif</t>
  </si>
  <si>
    <t>presence de brousse, parcelle securisée et possibilité de boosté par plantation de karit</t>
  </si>
  <si>
    <t>presence de petits commerçants et jeanne</t>
  </si>
  <si>
    <t>gnidougnin</t>
  </si>
  <si>
    <t>BADIEL</t>
  </si>
  <si>
    <t>bien organisées,acheteur et lieux de vente fixe</t>
  </si>
  <si>
    <t>partage d'idées,plus de profit,succés</t>
  </si>
  <si>
    <t>mouzoumou(divouer)</t>
  </si>
  <si>
    <t>leurs enfants,femmes pas encore organisées</t>
  </si>
  <si>
    <t>pas de conflit sur les lieux de collecte,site de collecte a distance moyenne</t>
  </si>
  <si>
    <t>presence de brousse et jachère de grande superficie</t>
  </si>
  <si>
    <t>voie trés peu pratiquable et centre distant du goudron de 7km</t>
  </si>
  <si>
    <t>wourounandouan</t>
  </si>
  <si>
    <t>dIdyr</t>
  </si>
  <si>
    <t>edo</t>
  </si>
  <si>
    <t>O7645470</t>
  </si>
  <si>
    <t>mieux organisé qu'avant,augmentation nombre de membre,ainsi que capacité de production</t>
  </si>
  <si>
    <t>trasformation</t>
  </si>
  <si>
    <t>prêt pour cas d'urgence(santé,frais scolarité)</t>
  </si>
  <si>
    <t>didyr(nedialo)</t>
  </si>
  <si>
    <t>femmes pas encore organisées</t>
  </si>
  <si>
    <t>didyr (yamadio)</t>
  </si>
  <si>
    <t>femmes de la commune</t>
  </si>
  <si>
    <t>nous ne transformons pas trop les noix</t>
  </si>
  <si>
    <t>ecoulement rapide d'une partie de nos produits</t>
  </si>
  <si>
    <t>presence de bureau,cotisation regulière,rencontre regulière, demande de regroupement en cooperative,existance depuis 20ans</t>
  </si>
  <si>
    <t>transformation semi-mecanique,quantité  de beurre produite assez élevé (75 à100litres)</t>
  </si>
  <si>
    <t>pas assez de karité a proximité,pression asez grande sur les sites de collecte</t>
  </si>
  <si>
    <t>existance de jachère , champs et forêt de soulidié a quelqués km</t>
  </si>
  <si>
    <t>presence de  commerçants locaux et étrangers</t>
  </si>
  <si>
    <t>kelaignien</t>
  </si>
  <si>
    <t>dassa</t>
  </si>
  <si>
    <t>nebia</t>
  </si>
  <si>
    <t>KANDIEL</t>
  </si>
  <si>
    <t>dasmata</t>
  </si>
  <si>
    <t>72928417/58429180</t>
  </si>
  <si>
    <t>declaration de la loi houada 2014</t>
  </si>
  <si>
    <t>achat amande</t>
  </si>
  <si>
    <t>forêt tiogo,ngopoulou</t>
  </si>
  <si>
    <t>nebia,dassa</t>
  </si>
  <si>
    <t>Décorticage,broyage,ecrasé</t>
  </si>
  <si>
    <t>33f/kg</t>
  </si>
  <si>
    <t>reduction effort physique,gain de temps,qualité</t>
  </si>
  <si>
    <t>ESSIE bernadette</t>
  </si>
  <si>
    <t>personnes physique de la commune</t>
  </si>
  <si>
    <t>ESSIE bernadette,CDN,commerçant locaux et étrangers</t>
  </si>
  <si>
    <t xml:space="preserve"> personnes physiques communale et étrangers</t>
  </si>
  <si>
    <t>préfinance des femmes pour l'achat d'amande</t>
  </si>
  <si>
    <t>chez nous dans le centre de ESSIE</t>
  </si>
  <si>
    <t>presence de bureau,cotisation regulière,rencontre regulière,  regrouper en cooperative</t>
  </si>
  <si>
    <t>utilisation d'equipements mecanique de transformation mais situé a longue distance(6km)</t>
  </si>
  <si>
    <t>pas de conflit sur les lieux de collecte,site de collecte a distance moyenne(2km)</t>
  </si>
  <si>
    <t>possibilité de collecter dans la  forêt de ngopoulou et de tiogo</t>
  </si>
  <si>
    <t>presence  commerçants locaux et etrangers</t>
  </si>
  <si>
    <t>voie  pratiquable et  distant du goudron de 8km</t>
  </si>
  <si>
    <t>nidouinwokona</t>
  </si>
  <si>
    <t>60709663/66204418</t>
  </si>
  <si>
    <t xml:space="preserve">achat amande,tontine </t>
  </si>
  <si>
    <t>pouni(piadire)</t>
  </si>
  <si>
    <t>brousse de pouni a 4-6km</t>
  </si>
  <si>
    <t>amades</t>
  </si>
  <si>
    <t>pouni,poun</t>
  </si>
  <si>
    <t>juillet,août,septembre,octobre,novembre</t>
  </si>
  <si>
    <t>cdn,commerçants</t>
  </si>
  <si>
    <t>personnes physique de la commune et étrangers</t>
  </si>
  <si>
    <t>CDN,commerçant locaux et étrangers</t>
  </si>
  <si>
    <t>personnes physiques communale et étrangers</t>
  </si>
  <si>
    <t>achète par mesure de yorouba(400f) les jours de marchés arrêté sur les carrefours</t>
  </si>
  <si>
    <t>5000kg</t>
  </si>
  <si>
    <t>permet de planifier nos activités d'achat</t>
  </si>
  <si>
    <t>garantie d'avoire ses amandes ou noix</t>
  </si>
  <si>
    <t>si l'on reçoit plus de 50% de la somme</t>
  </si>
  <si>
    <t>presence de bureau,cotisation regulière,rencontre regulière,presence de registre,resposable très instruite</t>
  </si>
  <si>
    <t>pas l'equipement moderne de transformation mais transforme en assez grande quantité(100litres pour 30personnes)</t>
  </si>
  <si>
    <t>site de collect impeu eloingné  mais assez de fruit de karité pour tous</t>
  </si>
  <si>
    <t>presence de brousse de grande surface</t>
  </si>
  <si>
    <t>presence d'acheteurs venuent de réo,koudougou</t>
  </si>
  <si>
    <t>centre de stockage pas trop éloigné du goudron</t>
  </si>
  <si>
    <t>sulunyen</t>
  </si>
  <si>
    <t>zita</t>
  </si>
  <si>
    <t>poun1</t>
  </si>
  <si>
    <t>quelquées zones eloignées de poun1</t>
  </si>
  <si>
    <t>poun</t>
  </si>
  <si>
    <t>BAZIE margueritte</t>
  </si>
  <si>
    <t>BAZIE margueritte,CDN,commerçant locaux et étrangers</t>
  </si>
  <si>
    <t>achète par mesure de yorouba(400f) les jours de marchés arrêté sur les carrefour</t>
  </si>
  <si>
    <t>presence de brousse  de grande surface</t>
  </si>
  <si>
    <t>centre de stockage  pas trop éloigné du goudron</t>
  </si>
  <si>
    <t>sidoninyen</t>
  </si>
  <si>
    <t>poun2</t>
  </si>
  <si>
    <t>quelquées zones eloignées de poun2</t>
  </si>
  <si>
    <t>Juillet,août,septembre,octobre,novembre</t>
  </si>
  <si>
    <t>ogatoui</t>
  </si>
  <si>
    <t>dôh</t>
  </si>
  <si>
    <t>monique</t>
  </si>
  <si>
    <t>impulsé par leurs maris</t>
  </si>
  <si>
    <t>vente</t>
  </si>
  <si>
    <t>Soutient social,partage d'idées,savoir-faire,joie</t>
  </si>
  <si>
    <t>dôh2</t>
  </si>
  <si>
    <t>forêt de tiogo</t>
  </si>
  <si>
    <t>besoin d'argent,ecoulement rapide de leur amande</t>
  </si>
  <si>
    <t>commerçants,ESSIE bernadette</t>
  </si>
  <si>
    <t>commerçant locaux et étrangers,ESSIE bernadette</t>
  </si>
  <si>
    <t>2000kg</t>
  </si>
  <si>
    <t>varie entre 30,40,50%</t>
  </si>
  <si>
    <t xml:space="preserve">pas de conflit sur les lieux de collecte,site de collecte a courte  distance </t>
  </si>
  <si>
    <t>presence de brousse, jachère et forêt de tiogo à proximité(environ 1,5km)</t>
  </si>
  <si>
    <t>présence de petits acheteurs</t>
  </si>
  <si>
    <t>piste defectueuse et distant d'environ 8km du goudron</t>
  </si>
  <si>
    <t>sanadoni</t>
  </si>
  <si>
    <t>louise</t>
  </si>
  <si>
    <t>doh</t>
  </si>
  <si>
    <t>forêt de tiogo,alentours de dôh</t>
  </si>
  <si>
    <t>besoin d'argent pour achat d'article au marché</t>
  </si>
  <si>
    <t xml:space="preserve">pas de conflit sur les lieux de collecte,site de collecte a courte distance </t>
  </si>
  <si>
    <t>soulounyen</t>
  </si>
  <si>
    <t>djoun</t>
  </si>
  <si>
    <t>1(néré)</t>
  </si>
  <si>
    <t>djoun,dassa</t>
  </si>
  <si>
    <t>presence de brousse et jachère de grande surface</t>
  </si>
  <si>
    <t>ceneye(keneyen)</t>
  </si>
  <si>
    <t>djènebou</t>
  </si>
  <si>
    <t>prêt entre membres du groupemen;achat amande</t>
  </si>
  <si>
    <t>dassa,nebia,dôh,divolet</t>
  </si>
  <si>
    <t>commerçant locaux et étrangers,ESSIE bernadette,aka</t>
  </si>
  <si>
    <t>utilisation d'equipements mecanique de transformation mais transforme en petite quantité</t>
  </si>
  <si>
    <t>domcené</t>
  </si>
  <si>
    <t>farba</t>
  </si>
  <si>
    <t>mariam</t>
  </si>
  <si>
    <t>mieux organisé qu'avant,augmentation du nombre des membres</t>
  </si>
  <si>
    <t>Non organisées en groupement</t>
  </si>
  <si>
    <t>Manuel</t>
  </si>
  <si>
    <t>commerçants,ESSIE bernadette,CDN</t>
  </si>
  <si>
    <t>aucune ideé</t>
  </si>
  <si>
    <t>chez nous dans le centre de ESSIE bernadette</t>
  </si>
  <si>
    <t>pas de conflit sur les lieux de collecte,site de collecte a courte distance</t>
  </si>
  <si>
    <t>présence de petits acheteurs locaux et etrangers</t>
  </si>
  <si>
    <t>soulounyen de madyr</t>
  </si>
  <si>
    <t>abibata</t>
  </si>
  <si>
    <t>augmentation du nombre des membres</t>
  </si>
  <si>
    <t>Partage d'expérience, joie</t>
  </si>
  <si>
    <t>dassa(madyr)</t>
  </si>
  <si>
    <t>dwinyin</t>
  </si>
  <si>
    <t>tenado</t>
  </si>
  <si>
    <t>oui, mais pas trop difficil d'accès</t>
  </si>
  <si>
    <t xml:space="preserve">BAYALA/KANDO </t>
  </si>
  <si>
    <t>71-12-16-40</t>
  </si>
  <si>
    <t xml:space="preserve">Initiatine propre aux femmes </t>
  </si>
  <si>
    <t>augmentation du nombre des membres, demande de cooperative</t>
  </si>
  <si>
    <t>2(riz,haricot)</t>
  </si>
  <si>
    <t>stockage,transform,vente</t>
  </si>
  <si>
    <t>1000F/an</t>
  </si>
  <si>
    <t>Fonctionnement interne du groupe</t>
  </si>
  <si>
    <t>entraide entre elles, partage d'expériences</t>
  </si>
  <si>
    <t xml:space="preserve"> pieds, vélo</t>
  </si>
  <si>
    <t xml:space="preserve">Forêt classée de Lati, Baguiomo, Bido, </t>
  </si>
  <si>
    <t>Baleledo, Bavila, Batondo, Doudou, Sassia</t>
  </si>
  <si>
    <t>AKA par l'intermediaire de l'union</t>
  </si>
  <si>
    <t>Pasteur résident à Ouagadougou</t>
  </si>
  <si>
    <t>AKA par l'intermediare de l'union</t>
  </si>
  <si>
    <t>lorsqu'elles sont dans des difficultés économique</t>
  </si>
  <si>
    <t>elles vont s'adaptées</t>
  </si>
  <si>
    <t>Moins fatiguant et moins couteux</t>
  </si>
  <si>
    <t>Au centre s'il n'est pas très éloigné et si le prix est abordable</t>
  </si>
  <si>
    <t>Sources de motivation</t>
  </si>
  <si>
    <t>Fidelité et assurance</t>
  </si>
  <si>
    <t>plus tot possible</t>
  </si>
  <si>
    <t>ells ont un bureau, une cotisation, date de création</t>
  </si>
  <si>
    <t>production croissante ces deux dernières années</t>
  </si>
  <si>
    <t>Pression moins grande sur les zone de collecte situées à 27 à 30km</t>
  </si>
  <si>
    <t>Existance de deux forêts classées( lati et tiogo)</t>
  </si>
  <si>
    <t>AKA et des particulier venant de Ouagadougou</t>
  </si>
  <si>
    <t>pas loin du groudrou mais avec un peu de difficultés d'accès</t>
  </si>
  <si>
    <t>pas de connaissance physique, pas d'activités,mais beaucoup d'enquêtes</t>
  </si>
  <si>
    <t>Iki</t>
  </si>
  <si>
    <t>Koukouldi</t>
  </si>
  <si>
    <t>Oui difficil d'accès</t>
  </si>
  <si>
    <t>Eboubie Amelie</t>
  </si>
  <si>
    <t>52-15-02-82</t>
  </si>
  <si>
    <t>2(mil,haricot)</t>
  </si>
  <si>
    <t>Pour les deplacements, les évènement detoutes nature, crédit aux femmes</t>
  </si>
  <si>
    <t>entraide entre elles, partage d'expériences, soutient moral, mutuel</t>
  </si>
  <si>
    <t>pieds, vélo</t>
  </si>
  <si>
    <t>Bô, Didi, Bavila, koukouldi, tiogo</t>
  </si>
  <si>
    <t>particulier venant de koudougou et ouagadougou</t>
  </si>
  <si>
    <t>tous est vendu au groupement</t>
  </si>
  <si>
    <t>L'union</t>
  </si>
  <si>
    <t>7,6tonnes</t>
  </si>
  <si>
    <t>Pression moins grande sur les zone de collecte situées à 4 à 32km</t>
  </si>
  <si>
    <t>existance de jachères</t>
  </si>
  <si>
    <t>Iwalo</t>
  </si>
  <si>
    <t>Oui difficil d'accès; tropd'eau en saison hivernale</t>
  </si>
  <si>
    <t>KANSOULE</t>
  </si>
  <si>
    <t>Juliette</t>
  </si>
  <si>
    <t>61-64-34-01</t>
  </si>
  <si>
    <t>2 (arachide, haricot)</t>
  </si>
  <si>
    <t>Bô, Didi, Bavila</t>
  </si>
  <si>
    <t>a la miable</t>
  </si>
  <si>
    <t>20toones</t>
  </si>
  <si>
    <t>Pression moins grande sur les zone de collecte situées à 5 à 15km</t>
  </si>
  <si>
    <t>existance de zone d'abondance(Bô, Didi, Bavila)</t>
  </si>
  <si>
    <t>Beleyin</t>
  </si>
  <si>
    <t>Baleledo</t>
  </si>
  <si>
    <t>KANTIONO</t>
  </si>
  <si>
    <t>Marie Marth</t>
  </si>
  <si>
    <t>75-10-23-23</t>
  </si>
  <si>
    <t>3(arachide, haricot,mil)</t>
  </si>
  <si>
    <t>Travail va vite et bien</t>
  </si>
  <si>
    <t>tête, pieds, vélo</t>
  </si>
  <si>
    <t>Rwario, Bavila</t>
  </si>
  <si>
    <t>Aoute, septembre, octobre, novembre</t>
  </si>
  <si>
    <t>raison économique</t>
  </si>
  <si>
    <t>aoute 600F/yorouba</t>
  </si>
  <si>
    <t>septembre 150f/kg</t>
  </si>
  <si>
    <t>octobre 450F/yorouba</t>
  </si>
  <si>
    <t>novembre 300F/yorouba</t>
  </si>
  <si>
    <t>10tonnes</t>
  </si>
  <si>
    <t>Pression moins grande sur les zone de collecte situées à 3km</t>
  </si>
  <si>
    <t>Negayin</t>
  </si>
  <si>
    <t xml:space="preserve">KANKI </t>
  </si>
  <si>
    <t>63-69-50-17</t>
  </si>
  <si>
    <t>2(haricot mil)</t>
  </si>
  <si>
    <t>2400/an</t>
  </si>
  <si>
    <t>Bô, Didi</t>
  </si>
  <si>
    <t>particulier venant de koudougou</t>
  </si>
  <si>
    <t>6,8tonnes</t>
  </si>
  <si>
    <t>Pression moins grande sur les zone de collecte situées à 3 à 15km</t>
  </si>
  <si>
    <t>existance de zone d'abondance(Bô, Didi)</t>
  </si>
  <si>
    <t>Nebilbié</t>
  </si>
  <si>
    <t>60-44-54-58</t>
  </si>
  <si>
    <t>2(Arachide, haricot)</t>
  </si>
  <si>
    <t>Fonctionnement interne du groupe, crédit aux femmes</t>
  </si>
  <si>
    <t>accès aux crédits, soutient moral, financier</t>
  </si>
  <si>
    <t>Balivalcé, tiogo</t>
  </si>
  <si>
    <t>20tonnes</t>
  </si>
  <si>
    <t>Wonegne</t>
  </si>
  <si>
    <t>Dydir</t>
  </si>
  <si>
    <t>Centre Ouest</t>
  </si>
  <si>
    <t>Sanguier</t>
  </si>
  <si>
    <t>accès bonne</t>
  </si>
  <si>
    <t>s'unir pour mieux avoir plus</t>
  </si>
  <si>
    <t>gain financier, plus de rentabilité</t>
  </si>
  <si>
    <t>stockage,transformation,vente</t>
  </si>
  <si>
    <t>50/moi</t>
  </si>
  <si>
    <t>subvenir aux depenses</t>
  </si>
  <si>
    <t>independance dans nos decisions</t>
  </si>
  <si>
    <t>4plats</t>
  </si>
  <si>
    <t>1tine</t>
  </si>
  <si>
    <t>meme village Dydir(Zyladyr 1)</t>
  </si>
  <si>
    <t>pieds, velo</t>
  </si>
  <si>
    <t>pieds sur nos tetes</t>
  </si>
  <si>
    <t xml:space="preserve">Nidjolo </t>
  </si>
  <si>
    <t>jeunes et chez d'autres collectrices</t>
  </si>
  <si>
    <t>Zyladyr</t>
  </si>
  <si>
    <t>Pas d'estimation</t>
  </si>
  <si>
    <t>Semi mecmanuelle</t>
  </si>
  <si>
    <t>5000/40 plats de yoroba</t>
  </si>
  <si>
    <t>rend plus rapide nos activités</t>
  </si>
  <si>
    <t>Aout-Sept</t>
  </si>
  <si>
    <t>recherche du profit</t>
  </si>
  <si>
    <t>Aout 375f/plat</t>
  </si>
  <si>
    <t>Septembre 400f/plat</t>
  </si>
  <si>
    <t>Octeobre 450/plat</t>
  </si>
  <si>
    <t>500f/ plat Novembre-Decembre</t>
  </si>
  <si>
    <t>Madame Kansané Jeanne</t>
  </si>
  <si>
    <t>Kansané Jeanne</t>
  </si>
  <si>
    <t>Pas fixe on la livre ce qu'on gagne</t>
  </si>
  <si>
    <t>Yes (si les conditions d'achats nous sont favorables</t>
  </si>
  <si>
    <t>Yes (si les conditions de nous sont favorables</t>
  </si>
  <si>
    <t>ce sont des affaires, en plus un nauveau partenariat</t>
  </si>
  <si>
    <t>Yes ( si les contrats de base sont claires et favorables)</t>
  </si>
  <si>
    <t>c'est service et une occasion d'apprendre plus</t>
  </si>
  <si>
    <t>Nous</t>
  </si>
  <si>
    <t>50% au debut et 50% ensuite</t>
  </si>
  <si>
    <t>demarage rapide de nos activités</t>
  </si>
  <si>
    <t>obtenir les amande à la bonne periode</t>
  </si>
  <si>
    <t>octroyé l'argent avant le demarage des activités</t>
  </si>
  <si>
    <t>c'est une cooperative, la cotisation est respectée, existance d'un siege</t>
  </si>
  <si>
    <t>elle ne possede pas de moyen de transformation, la tranformation est manuelle et limité</t>
  </si>
  <si>
    <t>les femmes se dplacent sur des grandes distances vers les forets et champs pour la collete</t>
  </si>
  <si>
    <t>il existe une potentialité forestiere, elles n'arrivent meme pas à tout collectés , les amandes pourissent dans les chants</t>
  </si>
  <si>
    <t>il y'a un gros acheteur, Jeanne achete nos produits</t>
  </si>
  <si>
    <t>les routes sont difficilement pratiquables des chants vers le siege, du siège vers la ville la route est bonne</t>
  </si>
  <si>
    <t>pas de formation, de reunion ni de credits</t>
  </si>
  <si>
    <t>Turopridouken</t>
  </si>
  <si>
    <t>accès facil</t>
  </si>
  <si>
    <t>Martine Ebor</t>
  </si>
  <si>
    <t>200f/semaine</t>
  </si>
  <si>
    <t>pas de prix</t>
  </si>
  <si>
    <t>44kg</t>
  </si>
  <si>
    <t>66kg</t>
  </si>
  <si>
    <t>tous les membres viennent du meme village (Dydir secteur 1)</t>
  </si>
  <si>
    <t>Nidjolo</t>
  </si>
  <si>
    <t>plus rapide et gain de temps</t>
  </si>
  <si>
    <t>NO</t>
  </si>
  <si>
    <t>amelioré nos revenus</t>
  </si>
  <si>
    <t>Aout 300f/plat</t>
  </si>
  <si>
    <t>Septembre 375f/plat</t>
  </si>
  <si>
    <t>350f/plat octobre</t>
  </si>
  <si>
    <t>Novemebre-Decmebre 750f/plat</t>
  </si>
  <si>
    <t>c'est une activité lucrative</t>
  </si>
  <si>
    <t>collecte rapide</t>
  </si>
  <si>
    <t>toujours au stade de groupement, mais elle ont une siege, un registre, et la cotistion est respectée par les membre</t>
  </si>
  <si>
    <t>Barayala (Pyakyoro</t>
  </si>
  <si>
    <t>Youloupo</t>
  </si>
  <si>
    <t>accès moyen</t>
  </si>
  <si>
    <t xml:space="preserve">Kanwa </t>
  </si>
  <si>
    <t>Ekoibié</t>
  </si>
  <si>
    <t>70321172(num sous couvert de Kansané Jeanne)</t>
  </si>
  <si>
    <t>2plat de yoroba</t>
  </si>
  <si>
    <t>3 sacs</t>
  </si>
  <si>
    <t>tous les membres viennent du meme village (Youloupo)</t>
  </si>
  <si>
    <t>Niboro), koin , Monkonya</t>
  </si>
  <si>
    <t>eleves</t>
  </si>
  <si>
    <t>youloupo</t>
  </si>
  <si>
    <t>Pas d'estimation sur la quantité de beurre vendue</t>
  </si>
  <si>
    <t>rend le processus de la transfoemation moins fatiguante</t>
  </si>
  <si>
    <t>gain economique</t>
  </si>
  <si>
    <t>Aout 400f/plat de 2,5 kg</t>
  </si>
  <si>
    <t>500f/plat sseptembre</t>
  </si>
  <si>
    <t>550f/plat octobre</t>
  </si>
  <si>
    <t>700f/plat Decembre janvier</t>
  </si>
  <si>
    <t>maintrise des ventes et des achats, resgitre ,  cotisation des membres</t>
  </si>
  <si>
    <t>2,5 sacs de 100kg</t>
  </si>
  <si>
    <t>3 sacs de 100 kg</t>
  </si>
  <si>
    <t>tous les membres viennent du meme village (Nidjolo)</t>
  </si>
  <si>
    <t>pieds sur nos tete, velo</t>
  </si>
  <si>
    <t>Yakio</t>
  </si>
  <si>
    <t>pas une estimation sur la quantité de beurre vendu</t>
  </si>
  <si>
    <t>pas de production</t>
  </si>
  <si>
    <t>pas d'achats</t>
  </si>
  <si>
    <t>t gain de temps</t>
  </si>
  <si>
    <t>pour subvenir aux charges familiales</t>
  </si>
  <si>
    <t>pas d'idée</t>
  </si>
  <si>
    <t>250fplat</t>
  </si>
  <si>
    <t>Aout 400f/plat</t>
  </si>
  <si>
    <t>Pas d'estimation (reponses à ces questions)</t>
  </si>
  <si>
    <t xml:space="preserve">pas registre, </t>
  </si>
  <si>
    <t>elle ne possede pas de moyen de transformation, la tranformation est manuelle et limité, non maitrise des qtés de beurre prouites</t>
  </si>
  <si>
    <t>imazina</t>
  </si>
  <si>
    <t>difficillement accessible</t>
  </si>
  <si>
    <t>Mariame</t>
  </si>
  <si>
    <t>impulsé par Kansané Jeanne</t>
  </si>
  <si>
    <t>plus de visibilité dans nos activités</t>
  </si>
  <si>
    <t>lorsqu'il s'agit d'aller dans la foret communale</t>
  </si>
  <si>
    <t>la qté fixé est de 2 sacs de 100kg</t>
  </si>
  <si>
    <t>tous les membres viennent du meme village (Kwen)</t>
  </si>
  <si>
    <t xml:space="preserve">pieds sur nos tetes, velo, </t>
  </si>
  <si>
    <t>Tcha</t>
  </si>
  <si>
    <t>Kwen, village de Tcha</t>
  </si>
  <si>
    <t>velo</t>
  </si>
  <si>
    <t>temps et ponctualité</t>
  </si>
  <si>
    <t>oct 450f/plat de 2,5kg</t>
  </si>
  <si>
    <t>oct 500f/plat de 2,5kg</t>
  </si>
  <si>
    <t>600f/plat, Novembre</t>
  </si>
  <si>
    <t>1000/plat Decembre</t>
  </si>
  <si>
    <t>30 sacs de 100 kg</t>
  </si>
  <si>
    <t>Yes (si les conditions d'achats nous sont favorables et lorque les amandes sont abondants)</t>
  </si>
  <si>
    <t>nos activités seront bien organisées et se feront dans le temps</t>
  </si>
  <si>
    <t>avoir les produits(noix ou amandes au temps voullu</t>
  </si>
  <si>
    <t>au debut de nos activités</t>
  </si>
  <si>
    <t>elles sont capable, mais limités à cause de moyens de transformation</t>
  </si>
  <si>
    <t>Iwardane</t>
  </si>
  <si>
    <t>Gooko</t>
  </si>
  <si>
    <t>moyenne accessible</t>
  </si>
  <si>
    <t>Bado</t>
  </si>
  <si>
    <t>pour s'entre aider</t>
  </si>
  <si>
    <t>plus  de force dans nos activités et partenariat</t>
  </si>
  <si>
    <t>oui dans la foret villageoise de Mogoya à 2 km de Gooko</t>
  </si>
  <si>
    <t>subvenire aux charges</t>
  </si>
  <si>
    <t>changements dans nos familles,prises en charges des taches familiales,  partenariat et de visibilité</t>
  </si>
  <si>
    <t>tous les membres viennent du meme village (Gooko)</t>
  </si>
  <si>
    <t>Mogoya</t>
  </si>
  <si>
    <t>marché local de Mogoya, de Gooko</t>
  </si>
  <si>
    <t>Aout 500f/plat</t>
  </si>
  <si>
    <t>750f/plat</t>
  </si>
  <si>
    <t>100f/plat</t>
  </si>
  <si>
    <t>15 sacs de 100kg</t>
  </si>
  <si>
    <t>Yes ( en collaboration avec Jeanne et si les conditions d'achats nous sont favorables et lorque les amandes sont abondants</t>
  </si>
  <si>
    <t xml:space="preserve">c'est une activité lucrative, et une nouvelle experience </t>
  </si>
  <si>
    <t>registre,cotisation</t>
  </si>
  <si>
    <t>pas de moyens techniques pour la transformation</t>
  </si>
  <si>
    <t>les sites de collectes sont moins distants , les femmes font souvent en nbre restrient</t>
  </si>
  <si>
    <t>routes restrientes, males tracées et presence de ravins</t>
  </si>
  <si>
    <t>Soulougnè</t>
  </si>
  <si>
    <t>Tchia</t>
  </si>
  <si>
    <t>accés difficil</t>
  </si>
  <si>
    <t>Ezouma</t>
  </si>
  <si>
    <t>né pour mieux nous s'organisé</t>
  </si>
  <si>
    <t>plus d'organisation et de d'opportunité</t>
  </si>
  <si>
    <t xml:space="preserve">nous n'avons pas encore esperiementé la transformation </t>
  </si>
  <si>
    <t>2 sacs de100 kg</t>
  </si>
  <si>
    <t>tous du meme village</t>
  </si>
  <si>
    <t>foret villageoise de  Tchia environ 3KM</t>
  </si>
  <si>
    <t>au marché local de notre village</t>
  </si>
  <si>
    <t xml:space="preserve">pas de transformation </t>
  </si>
  <si>
    <t>pas de transformation</t>
  </si>
  <si>
    <t>pas une estimation precise</t>
  </si>
  <si>
    <t>pas d'idée d'estimation</t>
  </si>
  <si>
    <t>350/plat, aout</t>
  </si>
  <si>
    <t>400f/plat sept</t>
  </si>
  <si>
    <t>450/plat,novembre</t>
  </si>
  <si>
    <t>500/plat, decembre</t>
  </si>
  <si>
    <t>nous produisons pas de beurre, ni de savons, ni de pommades</t>
  </si>
  <si>
    <t>c'est pour nous de decouvire une nouvelle activité et nous faire plus de revenus</t>
  </si>
  <si>
    <t>une opportunité d'avoir plus de partenaires</t>
  </si>
  <si>
    <t>collecte rapide, motiver les membres</t>
  </si>
  <si>
    <t>en respectant d'abord vos contrat et en octroyant les finances au debut des activités</t>
  </si>
  <si>
    <t>en cours de transformer le groupement en cooperative, presence de registre</t>
  </si>
  <si>
    <t>leur activité est la vente des amandes, ils ne s'invistissent pas dans le transformation</t>
  </si>
  <si>
    <t>foret villageoise de Tchia, les femmes dans la majorité colletent dans les champs</t>
  </si>
  <si>
    <t>les routes sont inaccessible et entravées par des ravins</t>
  </si>
  <si>
    <t>08-0ct</t>
  </si>
  <si>
    <t>accès moyenne</t>
  </si>
  <si>
    <t>Essie</t>
  </si>
  <si>
    <t>pour augmenter notre savoir faire dans nos activités</t>
  </si>
  <si>
    <t>plus de rentabilité dans nos nos activités lucratives</t>
  </si>
  <si>
    <t>dans la zone securisée</t>
  </si>
  <si>
    <t>30 yoroba</t>
  </si>
  <si>
    <t>40 yoroba</t>
  </si>
  <si>
    <t>pieds, velo,</t>
  </si>
  <si>
    <t>le chef de terre</t>
  </si>
  <si>
    <t>les femmes</t>
  </si>
  <si>
    <t>foret de Tioko à environs 20km</t>
  </si>
  <si>
    <t>Nigorboulou, tioko,yilawachio</t>
  </si>
  <si>
    <t>à partir de fin 2018 nous avons eu une unité de transformation, nous ne vendons plus nos amandes</t>
  </si>
  <si>
    <t>avant fin 2018 la transformation était semi-mecanisée, maintenant elle est purement mecanique</t>
  </si>
  <si>
    <t>toutes les operations sont mecanisées</t>
  </si>
  <si>
    <t>velo, pieds</t>
  </si>
  <si>
    <t>l'unité de transformation est au comptz de l'union, nous transformons nos produits et nous prenons soins des apperiels, en cas de panne technique on le repare ensemble</t>
  </si>
  <si>
    <t>plus rapide et gain de temps, produits de meilleur qualité</t>
  </si>
  <si>
    <t>juiellet-sept</t>
  </si>
  <si>
    <t>juiellet 300f/plat</t>
  </si>
  <si>
    <t>300f/plat Aout</t>
  </si>
  <si>
    <t>400f/plat sept-oct</t>
  </si>
  <si>
    <t>Novembre 500f/plat</t>
  </si>
  <si>
    <t>janvier 800f/plat</t>
  </si>
  <si>
    <t>à l'union communale des transformatrices des PFNL</t>
  </si>
  <si>
    <t>commercant des villages environnates, de temps en temps nous recevons des commandes venant de Ouagadougou</t>
  </si>
  <si>
    <t>Yes (le contrat est verbal, )</t>
  </si>
  <si>
    <t>union communales des transformatrices des PFNL</t>
  </si>
  <si>
    <t>pas de quantités fixes</t>
  </si>
  <si>
    <t>pas de qté fixe</t>
  </si>
  <si>
    <t>pas de volume fixe</t>
  </si>
  <si>
    <t>c'est une activité pour nous,nous allons apprendre faire nos activités autre manière, c'est une experience</t>
  </si>
  <si>
    <t xml:space="preserve">c'est pas une interdiction pour nous, </t>
  </si>
  <si>
    <t>nous(nous avons un centre aussi, mecanisé)</t>
  </si>
  <si>
    <t>nous allons faire plus d'achats achetés et plus les collecttent seront rapides</t>
  </si>
  <si>
    <t>vous allez avoir des amandes pour votre activité</t>
  </si>
  <si>
    <t>on n'a encore debuté le partenariat donc difficile de parler d'amelioration, il faudra d'abord respceter vos engagements et octroyer l'argent avant la periode de la collete</t>
  </si>
  <si>
    <t xml:space="preserve">c'est une coperative, ayant un registre et une cotisation </t>
  </si>
  <si>
    <t>presence une unité de transformation mecanique,</t>
  </si>
  <si>
    <t>existance une zone securisée pres du village</t>
  </si>
  <si>
    <t>il existe une potentialité forestiere, une zone securisée, souvent elles n'arrivent meme pas à tout collectés , les amandes pourissent dans les chants</t>
  </si>
  <si>
    <t>c'est union qui achete, mais il arrive qu'elle n'arrivent pas à acheté tous les amandes faute de moyens finaciers</t>
  </si>
  <si>
    <t>routes sonts restrientes, presnces de rivieres et de ravins</t>
  </si>
  <si>
    <t>Pionon Matuie</t>
  </si>
  <si>
    <t>Ladju</t>
  </si>
  <si>
    <t>Badiel</t>
  </si>
  <si>
    <t>ils n'ont pas pu nous donné les quantités d'amandes, de beurres vendues. De meme que la qté qu'ils esperent vendre.  cette année. En plus ils n'ont pas pu donné les proportion vendu et achétées</t>
  </si>
  <si>
    <t xml:space="preserve">pas d'estimation des qtés produites </t>
  </si>
  <si>
    <t>nous pensons que ce service est plus rapide et un gain de temps</t>
  </si>
  <si>
    <t>le contrat est verbal avec maman Jeanne. Ce qu'on gagne on vend à Jeanne</t>
  </si>
  <si>
    <t>pas une bonne organisation, pas d'idées sur les qté vendues et collectées</t>
  </si>
  <si>
    <t>ils n'ont de moyen de transformation, en plus ils s'nteressent pas trop sur la production du beurre en temoigne la non maitrise de la qté produite</t>
  </si>
  <si>
    <t>Yisokienè</t>
  </si>
  <si>
    <t>Bachoucorépoun</t>
  </si>
  <si>
    <t>Kandiel</t>
  </si>
  <si>
    <t>Echou Pauline</t>
  </si>
  <si>
    <t>1sac</t>
  </si>
  <si>
    <t>2 sacs</t>
  </si>
  <si>
    <t xml:space="preserve">foret de Tioko </t>
  </si>
  <si>
    <t>les femmes,jeunes</t>
  </si>
  <si>
    <t>pas d'estimation precise</t>
  </si>
  <si>
    <t>les equipements c'est pour l'union, nous avons les equipement, du decorticage jusqu’à la transformation en beurre</t>
  </si>
  <si>
    <t>commercant des villages environnates, de temps en temps nous recevons des commandes venant de Ouagadougou au compte de l'union</t>
  </si>
  <si>
    <t>c'est un accord de vente, nous decidons de vendre à l'union nos amandes, le contrat est verbal</t>
  </si>
  <si>
    <t>procedure des cooperative en cours, ayant un registre, maitrise des productions et repect des cotisatiobs par memebre</t>
  </si>
  <si>
    <t>la transformation se fait dans un centre mecanisé</t>
  </si>
  <si>
    <t>Kanwoukélés</t>
  </si>
  <si>
    <t>Kinda</t>
  </si>
  <si>
    <t>Sirata</t>
  </si>
  <si>
    <t>Chelesyli</t>
  </si>
  <si>
    <t>yeridion</t>
  </si>
  <si>
    <t>moyennement accessible</t>
  </si>
  <si>
    <t xml:space="preserve">Kandolo </t>
  </si>
  <si>
    <t>prendre en charge les depenses du groupement</t>
  </si>
  <si>
    <t>plus gain, de visibilité et de respect mutuel</t>
  </si>
  <si>
    <t>Environs 1,5 sac</t>
  </si>
  <si>
    <t>environs 2,5sacs</t>
  </si>
  <si>
    <t>tous du meme village(yeridion)</t>
  </si>
  <si>
    <t>foret Tioko</t>
  </si>
  <si>
    <t>les femmes, les jeunes et eleves</t>
  </si>
  <si>
    <t>l'unité de transformation est au compte de l'union, nous transformons nos produits et nous prenons soins des apperiels, en cas de panne technique on le repare ensemble</t>
  </si>
  <si>
    <t>amelioration du statu social, du gain financier</t>
  </si>
  <si>
    <t>aout 350f/plat</t>
  </si>
  <si>
    <t>les habitants du village</t>
  </si>
  <si>
    <t>mieux nous s'organisé dans les collecte et dans le fonctionnement du groupe</t>
  </si>
  <si>
    <t>voir en temps et en nombre les qté demandées</t>
  </si>
  <si>
    <t>presence d'un registre, procedure de cooperative, maitrise des qté produites</t>
  </si>
  <si>
    <t>Tialgo</t>
  </si>
  <si>
    <t>Kansono</t>
  </si>
  <si>
    <t>Epilbie Leanie</t>
  </si>
  <si>
    <t>dans l'intention d'unifier nos forces</t>
  </si>
  <si>
    <t>plus de respect et de visibilité, soutiens gouvernemental</t>
  </si>
  <si>
    <t>stokage, pas de transformation</t>
  </si>
  <si>
    <t>pour le fonctionnement du groupe</t>
  </si>
  <si>
    <t xml:space="preserve">autonomisation, </t>
  </si>
  <si>
    <t>pieds</t>
  </si>
  <si>
    <t>foret de Tiogo</t>
  </si>
  <si>
    <t>collectrices</t>
  </si>
  <si>
    <t>les presnts n'ont pas pu nous donné les quantités d'amandes vendus cours des ces années</t>
  </si>
  <si>
    <t>nous de transformons pas donc pas de vente</t>
  </si>
  <si>
    <t>Aout sept</t>
  </si>
  <si>
    <t>pas d'dées</t>
  </si>
  <si>
    <t>Aout 450f/plat</t>
  </si>
  <si>
    <t>450f/plat</t>
  </si>
  <si>
    <t>800f/Plat, Decembre, janvier</t>
  </si>
  <si>
    <t>Union des femmes vendeuses de karité</t>
  </si>
  <si>
    <t>pas de transformation de beurre, de savon ni de pommade</t>
  </si>
  <si>
    <t>pas de production de savons</t>
  </si>
  <si>
    <t>pas de production de pommade</t>
  </si>
  <si>
    <t>commercants</t>
  </si>
  <si>
    <t>c'est une activité lucrative pour nous</t>
  </si>
  <si>
    <t xml:space="preserve">amelioration de la qualité, </t>
  </si>
  <si>
    <t>vous</t>
  </si>
  <si>
    <t>augmenter le volume de collecte</t>
  </si>
  <si>
    <t>avoir plus d'amande et en temps</t>
  </si>
  <si>
    <t>au debut des activités</t>
  </si>
  <si>
    <t>impossible de donner la date de reaction, pas de procedure de cooperative</t>
  </si>
  <si>
    <t>ne transforme pas, elles vendent directement les amandes aux commercants</t>
  </si>
  <si>
    <t>les femme se deplacent à une disatnce longue pour les colletes dans la foret, le taux des amandes dans les champs est faible</t>
  </si>
  <si>
    <t>existance de la foret de Tiogo</t>
  </si>
  <si>
    <t>elles vende à l'union leurs amandes</t>
  </si>
  <si>
    <t>route moyenemt pratiqauble</t>
  </si>
  <si>
    <t>aucune relation, pas de formatoin, ni reunion</t>
  </si>
  <si>
    <t xml:space="preserve">Relwende </t>
  </si>
  <si>
    <t>Kowando</t>
  </si>
  <si>
    <t>idée de s'unir pour plus vitaliter</t>
  </si>
  <si>
    <t>plus de rentabilité dans nos activités lucratives</t>
  </si>
  <si>
    <t>pas d'idée sur la date de la premiere production de beurre</t>
  </si>
  <si>
    <t>prise en charges des depenses</t>
  </si>
  <si>
    <t>plus gain, de visibilité</t>
  </si>
  <si>
    <t>pieds, velos</t>
  </si>
  <si>
    <t>foret classée de Tiogo</t>
  </si>
  <si>
    <t>collectrices, jeunes et eleve</t>
  </si>
  <si>
    <t>à tenado</t>
  </si>
  <si>
    <t>pas d'estimation sur les quantités de beurre vendues</t>
  </si>
  <si>
    <t xml:space="preserve">pas d'idées sur les quantités vendu localement par les femmes </t>
  </si>
  <si>
    <t>400f/plat Aout</t>
  </si>
  <si>
    <t>500/plat sept</t>
  </si>
  <si>
    <t>750/plat, Dencenbre Janvier</t>
  </si>
  <si>
    <t>on ne vends pas, nous transformons</t>
  </si>
  <si>
    <t>les productions ne sont pas constantes, nous ne pouvons pas donné une qté fixe à vous vendre</t>
  </si>
  <si>
    <t>c'est pas une interdiction, en plus c'est une decouverte pour nous</t>
  </si>
  <si>
    <t>pour plus de rentabilité et d'autonomie sociale</t>
  </si>
  <si>
    <t>facilite le travail</t>
  </si>
  <si>
    <t>plus d'amande de bonne qualité et de noix</t>
  </si>
  <si>
    <t>au debut des activités pour mieux nous organisés</t>
  </si>
  <si>
    <t>pas de procedure de cooperative, maitrise des quantités d'amande collectés</t>
  </si>
  <si>
    <t>pas de moyen de transformation, non maitrise des qté de beurre prouites</t>
  </si>
  <si>
    <t>zounadou</t>
  </si>
  <si>
    <t>Lassimarou</t>
  </si>
  <si>
    <t>plus de soutiens</t>
  </si>
  <si>
    <t>Tiogo Mouhoum (25km), Bwo à 19km de Tenado</t>
  </si>
  <si>
    <t>300/plats</t>
  </si>
  <si>
    <t>commercants, la population</t>
  </si>
  <si>
    <t>la vente des noix aux etrangés n'est une interdiction, c'est une experience pour nous aussi</t>
  </si>
  <si>
    <t xml:space="preserve">pour plus de rentabilité </t>
  </si>
  <si>
    <t>rend plus facile nos activités</t>
  </si>
  <si>
    <t>assuarnce d'avoir plus de produits demandés</t>
  </si>
  <si>
    <t>respecter vos contracts et versé la somme avant le deroulement des activités</t>
  </si>
  <si>
    <t>pas de procedure de cooperative, maitrise des quantités d'amande collectés, precise d'un registre</t>
  </si>
  <si>
    <t>Igna</t>
  </si>
  <si>
    <t>Dadou</t>
  </si>
  <si>
    <t>Madelaine</t>
  </si>
  <si>
    <t>les achats des amandes et les charges liées au fonctionnement du groupement</t>
  </si>
  <si>
    <t>autonomisation, plus partenariat</t>
  </si>
  <si>
    <t>tiogo</t>
  </si>
  <si>
    <t>Juillet Sept</t>
  </si>
  <si>
    <t>recherche du gain financier</t>
  </si>
  <si>
    <t>Juillet 450/plat</t>
  </si>
  <si>
    <t>500f/plat sept</t>
  </si>
  <si>
    <t>750/plat Novem</t>
  </si>
  <si>
    <t>1000f/plat Decembre janvier</t>
  </si>
  <si>
    <t xml:space="preserve">pas de transformation de beurre, </t>
  </si>
  <si>
    <t>pas d'acheteurs</t>
  </si>
  <si>
    <t>pas de precedure de cooperative, non maitrise des qtés d'amande collectés</t>
  </si>
  <si>
    <t>existance de la foret de Tiogo,</t>
  </si>
  <si>
    <t>Gue-EDU</t>
  </si>
  <si>
    <t>s'unir pour mieux s'organisé</t>
  </si>
  <si>
    <t>plus de structutation et de visibilité</t>
  </si>
  <si>
    <t>Tiogo (8km à pieds)</t>
  </si>
  <si>
    <t>tialgo, Dadou</t>
  </si>
  <si>
    <t>750f/plat decembre-janvier</t>
  </si>
  <si>
    <t xml:space="preserve">pas d'estimation </t>
  </si>
  <si>
    <t>rend plus facile les collecttent</t>
  </si>
  <si>
    <t>respect de contract et versement de l'argent au debut des activités</t>
  </si>
  <si>
    <t>registe existe, mais pas de processus de cooperative</t>
  </si>
  <si>
    <t>foret de tiogo à 8 km</t>
  </si>
  <si>
    <t>Gnèdougnè</t>
  </si>
  <si>
    <t>Kamouni</t>
  </si>
  <si>
    <t>Eboubie</t>
  </si>
  <si>
    <t>financement de l'Etat, plus de visibilité dans nos activités</t>
  </si>
  <si>
    <t>achats, charges et fonctionnemet du groupe</t>
  </si>
  <si>
    <t>Thion (3Km) à pieds</t>
  </si>
  <si>
    <t>Tialgo;Dadou,</t>
  </si>
  <si>
    <t xml:space="preserve">gain financier, </t>
  </si>
  <si>
    <t>800/plat, Dencenbre Janvier</t>
  </si>
  <si>
    <t>le  surplus(pas de qté precise)</t>
  </si>
  <si>
    <t>amelioration de la qualité, rendre falicile nos travaux</t>
  </si>
  <si>
    <t>pas de procedures de cooperative, elles ont un registre</t>
  </si>
  <si>
    <t>foret de thion</t>
  </si>
  <si>
    <t>Tchinzèlè</t>
  </si>
  <si>
    <t>Tiago</t>
  </si>
  <si>
    <t>Eyamba</t>
  </si>
  <si>
    <t xml:space="preserve">etre efficace </t>
  </si>
  <si>
    <t>plus d'efficasité et de visibilité, soutiens gourvernemental</t>
  </si>
  <si>
    <t>pas d'estimation sur les proportions</t>
  </si>
  <si>
    <t>collecte et transport plus rapide</t>
  </si>
  <si>
    <t>assurance d'avoir des noix ou d'amande en temps</t>
  </si>
  <si>
    <t>respect de contract,argent au debut de la collecte</t>
  </si>
  <si>
    <t>foret( pas de nom precis) à 3km, les champs produisent moins d'amandes</t>
  </si>
  <si>
    <t>Soulougnè Douvougo</t>
  </si>
  <si>
    <t>Odette</t>
  </si>
  <si>
    <t>implusé par la recherche de l'unité et de l'efficacité</t>
  </si>
  <si>
    <t xml:space="preserve">plus d'efficacité  et de soutiens, </t>
  </si>
  <si>
    <t>Tchio 6km de pieds</t>
  </si>
  <si>
    <t>pas d'idées</t>
  </si>
  <si>
    <t>Vous</t>
  </si>
  <si>
    <t>les femme se deplacent à une disatnce longue(environs 20km) pour les colletes dans la foret, le taux des amandes dans les champs est faible</t>
  </si>
  <si>
    <t>Epilo</t>
  </si>
  <si>
    <t>à la recherche de plus de solidité et d'organosation</t>
  </si>
  <si>
    <t>plus de vitalité et soutiens</t>
  </si>
  <si>
    <t xml:space="preserve">prise en charges des depenses, frais de fonctionnement, achats </t>
  </si>
  <si>
    <t>environs 1 sac</t>
  </si>
  <si>
    <t>environs 2sacs</t>
  </si>
  <si>
    <t>17 km à pieds</t>
  </si>
  <si>
    <t>jeunes, femmes, les rendeurs</t>
  </si>
  <si>
    <t>tenado, tialgo</t>
  </si>
  <si>
    <t>aucune estimation sur la distance</t>
  </si>
  <si>
    <t>environ 2500f/20 yoraba</t>
  </si>
  <si>
    <t xml:space="preserve"> gain de temps</t>
  </si>
  <si>
    <t>inconnu</t>
  </si>
  <si>
    <t>on a pas de client</t>
  </si>
  <si>
    <t>commercant,les hatitants du village</t>
  </si>
  <si>
    <t xml:space="preserve">cela est une nouvelle experience pour nous </t>
  </si>
  <si>
    <t>maintrise du processus de la transformation et des qté produites</t>
  </si>
  <si>
    <t>presence de la foret de tiogo à 17 km</t>
  </si>
  <si>
    <t>soulougné</t>
  </si>
  <si>
    <t>Kagnana</t>
  </si>
  <si>
    <t>chantal</t>
  </si>
  <si>
    <t>c'est pour plus d'union</t>
  </si>
  <si>
    <t>nous somme plus uni, plus de visibilité</t>
  </si>
  <si>
    <t>le groupe fonctionne biens, plus d'achats et de ventes</t>
  </si>
  <si>
    <t>pas d'estimations precise sur les qtés</t>
  </si>
  <si>
    <t>foret de tiogo</t>
  </si>
  <si>
    <t>pas une d'idée sur les qtés d'amandes et de beurres vendues</t>
  </si>
  <si>
    <t>Semis-mecanique</t>
  </si>
  <si>
    <t xml:space="preserve">pour subvenir à nos besions </t>
  </si>
  <si>
    <t>300f/plat aout</t>
  </si>
  <si>
    <t>750f/plat Novembre</t>
  </si>
  <si>
    <t>850-900f/plat Decembre-janvier</t>
  </si>
  <si>
    <t>on a pas de clients</t>
  </si>
  <si>
    <t>habitants, les revendeurs</t>
  </si>
  <si>
    <t>45 sacs de 100 kg</t>
  </si>
  <si>
    <t>c'est un probleme pour nous</t>
  </si>
  <si>
    <t>non maitrise de la qté produite,la vente se fait en petite quantités</t>
  </si>
  <si>
    <t>existance de la foret de tiogo</t>
  </si>
  <si>
    <t>un y'a un gros acheturs (l'union des femmes)</t>
  </si>
  <si>
    <t>Zangin</t>
  </si>
  <si>
    <t xml:space="preserve">Kanko </t>
  </si>
  <si>
    <t>Poline</t>
  </si>
  <si>
    <t>pas de reponse precise</t>
  </si>
  <si>
    <t xml:space="preserve">plus de visibilité, de gain </t>
  </si>
  <si>
    <t>stokage, vente</t>
  </si>
  <si>
    <t>le fonctionnement du groupe</t>
  </si>
  <si>
    <t>plus de collecte et d'organisation</t>
  </si>
  <si>
    <t>tenado,tialgo</t>
  </si>
  <si>
    <t>avoir plus de finance</t>
  </si>
  <si>
    <t>350f/plat aout</t>
  </si>
  <si>
    <t>450f/plat sept</t>
  </si>
  <si>
    <t>c'est moyen de se faire plus de revenu</t>
  </si>
  <si>
    <t>rend rapide et facile la collecte et le deplacement</t>
  </si>
  <si>
    <t>respect des contracts</t>
  </si>
  <si>
    <t>pas de processus de cooperative, non matrise des qtés produite</t>
  </si>
  <si>
    <t>Yiwozinna</t>
  </si>
  <si>
    <t>Ebou</t>
  </si>
  <si>
    <t>à la recherche de nouvelles idées pour mieux produire</t>
  </si>
  <si>
    <t>plus de production, de visibilité</t>
  </si>
  <si>
    <t>pas de production de beurre</t>
  </si>
  <si>
    <t>achats , frais de fenctionnement</t>
  </si>
  <si>
    <t xml:space="preserve">la vente est organisée,plus de gain </t>
  </si>
  <si>
    <t>Environs 1sac</t>
  </si>
  <si>
    <t>environ 1,5 sac</t>
  </si>
  <si>
    <t>juillet-sept</t>
  </si>
  <si>
    <t>ameliorer notre statu social</t>
  </si>
  <si>
    <t>700f/plat Decenbre-janvier</t>
  </si>
  <si>
    <t>travail bien fait et rapide</t>
  </si>
  <si>
    <t>avoir les produits desirés en temps et de qualité</t>
  </si>
  <si>
    <t>Wend-songda</t>
  </si>
  <si>
    <t>kouakin</t>
  </si>
  <si>
    <t>pas difficile</t>
  </si>
  <si>
    <t>NACOULMA</t>
  </si>
  <si>
    <t>65 95 53 70</t>
  </si>
  <si>
    <t>Initiative personnelle</t>
  </si>
  <si>
    <t>changement de mentalité</t>
  </si>
  <si>
    <t>2plats de 3kg</t>
  </si>
  <si>
    <t>a part le village</t>
  </si>
  <si>
    <t>500f/sac de 100kg</t>
  </si>
  <si>
    <t>100à 150f/plat de 3kg</t>
  </si>
  <si>
    <t>pour subvenir aux besoins</t>
  </si>
  <si>
    <t>Septembre:550 fcfa</t>
  </si>
  <si>
    <t>Novembre 650 fcfa</t>
  </si>
  <si>
    <t>1350fcfa/3kg</t>
  </si>
  <si>
    <t>Marché local commercant de Manga et Ouaga</t>
  </si>
  <si>
    <t>Marché local</t>
  </si>
  <si>
    <t>chaque jour de marché et les prix vont de 400fcfa à 1350fcfa selon la période</t>
  </si>
  <si>
    <t>On s'adaptera mais il faut plus de sensibilisation</t>
  </si>
  <si>
    <t>Elles recherchent d'abord la fidélisation d'un client qui acceptera les préfinancer et elles sensibiliseront leurs camarades</t>
  </si>
  <si>
    <t>Le bureau fonctionne mais et à besoin d'accompagnement</t>
  </si>
  <si>
    <t xml:space="preserve">elles peuvent élargir leurs zones d'action  </t>
  </si>
  <si>
    <t xml:space="preserve">Les étrangers ne collectent pas </t>
  </si>
  <si>
    <t>Les ressources sont disponibles et la demande n'est pas prononcée</t>
  </si>
  <si>
    <t>Aucun client potentiel à part les commerçants temporaires</t>
  </si>
  <si>
    <t>pas loin du goudron et la voie est praticable</t>
  </si>
  <si>
    <t>Dayasnooré</t>
  </si>
  <si>
    <t>77 73 22 24</t>
  </si>
  <si>
    <t>Adhesion de nouvaux membres et changement du bureau</t>
  </si>
  <si>
    <t>10plats de 3kg</t>
  </si>
  <si>
    <t>Dayasnoore</t>
  </si>
  <si>
    <t>pour le groupement</t>
  </si>
  <si>
    <t>elles peuvent élargir leurs zones d'action  en dehors de leur zone securisée</t>
  </si>
  <si>
    <t xml:space="preserve">Les étrangers peuvent collecter mais ya conflit quant on collecte dans le champ des voisins </t>
  </si>
  <si>
    <t>Basgana1</t>
  </si>
  <si>
    <t>Basgana</t>
  </si>
  <si>
    <t>COMPAORE</t>
  </si>
  <si>
    <t>Ablassé</t>
  </si>
  <si>
    <t>Adhesion de nouveaux membres et changement de mentalité</t>
  </si>
  <si>
    <t>4plats de 3kg</t>
  </si>
  <si>
    <t>Le bureau fonctionne moins  à besoin d'accompagnement et de sensibilisatistion</t>
  </si>
  <si>
    <t xml:space="preserve">elles peuvent élargir leur zone d'action </t>
  </si>
  <si>
    <t>un peu loin du goudron et la voie n'est pas bonne mais ya un contournement</t>
  </si>
  <si>
    <t>Basgana2</t>
  </si>
  <si>
    <t>Saidou</t>
  </si>
  <si>
    <t>Coopérative Delwendé</t>
  </si>
  <si>
    <t>NIKIEMA</t>
  </si>
  <si>
    <t>Adhesion de nouveaux membres et changement du bureau</t>
  </si>
  <si>
    <t>koulpelgo</t>
  </si>
  <si>
    <t>Moulin;concasseur mais non fonctionnel</t>
  </si>
  <si>
    <t xml:space="preserve">mais a besoin  d'accompagnement </t>
  </si>
  <si>
    <t>OUDA</t>
  </si>
  <si>
    <t>BAGA</t>
  </si>
  <si>
    <t xml:space="preserve">Impulsion de l'agent agriculteur </t>
  </si>
  <si>
    <t>riz</t>
  </si>
  <si>
    <t>3plats de 3kg</t>
  </si>
  <si>
    <t>Ouda</t>
  </si>
  <si>
    <t>Zangbenewendé</t>
  </si>
  <si>
    <t>Augustine</t>
  </si>
  <si>
    <t>Larga</t>
  </si>
  <si>
    <t>Baraogotenga</t>
  </si>
  <si>
    <t>kelesiela;kouenkouré</t>
  </si>
  <si>
    <t>Basgana8</t>
  </si>
  <si>
    <t>Rasmané</t>
  </si>
  <si>
    <t>Venegrnooma</t>
  </si>
  <si>
    <t xml:space="preserve">Mme BOUDA né ZOUNGRANA </t>
  </si>
  <si>
    <t>Sophie</t>
  </si>
  <si>
    <t>Scoop</t>
  </si>
  <si>
    <t>larga</t>
  </si>
  <si>
    <t>Le bureau fonctione bien</t>
  </si>
  <si>
    <t>elles peuvent élargir leur zone d'action vu que les membres sont de differents villages</t>
  </si>
  <si>
    <t>wend songda</t>
  </si>
  <si>
    <t>CONGO</t>
  </si>
  <si>
    <t>Initiative des femmes pour venir en aide à leur mari</t>
  </si>
  <si>
    <t>legumes</t>
  </si>
  <si>
    <t>à part le village compte tenu des distances on se limite dans nos lieux de collecte</t>
  </si>
  <si>
    <t>Marché local commercant de Manga ;Ouaga et nos partenaires de la cooperative français qui ne viennent aue chaque année</t>
  </si>
  <si>
    <t xml:space="preserve"> Un peu loin du goudron et la voie est praticable</t>
  </si>
  <si>
    <t>Wendpenga</t>
  </si>
  <si>
    <t>Boukary</t>
  </si>
  <si>
    <t>Le bureau fonctionne moins mais et à besoin d'accompagnement</t>
  </si>
  <si>
    <t>Lagmtaabalaboumb</t>
  </si>
  <si>
    <t>BOUDA</t>
  </si>
  <si>
    <t>mil germé</t>
  </si>
  <si>
    <t>wendkonté</t>
  </si>
  <si>
    <t>Teegawendé</t>
  </si>
  <si>
    <t>Georgette</t>
  </si>
  <si>
    <t>élevage</t>
  </si>
  <si>
    <t>2500/an</t>
  </si>
  <si>
    <t>5plats de 3kg</t>
  </si>
  <si>
    <t>sing-guessé</t>
  </si>
  <si>
    <t>Tangsèga</t>
  </si>
  <si>
    <t>Rihanatou</t>
  </si>
  <si>
    <t>Initiative personnelle des femmes</t>
  </si>
  <si>
    <t>un peu loin du goudron et la voie est praticable</t>
  </si>
  <si>
    <t>wendsongda</t>
  </si>
  <si>
    <t>Toecé</t>
  </si>
  <si>
    <t>DIPAMA</t>
  </si>
  <si>
    <t>Mariata</t>
  </si>
  <si>
    <t>Marché local commercant de Manga;Toecé et Ouaga</t>
  </si>
  <si>
    <t>Patamanagré</t>
  </si>
  <si>
    <t>Gogo</t>
  </si>
  <si>
    <t>V2</t>
  </si>
  <si>
    <t>la voie est praticable</t>
  </si>
  <si>
    <t>Miriam</t>
  </si>
  <si>
    <t>s/c 78515838</t>
  </si>
  <si>
    <t>Le bureau fonctionne mais à besoin d'accompagnement et de sensibilisatistion</t>
  </si>
  <si>
    <t>un peu loin du goudron et l'accès  n'est  difficile</t>
  </si>
  <si>
    <t>Zak-la-yilmdé</t>
  </si>
  <si>
    <t>Victorine</t>
  </si>
  <si>
    <t xml:space="preserve">Fonctionnement </t>
  </si>
  <si>
    <t>manga</t>
  </si>
  <si>
    <t>1350cfa/3kg</t>
  </si>
  <si>
    <t>Elles recherchent d'abord la fidélisation d'un client qui acceptera les préfinancer et elles sensibiliseront leurs camarades pour qu'elles adhèrent.</t>
  </si>
  <si>
    <t xml:space="preserve">Le bureau fonctionne mais à besoin d'accompagnement </t>
  </si>
  <si>
    <t>Koswendsoré</t>
  </si>
  <si>
    <t>KAFANDO</t>
  </si>
  <si>
    <t>Zara</t>
  </si>
  <si>
    <t>solidarité-achat des amendes</t>
  </si>
  <si>
    <t>1400fcfa/3kg</t>
  </si>
  <si>
    <t>chaque jour de marché et les prix vont de 400fcfa à 1400fcfa selon la période</t>
  </si>
  <si>
    <t xml:space="preserve">Aucun client potentiel sherious shea peut compter sur elles </t>
  </si>
  <si>
    <t>Wendtouen</t>
  </si>
  <si>
    <t>kosmasson</t>
  </si>
  <si>
    <t>SIMPORE</t>
  </si>
  <si>
    <t>Azèta</t>
  </si>
  <si>
    <t>Le bureau fonctionne moins et  a besoin d'accompagnement et de sensibilisatistion</t>
  </si>
  <si>
    <t>Wendmanegda</t>
  </si>
  <si>
    <t>TIENDREBEOGO</t>
  </si>
  <si>
    <t>Safiata</t>
  </si>
  <si>
    <t>Le bureau fonctionne moins  et a besoin d'accompagnement et de sensibilisatistion</t>
  </si>
  <si>
    <t>Tegwensida</t>
  </si>
  <si>
    <t>arachide</t>
  </si>
  <si>
    <t xml:space="preserve">stockage </t>
  </si>
  <si>
    <t>Fonctionnement et social</t>
  </si>
  <si>
    <t>wendsongdo</t>
  </si>
  <si>
    <t xml:space="preserve">NIKIEMA </t>
  </si>
  <si>
    <t>koswendé</t>
  </si>
  <si>
    <t>Zama</t>
  </si>
  <si>
    <t>S/C77300049</t>
  </si>
  <si>
    <t>Association wendmanegada</t>
  </si>
  <si>
    <t>Celine</t>
  </si>
  <si>
    <t xml:space="preserve">Association </t>
  </si>
  <si>
    <t>Le bureau fonctionne moins et a besoin d'accompagnement et de sensibilisatistion</t>
  </si>
  <si>
    <t>pas loin du goudron et l'accès  n'est pas difficile</t>
  </si>
  <si>
    <t>malgr-nooma</t>
  </si>
  <si>
    <t>centre-sud</t>
  </si>
  <si>
    <t>zoundwéogo</t>
  </si>
  <si>
    <t>boura</t>
  </si>
  <si>
    <t>impulsé par les membres du groupe</t>
  </si>
  <si>
    <t>mieux organisé qu'avant,augmentation nombre de membre,ainsi que capacité de production,vente aux grands acheteurs</t>
  </si>
  <si>
    <t>groupe et séparement</t>
  </si>
  <si>
    <t>en groupe et en brousse(pour cequi est destiné a tout le groupement);séparement et au champs( pour cequi appartien a l'individu)</t>
  </si>
  <si>
    <t>achat amande,prêt entre membres du groupement</t>
  </si>
  <si>
    <t>considération,partage d'idées,savoir-faire,joie</t>
  </si>
  <si>
    <t>formation,réunion</t>
  </si>
  <si>
    <t>bilbalogo, les brousses de boura</t>
  </si>
  <si>
    <t>femmes non organisées</t>
  </si>
  <si>
    <t>bilbalogo,tanghin,boura,yakin,toemissi</t>
  </si>
  <si>
    <t>broyage(écrasé)</t>
  </si>
  <si>
    <t>50f/kg</t>
  </si>
  <si>
    <t>août,septembre:166f/kg</t>
  </si>
  <si>
    <t>octobre,novembre:216/kg</t>
  </si>
  <si>
    <t>decembre:333f/kg</t>
  </si>
  <si>
    <t>grands commerçants installés à ouagadougou</t>
  </si>
  <si>
    <t>personnes physique de la commune;monsieur sawadogo(animateur manga)</t>
  </si>
  <si>
    <t>grands commerçant locaux et étrangers</t>
  </si>
  <si>
    <t>monsieur sawadogo;personnes physiques communale et étrangers</t>
  </si>
  <si>
    <t>seulement pour cequi concerne la collecte personnelle</t>
  </si>
  <si>
    <t>100000kg</t>
  </si>
  <si>
    <t>presence de bureau,cotisation regulière,rencontre regulière,presence de registre,pas en cooperative</t>
  </si>
  <si>
    <t>transformation semi-mecanique,quantité  de beurre produite assez élevé par rapport aux moyens utilisé (500à700litres),mais pas d'equipements modernes.</t>
  </si>
  <si>
    <t>route praticable mais non bitumé</t>
  </si>
  <si>
    <t>formations,reunions</t>
  </si>
  <si>
    <t>namanegb-zaaga</t>
  </si>
  <si>
    <t>guiba</t>
  </si>
  <si>
    <t>yakin</t>
  </si>
  <si>
    <t>adjara</t>
  </si>
  <si>
    <t>considération,vente en  gros</t>
  </si>
  <si>
    <t>les brousses de yakin</t>
  </si>
  <si>
    <t>commerçants locaux et étrangers</t>
  </si>
  <si>
    <t xml:space="preserve"> commerçant locaux et étrangers</t>
  </si>
  <si>
    <t>en cas de manque de moyen du groupement</t>
  </si>
  <si>
    <t>ecoulement rapide de noix</t>
  </si>
  <si>
    <t>juste de nom</t>
  </si>
  <si>
    <t>wend-songdo</t>
  </si>
  <si>
    <t>BONKOUGOU</t>
  </si>
  <si>
    <t>rabilgwendé</t>
  </si>
  <si>
    <t>considération,plus de profit</t>
  </si>
  <si>
    <t xml:space="preserve"> les brousses de boura</t>
  </si>
  <si>
    <t>tanghin,boura,yakin,toemissi</t>
  </si>
  <si>
    <t>commerçants installés à ouagadougou</t>
  </si>
  <si>
    <t>9000kg</t>
  </si>
  <si>
    <t xml:space="preserve"> Avatageux et nous voulons l'argent</t>
  </si>
  <si>
    <t>transformation semi-mecanique,quantité  de beurre produite assez élevé par rapport aux moyens utilisé et au nombres de personnes (plus de 100litres par 15personnes),absence d'equipements modernes.</t>
  </si>
  <si>
    <t>nogtaaba</t>
  </si>
  <si>
    <t>tanghin</t>
  </si>
  <si>
    <t>aminata</t>
  </si>
  <si>
    <t>partage d'idées,plus de profit,vente en  gros</t>
  </si>
  <si>
    <t xml:space="preserve"> les brousses de tanghin</t>
  </si>
  <si>
    <t>au cas le groupement n'a plus les moyens pour l'achat</t>
  </si>
  <si>
    <t>4000kg</t>
  </si>
  <si>
    <t>bilbalogo</t>
  </si>
  <si>
    <t>aïsseta</t>
  </si>
  <si>
    <t xml:space="preserve"> les brousses du village</t>
  </si>
  <si>
    <t>commerçants venuent de manga,ouagadougou</t>
  </si>
  <si>
    <t>écoulement rapide d'une partie de nos produits</t>
  </si>
  <si>
    <t>capacité treés moyenne dans la transformation car pas d'equipements modernes et quantité se beurre produite par an assez faible</t>
  </si>
  <si>
    <t>teegawendé</t>
  </si>
  <si>
    <t>Guéré</t>
  </si>
  <si>
    <t>TIEMTORE</t>
  </si>
  <si>
    <t>lamoussa</t>
  </si>
  <si>
    <t>initiative personnelle des membres</t>
  </si>
  <si>
    <t>considération,plus de profit,vente en  gros</t>
  </si>
  <si>
    <t>gueré</t>
  </si>
  <si>
    <t>gueré,gueré-goghin</t>
  </si>
  <si>
    <t>commerçants venuent de béré,toecé,ouagadougou</t>
  </si>
  <si>
    <t>Avatageux et nous voulons l'argent</t>
  </si>
  <si>
    <t>ZOUNGRANA</t>
  </si>
  <si>
    <t>salimata</t>
  </si>
  <si>
    <t>mieux organisé qu'avant,acheteur et lieux de vente fixe</t>
  </si>
  <si>
    <t>les brousses de guéré</t>
  </si>
  <si>
    <t>toemissi</t>
  </si>
  <si>
    <t>augmentation nombre de membre</t>
  </si>
  <si>
    <t>Soutient social,partage d'idées</t>
  </si>
  <si>
    <t>les brousses du village</t>
  </si>
  <si>
    <t>noberé</t>
  </si>
  <si>
    <t>Nobere</t>
  </si>
  <si>
    <t>bakago</t>
  </si>
  <si>
    <t>ramata</t>
  </si>
  <si>
    <t>85kg</t>
  </si>
  <si>
    <t>255kg</t>
  </si>
  <si>
    <t>bakao(tangsougou)</t>
  </si>
  <si>
    <t>à environ 4-5km dans les brousses</t>
  </si>
  <si>
    <t>juillet,août:133f/kg</t>
  </si>
  <si>
    <t>septembre,octobre,novembre:166f/kg</t>
  </si>
  <si>
    <t>commerçants venuent de ouaga,manga</t>
  </si>
  <si>
    <t>commerçant locaux et étrangers,revendeurs</t>
  </si>
  <si>
    <t>au cas d'un prix supérieur à celui du client habutuel du groupe</t>
  </si>
  <si>
    <t>6000kg</t>
  </si>
  <si>
    <t>plus rapide à vendre</t>
  </si>
  <si>
    <t>presence de bureau,cotisation regulière,rencontre regulière, cooperative en perspective</t>
  </si>
  <si>
    <t>voie peut praticable</t>
  </si>
  <si>
    <t>relwendé</t>
  </si>
  <si>
    <t>safiatou</t>
  </si>
  <si>
    <t>mieux organisé qu'avant,consideration</t>
  </si>
  <si>
    <t>prêt entre membres du groupement,affaires courante du groupe</t>
  </si>
  <si>
    <t>augmentation de revenu</t>
  </si>
  <si>
    <t>340kg</t>
  </si>
  <si>
    <t>bakao(nakila)</t>
  </si>
  <si>
    <t>commerçants venuent de ouaga et manga</t>
  </si>
  <si>
    <t>en cas de manque de moyen des membres du groupe</t>
  </si>
  <si>
    <t>bon prix</t>
  </si>
  <si>
    <t>presence de buereau,cotisation, cooperative en perspective mais pas de rencontre regulière et de traveaux en communs</t>
  </si>
  <si>
    <t>piste moyennement praticable</t>
  </si>
  <si>
    <t>soutounooman</t>
  </si>
  <si>
    <t>doncin</t>
  </si>
  <si>
    <t>510kg</t>
  </si>
  <si>
    <t>à environ 7-8km dans les brousses</t>
  </si>
  <si>
    <t>doncin,pissi,selonghin,bakao</t>
  </si>
  <si>
    <t>broyag(ecrasé)</t>
  </si>
  <si>
    <t>Juillet,août,septembre,octobre,novembre,decembre</t>
  </si>
  <si>
    <t>juillet,août,septembre:133f/kg</t>
  </si>
  <si>
    <t>octobre,novembre:166f/kg</t>
  </si>
  <si>
    <t>decembre,janvier:250f/kg</t>
  </si>
  <si>
    <t>commerçants venuent du ghana,de ouaga</t>
  </si>
  <si>
    <t>en cas de manque de moyen du groupement ou de proposition de bon prix par un autre</t>
  </si>
  <si>
    <t>8000kg</t>
  </si>
  <si>
    <t>transformtion  moyenne, presence d'equipements mais dysfonctionnel</t>
  </si>
  <si>
    <t xml:space="preserve">presence de grands acheteurs </t>
  </si>
  <si>
    <t>centre/siége a quelques métres du goudron</t>
  </si>
  <si>
    <t>sougrinooman</t>
  </si>
  <si>
    <t>pegdwendé</t>
  </si>
  <si>
    <t>mamounata</t>
  </si>
  <si>
    <t>acheteur et lieux de vente fixe,augmentation nombre de membre</t>
  </si>
  <si>
    <t>plus de profit,soutient social,partage d'idées</t>
  </si>
  <si>
    <t>250kg</t>
  </si>
  <si>
    <t>pied,charrette</t>
  </si>
  <si>
    <t>vélo,charrette</t>
  </si>
  <si>
    <t>PNKT(parc national KABORE tambi)</t>
  </si>
  <si>
    <t>septembre,octobre:200f/kg</t>
  </si>
  <si>
    <t>une commerçante venue de pô</t>
  </si>
  <si>
    <t>permet de planifier nos activités de collect</t>
  </si>
  <si>
    <t>garantie d'avoire ses amandes</t>
  </si>
  <si>
    <t>pas de conflit sur les lieux de collecte,site de collecte a courte  distance</t>
  </si>
  <si>
    <t>presence de brousse ,jachére et collecte dans la forêt</t>
  </si>
  <si>
    <t>bang-nooman</t>
  </si>
  <si>
    <t>tewaka</t>
  </si>
  <si>
    <t>YELBANGA</t>
  </si>
  <si>
    <t>en groupe et en forêt, pour cequi concerne la transformation en beurre et savon</t>
  </si>
  <si>
    <t>tewaga</t>
  </si>
  <si>
    <t>pedgwendé,tewaka</t>
  </si>
  <si>
    <t>juillet,août,septembre,octobre,novembre,decembre</t>
  </si>
  <si>
    <t>novembre,decembre:250f/kg</t>
  </si>
  <si>
    <t>AKA</t>
  </si>
  <si>
    <t>femmes du village et personnes physique de la commune</t>
  </si>
  <si>
    <t>AKA,commerçants venuent de pô,du ghana,de ouaga</t>
  </si>
  <si>
    <t>Avatageux et facile à ecoulé</t>
  </si>
  <si>
    <t>permet de collecter la quantité demandé</t>
  </si>
  <si>
    <t>laafi-laboum</t>
  </si>
  <si>
    <t>tamsé</t>
  </si>
  <si>
    <t>kadidja</t>
  </si>
  <si>
    <t>85km</t>
  </si>
  <si>
    <t>les differents brousses du village</t>
  </si>
  <si>
    <t xml:space="preserve">voie non bitumée mais pratiquable </t>
  </si>
  <si>
    <t>vohoko</t>
  </si>
  <si>
    <t>pauline</t>
  </si>
  <si>
    <t>vohoko(dakieman)</t>
  </si>
  <si>
    <t>les differents brousses du village,forêt</t>
  </si>
  <si>
    <t>commerçants venuent de ouaga</t>
  </si>
  <si>
    <t>presence de bureau,cotisation regulière,rencontre regulière,cooperative en perspective</t>
  </si>
  <si>
    <t>presence de brousse,jachére et collecte dans la forêt</t>
  </si>
  <si>
    <t>voie non bitumée mais pratiquable</t>
  </si>
  <si>
    <t>kataga</t>
  </si>
  <si>
    <t>augmentation nombre de membre,consideration</t>
  </si>
  <si>
    <t>vente en  gros,partage idées</t>
  </si>
  <si>
    <t>parc nationale</t>
  </si>
  <si>
    <t>commerçants venuent de ouaga,kombissiri</t>
  </si>
  <si>
    <t>commerçant locaux et étrangers</t>
  </si>
  <si>
    <t>mitikiéta</t>
  </si>
  <si>
    <t>passintenga</t>
  </si>
  <si>
    <t>bibata</t>
  </si>
  <si>
    <t xml:space="preserve">besoin d'argent </t>
  </si>
  <si>
    <t>centre car nous n'avons pas d'equipements de transformation</t>
  </si>
  <si>
    <t>pas de conflit sur les lieux de collecte,site de collecte a moyenne  distance</t>
  </si>
  <si>
    <t>tirkiéta</t>
  </si>
  <si>
    <t>barcé</t>
  </si>
  <si>
    <t>SARGA</t>
  </si>
  <si>
    <t>amie</t>
  </si>
  <si>
    <t>besoin d'argent pour achat d'article divers et autres</t>
  </si>
  <si>
    <t>pas de conflit sur les lieux de collecte,site de collecte a moyenne distance</t>
  </si>
  <si>
    <t>presence de brousse ,jachére et possibilité de collecte dans la forêt nationale</t>
  </si>
  <si>
    <t>voie non bitumée mais pratiquable et situé a environ 4km du goudron</t>
  </si>
  <si>
    <t>wendpanga</t>
  </si>
  <si>
    <t>doulougou</t>
  </si>
  <si>
    <t>bazèga</t>
  </si>
  <si>
    <t>Doulougou</t>
  </si>
  <si>
    <t>bangleongo</t>
  </si>
  <si>
    <t>KIENDREBEOGO</t>
  </si>
  <si>
    <t>75809135/69932938</t>
  </si>
  <si>
    <t>motivé par monsieur BONKOUGOU(animateur)</t>
  </si>
  <si>
    <t>augmentation nombre de membre,consideration,mieux organisé qu'avant</t>
  </si>
  <si>
    <t>tontine</t>
  </si>
  <si>
    <t>fond de commerce,prêt entre membres du groupement</t>
  </si>
  <si>
    <t>partage d'idées</t>
  </si>
  <si>
    <t>forêt villageoise de thonghin,alentoures du village</t>
  </si>
  <si>
    <t>juin,Juillet,août,septembre,octobre,novembre,decembre</t>
  </si>
  <si>
    <t>juin,juillet:333f/kg</t>
  </si>
  <si>
    <t>août,septembre,octobre:166f/kg</t>
  </si>
  <si>
    <t>novembre,decembre,janvier:250f/kg</t>
  </si>
  <si>
    <t>le groupement n'achete pas donc tous vendent individuellement sur les different marchés</t>
  </si>
  <si>
    <t>10000kg</t>
  </si>
  <si>
    <t>presence de bureau constitué de six(6),cotisation regulière,rencontre regulière,presence et respect des règlements</t>
  </si>
  <si>
    <t>production du beurre mais de façon individuelle et en petite quantité surtout pour la consommation</t>
  </si>
  <si>
    <t>presence assez forte de femmes collectrice dans le village,mais pas de conflit autour de la resource</t>
  </si>
  <si>
    <t>presence de brousse et jachére</t>
  </si>
  <si>
    <t>presence de commerçants qui achetent seulement au marché</t>
  </si>
  <si>
    <t>voie non bitumée mais pratiquable et situé a 7km du goudron</t>
  </si>
  <si>
    <t>sampongdtenga</t>
  </si>
  <si>
    <t>LALSAGA</t>
  </si>
  <si>
    <t>podba</t>
  </si>
  <si>
    <t>75499951/68945368</t>
  </si>
  <si>
    <t>Soutient social</t>
  </si>
  <si>
    <t>sampongd-tenga</t>
  </si>
  <si>
    <t>mars,avril, mai,juin,Juillet,août,septembre,octobre,novembre,decembre</t>
  </si>
  <si>
    <t>mars,avril,mai:333f/kg</t>
  </si>
  <si>
    <t>juin, juillet,août:150f/kg</t>
  </si>
  <si>
    <t>septembre,octobre:166f/kg</t>
  </si>
  <si>
    <t>novembre,decembre,janvier:200f/kg</t>
  </si>
  <si>
    <t>plus profitable et sera moins fatigant</t>
  </si>
  <si>
    <t>voie non bitumée mais pratiquable et situé a 12km du goudron</t>
  </si>
  <si>
    <t>wendsongo1</t>
  </si>
  <si>
    <t>souli</t>
  </si>
  <si>
    <t>zara</t>
  </si>
  <si>
    <t>soutient social,augmentation de revenu</t>
  </si>
  <si>
    <t>forêt communale,les brousses du village</t>
  </si>
  <si>
    <t>juin,juillet,août:250f/kg</t>
  </si>
  <si>
    <t>septembre,octobre,novembre:200f/kg</t>
  </si>
  <si>
    <t>decembre,janvier:333f/kg</t>
  </si>
  <si>
    <t>AKA,union beneré</t>
  </si>
  <si>
    <t>union beneré de toulweogo</t>
  </si>
  <si>
    <t>AKA,commerçant de ouaga et combissiri</t>
  </si>
  <si>
    <t>commerçants locaux et personnes physiques de la commune</t>
  </si>
  <si>
    <t>le groupement n'achete pas en dehors d'une commande générale</t>
  </si>
  <si>
    <t>bon prix,ecoulement rapide</t>
  </si>
  <si>
    <t>planification de la collecte</t>
  </si>
  <si>
    <t xml:space="preserve">assurance pour l'acheteur </t>
  </si>
  <si>
    <t xml:space="preserve">presence de bureau constitué de six(6),cotisation regulière,rencontre regulière,demande de cooperative en perspective </t>
  </si>
  <si>
    <t>transformtion  moyenne,pas d'equipements modernes propre au groupement</t>
  </si>
  <si>
    <t>presence de brousse ,jachére et possibilité de collecte dans la forêt communale</t>
  </si>
  <si>
    <t>presence  commerçants locaux et etrangers(AKA,union beneré)</t>
  </si>
  <si>
    <t>voie non bitumée mais pratiquable et situé a environ 3km du goudron</t>
  </si>
  <si>
    <t>tenwend-panga</t>
  </si>
  <si>
    <t>nobdogo</t>
  </si>
  <si>
    <t>sous impulsion d'un fils du village resident a ipelsé</t>
  </si>
  <si>
    <t>partage d'idées,soutient social</t>
  </si>
  <si>
    <t>12000kg</t>
  </si>
  <si>
    <t xml:space="preserve">presence de buereau,cotisation,  pas de  traveaux en communs de façon régulier </t>
  </si>
  <si>
    <t>sompassaté</t>
  </si>
  <si>
    <t>OUANGRAWA</t>
  </si>
  <si>
    <t>tiga</t>
  </si>
  <si>
    <t>soutient social,augmentation de revenu,soutient social</t>
  </si>
  <si>
    <t>Nogtaba</t>
  </si>
  <si>
    <t>centre sud</t>
  </si>
  <si>
    <t>Kiougou</t>
  </si>
  <si>
    <t xml:space="preserve">Baga </t>
  </si>
  <si>
    <t>Lucie</t>
  </si>
  <si>
    <t>à la recherche de nouvelles idées pour mieux produire, et encouragé par le projet Tree-aid</t>
  </si>
  <si>
    <t>120kg</t>
  </si>
  <si>
    <t>pieds, vélos, charettes</t>
  </si>
  <si>
    <t>foret communale de Gogo</t>
  </si>
  <si>
    <t>kiougou, zourma Kita</t>
  </si>
  <si>
    <t>500f/plat Aout</t>
  </si>
  <si>
    <t>600f/plat sept</t>
  </si>
  <si>
    <t>1000f/plat Novenbre</t>
  </si>
  <si>
    <t>1250f/plat Decembre</t>
  </si>
  <si>
    <t>avant le projet Tree-aid achetait, actuellement on a pas de clients</t>
  </si>
  <si>
    <t xml:space="preserve">commercants, </t>
  </si>
  <si>
    <t>la qté demandée, actuellement nos amandes pourries et pas de preneurs</t>
  </si>
  <si>
    <t xml:space="preserve">facilite nos travaux de decorticage et  ameliore la qlité de notre beurre, </t>
  </si>
  <si>
    <t>pas de procedure de cooperative,</t>
  </si>
  <si>
    <t>les femmes collecette dans la foret de gogo (32000ha)</t>
  </si>
  <si>
    <t>la foret de gogo a des potentialités de production importantes,</t>
  </si>
  <si>
    <t>pas d'acheteurs bien structurés</t>
  </si>
  <si>
    <t>à proximité du groudrons les infrastructures sont bonnes, mais au niveau du groupement les routes sont marecageuses</t>
  </si>
  <si>
    <t>nous attendons parlé de Karitis, mais on a pas recu de formation</t>
  </si>
  <si>
    <t>Lagmtaba</t>
  </si>
  <si>
    <t>Yambasé</t>
  </si>
  <si>
    <t xml:space="preserve">Yabré </t>
  </si>
  <si>
    <t>ténè</t>
  </si>
  <si>
    <t>1000/ans</t>
  </si>
  <si>
    <t xml:space="preserve"> 14 sacs/femme (2018)</t>
  </si>
  <si>
    <t>24 sacs/femme (2018)</t>
  </si>
  <si>
    <t>yambasé,gogo</t>
  </si>
  <si>
    <t>100/plat</t>
  </si>
  <si>
    <t>rapide</t>
  </si>
  <si>
    <t>la vente de noix n'est pas une interdiction</t>
  </si>
  <si>
    <t>bonne organisation dans les activités, presence d'un registre</t>
  </si>
  <si>
    <t>maintrise les conditions de la transformation, qté de production importante</t>
  </si>
  <si>
    <t>apres le depart de tree-aid, pas de gros acheteurs, nos amandes pourries et ne veut que des acheteurs</t>
  </si>
  <si>
    <t>Basgana 3</t>
  </si>
  <si>
    <t>Ouédraogo</t>
  </si>
  <si>
    <t>Amidou</t>
  </si>
  <si>
    <t>organisation de personnes,de collecteurs et de vente d'amandes</t>
  </si>
  <si>
    <t>stockage, vente</t>
  </si>
  <si>
    <t>c'est une organisation non structurée, actuellement pas de regle de fonctionnement</t>
  </si>
  <si>
    <t>25 sacs de 120kg</t>
  </si>
  <si>
    <t>30sacs de 120kg</t>
  </si>
  <si>
    <t>Basgana, Manga</t>
  </si>
  <si>
    <t>800f/plat novembre</t>
  </si>
  <si>
    <t>1250 f/plat</t>
  </si>
  <si>
    <t>pas de client, production</t>
  </si>
  <si>
    <t>rend facile nos activités et ameliore la qualité de nos produits</t>
  </si>
  <si>
    <t>travail plus rapide et bien fait</t>
  </si>
  <si>
    <t>c'est un groupement, pas de date de formation,pas de registre, ni de procedures de cooperatives</t>
  </si>
  <si>
    <t>pas de production, ni de moyen de production</t>
  </si>
  <si>
    <t>les femmes collecettent  dans la foret de gogo qui a une grande potentialité d'arbres de Karités</t>
  </si>
  <si>
    <t>pas de contacts avec Karitis</t>
  </si>
  <si>
    <t>Basgana 4</t>
  </si>
  <si>
    <t>Oumar</t>
  </si>
  <si>
    <t>620sacs de 120 kg</t>
  </si>
  <si>
    <t>400/plat</t>
  </si>
  <si>
    <t>Basgana 5</t>
  </si>
  <si>
    <t>Mamoud</t>
  </si>
  <si>
    <t>28 sacs de 120kg</t>
  </si>
  <si>
    <t>30 sacs de 120 kg</t>
  </si>
  <si>
    <t>Zabtenga</t>
  </si>
  <si>
    <t>accés moyen</t>
  </si>
  <si>
    <t>Bouda</t>
  </si>
  <si>
    <t>recherche d'union et plus de gain</t>
  </si>
  <si>
    <t xml:space="preserve">achats et fonctionement </t>
  </si>
  <si>
    <t>30 sacs de 120kg/personne</t>
  </si>
  <si>
    <t>34 sacs de 120 kg</t>
  </si>
  <si>
    <t>Zatenga, Gogo</t>
  </si>
  <si>
    <t>pas de clients direct, on a des acheteurs</t>
  </si>
  <si>
    <t>à proximité du goudrons il y'a des bonnes insfractures routiere. Le groudron est un axe un principal qui relit le Ghana. Du groudron au siege du grpmt les routes sont pratiquables mais etroites</t>
  </si>
  <si>
    <t>notre relation se fait par personne intermediare, la formation suvie par le groupé Nabonswendé est expliquée a notre groupement</t>
  </si>
  <si>
    <t>Gueswendé</t>
  </si>
  <si>
    <t>Dipama</t>
  </si>
  <si>
    <t>32 sacs de 120 kg</t>
  </si>
  <si>
    <t>700/plat</t>
  </si>
  <si>
    <t>1200f/plat</t>
  </si>
  <si>
    <t>31 sacs de 120kg</t>
  </si>
  <si>
    <t>35 kg de 120kg</t>
  </si>
  <si>
    <t>formation en 2019, les formations sont rares</t>
  </si>
  <si>
    <t>Zemstaba</t>
  </si>
  <si>
    <t>plus de partenariat, de visibilité et de revenus economique</t>
  </si>
  <si>
    <t>frais de fonctionnement du groupe</t>
  </si>
  <si>
    <t>independance dans nos activités,groupe structuré</t>
  </si>
  <si>
    <t>34 sacs de 120kg</t>
  </si>
  <si>
    <t>nous ne vendons pas, nous transformons en beurre</t>
  </si>
  <si>
    <t>peids, velo, charettes</t>
  </si>
  <si>
    <t>gian de temp</t>
  </si>
  <si>
    <t>nous voyons cela comme une opportunité de se faire plus de revenus</t>
  </si>
  <si>
    <t>maintrise les conditions de la transformation, qté de production importante, mais pas d'equipements</t>
  </si>
  <si>
    <t>Webdsogda</t>
  </si>
  <si>
    <t>Nacoulma</t>
  </si>
  <si>
    <t>35 sacs de 120 kg</t>
  </si>
  <si>
    <t>Iogo</t>
  </si>
  <si>
    <t>à la recherche de l'union, facteur de force</t>
  </si>
  <si>
    <t>nous avons plus de force, de visibilité, et d'opportunité</t>
  </si>
  <si>
    <t>pour la realisation de nos activités</t>
  </si>
  <si>
    <t>plus de rapidité dans nos activités</t>
  </si>
  <si>
    <t>10 sacs de 120kg/femme</t>
  </si>
  <si>
    <t>22sacs de 120kg/femme</t>
  </si>
  <si>
    <t>yambasé</t>
  </si>
  <si>
    <t xml:space="preserve">collectrices, jeunes </t>
  </si>
  <si>
    <t>apres le depart de tree-aid la proportion de vente local (par membre) est importante qu'en groupe</t>
  </si>
  <si>
    <t>nous somme prets à vous vendre une partie importante si les conditions d'achats sont favorables</t>
  </si>
  <si>
    <t>nous pensons que la vente des noix est une opportunité pour nous,souvent le decorticage est tres difficile</t>
  </si>
  <si>
    <t>travail plus rapide, allège nos corvées</t>
  </si>
  <si>
    <t>motivation et va augmenter nos productions</t>
  </si>
  <si>
    <t>avoir des noix, amandes en temps et de bonne qualité</t>
  </si>
  <si>
    <t>maitrise des production, regitre, cotisation, connaisssance du marché</t>
  </si>
  <si>
    <t>nous entendons parlé du Karitis , mais pas de contacts( foramtion, reunion)</t>
  </si>
  <si>
    <t>Tiglavim</t>
  </si>
  <si>
    <t>Ami</t>
  </si>
  <si>
    <t>pour vendre nos produits et saissir des opportunités</t>
  </si>
  <si>
    <t xml:space="preserve">plus de visibilté </t>
  </si>
  <si>
    <t>14 sacs de 120kg/femme</t>
  </si>
  <si>
    <t>25 sacs de 120kg/fmme</t>
  </si>
  <si>
    <t>avoir d'argent pour s'occuper de la famille</t>
  </si>
  <si>
    <t>facilite les collectes , l'oragnisation des activités</t>
  </si>
  <si>
    <t>Kolgwéogo</t>
  </si>
  <si>
    <t>Norbert</t>
  </si>
  <si>
    <t>20 sacs de 120kg/personne</t>
  </si>
  <si>
    <t>plus d'ecouragement dans nos activités, la collecte sera importante</t>
  </si>
  <si>
    <t>Segda</t>
  </si>
  <si>
    <t>Koudaogo</t>
  </si>
  <si>
    <t>12 sacs de 120kg/femme</t>
  </si>
  <si>
    <t>25 sacs de 120kg/personne</t>
  </si>
  <si>
    <t>Tewendé</t>
  </si>
  <si>
    <t>Manga Est (V1)</t>
  </si>
  <si>
    <t>Tiendrebeogo</t>
  </si>
  <si>
    <t>30 sacs de 120kg</t>
  </si>
  <si>
    <t>manga (V1,V2,V3 V4)</t>
  </si>
  <si>
    <t>650f/plat</t>
  </si>
  <si>
    <t>1275f/plat</t>
  </si>
  <si>
    <t>registre, cotisation , pas tres dynamique</t>
  </si>
  <si>
    <t>Manga Est (V2)</t>
  </si>
  <si>
    <t>Adjata</t>
  </si>
  <si>
    <t>s'unir pour mieux etre visible sur le plan des affaires</t>
  </si>
  <si>
    <t xml:space="preserve">plus de visibilté et d'unité </t>
  </si>
  <si>
    <t>10 sacs de 120kg/membre</t>
  </si>
  <si>
    <t>25 sacs/mmbre</t>
  </si>
  <si>
    <t>manga (V1, V2,V4)</t>
  </si>
  <si>
    <t>pas de precision(nous pensons que le taux de vente en grpe a baissé avec l'arret du projet tree-aid</t>
  </si>
  <si>
    <t>meilleur qualité d'amande, gain de temps</t>
  </si>
  <si>
    <t>respecter les clauses du contrat</t>
  </si>
  <si>
    <t>Manga Est (V4)</t>
  </si>
  <si>
    <t>Kouma</t>
  </si>
  <si>
    <t>20 sacs/mmbre</t>
  </si>
  <si>
    <t>Namalgazanga</t>
  </si>
  <si>
    <t>realisation de nos activités</t>
  </si>
  <si>
    <t>amelioration(visibilité, gain, sociale)</t>
  </si>
  <si>
    <t>15 sacs de 120kg</t>
  </si>
  <si>
    <t>22 sacs/mmbre</t>
  </si>
  <si>
    <t xml:space="preserve">travail plus rapide, allège nos corvées </t>
  </si>
  <si>
    <t>Mnaga Est(V3)</t>
  </si>
  <si>
    <t xml:space="preserve">Nacoulma </t>
  </si>
  <si>
    <t>15sacs/femme</t>
  </si>
  <si>
    <t>20sacs</t>
  </si>
  <si>
    <t>Manga Est (V3)</t>
  </si>
  <si>
    <t>manga (V1, V2,V4,V3)</t>
  </si>
  <si>
    <t>nous ne vendons pas nos amandes, nous faisons de la transforamtion en beurre</t>
  </si>
  <si>
    <t>environs 96000kg de beurre produite par an. Elles n'ont pas pu estimé les quantités vendues</t>
  </si>
  <si>
    <t>semis mecanique</t>
  </si>
  <si>
    <t>pas une idée sur les quantités</t>
  </si>
  <si>
    <t>900f/plat Novenbre</t>
  </si>
  <si>
    <t>nous somme diposé à vous vendre une partie si les conditions sont bonnes et si y'a un bon partenariat. Nous ne voulons d'intermediare entre vous et nous. La collaboration doit etre entre les deux parties.</t>
  </si>
  <si>
    <t>c'est une experience pour nous</t>
  </si>
  <si>
    <t>travail plus rapide, allège nos corvées, amelioré la qualité de notre beurre</t>
  </si>
  <si>
    <t xml:space="preserve">plus  d'amande </t>
  </si>
  <si>
    <t>nous allons augmenter la quantité reservée au projet</t>
  </si>
  <si>
    <t>maintrise de processus de transforlation et des quantité produites, nous avons recu des formation de la part de M Sawadogo(70650860) sur la production en beurre</t>
  </si>
  <si>
    <t>TD-OJ</t>
  </si>
  <si>
    <t>Wendsongdo 2</t>
  </si>
  <si>
    <t>Toghin</t>
  </si>
  <si>
    <t>pas de precison</t>
  </si>
  <si>
    <t>realisation de nos activités(achats, depenses administratives)</t>
  </si>
  <si>
    <t xml:space="preserve">10 sacs/femme </t>
  </si>
  <si>
    <t>18 sacs par femme</t>
  </si>
  <si>
    <t>Toghin, Poedogo</t>
  </si>
  <si>
    <t>rapidité dans le travail</t>
  </si>
  <si>
    <t xml:space="preserve">les femmes collecette dans la foret de gogo </t>
  </si>
  <si>
    <t>Poedo</t>
  </si>
  <si>
    <t>14 sacs par femme</t>
  </si>
  <si>
    <t>20 sacs/femme</t>
  </si>
  <si>
    <t>Toghin, Poedogo, yougritenga</t>
  </si>
  <si>
    <t>registre, cotisation , moyennement dynamique</t>
  </si>
  <si>
    <t>yougritenga</t>
  </si>
  <si>
    <t>15 sacs /femme</t>
  </si>
  <si>
    <t>yougritenga, toghin</t>
  </si>
  <si>
    <t>le volume dependra de vos votres et nos capacités de collecte</t>
  </si>
  <si>
    <t>plus d'organisation, augmentation de volume de collecte</t>
  </si>
  <si>
    <t>nous desirons que vous respecté les contrats, que le prefinacement vient avant les collectes</t>
  </si>
  <si>
    <t>TD-0J</t>
  </si>
  <si>
    <t>Asssociation Femmes Battantes de Doulougou (AFDB)</t>
  </si>
  <si>
    <t>15scas /femme</t>
  </si>
  <si>
    <t>registre, cotisation , dynamique</t>
  </si>
  <si>
    <t>Association pour le développement de Yougrintenga (ADY)</t>
  </si>
  <si>
    <t>Joel</t>
  </si>
  <si>
    <t>8 sacs/femme</t>
  </si>
  <si>
    <t>Relwendé</t>
  </si>
  <si>
    <t>Ouangrawa</t>
  </si>
  <si>
    <t>Tonga</t>
  </si>
  <si>
    <t>Sougrinooman</t>
  </si>
  <si>
    <t>Guigma</t>
  </si>
  <si>
    <t>Romaric</t>
  </si>
  <si>
    <t>12 sacs/femme</t>
  </si>
  <si>
    <t>Nom</t>
  </si>
  <si>
    <t>Prénoms</t>
  </si>
  <si>
    <t>Contact du répondant (Tel.) : (+226)</t>
  </si>
  <si>
    <t>Localisation</t>
  </si>
  <si>
    <t>Sexe</t>
  </si>
  <si>
    <t>Classe d’âge</t>
  </si>
  <si>
    <t>Niveau de scolarisation</t>
  </si>
  <si>
    <t>Quelle est votre fonction actuelle dans l’organisation ?</t>
  </si>
  <si>
    <t>Année de création</t>
  </si>
  <si>
    <t>Quelles sont les activités pratiquées par l’organisation ? (Plusieurs choix possible) ?</t>
  </si>
  <si>
    <t>Quelle est la zone d’action/intervention de l’organisation</t>
  </si>
  <si>
    <t>DataType</t>
  </si>
  <si>
    <t>geocode string</t>
  </si>
  <si>
    <t>lat2</t>
  </si>
  <si>
    <t>long2</t>
  </si>
  <si>
    <t>Google URL2</t>
  </si>
  <si>
    <t>Les organes de votre organisation fonctionnent-ils correctement ? (AG, réunion, bilan d’activités)</t>
  </si>
  <si>
    <t>Les documents d’activités (PV, CR, Bilan d’activités, rapports financiers) sont-ils tenus à jour ?</t>
  </si>
  <si>
    <t>L’organisation dispose-t’elle d’une liste de ses membres ?</t>
  </si>
  <si>
    <t>Total</t>
  </si>
  <si>
    <t>Hommes</t>
  </si>
  <si>
    <t>Femmes</t>
  </si>
  <si>
    <t>De nouvelles personnes peuvent-elles adhérer à votre organisation ?</t>
  </si>
  <si>
    <t>Quelle est la principale langue parlée au sein de l’organisation par les membres ?</t>
  </si>
  <si>
    <t>Quelles sont exactement vos activités dans le domaine du karité (plusieurs choix possible) ?</t>
  </si>
  <si>
    <t>Collecte de noix et amandes de karité</t>
  </si>
  <si>
    <t>Production de beurre de karité</t>
  </si>
  <si>
    <t>Commercialisation de produit à base de karité (pommade, savons…)</t>
  </si>
  <si>
    <t>Fabrication de produit à base de karité (pommade, savons…</t>
  </si>
  <si>
    <t>Commercialisation d’amandes de karité</t>
  </si>
  <si>
    <t>Commercialisation de beurre de karité</t>
  </si>
  <si>
    <t>A qui vendez-vous votre production de karité ?</t>
  </si>
  <si>
    <t>Etes-vous disposez à vendre votre production de karité à de nouveaux acheteurs/clients/partenaires ?</t>
  </si>
  <si>
    <t>A quel prix l’organisation vend-elle aujourd’hui le kg de son beurre par rapport à l’année dernière ? (CFA/Kg)</t>
  </si>
  <si>
    <t>Comment estimez-vous l’évolution du prix de vente du beurre ces 5 dernières années pour votre organisation ?</t>
  </si>
  <si>
    <t>Quel est actuellement le niveau moyen par an (ou celui de la campagne écoulé) de chiffre d’affaire de l’organisation obtenu de la vente des amandes de karité ? (CFA)</t>
  </si>
  <si>
    <t>Quel est actuellement le niveau moyen par an (ou celui de la campagne écoulé) de chiffre d’affaire de l’organisation obtenu de la vente du beurre karité ? (CFA)</t>
  </si>
  <si>
    <t>Quel est le revenu moyen que chaque membre peut obtenir de l’activité de production du karité en une année ?</t>
  </si>
  <si>
    <t>Pour vos activités de production du karité disposez-vous d’un centre/site collectif ?</t>
  </si>
  <si>
    <t>Si vous avez un centre ou un site, à qui appartient-il ?</t>
  </si>
  <si>
    <t>Identifier les infrastructures sur votre site (plusieurs choix possible)</t>
  </si>
  <si>
    <t>Quels sont les équipements, installations ou matériels dont dispose l’organisation ?</t>
  </si>
  <si>
    <t>Comment conduisez-vous votre processus de production de beurre de karité actuellement ?</t>
  </si>
  <si>
    <t>Quel dispositif ou mécanisme l’organisation a-t’elle mis en place pour assurer et contrôler la qualité (choix unique) ?</t>
  </si>
  <si>
    <t>En termes de production du karité, des membres de l’organisation ont-elles reçues des formations sur les process ?</t>
  </si>
  <si>
    <t>Pouvez-vous estimer la production moyenne de l’organisation (ou en 2017) en amandes de karité (KG)</t>
  </si>
  <si>
    <t>Pouvez-vous estimer la production moyenne de l’organisation (ou en 2017) en beurre de karité (KG)</t>
  </si>
  <si>
    <t>Pouvez-vous donner le chiffre d’affaire de l’organisation dans la vente des amandes de karité en 2017 (CFA)</t>
  </si>
  <si>
    <t>Pouvez-vous donner le chiffre d’affaire de l’organisation dans la vente de beurre de karité en 2017 (CFA)</t>
  </si>
  <si>
    <t>De quelle manière vous procurez-vous les noix/amandes de karité pour la transformation ?</t>
  </si>
  <si>
    <t>Ramassage des fruits sur site (champs, forêts)</t>
  </si>
  <si>
    <t>aux membres de l’organisation</t>
  </si>
  <si>
    <t>sur les marchés (colectrices, revendeuses)</t>
  </si>
  <si>
    <t>auprès de commerçants-collecteurs</t>
  </si>
  <si>
    <t>Quelles sont les principales zones de provenance des noix et amandes de karité que vous collectez ?</t>
  </si>
  <si>
    <t>Quel serait selon vous l’évolution de la disponibilité des amandes de karité ces dernières années dans votre zone ?</t>
  </si>
  <si>
    <t>Quelle est l’évolution du prix des noix et amandes de karité sur le marché ces dernières années dans votre localité ?</t>
  </si>
  <si>
    <t>A partir de quelle source d’eau vous approvisionnez-vous pour vos besoins en eau pour la production ?</t>
  </si>
  <si>
    <t>Pouvez-vous estimer la quantité d’eau que vous utilisez pour transformer un sac de 100kg d’amandes ? (Litre)</t>
  </si>
  <si>
    <t>Quelle est l’évolution du prix de l’eau ces dernières années ?</t>
  </si>
  <si>
    <t>Ebouillantage des noix</t>
  </si>
  <si>
    <t>Mouture des amandes torréfiées</t>
  </si>
  <si>
    <t>Concassage des amandes</t>
  </si>
  <si>
    <t>Barattage de la pâte</t>
  </si>
  <si>
    <t>Quelles utilisations faites-vous des coques des noix de karité ?</t>
  </si>
  <si>
    <t>Torréfaction des amandes concassées</t>
  </si>
  <si>
    <t>Cuisson de l’émulsion écopée</t>
  </si>
  <si>
    <t>Avez-vous accès aisément au bois de chauffe pour les activités de transformation du karité ?</t>
  </si>
  <si>
    <t>Pour l’utilisation du bois de chauffe, quelle est le mode d’approvisionnement ?</t>
  </si>
  <si>
    <t>Quelles sont les principales zones de provenance du bois de chauffe utilisez ?</t>
  </si>
  <si>
    <t>Comment estimez-vous l’évolution du prix du bois de chauffe ces dernières années ?</t>
  </si>
  <si>
    <t>Quelle quantité de bois utilisez-vous pour transformer une unité donnée d’amandes de karité (Exemple 1 tine, 1 sac de 100kg, 1 tonnes) ? Préciser l’unité et effectuer un relevé du poids de la quantité de bois correspondante (KG)</t>
  </si>
  <si>
    <t>Quelles utilisations faites-vous de l’eau après ébouillantage des noix, lavage des amandes ou le barattage de karité ?</t>
  </si>
  <si>
    <t>Quelles utilisations faites-vous des tourteaux des amandes après lavage de l’émulsion ?</t>
  </si>
  <si>
    <t>Quelles utilisations faites-vous des résidus solides après filtrage/décantation du beurre liquide ?</t>
  </si>
  <si>
    <t>Coopérative choisie comme étant</t>
  </si>
  <si>
    <t>Prénom</t>
  </si>
  <si>
    <t>Numéro téléphone : (+226)</t>
  </si>
  <si>
    <t>Auto Recorded GIS</t>
  </si>
  <si>
    <t>Start Time</t>
  </si>
  <si>
    <t>End Time</t>
  </si>
  <si>
    <t>y</t>
  </si>
  <si>
    <t>x</t>
  </si>
  <si>
    <t>Centre-sud, Nahouri, Po, Po</t>
  </si>
  <si>
    <t>F</t>
  </si>
  <si>
    <t>+de 50 ans</t>
  </si>
  <si>
    <t>Primaire</t>
  </si>
  <si>
    <t>Présidente</t>
  </si>
  <si>
    <t>Production agricole, Transformation de produits agro-alimentaires</t>
  </si>
  <si>
    <t>Provincial</t>
  </si>
  <si>
    <t>np</t>
  </si>
  <si>
    <t>Po, Po, Nahouri, Centre-sud</t>
  </si>
  <si>
    <t>http://maps.google.com/maps?q=11.1652432,-1.1400998</t>
  </si>
  <si>
    <t>kassena</t>
  </si>
  <si>
    <t>Collecte de noix et amandes de karité, Production de beurre de karité, Commercialisation de produit à base de karité (pommade, savons…), Fabrication de produit à base de karité (pommade, savons…), Commercialisation de beurre de karité, Commercialisation d’amandes de karité</t>
  </si>
  <si>
    <t>Organisations dont nous sommes membres/Faitière , Consommateurs directement (vente en détail), A un partenaire-client, Commerçants locaux</t>
  </si>
  <si>
    <t>En légère augmentation (+25%)</t>
  </si>
  <si>
    <t>300 000 –500 000 FCFA</t>
  </si>
  <si>
    <t>A l’Organisation</t>
  </si>
  <si>
    <t>Bureau/Local administratif, Local de machine/matériel en ciment/pierres taillées, Salle/hall d’activités diverses (alphabétisation, formation, réunions, etc.) en ciment/pierre taillées, Cuisine/Aire de cuisson avec foyers améliorées, Forage/château d’eau</t>
  </si>
  <si>
    <t>Concasseur mécanique (sans moteur), Foyers améliorés à bois, Installation électrique, Petite Balance de pesée, Torréfacteur artisanal (feu de bois), Broyeur manuel/mécanique, Ustensiles (Bassine, fûts, marmites…)</t>
  </si>
  <si>
    <t>Exclusivement Artisanal (toutes les étapes sont manuelles)</t>
  </si>
  <si>
    <t>Pas de dispositif particulier</t>
  </si>
  <si>
    <t>Achat des noix aux membres de l’organisation, Ramassage des fruits sur site (champs, forêts)</t>
  </si>
  <si>
    <t>D’autres régions du pays</t>
  </si>
  <si>
    <t>En forte baisse (-50%)</t>
  </si>
  <si>
    <t>Fontaine publique (ONEA) , Forage manuel, Forage hydraulique (avec ou sans château)</t>
  </si>
  <si>
    <t>En légère baisse (-25%)</t>
  </si>
  <si>
    <t>Tourteaux récupérés, Bois de chauffe, Coques récupérées</t>
  </si>
  <si>
    <t>Tourteaux récupérés, Bois de chauffe</t>
  </si>
  <si>
    <t>Réutilisation comme combustible (vrac, briquettes, mottes…)</t>
  </si>
  <si>
    <t>Bois de chauffe</t>
  </si>
  <si>
    <t>Achat auprès de Collecteurs-revendeurs (bûcherons), Ramassage en forêt/champs, Achat auprès de femmes individuellement</t>
  </si>
  <si>
    <t>De la commune/département</t>
  </si>
  <si>
    <t>Réutilisation en bâtiment (briques, enduit, liant,…)</t>
  </si>
  <si>
    <t>Réutilisation dans le compost/Amendements pour l’agriculture</t>
  </si>
  <si>
    <t>Production de savon traditionnel</t>
  </si>
  <si>
    <t>Non affilié</t>
  </si>
  <si>
    <t>Akouwerabou</t>
  </si>
  <si>
    <t>Awoubahou</t>
  </si>
  <si>
    <t>11.1678693,-1.1474473,699.999</t>
  </si>
  <si>
    <t>Nord, Passoré, Yako, Gompossom</t>
  </si>
  <si>
    <t>30-39 ans</t>
  </si>
  <si>
    <t>presidente</t>
  </si>
  <si>
    <t>Production d’articles d’Artisanat, Production agricole</t>
  </si>
  <si>
    <t>pa</t>
  </si>
  <si>
    <t>Gompossom, Yako, Passoré, Nord</t>
  </si>
  <si>
    <t>http://maps.google.com/maps?q=12.9626069,-2.2581158</t>
  </si>
  <si>
    <t>moore</t>
  </si>
  <si>
    <t>Production de beurre de karité, Collecte de noix et amandes de karité, Commercialisation de beurre de karité, Commercialisation d’amandes de karité</t>
  </si>
  <si>
    <t>Commerçants locaux, Exportateurs nationaux</t>
  </si>
  <si>
    <t>Moins de 25 000 FCFA</t>
  </si>
  <si>
    <t>Cuisine/Aire de cuisson avec foyers améliorées, Cuisine/Aire de cuisson avec des pierres (foyer traditionnels), Puits</t>
  </si>
  <si>
    <t>Torréfacteur artisanal (feu de bois), Concasseur artisanal (système bois), Ustensiles (Bassine, fûts, marmites…), Baratte manuelle</t>
  </si>
  <si>
    <t>Ne sait pas</t>
  </si>
  <si>
    <t>Stable (+/-25%)</t>
  </si>
  <si>
    <t>Achat auprès de femmes individuellement</t>
  </si>
  <si>
    <t>Rejet dans la nature</t>
  </si>
  <si>
    <t>Centre-sud, Nahouri, Po</t>
  </si>
  <si>
    <t>Production agricole, Activités sociales et éducatives (mutuelle, tontine, entraide, sensibilisation, alphabétisation…)</t>
  </si>
  <si>
    <t>pp</t>
  </si>
  <si>
    <t>Po, Nahouri, Centre-sud</t>
  </si>
  <si>
    <t>Collecte de noix et amandes de karité, Production de beurre de karité, Commercialisation de produit à base de karité (pommade, savons…), Fabrication de produit à base de karité (pommade, savons…), Commercialisation de beurre de karité</t>
  </si>
  <si>
    <t>Consommateurs directement (vente en détail), A un partenaire-client, Commerçants locaux, Acheteurs Internationaux</t>
  </si>
  <si>
    <t>En forte augmentation (+50%)</t>
  </si>
  <si>
    <t>100 000 – 150 000 FCFA</t>
  </si>
  <si>
    <t>Achat des noix aux membres de l’organisation</t>
  </si>
  <si>
    <t>Fontaine publique (ONEA)</t>
  </si>
  <si>
    <t>Electricité/SONABEL</t>
  </si>
  <si>
    <t>Tourteaux récupérés</t>
  </si>
  <si>
    <t>De la région (autres communes voisines)</t>
  </si>
  <si>
    <t>Kodouabou</t>
  </si>
  <si>
    <t>Samira</t>
  </si>
  <si>
    <t>12.3775417,-1.49372,10.0</t>
  </si>
  <si>
    <t>Plateau Central, Oubritenga, Ziniaré</t>
  </si>
  <si>
    <t>Secondaire</t>
  </si>
  <si>
    <t>Transformation de produits agro-alimentaires</t>
  </si>
  <si>
    <t>ca</t>
  </si>
  <si>
    <t>Ziniaré, Oubritenga, Plateau Central</t>
  </si>
  <si>
    <t>http://maps.google.com/maps?q=12.5840501,-1.2987349</t>
  </si>
  <si>
    <t>Production de beurre de karité, Commercialisation de beurre de karité, Commercialisation de produit à base de karité (pommade, savons…), Commercialisation d’amandes de karité, Fabrication de produit à base de karité (pommade, savons…)</t>
  </si>
  <si>
    <t>Consommateurs directement (vente en détail), Exportateurs nationaux</t>
  </si>
  <si>
    <t>200 000 – 300 000 FCFA</t>
  </si>
  <si>
    <t>Cuisine/Aire de cuisson avec des pierres (foyer traditionnels), Atelier de production, Cuisine/Aire de cuisson moderne (gaz ou électricité), Local de machine/matériel en ciment/pierres taillées, Boutique d’exposition/vente, Forage/château d’eau</t>
  </si>
  <si>
    <t>Foyers artisanaux (pierres), Concasseur artisanal (système bois), Broyeur manuel/mécanique, Grande Bascule de pesée, Ustensiles (Bassine, fûts, marmites…), Baratte manuelle</t>
  </si>
  <si>
    <t>Méthode empirique /Observation</t>
  </si>
  <si>
    <t>Forage manuel</t>
  </si>
  <si>
    <t>N’achète pas l’eau</t>
  </si>
  <si>
    <t>Bois de chauffe, Gaz butane</t>
  </si>
  <si>
    <t>Gasoil, Bois de chauffe</t>
  </si>
  <si>
    <t>Achat auprès de Collecteurs-revendeurs (bûcherons)</t>
  </si>
  <si>
    <t>Centre-ouest, Ziro, Sapouy</t>
  </si>
  <si>
    <t>1991</t>
  </si>
  <si>
    <t>cp</t>
  </si>
  <si>
    <t>Sapouy, Ziro, Centre-ouest</t>
  </si>
  <si>
    <t>http://maps.google.com/maps?q=11.5478704,-1.768487</t>
  </si>
  <si>
    <t>A un partenaire-client</t>
  </si>
  <si>
    <t>Ne se prononce pas</t>
  </si>
  <si>
    <t>Ustensiles (Bassine, fûts, marmites…)</t>
  </si>
  <si>
    <t>Ramassage des fruits sur site (champs, forêts) , Achat des noix aux membres de l’organisation</t>
  </si>
  <si>
    <t>Puits</t>
  </si>
  <si>
    <t>Achat auprès de Collecteurs-revendeurs (bûcherons), Ramassage en forêt/champs</t>
  </si>
  <si>
    <t>11.66842938,-1.64543246,46.0</t>
  </si>
  <si>
    <t>Centre-sud, Bazega, Saponé</t>
  </si>
  <si>
    <t>H</t>
  </si>
  <si>
    <t>Président</t>
  </si>
  <si>
    <t>Transformation de produits agro-alimentaires, Activités sociales et éducatives (mutuelle, tontine, entraide, sensibilisation, alphabétisation…)</t>
  </si>
  <si>
    <t>Saponé, Bazega, Centre-sud</t>
  </si>
  <si>
    <t>http://maps.google.com/maps?q=12.0748899,-1.5441291</t>
  </si>
  <si>
    <t>Production de beurre de karité, Commercialisation de produit à base de karité (pommade, savons…), Fabrication de produit à base de karité (pommade, savons…), Collecte de noix et amandes de karité, Commercialisation de beurre de karité</t>
  </si>
  <si>
    <t>Commerçants locaux, Consommateurs directement (vente en détail), Acheteurs Internationaux, A un partenaire-client</t>
  </si>
  <si>
    <t>150 000 – 200 000 FCFA</t>
  </si>
  <si>
    <t>Lieu/Espace public</t>
  </si>
  <si>
    <t>Cuisine/Aire de cuisson avec foyers améliorées, Bureau/Local administratif, Atelier de production, Salle/hall d’activités diverses (alphabétisation, formation, réunions, etc.) en banco, Boutique d’exposition/vente, Local de machine/matériel en ciment/pierres taillées, Forage/château d’eau</t>
  </si>
  <si>
    <t>Broyeur à moteur, Foyers améliorés à bois, Grande Bascule de pesée, Torréfacteur artisanal (feu de bois), Moulin à moteur, Plaques solaires, Concasseur à moteur, Ustensiles (Bassine, fûts, marmites…), Petite Balance de pesée</t>
  </si>
  <si>
    <t>Semi-mécanisé (utilisation de quelques équipements motorisés à certaines étapes : concassage, mouture)</t>
  </si>
  <si>
    <t>Membre formée et chargée de la qualité</t>
  </si>
  <si>
    <t>Forage hydraulique (avec ou sans château)</t>
  </si>
  <si>
    <t>Coques récupérées, Bois de chauffe, Tourteaux récupérés</t>
  </si>
  <si>
    <t>Gasoil</t>
  </si>
  <si>
    <t>Théodore</t>
  </si>
  <si>
    <t>12.0471621,-1.6023404,3105.0</t>
  </si>
  <si>
    <t>40-49 ans</t>
  </si>
  <si>
    <t>Alphabétisation</t>
  </si>
  <si>
    <t>Production de beurre de karité, Collecte de noix et amandes de karité, Commercialisation de produit à base de karité (pommade, savons…), Fabrication de produit à base de karité (pommade, savons…), Commercialisation de beurre de karité, Commercialisation d’amandes de karité</t>
  </si>
  <si>
    <t>Organisations dont nous sommes membres/Faitière , Consommateurs directement (vente en détail), Commerçants locaux, Exportateurs nationaux</t>
  </si>
  <si>
    <t>Cuisine/Aire de cuisson avec des pierres (foyer traditionnels), Local de machine/matériel en ciment/pierres taillées, Salle/hall d’activités diverses (alphabétisation, formation, réunions, etc.) en ciment/pierre taillées, Puits</t>
  </si>
  <si>
    <t>Concasseur mécanique (sans moteur), Baratte manuelle, Foyers artisanaux (pierres), Petite Balance de pesée, Torréfacteur artisanal (feu de bois), Broyeur manuel/mécanique, Ustensiles (Bassine, fûts, marmites…)</t>
  </si>
  <si>
    <t>Fontaine publique (ONEA) , Puits , Forage hydraulique (avec ou sans château)</t>
  </si>
  <si>
    <t>Coques récupérées</t>
  </si>
  <si>
    <t>Ramassage en forêt/champs, Achat auprès de femmes individuellement</t>
  </si>
  <si>
    <t>Idogo</t>
  </si>
  <si>
    <t>11.1696399,-1.1471474,500.0</t>
  </si>
  <si>
    <t>Centre-est, Koulpélogo, Ouargaye</t>
  </si>
  <si>
    <t>Secrétaire</t>
  </si>
  <si>
    <t>Ouargaye, Koulpélogo, Centre-est</t>
  </si>
  <si>
    <t>http://maps.google.com/maps?q=11.5077529,0.0513246</t>
  </si>
  <si>
    <t>Yaana</t>
  </si>
  <si>
    <t>Production de beurre de karité, Commercialisation de beurre de karité, Fabrication de produit à base de karité (pommade, savons…)</t>
  </si>
  <si>
    <t>Consommateurs directement (vente en détail)</t>
  </si>
  <si>
    <t>Bureau/Local administratif, Cuisine/Aire de cuisson avec des pierres (foyer traditionnels), Forage/château d’eau</t>
  </si>
  <si>
    <t>De la région</t>
  </si>
  <si>
    <t>Béré</t>
  </si>
  <si>
    <t>11.4999624,0.0577958,3441.0</t>
  </si>
  <si>
    <t>Centre-est, Koulpelogo, Dourtenga</t>
  </si>
  <si>
    <t>aminateur</t>
  </si>
  <si>
    <t>Dourtenga, Koulpelogo, Centre-est</t>
  </si>
  <si>
    <t>http://maps.google.com/maps?q=11.5887615,-0.0104926</t>
  </si>
  <si>
    <t>Commerçants locaux, Organisations dont nous sommes membres/Faitière</t>
  </si>
  <si>
    <t>50 000 – 100 000 FCFA</t>
  </si>
  <si>
    <t>Achat auprès de femmes individuellement, Ramassage en forêt/champs</t>
  </si>
  <si>
    <t>mme ouedraogo</t>
  </si>
  <si>
    <t>Alice</t>
  </si>
  <si>
    <t>11.60938407,-1.65112459,221.0</t>
  </si>
  <si>
    <t>Centre-est, Koulpélogo, Dourtenga, Sanga</t>
  </si>
  <si>
    <t>membre</t>
  </si>
  <si>
    <t>Sanga, Dourtenga, Koulpélogo, Centre-est</t>
  </si>
  <si>
    <t>http://maps.google.com/maps?q=11.1768855,0.1610502</t>
  </si>
  <si>
    <t>nouni</t>
  </si>
  <si>
    <t>Consommateurs directement (vente en détail), Organisations dont nous sommes membres/Faitière</t>
  </si>
  <si>
    <t>Local de machine/matériel en banco, Local de machine/matériel en ciment/pierres taillées</t>
  </si>
  <si>
    <t>Ustensiles (Bassine, fûts, marmites…), Petite Balance de pesée</t>
  </si>
  <si>
    <t>Fontaine publique (ONEA) , Forage manuel</t>
  </si>
  <si>
    <t>Rejet dans la nature, Réutilisation comme combustible (vrac, briquettes, mottes…)</t>
  </si>
  <si>
    <t>Electricité solaire</t>
  </si>
  <si>
    <t>Achat auprès de femmes individuellement, Achat auprès de Collecteurs-revendeurs (bûcherons)</t>
  </si>
  <si>
    <t>nayon</t>
  </si>
  <si>
    <t>rosalie</t>
  </si>
  <si>
    <t>11.54975527,-1.76826778,131.0</t>
  </si>
  <si>
    <t>Plateau Central, Ganzourgou, Zorgho</t>
  </si>
  <si>
    <t>PRESIDENTE</t>
  </si>
  <si>
    <t>Production agricole</t>
  </si>
  <si>
    <t>Zorgho, Ganzourgou, Plateau Central</t>
  </si>
  <si>
    <t>http://maps.google.com/maps?q=12.2483626,-0.6251541</t>
  </si>
  <si>
    <t>Boucle Mouhoun, Sourou, Di</t>
  </si>
  <si>
    <t>tresoriere</t>
  </si>
  <si>
    <t>Di, Sourou, Boucle Mouhoun</t>
  </si>
  <si>
    <t>http://maps.google.com/maps?q=13.1749923,-3.4044963</t>
  </si>
  <si>
    <t>dafing</t>
  </si>
  <si>
    <t>Production de beurre de karité, Collecte de noix et amandes de karité</t>
  </si>
  <si>
    <t>25 000 – 50 000 FCFA</t>
  </si>
  <si>
    <t>Cuisine/Aire de cuisson avec des pierres (foyer traditionnels), Forage/château d’eau</t>
  </si>
  <si>
    <t>Forage hydraulique (avec ou sans château), Puits</t>
  </si>
  <si>
    <t>Réutilisation dans le compost/Amendements pour l’agriculture, Réutilisation comme combustible (vrac, briquettes, mottes…)</t>
  </si>
  <si>
    <t>paré</t>
  </si>
  <si>
    <t>13.0707056,-3.0771467,2331.0</t>
  </si>
  <si>
    <t>Boucle Mouhoun, Balés, Boromo</t>
  </si>
  <si>
    <t>40-49</t>
  </si>
  <si>
    <t>Production d’articles d’Artisanat, Transformation de produits agro-alimentaires, Activités sociales et éducatives (mutuelle, tontine, entraide, sensibilisation, alphabétisation…)</t>
  </si>
  <si>
    <t>ra</t>
  </si>
  <si>
    <t>Boromo, Balés, Boucle Mouhoun</t>
  </si>
  <si>
    <t>http://maps.google.com/maps?q=11.7459813,-2.930081</t>
  </si>
  <si>
    <t>Dioula</t>
  </si>
  <si>
    <t>Commerçants locaux, Consommateurs directement (vente en détail), Acheteurs Internationaux</t>
  </si>
  <si>
    <t>Salle/hall d’activités diverses (alphabétisation, formation, réunions, etc.) en ciment/pierre taillées, Bureau/Local administratif, Atelier de production, Cuisine/Aire de cuisson moderne (gaz ou électricité), Boutique d’exposition/vente</t>
  </si>
  <si>
    <t>Broyeur à moteur, Broyeur manuel/mécanique, Moulin à moteur, Foyer à gaz, Ustensiles (Bassine, fûts, marmites…), Baratte manuelle, Torréfacteur à gaz, Petite Balance de pesée</t>
  </si>
  <si>
    <t>Mécanisé (toutes les étapes sont faites avec des équipements motorisés ou mécaniques)</t>
  </si>
  <si>
    <t>Achat des amandes auprès de commerçants-collecteurs, Ramassage des fruits sur site (champs, forêts) , Achat de noix sur les marchés (collectrices-revendeuses), Achat des noix aux membres de l’organisation</t>
  </si>
  <si>
    <t>Adduction domestique (branchement ONEA à domicile)</t>
  </si>
  <si>
    <t>Gaz butane</t>
  </si>
  <si>
    <t>guira</t>
  </si>
  <si>
    <t>tenin</t>
  </si>
  <si>
    <t>Boucle Mouhoun, Sourou, Tougan ville</t>
  </si>
  <si>
    <t>SG</t>
  </si>
  <si>
    <t>Tougan ville, Sourou, Boucle Mouhoun</t>
  </si>
  <si>
    <t>http://maps.google.com/maps?q=13.0695031,-3.0626284</t>
  </si>
  <si>
    <t>dioula</t>
  </si>
  <si>
    <t>Local de machine/matériel en banco, Puits</t>
  </si>
  <si>
    <t>Ramassage des fruits sur site (champs, forêts) , Achat de noix sur les marchés (collectrices-revendeuses)</t>
  </si>
  <si>
    <t>Boucle Mouhoun, Kossi, Nouna</t>
  </si>
  <si>
    <t>Nouna, Kossi, Boucle Mouhoun</t>
  </si>
  <si>
    <t>http://maps.google.com/maps?q=12.7430244,-3.8553507</t>
  </si>
  <si>
    <t>drabo</t>
  </si>
  <si>
    <t>Wematou</t>
  </si>
  <si>
    <t>Production agricole, Transformation de produits agro-alimentaires, Production d’articles d’Artisanat</t>
  </si>
  <si>
    <t>Organisations dont nous sommes membres/Faitière , Consommateurs directement (vente en détail), A un partenaire-client, Commerçants locaux, Exportateurs nationaux, Acheteurs Internationaux</t>
  </si>
  <si>
    <t>Plus de 500 000 FCFA</t>
  </si>
  <si>
    <t>Bureau/Local administratif, Cuisine/Aire de cuisson avec des pierres (foyer traditionnels), Boutique d’exposition/vente, Local de machine/matériel en ciment/pierres taillées</t>
  </si>
  <si>
    <t>Torréfacteur à gaz, Foyers améliorés à bois, Concasseur artisanal (système bois), Broyeur manuel/mécanique, Ustensiles (Bassine, fûts, marmites…)</t>
  </si>
  <si>
    <t>Fontaine publique (ONEA) , Cours d’eau (rivière, fleuve, barrage…)</t>
  </si>
  <si>
    <t>Awoupore</t>
  </si>
  <si>
    <t>Boucle Mouhoun, Banwa, Solenzo</t>
  </si>
  <si>
    <t>Solenzo, Banwa, Boucle Mouhoun</t>
  </si>
  <si>
    <t>http://maps.google.com/maps?q=12.1846407,-4.0848789</t>
  </si>
  <si>
    <t>Collecte de noix et amandes de karité, Commercialisation de produit à base de karité (pommade, savons…), Fabrication de produit à base de karité (pommade, savons…), Production de beurre de karité, Commercialisation de beurre de karité</t>
  </si>
  <si>
    <t>Commerçants locaux, Consommateurs directement (vente en détail), Exportateurs nationaux</t>
  </si>
  <si>
    <t>A un particulier (membre ou non)</t>
  </si>
  <si>
    <t>Atelier de production, Bureau/Local administratif, Salle/hall d’activités diverses (alphabétisation, formation, réunions, etc.) en banco, Cuisine/Aire de cuisson avec des pierres (foyer traditionnels), Local de machine/matériel en banco</t>
  </si>
  <si>
    <t>Foyers artisanaux (pierres), Concasseur artisanal (système bois), Baratte manuelle, Ustensiles (Bassine, fûts, marmites…), Moulin à moteur</t>
  </si>
  <si>
    <t>Issouf</t>
  </si>
  <si>
    <t>12.1817983,-4.0802928,2123.0</t>
  </si>
  <si>
    <t>Bè</t>
  </si>
  <si>
    <t>Boucle Mouhoun, Sourou, Tougan</t>
  </si>
  <si>
    <t>Tougan, Sourou, Boucle Mouhoun</t>
  </si>
  <si>
    <t>San</t>
  </si>
  <si>
    <t>Local de machine/matériel en banco</t>
  </si>
  <si>
    <t>karambiri</t>
  </si>
  <si>
    <t>13.0700822,-3.0641001,2055.0</t>
  </si>
  <si>
    <t>Nord, Passoré, Kirsi</t>
  </si>
  <si>
    <t>trésorière</t>
  </si>
  <si>
    <t>Kirsi, Passoré, Nord</t>
  </si>
  <si>
    <t>http://maps.google.com/maps?q=13.0373891,-1.9370871</t>
  </si>
  <si>
    <t>Activités sociales et éducatives (mutuelle, tontine, entraide, sensibilisation, alphabétisation…)</t>
  </si>
  <si>
    <t>Collecte de noix et amandes de karité, Production de beurre de karité, Commercialisation de beurre de karité</t>
  </si>
  <si>
    <t>Achat des amandes auprès de commerçants-collecteurs, Achat de noix sur les marchés (collectrices-revendeuses)</t>
  </si>
  <si>
    <t>Puits , Forage manuel</t>
  </si>
  <si>
    <t>Contractant potentiel avec Serious Shea</t>
  </si>
  <si>
    <t>DAMIBA</t>
  </si>
  <si>
    <t>AMELIE</t>
  </si>
  <si>
    <t>president</t>
  </si>
  <si>
    <t>Collecte de noix et amandes de karité, Production de beurre de karité</t>
  </si>
  <si>
    <t>Sarambé/bisso</t>
  </si>
  <si>
    <t>Centre, Ouagadougou, Roumtenga</t>
  </si>
  <si>
    <t>Supérieur</t>
  </si>
  <si>
    <t>Production d’articles d’Artisanat, Production agricole, Transformation de produits agro-alimentaires, Activités sociales et éducatives (mutuelle, tontine, entraide, sensibilisation, alphabétisation…)</t>
  </si>
  <si>
    <t>Roumtenga, Ouagadougou, Centre</t>
  </si>
  <si>
    <t>http://maps.google.com/maps?q=12.3714277,-1.5196603</t>
  </si>
  <si>
    <t>Commerçants locaux, Consommateurs directement (vente en détail), A un partenaire-client</t>
  </si>
  <si>
    <t>Cuisine/Aire de cuisson avec foyers améliorées, Salle/hall d’activités diverses (alphabétisation, formation, réunions, etc.) en ciment/pierre taillées, Bureau/Local administratif, Atelier de production, Boutique d’exposition/vente, Local de machine/matériel en ciment/pierres taillées</t>
  </si>
  <si>
    <t>Torréfacteur artisanal (feu de bois), Concasseur artisanal (système bois), Foyers améliorés à bois, Ustensiles (Bassine, fûts, marmites…), Petite Balance de pesée</t>
  </si>
  <si>
    <t>Bois de chauffe, Coques récupérées, Tourteaux récupérés</t>
  </si>
  <si>
    <t>Réutilisation dans l’artisanat (enduit des calebasses)</t>
  </si>
  <si>
    <t>BATIOBO/ZAMANE</t>
  </si>
  <si>
    <t>12.4087077,-1.4956034,2200.0</t>
  </si>
  <si>
    <t>Transformation de produits agro-alimentaires, Production agricole</t>
  </si>
  <si>
    <t>, , Plateau Central</t>
  </si>
  <si>
    <t>http://maps.google.com/maps?q=12.2537648,-0.7532809</t>
  </si>
  <si>
    <t>Consommateurs directement (vente en détail), Acheteurs Internationaux, Organisations dont nous sommes membres/Faitière , Exportateurs nationaux</t>
  </si>
  <si>
    <t>Cuisine/Aire de cuisson avec des pierres (foyer traditionnels), Cuisine/Aire de cuisson avec foyers améliorées, Atelier de production, Boutique d’exposition/vente</t>
  </si>
  <si>
    <t>Torréfacteur artisanal (feu de bois), Ustensiles (Bassine, fûts, marmites…), Baratte manuelle, Foyers améliorés à bois</t>
  </si>
  <si>
    <t>Ramassage des fruits sur site (champs, forêts) , Achat de noix sur les marchés (collectrices-revendeuses), Achat des noix aux membres de l’organisation</t>
  </si>
  <si>
    <t>Compost / Amendement pour l’agriculture</t>
  </si>
  <si>
    <t>SALFO</t>
  </si>
  <si>
    <t>secondaire</t>
  </si>
  <si>
    <t>association pour l'intégration socioéconomiques des filles mère en difficulté dans la région de toma</t>
  </si>
  <si>
    <t>Boucle Mouhoun, Nayala, Toma</t>
  </si>
  <si>
    <t>PRÉSIDENTE</t>
  </si>
  <si>
    <t>Toma, Nayala, Boucle Mouhoun</t>
  </si>
  <si>
    <t>http://maps.google.com/maps?q=12.7653641,-2.9000652</t>
  </si>
  <si>
    <t>Collecte de noix et amandes de karité, Commercialisation de produit à base de karité (pommade, savons…), Fabrication de produit à base de karité (pommade, savons…), Production de beurre de karité, Commercialisation d’amandes de karité, Commercialisation de beurre de karité</t>
  </si>
  <si>
    <t>Atelier de production, Bureau/Local administratif, Forage/château d’eau</t>
  </si>
  <si>
    <t>Installation électrique, Baratte manuelle, Petite Balance de pesée, Ustensiles (Bassine, fûts, marmites…), Foyers améliorés à bois, Moulin à moteur</t>
  </si>
  <si>
    <t>Achat des noix aux membres de l’organisation, Achat de noix sur les marchés (collectrices-revendeuses), Achat des amandes auprès de commerçants-collecteurs</t>
  </si>
  <si>
    <t>De partout</t>
  </si>
  <si>
    <t>Achat auprès de Collecteurs-revendeurs (bûcherons), Achat auprès de femmes individuellement</t>
  </si>
  <si>
    <t>Réutilisation en Alimentation (fabrication potasse traditionnelle)</t>
  </si>
  <si>
    <t>SO</t>
  </si>
  <si>
    <t>DELPHINE</t>
  </si>
  <si>
    <t>Centre, Kadiogo, Ouagadougou</t>
  </si>
  <si>
    <t>Ouagadougou, Kadiogo, Centre</t>
  </si>
  <si>
    <t>Commerçants locaux, Consommateurs directement (vente en détail)</t>
  </si>
  <si>
    <t>Atelier de production, Bureau/Local administratif, Puits</t>
  </si>
  <si>
    <t>Concasseur mécanique (sans moteur), Petite Balance de pesée, Ustensiles (Bassine, fûts, marmites…), Foyers améliorés à bois, Moulin à moteur</t>
  </si>
  <si>
    <t>Achat des noix aux membres de l’organisation, Ramassage des fruits sur site (champs, forêts) , Achat de noix sur les marchés (collectrices-revendeuses), Achat des amandes auprès de commerçants-collecteurs</t>
  </si>
  <si>
    <t>Achat auprès de Collecteurs-revendeurs (bûcherons), Achat auprès de femmes individuellement, Ramassage en forêt/champs</t>
  </si>
  <si>
    <t>12.7603329,-2.899114,2690.0</t>
  </si>
  <si>
    <t>Centre-ouest, Sanguié, Dassa</t>
  </si>
  <si>
    <t>Dassa, Sanguié, Centre-ouest</t>
  </si>
  <si>
    <t>http://maps.google.com/maps?q=12.44477,-2.688158</t>
  </si>
  <si>
    <t>Gurunsi</t>
  </si>
  <si>
    <t>Production de beurre de karité, Commercialisation de produit à base de karité (pommade, savons…), Fabrication de produit à base de karité (pommade, savons…), Collecte de noix et amandes de karité, Commercialisation de beurre de karité, Commercialisation d’amandes de karité</t>
  </si>
  <si>
    <t>Consommateurs directement (vente en détail), Commerçants locaux</t>
  </si>
  <si>
    <t>Cuisine/Aire de cuisson avec foyers améliorées, Local de machine/matériel en banco, Atelier de production</t>
  </si>
  <si>
    <t>Foyers artisanaux (pierres), Torréfacteur artisanal (feu de bois), Concasseur artisanal (système bois), Broyeur manuel/mécanique, Foyers améliorés à bois, Ustensiles (Bassine, fûts, marmites…), Petite Balance de pesée</t>
  </si>
  <si>
    <t>Achat de noix sur les marchés (collectrices-revendeuses), Achat des noix aux membres de l’organisation</t>
  </si>
  <si>
    <t>Bois de chauffe, Electricité/SONABEL</t>
  </si>
  <si>
    <t>12.2526849,-2.3547118,52.635</t>
  </si>
  <si>
    <t>Sugryinga</t>
  </si>
  <si>
    <t>Centre-ouest, Boulkiemde, Sabou</t>
  </si>
  <si>
    <t>présidente</t>
  </si>
  <si>
    <t>Transformation de produits agro-alimentaires, Production agricole, Activités sociales et éducatives (mutuelle, tontine, entraide, sensibilisation, alphabétisation…)</t>
  </si>
  <si>
    <t>Sabou, Boulkiemde, Centre-ouest</t>
  </si>
  <si>
    <t>http://maps.google.com/maps?q=12.0601301,-2.2261265</t>
  </si>
  <si>
    <t>Local de machine/matériel en banco, Salle/hall d’activités diverses (alphabétisation, formation, réunions, etc.) en banco, Local de machine/matériel en ciment/pierres taillées</t>
  </si>
  <si>
    <t>Installation électrique, Ustensiles (Bassine, fûts, marmites…), Broyeur manuel/mécanique</t>
  </si>
  <si>
    <t>Coques récupérées, Bois de chauffe</t>
  </si>
  <si>
    <t>Achat auprès de femmes individuellement, Achat auprès de Collecteurs-revendeurs (bûcherons), Ramassage en forêt/champs</t>
  </si>
  <si>
    <t>kaboré</t>
  </si>
  <si>
    <t>koritimi</t>
  </si>
  <si>
    <t>12.253688,-2.3525058,2209.0</t>
  </si>
  <si>
    <t>Namanegbzanga de Tanili</t>
  </si>
  <si>
    <t>Plateau Central, Oubritenga, Zitenga, Tanlili</t>
  </si>
  <si>
    <t>Production d’articles d’Artisanat, Transformation de produits agro-alimentaires, Production agricole, Activités sociales et éducatives (mutuelle, tontine, entraide, sensibilisation, alphabétisation…)</t>
  </si>
  <si>
    <t>na</t>
  </si>
  <si>
    <t>Tanlili, Zitenga, Oubritenga, Plateau Central</t>
  </si>
  <si>
    <t>http://maps.google.com/maps?q=13.4044387,-2.1552453</t>
  </si>
  <si>
    <t>Production de beurre de karité, Commercialisation de beurre de karité, Commercialisation de produit à base de karité (pommade, savons…), Fabrication de produit à base de karité (pommade, savons…)</t>
  </si>
  <si>
    <t>Organisations dont nous sommes membres/Faitière</t>
  </si>
  <si>
    <t>Cuisine/Aire de cuisson avec des pierres (foyer traditionnels), Atelier de production, Bureau/Local administratif, Local de machine/matériel en ciment/pierres taillées, Boutique d’exposition/vente, Forage/château d’eau</t>
  </si>
  <si>
    <t>Broyeur manuel/mécanique, Installation électrique, Foyers artisanaux (pierres), Baratte à moteur, Torréfacteur artisanal (feu de bois), Concasseur artisanal (système bois), Ustensiles (Bassine, fûts, marmites…), Baratte manuelle</t>
  </si>
  <si>
    <t>Achat des amandes auprès de commerçants-collecteurs, Ramassage des fruits sur site (champs, forêts)</t>
  </si>
  <si>
    <t>Sud ouest, Bougouriba, Tiankoura</t>
  </si>
  <si>
    <t>Tiankoura, Bougouriba, Sud ouest</t>
  </si>
  <si>
    <t>http://maps.google.com/maps?q=10.7632686,-3.2558482</t>
  </si>
  <si>
    <t>dagara</t>
  </si>
  <si>
    <t>Transformation de produits agro-alimentaires. Production de beurre, soumbala, etc</t>
  </si>
  <si>
    <t>Production de beurre de karité, Commercialisation de produit à base de karité (pommade, savons…), Commercialisation de beurre de karité, Fabrication de produit à base de karité (pommade, savons…)</t>
  </si>
  <si>
    <t>Commerçants locaux, Consommateurs directement (vente en détail), Acheteurs Internationaux, Exportateurs nationaux</t>
  </si>
  <si>
    <t>Cuisine/Aire de cuisson avec des pierres (foyer traditionnels), Atelier de production, Boutique d’exposition/vente, Local de machine/matériel en ciment/pierres taillées</t>
  </si>
  <si>
    <t>Broyeur à moteur, Installation électrique, Foyers artisanaux (pierres), Torréfacteur artisanal (feu de bois), Concasseur artisanal (système bois), Foyer à gaz, Ustensiles (Bassine, fûts, marmites…), Baratte manuelle</t>
  </si>
  <si>
    <t>Achat des amandes auprès de commerçants-collecteurs</t>
  </si>
  <si>
    <t>Centre-ouest, Boulkiemdé, Siglé</t>
  </si>
  <si>
    <t>30-39</t>
  </si>
  <si>
    <t>Siglé, Boulkiemdé, Centre-ouest</t>
  </si>
  <si>
    <t>http://maps.google.com/maps?q=12.5561698,-1.8879868</t>
  </si>
  <si>
    <t>Production de beurre de karité, Commercialisation de produit à base de karité (pommade, savons…), Fabrication de produit à base de karité (pommade, savons…)</t>
  </si>
  <si>
    <t>Cuisine/Aire de cuisson avec des pierres (foyer traditionnels), Local de machine/matériel en banco</t>
  </si>
  <si>
    <t>Broyeur manuel/mécanique, Installation électrique, Foyers artisanaux (pierres), Torréfacteur artisanal (feu de bois), Concasseur artisanal (système bois), Ustensiles (Bassine, fûts, marmites…), Baratte manuelle, Petite Balance de pesée</t>
  </si>
  <si>
    <t>Achat de noix sur les marchés (collectrices-revendeuses)</t>
  </si>
  <si>
    <t>12.3383532,-1.4874096,68.4</t>
  </si>
  <si>
    <t>Centre-sud, Zoundwéogo, Guiba, Boura</t>
  </si>
  <si>
    <t>Boura, Guiba, Zoundwéogo, Centre-sud</t>
  </si>
  <si>
    <t>http://maps.google.com/maps?q=11.68333,-1.16667</t>
  </si>
  <si>
    <t>Cuisine/Aire de cuisson avec des pierres (foyer traditionnels), Puits, Salle/hall d’activités diverses (alphabétisation, formation, réunions, etc.) en banco</t>
  </si>
  <si>
    <t>Foyers artisanaux (pierres), Torréfacteur artisanal (feu de bois), Concasseur artisanal (système bois), Foyers améliorés à bois, Ustensiles (Bassine, fûts, marmites…)</t>
  </si>
  <si>
    <t>esther</t>
  </si>
  <si>
    <t>Hauts-Bassins, Houet, Bobo, Bobo</t>
  </si>
  <si>
    <t>Conseiller Techno-Economique chargé des opérations</t>
  </si>
  <si>
    <t>Régionale</t>
  </si>
  <si>
    <t>Bobo, Bobo, Houet, Hauts-Bassins</t>
  </si>
  <si>
    <t>http://maps.google.com/maps?q=11.1320447,-4.2333355</t>
  </si>
  <si>
    <t>Commerçants locaux, Acheteurs Internationaux, Exportateurs nationaux</t>
  </si>
  <si>
    <t>Cuisine/Aire de cuisson avec foyers améliorées, Salle/hall d’activités diverses (alphabétisation, formation, réunions, etc.) en ciment/pierre taillées, Atelier de production, Bureau/Local administratif, Local de machine/matériel en ciment/pierres taillées, Forage/château d’eau</t>
  </si>
  <si>
    <t>Broyeur à moteur, Foyers améliorés à bois, Grande Bascule de pesée, Concasseur mécanique (sans moteur), Groupes électrogène, Baratte à moteur, Moulin à moteur, Ustensiles (Bassine, fûts, marmites…)</t>
  </si>
  <si>
    <t>Bois de chauffe, Tourteaux récupérés</t>
  </si>
  <si>
    <t>Ramassage en forêt/champs</t>
  </si>
  <si>
    <t>Adéline</t>
  </si>
  <si>
    <t>Plateau Central, Ganzourgou, Boudry</t>
  </si>
  <si>
    <t>SECRÉTAIRE</t>
  </si>
  <si>
    <t>Tamissi, Boudry, Burkina Faso</t>
  </si>
  <si>
    <t>http://maps.google.com/maps?q=12.7348022,-1.3711017</t>
  </si>
  <si>
    <t>Centre-Sud, Nahouri, Tiébélé</t>
  </si>
  <si>
    <t>superieur</t>
  </si>
  <si>
    <t>secretaire</t>
  </si>
  <si>
    <t>Tiébélé, Nahouri, Centre-Sud</t>
  </si>
  <si>
    <t>http://maps.google.com/maps?q=11.0966798,-0.9649688</t>
  </si>
  <si>
    <t>Y Clementine</t>
  </si>
  <si>
    <t>ua</t>
  </si>
  <si>
    <t>Salle/hall d’activités diverses (alphabétisation, formation, réunions, etc.) en ciment/pierre taillées, Bureau/Local administratif, Atelier de production, Local de machine/matériel en ciment/pierres taillées, Boutique d’exposition/vente</t>
  </si>
  <si>
    <t>Broyeur à moteur, Foyers améliorés à bois, Installation électrique, Groupes électrogène, Baratte à moteur, Moulin à moteur, Concasseur à moteur, Foyer à gaz, Ustensiles (Bassine, fûts, marmites…), Petite Balance de pesée</t>
  </si>
  <si>
    <t>OUÉDRAOGO</t>
  </si>
  <si>
    <t>Aissèta</t>
  </si>
  <si>
    <t>Est, Gnagna, Piela</t>
  </si>
  <si>
    <t>Piela, Gnagna, Est</t>
  </si>
  <si>
    <t>http://maps.google.com/maps?q=12.7192233,-0.1354586</t>
  </si>
  <si>
    <t>gulmacema</t>
  </si>
  <si>
    <t>-</t>
  </si>
  <si>
    <t>namoano</t>
  </si>
  <si>
    <t>Centre-Sud, Zoundweogo, Nobéré</t>
  </si>
  <si>
    <t>Nobéré, Zoundweogo, Centre-Sud</t>
  </si>
  <si>
    <t>http://maps.google.com/maps?q=11.5567756,-1.201775</t>
  </si>
  <si>
    <t>Centre-ouest, Boulkiemde, Koudougou ville</t>
  </si>
  <si>
    <t>Presidente/fondatrice</t>
  </si>
  <si>
    <t>Koudougou ville, Boulkiemde, Centre-ouest</t>
  </si>
  <si>
    <t>http://maps.google.com/maps?q=12.2562183,-2.3517526</t>
  </si>
  <si>
    <t>Cuisine/Aire de cuisson avec des pierres (foyer traditionnels), Local de machine/matériel en banco, Cuisine/Aire de cuisson avec foyers améliorées, Bureau/Local administratif, Atelier de production, Boutique d’exposition/vente, Local de machine/matériel en ciment/pierres taillées</t>
  </si>
  <si>
    <t>Broyeur manuel/mécanique, Foyers améliorés à bois, Installation électrique, Baratte à moteur, Concasseur artisanal (système bois), Moulin à moteur, Ustensiles (Bassine, fûts, marmites…)</t>
  </si>
  <si>
    <t>Achat des amandes auprès de commerçants-collecteurs, Achat de noix sur les marchés (collectrices-revendeuses), Achat des noix aux membres de l’organisation</t>
  </si>
  <si>
    <t>Bois de chauffe, Tourteaux récupérés, Gasoil, Electricité/SONABEL</t>
  </si>
  <si>
    <t>Bois de chauffe, Tourteaux récupérés, Gasoil, Coques récupérées</t>
  </si>
  <si>
    <t>Pacmogda/kansolé</t>
  </si>
  <si>
    <t>Eka.Hélène</t>
  </si>
  <si>
    <t>12.2527704,-2.3462334,2209.0</t>
  </si>
  <si>
    <t>Plateau Central, Ganzourgou, Zorgho, vilage?</t>
  </si>
  <si>
    <t>bamogo</t>
  </si>
  <si>
    <t>Centre-ouest, Sissili, Bieha</t>
  </si>
  <si>
    <t>Bieha, Sissili, Centre-ouest</t>
  </si>
  <si>
    <t>http://maps.google.com/maps?q=11.0403265,-2.5020943</t>
  </si>
  <si>
    <t>Consommateurs directement (vente en détail), A un partenaire-client</t>
  </si>
  <si>
    <t>Local de machine/matériel en banco, Atelier de production, Local de machine/matériel en ciment/pierres taillées</t>
  </si>
  <si>
    <t>Concasseur artisanal (système bois), Ustensiles (Bassine, fûts, marmites…)</t>
  </si>
  <si>
    <t>nacro</t>
  </si>
  <si>
    <t>tininsin faty</t>
  </si>
  <si>
    <t>12.2515586,-2.3412155,2209.0</t>
  </si>
  <si>
    <t>Centre-ouest, Boulkiemdé, Koudougou, Tiogo</t>
  </si>
  <si>
    <t>Responsable</t>
  </si>
  <si>
    <t>Regionale</t>
  </si>
  <si>
    <t>Tiogo koudogou burkina</t>
  </si>
  <si>
    <t>http://maps.google.com/maps?q=12.1787974,-2.6934166</t>
  </si>
  <si>
    <t>Production de beurre de karité, Commercialisation de produit à base de karité (pommade, savons…), Commercialisation de beurre de karité</t>
  </si>
  <si>
    <t>Consommateurs directement (vente en détail), Commerçants locaux, A un partenaire-client</t>
  </si>
  <si>
    <t>Local de machine/matériel en ciment/pierres taillées</t>
  </si>
  <si>
    <t>Ustensiles (Bassine, fûts, marmites…), Foyers améliorés à bois</t>
  </si>
  <si>
    <t>Bamouni/yameogo</t>
  </si>
  <si>
    <t>12.2621596,-2.3733923,2533.0</t>
  </si>
  <si>
    <t>Sud ouest, Poni, Boussera</t>
  </si>
  <si>
    <t>Boussera, Poni, Sud ouest</t>
  </si>
  <si>
    <t>http://maps.google.com/maps?q=10.3325996,-3.3388917</t>
  </si>
  <si>
    <t>dah</t>
  </si>
  <si>
    <t>diemi</t>
  </si>
  <si>
    <t>Boucle Mouhoun, Nayala, Toma, Gossina</t>
  </si>
  <si>
    <t>Transformation de produits agro-alimentaires, Activités sociales et éducatives (mutuelle, tontine, entraide, sensibilisation, alphabétisation…), Production agricole</t>
  </si>
  <si>
    <t>Gossina, Toma, Nayala, Boucle Mouhoun</t>
  </si>
  <si>
    <t>http://maps.google.com/maps?q=12.5235683,-2.8741985</t>
  </si>
  <si>
    <t>Production de beurre de karité, Collecte de noix et amandes de karité, Commercialisation de beurre de karité</t>
  </si>
  <si>
    <t>Salle/hall d’activités diverses (alphabétisation, formation, réunions, etc.) en ciment/pierre taillées, Puits</t>
  </si>
  <si>
    <t>Foyers artisanaux (pierres)</t>
  </si>
  <si>
    <t>Réutilisation comme combustible (vrac, briquettes, mottes…), Rejet dans la nature</t>
  </si>
  <si>
    <t>KONE</t>
  </si>
  <si>
    <t>DAMA</t>
  </si>
  <si>
    <t>Nord, Zondoma, Gourcy</t>
  </si>
  <si>
    <t>Gourcy, Zondoma, Nord</t>
  </si>
  <si>
    <t>http://maps.google.com/maps?q=13.2036283,-2.3566861</t>
  </si>
  <si>
    <t>Torréfacteur artisanal (feu de bois), Concasseur artisanal (système bois), Broyeur manuel/mécanique, Foyers améliorés à bois, Ustensiles (Bassine, fûts, marmites…), Baratte manuelle, Petite Balance de pesée</t>
  </si>
  <si>
    <t>Achat des amandes auprès de commerçants-collecteurs, Ramassage des fruits sur site (champs, forêts) , Achat des noix aux membres de l’organisation</t>
  </si>
  <si>
    <t>directrice</t>
  </si>
  <si>
    <t>Transformation de produits agro-alimentaires, Production agricole, Production d’articles d’Artisanat, Activités sociales et éducatives (mutuelle, tontine, entraide, sensibilisation, alphabétisation…)</t>
  </si>
  <si>
    <t>Nationale</t>
  </si>
  <si>
    <t>Commerçants locaux, Consommateurs directement (vente en détail), Acheteurs Internationaux, A un partenaire-client, Organisations dont nous sommes membres/Faitière , Exportateurs nationaux</t>
  </si>
  <si>
    <t>Local de machine/matériel en banco, Salle/hall d’activités diverses (alphabétisation, formation, réunions, etc.) en banco, Boutique d’exposition/vente, Local de machine/matériel en ciment/pierres taillées, Cuisine/Aire de cuisson avec foyers améliorées, Salle/hall d’activités diverses (alphabétisation, formation, réunions, etc.) en ciment/pierre taillées, Bureau/Local administratif, Atelier de production</t>
  </si>
  <si>
    <t>Broyeur manuel/mécanique, Foyers améliorés à bois, Installation électrique, Torréfacteur artisanal (feu de bois), Moulin à moteur, Concasseur artisanal (système bois), Ustensiles (Bassine, fûts, marmites…), Baratte manuelle, Petite Balance de pesée</t>
  </si>
  <si>
    <t>Mr Nikiema</t>
  </si>
  <si>
    <t>Boris</t>
  </si>
  <si>
    <t>12.3575077,-1.4977204,2500.0</t>
  </si>
  <si>
    <t>Bomafola de Massako</t>
  </si>
  <si>
    <t>Boucle Mouhoun, Nayala, Gossina, Massako</t>
  </si>
  <si>
    <t>Massako, Gossina, Nayala, Boucle Mouhoun</t>
  </si>
  <si>
    <t>Production de beurre de karité, Collecte de noix et amandes de karité, Commercialisation d’amandes de karité, Commercialisation de beurre de karité</t>
  </si>
  <si>
    <t>Broyeur manuel/mécanique</t>
  </si>
  <si>
    <t>12.5330377,-2.8694805,2700.0</t>
  </si>
  <si>
    <t>Boucle Mouhoun, Nayala, Gossina, Gossina</t>
  </si>
  <si>
    <t>Gossina, Gossina, Nayala, Boucle Mouhoun</t>
  </si>
  <si>
    <t>Sonognen de Kyon</t>
  </si>
  <si>
    <t>Centre-ouest, Sanguie, Kyon</t>
  </si>
  <si>
    <t>Kyon, Sanguie, Centre-ouest</t>
  </si>
  <si>
    <t>http://maps.google.com/maps?q=12.1501861,-2.6983868</t>
  </si>
  <si>
    <t>Exportateurs nationaux</t>
  </si>
  <si>
    <t>Cuisine/Aire de cuisson avec des pierres (foyer traditionnels), Local de machine/matériel en ciment/pierres taillées</t>
  </si>
  <si>
    <t>Broyeur manuel/mécanique, Foyers artisanaux (pierres), Torréfacteur artisanal (feu de bois), Concasseur artisanal (système bois), Ustensiles (Bassine, fûts, marmites…), Baratte manuelle, Petite Balance de pesée</t>
  </si>
  <si>
    <t>Baleboué</t>
  </si>
  <si>
    <t>12.2479855,-2.3741121,2500.0</t>
  </si>
  <si>
    <t>Bientama</t>
  </si>
  <si>
    <t>koné</t>
  </si>
  <si>
    <t>dama</t>
  </si>
  <si>
    <t>Karangasso-Sambla, Karangasso-Sambla, Houet, Hauts Bassins</t>
  </si>
  <si>
    <t>Collecte de noix et amandes de karité, Commercialisation d’amandes de karité</t>
  </si>
  <si>
    <t>Local de machine/matériel en banco, Puits, Forage/château d’eau</t>
  </si>
  <si>
    <t>Fontaine publique (ONEA) , Puits , Forage manuel</t>
  </si>
  <si>
    <t>Suzane</t>
  </si>
  <si>
    <t>Centre-sud, Nahouri, Zecco</t>
  </si>
  <si>
    <t>Zecco, Nahouri, Centre-sud</t>
  </si>
  <si>
    <t>http://maps.google.com/maps?q=11.2502267,-1.135302</t>
  </si>
  <si>
    <t>Nankana</t>
  </si>
  <si>
    <t>Production de beurre de karité, Commercialisation de beurre de karité</t>
  </si>
  <si>
    <t>Organisations dont nous sommes membres/Faitière , Consommateurs directement (vente en détail), Commerçants locaux</t>
  </si>
  <si>
    <t>Foyers artisanaux (pierres), Ustensiles (Bassine, fûts, marmites…)</t>
  </si>
  <si>
    <t>11.0200532,-0.860816,3980.0</t>
  </si>
  <si>
    <t>Centre-ouest, Sanguié, Tenado</t>
  </si>
  <si>
    <t>Tenado, Sanguié, Centre-ouest</t>
  </si>
  <si>
    <t>http://maps.google.com/maps?q=12.1853173,-2.6090043</t>
  </si>
  <si>
    <t>lyélé</t>
  </si>
  <si>
    <t>Production de beurre de karité, Collecte de noix et amandes de karité, Commercialisation de beurre de karité, Commercialisation d’amandes de karité, Fabrication de produit à base de karité (pommade, savons…)</t>
  </si>
  <si>
    <t>Foyers artisanaux (pierres), Torréfacteur artisanal (feu de bois), Concasseur artisanal (système bois), Broyeur manuel/mécanique, Ustensiles (Bassine, fûts, marmites…), Baratte manuelle</t>
  </si>
  <si>
    <t>Jean Bernard</t>
  </si>
  <si>
    <t>Centre-Ouest, Boulkiemdé, Koudougou</t>
  </si>
  <si>
    <t>Koudougou, Boulkiemdé, Centre-Ouest</t>
  </si>
  <si>
    <t>yameogo</t>
  </si>
  <si>
    <t>rosine</t>
  </si>
  <si>
    <t>Laguemtaaba</t>
  </si>
  <si>
    <t>Est, Gourma, Fada</t>
  </si>
  <si>
    <t>Fada, Gourma, Est</t>
  </si>
  <si>
    <t>http://maps.google.com/maps?q=12.0601649,0.3654204</t>
  </si>
  <si>
    <t>Presidente</t>
  </si>
  <si>
    <t>Atelier de production, Cuisine/Aire de cuisson avec des pierres (foyer traditionnels)</t>
  </si>
  <si>
    <t>Broyeur à moteur, Concasseur artisanal (système bois), Baratte manuelle, Ustensiles (Bassine, fûts, marmites…), Torréfacteur artisanal (feu de bois)</t>
  </si>
  <si>
    <t>Achat de noix sur les marchés (collectrices-revendeuses), Achat des amandes auprès de commerçants-collecteurs</t>
  </si>
  <si>
    <t>Mm Zoungrana/</t>
  </si>
  <si>
    <t>Claudine</t>
  </si>
  <si>
    <t>Centre-est, Koulpelogo, Ouargaye</t>
  </si>
  <si>
    <t>Production d’articles d’Artisanat</t>
  </si>
  <si>
    <t>Ouargaye, Koulpelogo, Centre-est</t>
  </si>
  <si>
    <t>Forage/château d’eau, Local de machine/matériel en banco</t>
  </si>
  <si>
    <t>Broyeur à moteur, Foyers artisanaux (pierres), Concasseur artisanal (système bois), Baratte manuelle, Ustensiles (Bassine, fûts, marmites…), Moulin à moteur, Torréfacteur artisanal (feu de bois)</t>
  </si>
  <si>
    <t>Achat des noix aux membres de l’organisation, Achat de noix sur les marchés (collectrices-revendeuses)</t>
  </si>
  <si>
    <t>Forage manuel, Adduction domestique (branchement ONEA à domicile)</t>
  </si>
  <si>
    <t>11.5819911,-0.0041495,4440.0</t>
  </si>
  <si>
    <t>Secrétaire Adjointe</t>
  </si>
  <si>
    <t>11.5040454,0.0563209,3091.0</t>
  </si>
  <si>
    <t>Est, Komandjari, Tambaga</t>
  </si>
  <si>
    <t>Tambaga, Komandjari, Est</t>
  </si>
  <si>
    <t>http://maps.google.com/maps?q=12.7126527,0.6773046</t>
  </si>
  <si>
    <t>Centre-nord, Sanmatenga, Kaya</t>
  </si>
  <si>
    <t>Kaya, Sanmatenga, Centre-nord</t>
  </si>
  <si>
    <t>http://maps.google.com/maps?q=13.0910405,-1.0873551</t>
  </si>
  <si>
    <t>Tamalgo</t>
  </si>
  <si>
    <t>Plateau Central, Kourweogo, Boussé, Niamba</t>
  </si>
  <si>
    <t>Niamba, Boussé, Kourweogo, Plateau Central</t>
  </si>
  <si>
    <t>http://maps.google.com/maps?q=12.6528861,-1.8862693</t>
  </si>
  <si>
    <t>Cuisine/Aire de cuisson avec des pierres (foyer traditionnels)</t>
  </si>
  <si>
    <t>Foyers artisanaux (pierres), Torréfacteur artisanal (feu de bois), Concasseur artisanal (système bois), Broyeur manuel/mécanique, Ustensiles (Bassine, fûts, marmites…)</t>
  </si>
  <si>
    <t>Centre-sud, Zoundwéogo, Yagtenga</t>
  </si>
  <si>
    <t>Yagtenga, Zoundwéogo, Centre-sud</t>
  </si>
  <si>
    <t>http://maps.google.com/maps?q=11.6141174,-0.9820668</t>
  </si>
  <si>
    <t>Commerçants locaux, Consommateurs directement (vente en détail), Organisations dont nous sommes membres/Faitière , A un partenaire-client</t>
  </si>
  <si>
    <t>Cuisine/Aire de cuisson avec foyers améliorées, Cuisine/Aire de cuisson avec des pierres (foyer traditionnels), Atelier de production</t>
  </si>
  <si>
    <t>Foyers artisanaux (pierres), Torréfacteur artisanal (feu de bois), Concasseur artisanal (système bois), Broyeur manuel/mécanique, Foyers améliorés à bois, Ustensiles (Bassine, fûts, marmites…), Baratte manuelle</t>
  </si>
  <si>
    <t>Nabolé</t>
  </si>
  <si>
    <t>Centre-sud, Bazega, Kombissiri</t>
  </si>
  <si>
    <t>Kombissiri, Bazega, Centre-sud</t>
  </si>
  <si>
    <t>http://maps.google.com/maps?q=12.074325,-1.3421032</t>
  </si>
  <si>
    <t>Commerçants locaux, Consommateurs directement (vente en détail), Organisations dont nous sommes membres/Faitière , Exportateurs nationaux</t>
  </si>
  <si>
    <t>Cuisine/Aire de cuisson avec foyers améliorées, Salle/hall d’activités diverses (alphabétisation, formation, réunions, etc.) en ciment/pierre taillées, Bureau/Local administratif, Atelier de production, Local de machine/matériel en ciment/pierres taillées</t>
  </si>
  <si>
    <t>Torréfacteur artisanal (feu de bois), Concasseur artisanal (système bois), Broyeur manuel/mécanique, Foyers améliorés à bois, Ustensiles (Bassine, fûts, marmites…)</t>
  </si>
  <si>
    <t>Achat des amandes auprès de commerçants-collecteurs, Achat des noix aux membres de l’organisation, Achat de noix sur les marchés (collectrices-revendeuses)</t>
  </si>
  <si>
    <t>Noélie</t>
  </si>
  <si>
    <t>Sud ouest, Poni, Loropeni</t>
  </si>
  <si>
    <t>Production d’articles d’Artisanat, Production agricole, Activités sociales et éducatives (mutuelle, tontine, entraide, sensibilisation, alphabétisation…)</t>
  </si>
  <si>
    <t>Loropeni, Poni, Sud ouest</t>
  </si>
  <si>
    <t>http://maps.google.com/maps?q=10.2927366,-3.5319407</t>
  </si>
  <si>
    <t>hien</t>
  </si>
  <si>
    <t>Sud ouest, Bougouriba, Iolonioro</t>
  </si>
  <si>
    <t>Iolonioro, Bougouriba, Sud ouest</t>
  </si>
  <si>
    <t>http://maps.google.com/maps?q=10.8722646,-3.3388917</t>
  </si>
  <si>
    <t>10.9676482,-3.2416478,2453.0</t>
  </si>
  <si>
    <t>Centre-ouest, Sanguié, Pouni</t>
  </si>
  <si>
    <t>Pouni, Sanguié, Centre-ouest</t>
  </si>
  <si>
    <t>http://maps.google.com/maps?q=11.9597069,-2.5467546</t>
  </si>
  <si>
    <t>Lawa-taa de Diébougou</t>
  </si>
  <si>
    <t>Sud ouest, Bougouriba, Diébougou</t>
  </si>
  <si>
    <t>Diébougou, Bougouriba, Sud ouest</t>
  </si>
  <si>
    <t>http://maps.google.com/maps?q=10.9578957,-3.2432781</t>
  </si>
  <si>
    <t>Commerçants locaux, Organisations dont nous sommes membres/Faitière , A un partenaire-client</t>
  </si>
  <si>
    <t>Ustensiles (Bassine, fûts, marmites…), Baratte manuelle, Petite Balance de pesée, Grande Bascule de pesée</t>
  </si>
  <si>
    <t>poda</t>
  </si>
  <si>
    <t>claire</t>
  </si>
  <si>
    <t>Sud ouest, Ioba, Koper</t>
  </si>
  <si>
    <t>sécrétaire</t>
  </si>
  <si>
    <t>Koper, Ioba, Sud ouest</t>
  </si>
  <si>
    <t>http://maps.google.com/maps?q=11.0562034,-3.0175712</t>
  </si>
  <si>
    <t>10.9725655,-3.2441991,2770.0</t>
  </si>
  <si>
    <t>Commercialisation de produit à base de karité (pommade, savons…), Fabrication de produit à base de karité (pommade, savons…), Collecte de noix et amandes de karité, Commercialisation de beurre de karité, Commercialisation d’amandes de karité</t>
  </si>
  <si>
    <t>Commerçants locaux, Consommateurs directement (vente en détail), Organisations dont nous sommes membres/Faitière</t>
  </si>
  <si>
    <t>Cuisine/Aire de cuisson avec des pierres (foyer traditionnels), Local de machine/matériel en banco, Salle/hall d’activités diverses (alphabétisation, formation, réunions, etc.) en banco</t>
  </si>
  <si>
    <t>agnès</t>
  </si>
  <si>
    <t>Sud ouest, Noumbiel, Batié</t>
  </si>
  <si>
    <t>Batié, Noumbiel, Sud ouest</t>
  </si>
  <si>
    <t>http://maps.google.com/maps?q=9.8738597,-2.9213408</t>
  </si>
  <si>
    <t>konaté</t>
  </si>
  <si>
    <t>mardiata</t>
  </si>
  <si>
    <t>Sud ouest, Bougouriba, Dolo, Dolo</t>
  </si>
  <si>
    <t>Dolo, Dolo, Bougouriba, Sud ouest</t>
  </si>
  <si>
    <t>djan</t>
  </si>
  <si>
    <t>Local de machine/matériel en banco, Atelier de production</t>
  </si>
  <si>
    <t>Foyers artisanaux (pierres), Concasseur artisanal (système bois), Ustensiles (Bassine, fûts, marmites…), Baratte manuelle</t>
  </si>
  <si>
    <t>Bois de chauffe, Electricité solaire</t>
  </si>
  <si>
    <t>pale</t>
  </si>
  <si>
    <t>niekerkele</t>
  </si>
  <si>
    <t>Plateau Central, Oubritenga, Ourgou</t>
  </si>
  <si>
    <t>Ourgou, Oubritenga, Plateau Central</t>
  </si>
  <si>
    <t>http://maps.google.com/maps?q=12.7096087,-1.443469</t>
  </si>
  <si>
    <t>nabi</t>
  </si>
  <si>
    <t>coordonatrice</t>
  </si>
  <si>
    <t>lobiri</t>
  </si>
  <si>
    <t>Puits , Cours d’eau (rivière, fleuve, barrage…), Forage manuel</t>
  </si>
  <si>
    <t>N’achète pas le bois</t>
  </si>
  <si>
    <t>Boucle Mouhoun, Mouhoun, Douroula</t>
  </si>
  <si>
    <t>Douroula, Mouhoun, Boucle Mouhoun</t>
  </si>
  <si>
    <t>http://maps.google.com/maps?q=12.5857007,-3.3000445</t>
  </si>
  <si>
    <t>Sud ouest, Ioba, Niego</t>
  </si>
  <si>
    <t>Niego, Ioba, Sud ouest</t>
  </si>
  <si>
    <t>Cuisine/Aire de cuisson avec des pierres (foyer traditionnels), Puits, Atelier de production</t>
  </si>
  <si>
    <t>Foyers artisanaux (pierres), Torréfacteur artisanal (feu de bois), Concasseur artisanal (système bois), Ustensiles (Bassine, fûts, marmites…), Baratte manuelle</t>
  </si>
  <si>
    <t>Cours d’eau (rivière, fleuve, barrage…), Puits , Forage manuel</t>
  </si>
  <si>
    <t>somda</t>
  </si>
  <si>
    <t>N jeanne</t>
  </si>
  <si>
    <t>martine</t>
  </si>
  <si>
    <t>Sud ouest, Poni, Loropéni</t>
  </si>
  <si>
    <t>Loropéni, Poni, Sud ouest</t>
  </si>
  <si>
    <t>Biba</t>
  </si>
  <si>
    <t>Cuisine/Aire de cuisson avec des pierres (foyer traditionnels), Puits, Salle/hall d’activités diverses (alphabétisation, formation, réunions, etc.) en ciment/pierre taillées, Atelier de production, Bureau/Local administratif, Local de machine/matériel en ciment/pierres taillées</t>
  </si>
  <si>
    <t>kam</t>
  </si>
  <si>
    <t>olé inocent</t>
  </si>
  <si>
    <t>Est, Gnagna, Bogande</t>
  </si>
  <si>
    <t>Bogande, Gnagna, Est</t>
  </si>
  <si>
    <t>http://maps.google.com/maps?q=12.9780605,-0.1401381</t>
  </si>
  <si>
    <t>lankoandé</t>
  </si>
  <si>
    <t>celestine</t>
  </si>
  <si>
    <t>Sud ouest, Poni, Gaoua</t>
  </si>
  <si>
    <t>Gaoua, Poni, Sud ouest</t>
  </si>
  <si>
    <t>http://maps.google.com/maps?q=10.3231036,-3.1679257</t>
  </si>
  <si>
    <t>Commercialisation de produit à base de karité (pommade, savons…), Commercialisation de beurre de karité, Fabrication de produit à base de karité (pommade, savons…)</t>
  </si>
  <si>
    <t>Consommateurs directement (vente en détail), A un partenaire-client, Exportateurs nationaux</t>
  </si>
  <si>
    <t>Cuisine/Aire de cuisson avec foyers améliorées, Local de machine/matériel en banco, Salle/hall d’activités diverses (alphabétisation, formation, réunions, etc.) en ciment/pierre taillées</t>
  </si>
  <si>
    <t>Ustensiles (Bassine, fûts, marmites…), Baratte manuelle, Foyers améliorés à bois, Petite Balance de pesée</t>
  </si>
  <si>
    <t>Achat des amandes auprès de commerçants-collecteurs, Achat des noix aux membres de l’organisation</t>
  </si>
  <si>
    <t>Gasoil, Electricité/SONABEL</t>
  </si>
  <si>
    <t>Sud ouest, Poni</t>
  </si>
  <si>
    <t>20-29 ans</t>
  </si>
  <si>
    <t>Secretaire general</t>
  </si>
  <si>
    <t>, Poni, Sud ouest</t>
  </si>
  <si>
    <t>Production de beurre de karité, Collecte de noix et amandes de karité, Commercialisation d’amandes de karité</t>
  </si>
  <si>
    <t>Acheteurs Internationaux, Exportateurs nationaux</t>
  </si>
  <si>
    <t>Salle/hall d’activités diverses (alphabétisation, formation, réunions, etc.) en ciment/pierre taillées</t>
  </si>
  <si>
    <t>Foyers artisanaux (pierres), Ustensiles (Bassine, fûts, marmites…), Petite Balance de pesée, Grande Bascule de pesée</t>
  </si>
  <si>
    <t>PALE</t>
  </si>
  <si>
    <t>KPEDJOUNE</t>
  </si>
  <si>
    <t>lompo</t>
  </si>
  <si>
    <t>wambo</t>
  </si>
  <si>
    <t>PRESIDENT</t>
  </si>
  <si>
    <t>DIOULA</t>
  </si>
  <si>
    <t>Production de beurre de karité, Commercialisation de beurre de karité, Commercialisation d’amandes de karité</t>
  </si>
  <si>
    <t>Cuisine/Aire de cuisson avec des pierres (foyer traditionnels), Cuisine/Aire de cuisson avec foyers améliorées, Local de machine/matériel en banco</t>
  </si>
  <si>
    <t>Foyers artisanaux (pierres), Ustensiles (Bassine, fûts, marmites…), Foyers améliorés à bois, Petite Balance de pesée</t>
  </si>
  <si>
    <t>Est, Gourma, Fada,</t>
  </si>
  <si>
    <t>, Fada, Gourma, Est</t>
  </si>
  <si>
    <t>zabsonré</t>
  </si>
  <si>
    <t>marguerite</t>
  </si>
  <si>
    <t>Cuisine/Aire de cuisson avec des pierres (foyer traditionnels), Cuisine/Aire de cuisson avec foyers améliorées</t>
  </si>
  <si>
    <t>Torréfacteur artisanal (feu de bois), Foyers améliorés à bois, Ustensiles (Bassine, fûts, marmites…), Petite Balance de pesée</t>
  </si>
  <si>
    <t>Puits , Fontaine publique (ONEA)</t>
  </si>
  <si>
    <t>Sud ouest, Poni, Gaoua, Secteur 3</t>
  </si>
  <si>
    <t>Sud ouest, burkina</t>
  </si>
  <si>
    <t>http://maps.google.com/maps?q=10.4231493,-3.2583626</t>
  </si>
  <si>
    <t>LOBIRI</t>
  </si>
  <si>
    <t>Cuisine/Aire de cuisson avec des pierres (foyer traditionnels), Cuisine/Aire de cuisson avec foyers améliorées, Salle/hall d’activités diverses (alphabétisation, formation, réunions, etc.) en ciment/pierre taillées, Atelier de production, Local de machine/matériel en ciment/pierres taillées</t>
  </si>
  <si>
    <t>Broyeur à moteur, Foyers améliorés à bois, Grande Bascule de pesée, Foyers artisanaux (pierres), Baratte à moteur, Concasseur à moteur, Ustensiles (Bassine, fûts, marmites…), Baratte manuelle, Petite Balance de pesée</t>
  </si>
  <si>
    <t>Réutilisation dans le compost/Amendements pour l’agriculture, Rejet dans la nature</t>
  </si>
  <si>
    <t>Chaibou</t>
  </si>
  <si>
    <t>Sud ouest, Poni, Gaoua, Secteur 1</t>
  </si>
  <si>
    <t>Provinciale?</t>
  </si>
  <si>
    <t>Secteur 1, Gaoua, Poni, Sud ouest</t>
  </si>
  <si>
    <t>Production de beurre de karité, Commercialisation d’amandes de karité</t>
  </si>
  <si>
    <t>Consommateurs directement (vente en détail), Commerçants locaux, Exportateurs nationaux</t>
  </si>
  <si>
    <t>Cuisine/Aire de cuisson avec foyers améliorées, Cuisine/Aire de cuisson avec des pierres (foyer traditionnels)</t>
  </si>
  <si>
    <t>Forage hydraulique (avec ou sans château), Fontaine publique (ONEA) , Forage manuel</t>
  </si>
  <si>
    <t>SLIMENTA</t>
  </si>
  <si>
    <t>Centre-sud, Zoundweogo, Manga</t>
  </si>
  <si>
    <t>Transformation de produits agro-alimentaires, Production d’articles d’Artisanat, Activités sociales et éducatives (mutuelle, tontine, entraide, sensibilisation, alphabétisation…)</t>
  </si>
  <si>
    <t>Manga, Zoundweogo, Centre-sud</t>
  </si>
  <si>
    <t>http://maps.google.com/maps?q=11.66503,-1.0634024</t>
  </si>
  <si>
    <t>Commerçants locaux, A un partenaire-client</t>
  </si>
  <si>
    <t>Cuisine/Aire de cuisson avec foyers améliorées, Puits, Atelier de production, Forage/château d’eau</t>
  </si>
  <si>
    <t>Achat des amandes auprès de commerçants-collecteurs, Ramassage des fruits sur site (champs, forêts) , Achat de noix sur les marchés (collectrices-revendeuses)</t>
  </si>
  <si>
    <t>Fontaine publique (ONEA) , Puits</t>
  </si>
  <si>
    <t>yogo</t>
  </si>
  <si>
    <t>Sud ouest, Poni, Nako</t>
  </si>
  <si>
    <t>Nako, Poni, Sud ouest</t>
  </si>
  <si>
    <t>http://maps.google.com/maps?q=10.6302115,-3.0551159</t>
  </si>
  <si>
    <t>Centre-sud, Nahouri, Tiebele</t>
  </si>
  <si>
    <t>Production agricole, Transformation de produits agro-alimentaires, Activités sociales et éducatives (mutuelle, tontine, entraide, sensibilisation, alphabétisation…), Production d’articles d’Artisanat</t>
  </si>
  <si>
    <t>Tiebele, Nahouri, Centre-sud</t>
  </si>
  <si>
    <t>Concasseur artisanal (système bois), Baratte manuelle, Petite Balance de pesée, Grande Bascule de pesée, Torréfacteur artisanal (feu de bois), Ustensiles (Bassine, fûts, marmites…)</t>
  </si>
  <si>
    <t>Achat des noix aux membres de l’organisation, Achat des amandes auprès de commerçants-collecteurs, Achat de noix sur les marchés (collectrices-revendeuses)</t>
  </si>
  <si>
    <t>Forage manuel, Forage hydraulique (avec ou sans château)</t>
  </si>
  <si>
    <t>Bois de chauffe, Coques récupérées</t>
  </si>
  <si>
    <t>Cascades, Léraba, Wolonkoto</t>
  </si>
  <si>
    <t>Wolonkoto, Léraba, Cascades</t>
  </si>
  <si>
    <t>http://maps.google.com/maps?q=10.67632,-4.97215</t>
  </si>
  <si>
    <t>Association des jeunes femmes de Zecco</t>
  </si>
  <si>
    <t>Centre-sud, Nahouri, Po, Zecco</t>
  </si>
  <si>
    <t>Zecco, Po, Nahouri, Centre-sud</t>
  </si>
  <si>
    <t>Production de beurre de karité, Fabrication de produit à base de karité (pommade, savons…), Commercialisation de beurre de karité</t>
  </si>
  <si>
    <t>Gaz butane, Bois de chauffe</t>
  </si>
  <si>
    <t>Nebié</t>
  </si>
  <si>
    <t>ramdé</t>
  </si>
  <si>
    <t>gbangou</t>
  </si>
  <si>
    <t>Centre-ouest, Boulkiemde, Koudougou Secteur 10</t>
  </si>
  <si>
    <t>Production d’articles d’Artisanat, Transformation de produits agro-alimentaires</t>
  </si>
  <si>
    <t>Koudougou Secteur 10, Boulkiemde, Centre-ouest</t>
  </si>
  <si>
    <t>Production de beurre de karité, Commercialisation de produit à base de karité (pommade, savons…)</t>
  </si>
  <si>
    <t>Foyers artisanaux (pierres), Moulin à moteur, Ustensiles (Bassine, fûts, marmites…)</t>
  </si>
  <si>
    <t>Gasoil, Bois de chauffe, Tourteaux récupérés</t>
  </si>
  <si>
    <t>kandolo</t>
  </si>
  <si>
    <t>12.2503468,-2.3361976,2595.0</t>
  </si>
  <si>
    <t>Centre-ouest, Boulkiemdé, Salbissigo</t>
  </si>
  <si>
    <t>Salbissigo, Boulkiemdé, Centre-ouest</t>
  </si>
  <si>
    <t>http://maps.google.com/maps?q=12.2063032,-2.3203136</t>
  </si>
  <si>
    <t>Centre-ouest, Boulkiemde, Koudougou, Guy</t>
  </si>
  <si>
    <t>Transformation de produits agro-alimentaires, Production d’articles d’Artisanat</t>
  </si>
  <si>
    <t>ZinGuédé, Koudougou, Boulkiemde, Centre-ouest</t>
  </si>
  <si>
    <t>Collecte de noix et amandes de karité, Commercialisation d’amandes de karité, Fabrication de produit à base de karité (pommade, savons…)</t>
  </si>
  <si>
    <t>birba</t>
  </si>
  <si>
    <t>mari</t>
  </si>
  <si>
    <t>12.25834075,-2.34048282,16.0</t>
  </si>
  <si>
    <t>Centre-ouest, Boulkiemdé, Koudougou</t>
  </si>
  <si>
    <t>Zakin / Secteur 3, Koudougou, Boulkiemdé, Centre-ouest</t>
  </si>
  <si>
    <t>Consommateurs directement (vente en détail), Acheteurs Internationaux</t>
  </si>
  <si>
    <t>mne yameogo</t>
  </si>
  <si>
    <t>cecile</t>
  </si>
  <si>
    <t>12.25313696,-2.36404707,11.0</t>
  </si>
  <si>
    <t>Centre est, Boulgou, Tenkodogo</t>
  </si>
  <si>
    <t>Tenkodogo, Boulgou, Centre est</t>
  </si>
  <si>
    <t>http://maps.google.com/maps?q=11.7863324,-0.3654204</t>
  </si>
  <si>
    <t>Cuisine/Aire de cuisson avec des pierres (foyer traditionnels), Atelier de production, Cuisine/Aire de cuisson moderne (gaz ou électricité), Local de machine/matériel en ciment/pierres taillées, Forage/château d’eau</t>
  </si>
  <si>
    <t>Broyeur manuel/mécanique, Foyers améliorés à bois, Grande Bascule de pesée, Torréfacteur artisanal (feu de bois), Concasseur artisanal (système bois), Foyer à gaz, Ustensiles (Bassine, fûts, marmites…), Petite Balance de pesée</t>
  </si>
  <si>
    <t>Bois de chauffe, Gaz butane, Tourteaux récupérés, Coques récupérées</t>
  </si>
  <si>
    <t>11.7873365,-0.3896368,2580.0</t>
  </si>
  <si>
    <t>Centre-ouest, Sanguié, Didyr, Kwen</t>
  </si>
  <si>
    <t>Kwen, Didyr, Sanguié, Centre-ouest</t>
  </si>
  <si>
    <t>http://maps.google.com/maps?q=12.632202,-2.6750102</t>
  </si>
  <si>
    <t>Atelier de production</t>
  </si>
  <si>
    <t>12.2536991,-2.3626105,82.5</t>
  </si>
  <si>
    <t>Centre-ouest, Sanguié, Didyr, Mogueya</t>
  </si>
  <si>
    <t>Production d’articles d’Artisanat, Transformation de produits agro-alimentaires, Production agricole</t>
  </si>
  <si>
    <t>Mogueya, Didyr, Sanguié, Centre-ouest</t>
  </si>
  <si>
    <t>http://maps.google.com/maps?q=12.3802333,-2.5492903</t>
  </si>
  <si>
    <t>Local de machine/matériel en banco, Atelier de production, Boutique d’exposition/vente</t>
  </si>
  <si>
    <t>Concasseur artisanal (système bois), Ustensiles (Bassine, fûts, marmites…), Petite Balance de pesée</t>
  </si>
  <si>
    <t>kansané</t>
  </si>
  <si>
    <t>12.25299525,-2.3639152,31.0</t>
  </si>
  <si>
    <t>Bakouando de Dolo</t>
  </si>
  <si>
    <t>Centre-ouest, Sanguié, Didyr, Dolo</t>
  </si>
  <si>
    <t>Dolo, Didyr, Sanguié, Centre-ouest</t>
  </si>
  <si>
    <t>Concasseur artisanal (système bois), Ustensiles (Bassine, fûts, marmites…), Grande Bascule de pesée</t>
  </si>
  <si>
    <t>Kanssané</t>
  </si>
  <si>
    <t>12.25297967,-2.3639674,10.0</t>
  </si>
  <si>
    <t>Yiwoazhena de Kwen</t>
  </si>
  <si>
    <t>12.2541617,-2.3623912,800.0</t>
  </si>
  <si>
    <t>Cascades, Léraba, Loumana</t>
  </si>
  <si>
    <t>Loumana, Léraba, Cascades</t>
  </si>
  <si>
    <t>http://maps.google.com/maps?q=10.5776211,-5.3556617</t>
  </si>
  <si>
    <t>Centre-ouest, Sanguié, Didyr, Goumi</t>
  </si>
  <si>
    <t>Goumi, Didyr, Sanguié, Centre-ouest</t>
  </si>
  <si>
    <t>http://maps.google.com/maps?q=12.51667,-2.65</t>
  </si>
  <si>
    <t>Production de beurre de karité, Collecte de noix et amandes de karité, Fabrication de produit à base de karité (pommade, savons…)</t>
  </si>
  <si>
    <t>Achat auprès de femmes individuellement, Ramassage en forêt/champs, Achat auprès de Collecteurs-revendeurs (bûcherons)</t>
  </si>
  <si>
    <t>Kassané</t>
  </si>
  <si>
    <t>12.2529749,-2.36394808,6.0</t>
  </si>
  <si>
    <t>Centre-ouest, Sanguié, Dassa, Divolet</t>
  </si>
  <si>
    <t>Divolet, Didyr, Sanguié, Centre-ouest</t>
  </si>
  <si>
    <t>12.2536991,-2.3626105,57.304</t>
  </si>
  <si>
    <t>Centre-ouest, Sanguié, Didyr, Ladiou</t>
  </si>
  <si>
    <t>Ladiou, Didyr, Sanguié, Centre-ouest</t>
  </si>
  <si>
    <t>Collecte de noix et amandes de karité, Production de beurre de karité, Fabrication de produit à base de karité (pommade, savons…)</t>
  </si>
  <si>
    <t>Torréfacteur artisanal (feu de bois), Ustensiles (Bassine, fûts, marmites…)</t>
  </si>
  <si>
    <t>Puits , Cours d’eau (rivière, fleuve, barrage…)</t>
  </si>
  <si>
    <t>12.25295344,-2.36390307,87.0</t>
  </si>
  <si>
    <t>Soulounye de Tonton</t>
  </si>
  <si>
    <t>Centre-ouest, Sanguié, Didyr, Tonton</t>
  </si>
  <si>
    <t>Tonton, Didyr, Sanguié, Centre-ouest</t>
  </si>
  <si>
    <t>12.2536991,-2.3626105,104.1</t>
  </si>
  <si>
    <t>Yiwoazhena de Yierdion</t>
  </si>
  <si>
    <t>Centre-ouest, Sanguié, Didyr, Yierdion</t>
  </si>
  <si>
    <t>Yierdion, Didyr, Sanguié, Centre-ouest</t>
  </si>
  <si>
    <t>Moulin à moteur, Foyers améliorés à bois, Concasseur à moteur, Ustensiles (Bassine, fûts, marmites…), Petite Balance de pesée</t>
  </si>
  <si>
    <t>12.25290323,-2.36392923,6.0</t>
  </si>
  <si>
    <t>Soulou nyē de Mousseo</t>
  </si>
  <si>
    <t>Centre-ouest, Sanguié, Didyr, Mousseo</t>
  </si>
  <si>
    <t>Mousseo, Didyr, Sanguié, Centre-ouest</t>
  </si>
  <si>
    <t>Foyers artisanaux (pierres), Concasseur artisanal (système bois), Broyeur manuel/mécanique, Ustensiles (Bassine, fûts, marmites…), Baratte manuelle, Petite Balance de pesée</t>
  </si>
  <si>
    <t>12.2536991,-2.3626105,79.121</t>
  </si>
  <si>
    <t>Boucle Mouhoun, Banwa, Kouka, Kouka</t>
  </si>
  <si>
    <t>up</t>
  </si>
  <si>
    <t>Kouka, Kouka, Banwa, Boucle Mouhoun</t>
  </si>
  <si>
    <t>http://maps.google.com/maps?q=11.8992612,-4.3385829</t>
  </si>
  <si>
    <t>Balavé, Solenzo, Banwa, Boucle Mouhoun</t>
  </si>
  <si>
    <t>Collecte de noix et amandes de karité, Commercialisation de produit à base de karité (pommade, savons…), Production de beurre de karité, Commercialisation d’amandes de karité, Commercialisation de beurre de karité</t>
  </si>
  <si>
    <t>Atelier de production, Local de machine/matériel en banco</t>
  </si>
  <si>
    <t>Ustensiles (Bassine, fûts, marmites…), Foyers artisanaux (pierres), Concasseur artisanal (système bois)</t>
  </si>
  <si>
    <t>Boucle Mouhoun, Banwa, Solenzo, Solenzo</t>
  </si>
  <si>
    <t>Solenzo, Solenzo, Banwa, Boucle Mouhoun</t>
  </si>
  <si>
    <t>abibou</t>
  </si>
  <si>
    <t>Hauts Bassins, Kenedougou, Solenzo</t>
  </si>
  <si>
    <t>Secretaire</t>
  </si>
  <si>
    <t>Solenzo, Kenedougou, Hauts Bassins</t>
  </si>
  <si>
    <t>http://maps.google.com/maps?q=11.3919395,-4.976654</t>
  </si>
  <si>
    <t>A une autre organisation non membre</t>
  </si>
  <si>
    <t>Local de machine/matériel en ciment/pierres taillées, Puits, Cuisine/Aire de cuisson avec des pierres (foyer traditionnels)</t>
  </si>
  <si>
    <t>Foyers artisanaux (pierres), Concasseur artisanal (système bois), Baratte manuelle, Petite Balance de pesée, Ustensiles (Bassine, fûts, marmites…)</t>
  </si>
  <si>
    <t>Baratte manuelle, Ustensiles (Bassine, fûts, marmites…), Foyers artisanaux (pierres), Concasseur artisanal (système bois)</t>
  </si>
  <si>
    <t>Forage manuel, Cours d’eau (rivière, fleuve, barrage…)</t>
  </si>
  <si>
    <t>DIONOU</t>
  </si>
  <si>
    <t>Drissa</t>
  </si>
  <si>
    <t>Concasseur artisanal (système bois), Baratte manuelle, Ustensiles (Bassine, fûts, marmites…), Foyers améliorés à bois, Broyeur manuel/mécanique</t>
  </si>
  <si>
    <t>Centre-ouest, Sanguié, Didyr, Bouldié, Sodjir 1</t>
  </si>
  <si>
    <t>Bouldie, Sodjir 1, Didyr, Sanguié, Centre-ouest</t>
  </si>
  <si>
    <t>Broyeur manuel/mécanique, Foyers artisanaux (pierres), Torréfacteur artisanal (feu de bois), Concasseur artisanal (système bois), Ustensiles (Bassine, fûts, marmites…), Petite Balance de pesée</t>
  </si>
  <si>
    <t>12.2536721,-2.3626995,73.181</t>
  </si>
  <si>
    <t>Yiwoadjan de Goko</t>
  </si>
  <si>
    <t>Centre-ouest, Sanguié, Didyr, Goko</t>
  </si>
  <si>
    <t>Goko, Didyr, Sanguié, Centre-ouest</t>
  </si>
  <si>
    <t>12.2536991,-2.3626105,129.327</t>
  </si>
  <si>
    <t>Foyers artisanaux (pierres), Torréfacteur artisanal (feu de bois), Broyeur manuel/mécanique, Ustensiles (Bassine, fûts, marmites…), Baratte manuelle, Petite Balance de pesée</t>
  </si>
  <si>
    <t>12.2536985,-2.3626125,78.9</t>
  </si>
  <si>
    <t>Est, Kompienga, Pama</t>
  </si>
  <si>
    <t>Pama, Kompienga, Est</t>
  </si>
  <si>
    <t>http://maps.google.com/maps?q=11.2489523,0.7049925</t>
  </si>
  <si>
    <t>12.2536991,-2.3626105,85.295</t>
  </si>
  <si>
    <t>Centre-est, Kouritenga, Andemtenga</t>
  </si>
  <si>
    <t>Trésorière</t>
  </si>
  <si>
    <t>Andemtenga, Kouritenga, Centre-est</t>
  </si>
  <si>
    <t>http://maps.google.com/maps?q=12.1631813,-0.2244662</t>
  </si>
  <si>
    <t>Production de beurre de karité, Commercialisation de produit à base de karité (pommade, savons…), Fabrication de produit à base de karité (pommade, savons…), Commercialisation de beurre de karité</t>
  </si>
  <si>
    <t>Torréfacteur artisanal (feu de bois), Foyers artisanaux (pierres), Broyeur manuel/mécanique, Baratte manuelle</t>
  </si>
  <si>
    <t>Production de beurre de karité, Commercialisation de beurre de karité, Commercialisation d’amandes de karité, Fabrication de produit à base de karité (pommade, savons…)</t>
  </si>
  <si>
    <t>Concasseur artisanal (système bois), Baratte manuelle</t>
  </si>
  <si>
    <t>Centre-est, Koulpelogo, Yondé</t>
  </si>
  <si>
    <t>Yondé, Koulpelogo, Centre-est</t>
  </si>
  <si>
    <t>http://maps.google.com/maps?q=11.5247674,0.1494988</t>
  </si>
  <si>
    <t>Achat des noix aux membres de l’organisation, Ramassage des fruits sur site (champs, forêts) , Achat de noix sur les marchés (collectrices-revendeuses)</t>
  </si>
  <si>
    <t>11.5001211,0.1391727,2980.0</t>
  </si>
  <si>
    <t>12.2536991,-2.3626105,113.657</t>
  </si>
  <si>
    <t>Boucle Mouhoun, Sourou, Tougan, Di</t>
  </si>
  <si>
    <t>Di, Tougan, Sourou, Boucle Mouhoun</t>
  </si>
  <si>
    <t>13.1761354,-3.4074881,3021.0</t>
  </si>
  <si>
    <t>13.1466597,-3.4136762,3343.0</t>
  </si>
  <si>
    <t>alimata</t>
  </si>
  <si>
    <t>Nord, Zondona, Gourcy</t>
  </si>
  <si>
    <t>Gourcy, Zondona, Nord</t>
  </si>
  <si>
    <t>Torréfacteur artisanal (feu de bois), Concasseur artisanal (système bois), Ustensiles (Bassine, fûts, marmites…), Baratte manuelle, Foyers améliorés à bois</t>
  </si>
  <si>
    <t>Nord, Passore, Latodin</t>
  </si>
  <si>
    <t>Latodin, Passore, Nord</t>
  </si>
  <si>
    <t>http://maps.google.com/maps?q=12.9003223,-2.4678327</t>
  </si>
  <si>
    <t>bonkoungou</t>
  </si>
  <si>
    <t>Nord, Zongoma, Gourcy</t>
  </si>
  <si>
    <t>Gourcy, Zongoma, Nord</t>
  </si>
  <si>
    <t>Rakieta</t>
  </si>
  <si>
    <t>secrétaire</t>
  </si>
  <si>
    <t>Cuisine/Aire de cuisson avec des pierres (foyer traditionnels), Local de machine/matériel en banco, Atelier de production</t>
  </si>
  <si>
    <t>compaoré</t>
  </si>
  <si>
    <t>perpetue</t>
  </si>
  <si>
    <t>Centre-ouest, Sissili, Niabouri</t>
  </si>
  <si>
    <t>Niabouri, Sissili, Centre-ouest</t>
  </si>
  <si>
    <t>http://maps.google.com/maps?q=11.267662,-2.6375385</t>
  </si>
  <si>
    <t>Centre-nord, Namentenga, Bouroum</t>
  </si>
  <si>
    <t>Bouroum, Namentenga, Centre-nord</t>
  </si>
  <si>
    <t>http://maps.google.com/maps?q=13.6087964,-0.6486514</t>
  </si>
  <si>
    <t>Lizèta</t>
  </si>
  <si>
    <t>Wend la Siida</t>
  </si>
  <si>
    <t>Nord, Passore, Arbollé</t>
  </si>
  <si>
    <t>Arbollé, Passore, Nord</t>
  </si>
  <si>
    <t>http://maps.google.com/maps?q=12.8443447,-2.0384863</t>
  </si>
  <si>
    <t>Cuisine/Aire de cuisson avec des pierres (foyer traditionnels), Local de machine/matériel en banco, Atelier de production, Cuisine/Aire de cuisson moderne (gaz ou électricité), Forage/château d’eau</t>
  </si>
  <si>
    <t>Groupes électrogène, Torréfacteur artisanal (feu de bois), Foyers artisanaux (pierres), Concasseur à moteur, Ustensiles (Bassine, fûts, marmites…), Foyer à gaz, Petite Balance de pesée</t>
  </si>
  <si>
    <t>Zaana Nathalie</t>
  </si>
  <si>
    <t>Nord, Passoré, Arbolé</t>
  </si>
  <si>
    <t>Arbolé, Passoré, Nord</t>
  </si>
  <si>
    <t>http://maps.google.com/maps?q=12.8881221,-2.2236667</t>
  </si>
  <si>
    <t>Cuisine/Aire de cuisson avec des pierres (foyer traditionnels), Local de machine/matériel en banco, Atelier de production, Forage/château d’eau</t>
  </si>
  <si>
    <t>Foyers améliorés à bois, Ustensiles (Bassine, fûts, marmites…), Baratte manuelle, Petite Balance de pesée, Concasseur mécanique (sans moteur)</t>
  </si>
  <si>
    <t>Léontine</t>
  </si>
  <si>
    <t>Nord, Zondoma, Bassi</t>
  </si>
  <si>
    <t>Bassi, Zondoma, Nord</t>
  </si>
  <si>
    <t>http://maps.google.com/maps?q=13.1165926,-2.4208713</t>
  </si>
  <si>
    <t>koussoube</t>
  </si>
  <si>
    <t>Centre-nord, Sanmatenga, Pissila</t>
  </si>
  <si>
    <t>Secteur 5, Pissila, Sanmatenga, Centre-nord</t>
  </si>
  <si>
    <t>http://maps.google.com/maps?q=13.1630887,-0.8271646</t>
  </si>
  <si>
    <t>Centre-nord, Sanmatenga, Pissila, Kaya</t>
  </si>
  <si>
    <t>Kaya, Pissila, Sanmatenga, Centre-nord</t>
  </si>
  <si>
    <t>Hauts Bassins, Tuy, Houndé</t>
  </si>
  <si>
    <t>Houndé, Tuy, Hauts Bassins</t>
  </si>
  <si>
    <t>http://maps.google.com/maps?q=11.4894238,-3.523092</t>
  </si>
  <si>
    <t>sike</t>
  </si>
  <si>
    <t>Centre-nord, Sanmatenga, Kaya ville secteur 6</t>
  </si>
  <si>
    <t>Kaya ville secteur 6, Sanmatenga, Centre-nord</t>
  </si>
  <si>
    <t>Pissila, Sanmatenga, Centre-nord</t>
  </si>
  <si>
    <t>A un partenaire-client, Commerçants locaux, Consommateurs directement (vente en détail)</t>
  </si>
  <si>
    <t>Atelier de production, Cuisine/Aire de cuisson avec des pierres (foyer traditionnels), Boutique d’exposition/vente</t>
  </si>
  <si>
    <t>Foyers artisanaux (pierres), Concasseur artisanal (système bois), Baratte manuelle, Ustensiles (Bassine, fûts, marmites…), Torréfacteur artisanal (feu de bois)</t>
  </si>
  <si>
    <t>Cours d’eau (rivière, fleuve, barrage…), Puits</t>
  </si>
  <si>
    <t>Laafi la boumbou</t>
  </si>
  <si>
    <t>A un partenaire-client, Commerçants locaux</t>
  </si>
  <si>
    <t>Atelier de production, Boutique d’exposition/vente</t>
  </si>
  <si>
    <t>Foyers artisanaux (pierres), Concasseur artisanal (système bois), Ustensiles (Bassine, fûts, marmites…), Baratte manuelle, Moulin à moteur, Torréfacteur artisanal (feu de bois)</t>
  </si>
  <si>
    <t>Forage manuel, Cours d’eau (rivière, fleuve, barrage…), Puits</t>
  </si>
  <si>
    <t>yacouba</t>
  </si>
  <si>
    <t>Hauts Bassins, Houet, Satiri</t>
  </si>
  <si>
    <t>Satiri, Houet, Hauts Bassins</t>
  </si>
  <si>
    <t>http://maps.google.com/maps?q=11.4356118,-4.0380841</t>
  </si>
  <si>
    <t>Cuisine/Aire de cuisson avec des pierres (foyer traditionnels), Puits, Forage/château d’eau</t>
  </si>
  <si>
    <t>Foyers artisanaux (pierres), Torréfacteur artisanal (feu de bois), Broyeur à moteur, Concasseur artisanal (système bois), Ustensiles (Bassine, fûts, marmites…), Baratte manuelle</t>
  </si>
  <si>
    <t>Puits , Forage hydraulique (avec ou sans château), Fontaine publique (ONEA) , Cours d’eau (rivière, fleuve, barrage…), Forage manuel</t>
  </si>
  <si>
    <t>talari</t>
  </si>
  <si>
    <t>jacqueline</t>
  </si>
  <si>
    <t>Centre, Kadiogo, Konki ipala</t>
  </si>
  <si>
    <t>Konki ipala, Kadiogo, Centre</t>
  </si>
  <si>
    <t>http://maps.google.com/maps?q=12.3425897,-1.443469</t>
  </si>
  <si>
    <t>A un groupement membre</t>
  </si>
  <si>
    <t>Sud ouest, Noumbiel, Batie, Secteur 1</t>
  </si>
  <si>
    <t>Secteur 1, Batie, Noumbiel, Sud ouest</t>
  </si>
  <si>
    <t>http://maps.google.com/maps?q=9.8440946,-2.9775558</t>
  </si>
  <si>
    <t>Commerçants locaux, Consommateurs directement (vente en détail), A un partenaire-client, Exportateurs nationaux</t>
  </si>
  <si>
    <t>Salle/hall d’activités diverses (alphabétisation, formation, réunions, etc.) en banco</t>
  </si>
  <si>
    <t>Foyers artisanaux (pierres), Grande Bascule de pesée, Ustensiles (Bassine, fûts, marmites…), Baratte manuelle, Petite Balance de pesée</t>
  </si>
  <si>
    <t>SIKAR</t>
  </si>
  <si>
    <t>Sud ouest, Bougouriba, Périgan</t>
  </si>
  <si>
    <t>Périgan, Bougouriba, Sud ouest</t>
  </si>
  <si>
    <t>Grande Bascule de pesée, Ustensiles (Bassine, fûts, marmites…), Petite Balance de pesée</t>
  </si>
  <si>
    <t>INI ANICK</t>
  </si>
  <si>
    <t>SECRTAIRE GENERALE</t>
  </si>
  <si>
    <t>Cuisine/Aire de cuisson avec des pierres (foyer traditionnels), Atelier de production, Salle/hall d’activités diverses (alphabétisation, formation, réunions, etc.) en banco</t>
  </si>
  <si>
    <t>Ustensiles (Bassine, fûts, marmites…), Baratte manuelle, Petite Balance de pesée</t>
  </si>
  <si>
    <t>YERI BIAPERAME</t>
  </si>
  <si>
    <t>Sud ouest, Poni, Bouroum-Bouroum</t>
  </si>
  <si>
    <t>SECRETAIRE GENERAL</t>
  </si>
  <si>
    <t>Bouroum-Bouroum, Poni, Sud ouest</t>
  </si>
  <si>
    <t>http://maps.google.com/maps?q=10.5384775,-3.2357376</t>
  </si>
  <si>
    <t>Organisations dont nous sommes membres/Faitière , Exportateurs nationaux</t>
  </si>
  <si>
    <t>Sud ouest, Poni, Malba, Nanfor</t>
  </si>
  <si>
    <t>Nanfor, Malba, Poni, Sud ouest</t>
  </si>
  <si>
    <t>Ustensiles (Bassine, fûts, marmites…), Grande Bascule de pesée, Petite Balance de pesée</t>
  </si>
  <si>
    <t>Centre-est, Sanmatenga, Kaya</t>
  </si>
  <si>
    <t>Kaya, Sanmatenga, Centre-est</t>
  </si>
  <si>
    <t>http://maps.google.com/maps?q=12.9082552,-1.0765746</t>
  </si>
  <si>
    <t>Sud ouest, Noumbiel, Kpueré</t>
  </si>
  <si>
    <t>Kpueré, Noumbiel, Sud ouest</t>
  </si>
  <si>
    <t>Consommateurs directement (vente en détail), Acheteurs Internationaux, Exportateurs nationaux</t>
  </si>
  <si>
    <t>Cuisine/Aire de cuisson avec foyers améliorées, Atelier de production, Salle/hall d’activités diverses (alphabétisation, formation, réunions, etc.) en banco</t>
  </si>
  <si>
    <t>Ustensiles (Bassine, fûts, marmites…), Foyers améliorés à bois, Grande Bascule de pesée, Petite Balance de pesée</t>
  </si>
  <si>
    <t>Ramassage des fruits sur site (champs, forêts) , Achat des amandes auprès de commerçants-collecteurs, Achat des noix aux membres de l’organisation</t>
  </si>
  <si>
    <t>Sud ouest, Poni, Perigban</t>
  </si>
  <si>
    <t>Perigban, Poni, Sud ouest</t>
  </si>
  <si>
    <t>Cuisine/Aire de cuisson avec des pierres (foyer traditionnels), Salle/hall d’activités diverses (alphabétisation, formation, réunions, etc.) en ciment/pierre taillées, Atelier de production</t>
  </si>
  <si>
    <t>Ustensiles (Bassine, fûts, marmites…), Baratte manuelle, Grande Bascule de pesée, Petite Balance de pesée</t>
  </si>
  <si>
    <t>Cuisine/Aire de cuisson avec foyers améliorées, Salle/hall d’activités diverses (alphabétisation, formation, réunions, etc.) en ciment/pierre taillées, Atelier de production</t>
  </si>
  <si>
    <t>Moulin à moteur, Grande Bascule de pesée, Ustensiles (Bassine, fûts, marmites…), Baratte manuelle, Petite Balance de pesée</t>
  </si>
  <si>
    <t>Sud ouest, Noumbiel, Batie, Secteur 5</t>
  </si>
  <si>
    <t>Secteur 5, Batié, Noumbiel, Sud ouest</t>
  </si>
  <si>
    <t>Sud ouest, Poni, Gbomblora</t>
  </si>
  <si>
    <t>Gbomblora, Poni, Sud ouest</t>
  </si>
  <si>
    <t>Salle/hall d’activités diverses (alphabétisation, formation, réunions, etc.) en banco, Local de machine/matériel en ciment/pierres taillées</t>
  </si>
  <si>
    <t>Broyeur à moteur, Moulin à moteur, Grande Bascule de pesée, Ustensiles (Bassine, fûts, marmites…), Baratte manuelle, Petite Balance de pesée</t>
  </si>
  <si>
    <t>INI</t>
  </si>
  <si>
    <t>Abibata</t>
  </si>
  <si>
    <t>Boucle Mouhoun, Tuy, Houndé</t>
  </si>
  <si>
    <t>Houndé, Tuy, Boucle Mouhoun</t>
  </si>
  <si>
    <t>SECRETAIRE GENERALE</t>
  </si>
  <si>
    <t>Salle/hall d’activités diverses (alphabétisation, formation, réunions, etc.) en banco, Forage/château d’eau</t>
  </si>
  <si>
    <t>Petite Balance de pesée, Grande Bascule de pesée</t>
  </si>
  <si>
    <t>Cours d’eau (rivière, fleuve, barrage…)</t>
  </si>
  <si>
    <t>Hauts Bassins, Kénédougou, Orodara</t>
  </si>
  <si>
    <t>membre d'honneur</t>
  </si>
  <si>
    <t>Orodara, Kénédougou, Hauts Bassins</t>
  </si>
  <si>
    <t>http://maps.google.com/maps?q=10.9808313,-4.9091329</t>
  </si>
  <si>
    <t>Bureau/Local administratif</t>
  </si>
  <si>
    <t>Outils/équipements de test-qualité (Papier PH, humidimètre, balance électronique,…)</t>
  </si>
  <si>
    <t>barro</t>
  </si>
  <si>
    <t>Centre-ouest, Sissili, Léo</t>
  </si>
  <si>
    <t>Léo, Sissili, Centre-ouest</t>
  </si>
  <si>
    <t>http://maps.google.com/maps?q=11.0978809,-2.0959429</t>
  </si>
  <si>
    <t>ziba</t>
  </si>
  <si>
    <t>Est, Kompienga, Tambibongo</t>
  </si>
  <si>
    <t>Tambibongo, Kompienga, Est</t>
  </si>
  <si>
    <t>http://maps.google.com/maps?q=11.5238362,0.7532809</t>
  </si>
  <si>
    <t>dioné</t>
  </si>
  <si>
    <t>boyona</t>
  </si>
  <si>
    <t>Cascades, Comoe, Mossodougou</t>
  </si>
  <si>
    <t>Mossodougou, Comoe, Cascades</t>
  </si>
  <si>
    <t>http://maps.google.com/maps?q=10.8319446,-4.9365729</t>
  </si>
  <si>
    <t>Achat des amandes auprès de commerçants-collecteurs, Ramassage des fruits sur site (champs, forêts) , Achat des noix aux membres de l’organisation, Achat de noix sur les marchés (collectrices-revendeuses)</t>
  </si>
  <si>
    <t>sourabie</t>
  </si>
  <si>
    <t>fatoumata</t>
  </si>
  <si>
    <t>caissiere</t>
  </si>
  <si>
    <t>sénoufo</t>
  </si>
  <si>
    <t>Foyers artisanaux (pierres), Ustensiles (Bassine, fûts, marmites…), Baratte manuelle</t>
  </si>
  <si>
    <t>ouattara</t>
  </si>
  <si>
    <t>abi</t>
  </si>
  <si>
    <t>10.658314,-5.1626372,2566.0</t>
  </si>
  <si>
    <t>Est, Kompienga, Madjoari</t>
  </si>
  <si>
    <t>Madjoari, Kompienga, Est</t>
  </si>
  <si>
    <t>http://maps.google.com/maps?q=11.4772766,1.2453219</t>
  </si>
  <si>
    <t>Cascades, Léraba, Sindou</t>
  </si>
  <si>
    <t>Sindou, Léraba, Cascades</t>
  </si>
  <si>
    <t>http://maps.google.com/maps?q=10.6503878,-5.1692752</t>
  </si>
  <si>
    <t>milogo</t>
  </si>
  <si>
    <t>sidibé</t>
  </si>
  <si>
    <t>bohi</t>
  </si>
  <si>
    <t>Centre-est, Boulgou, Bitou</t>
  </si>
  <si>
    <t>Bitou, Boulgou, Centre-est</t>
  </si>
  <si>
    <t>http://maps.google.com/maps?q=11.2578925,-0.3042778</t>
  </si>
  <si>
    <t>BISSA</t>
  </si>
  <si>
    <t>Cuisine/Aire de cuisson avec des pierres (foyer traditionnels), Local de machine/matériel en banco, Forage/château d’eau</t>
  </si>
  <si>
    <t>Torréfacteur artisanal (feu de bois), Concasseur artisanal (système bois), Broyeur manuel/mécanique, Ustensiles (Bassine, fûts, marmites…), Baratte manuelle</t>
  </si>
  <si>
    <t>SALAMATA</t>
  </si>
  <si>
    <t>ZAMPALIGRE</t>
  </si>
  <si>
    <t>Youbila zenabo</t>
  </si>
  <si>
    <t>Centre-Sud, Bazega, Toécé</t>
  </si>
  <si>
    <t>Toécé, Bazega, Centre-Sud</t>
  </si>
  <si>
    <t>http://maps.google.com/maps?q=11.9767692,-1.443469</t>
  </si>
  <si>
    <t>Centre-est, Boulgou, Tenkodogo</t>
  </si>
  <si>
    <t>Tenkodogo, Boulgou, Centre-est</t>
  </si>
  <si>
    <t>Forage hydraulique (avec ou sans château), Adduction domestique (branchement ONEA à domicile)</t>
  </si>
  <si>
    <t>TRESORIERE</t>
  </si>
  <si>
    <t>Cuisine/Aire de cuisson avec des pierres (foyer traditionnels), Bureau/Local administratif, Atelier de production, Local de machine/matériel en ciment/pierres taillées</t>
  </si>
  <si>
    <t>MME GUENGANE</t>
  </si>
  <si>
    <t>Jeanne d'arc</t>
  </si>
  <si>
    <t>Zemstaaba de Tambarga</t>
  </si>
  <si>
    <t>Est, Tapoa, Tambarga</t>
  </si>
  <si>
    <t>Tambarga, Tapoa, Est</t>
  </si>
  <si>
    <t>http://maps.google.com/maps?q=12.2497072,1.6760691</t>
  </si>
  <si>
    <t>Relwendé de Nabouri</t>
  </si>
  <si>
    <t>Centre, Kadiogo, Konki Ipala</t>
  </si>
  <si>
    <t>Konki Ipala, Kadiogo, Centre</t>
  </si>
  <si>
    <t>Production de beurre de karité, Collecte de noix et amandes de karité, Commercialisation de produit à base de karité (pommade, savons…), Fabrication de produit à base de karité (pommade, savons…)</t>
  </si>
  <si>
    <t>Cuisine/Aire de cuisson avec des pierres (foyer traditionnels), Puits, Atelier de production, Local de machine/matériel en ciment/pierres taillées</t>
  </si>
  <si>
    <t>Foyers artisanaux (pierres), Torréfacteur artisanal (feu de bois), Concasseur artisanal (système bois), Ustensiles (Bassine, fûts, marmites…), Baratte manuelle, Petite Balance de pesée</t>
  </si>
  <si>
    <t>Centre, Kadiogo, Tanglogo</t>
  </si>
  <si>
    <t>Tanglogo, Kadiogo, Centre</t>
  </si>
  <si>
    <t>Torréfacteur artisanal (feu de bois), Foyers artisanaux (pierres), Concasseur artisanal (système bois), Ustensiles (Bassine, fûts, marmites…), Baratte manuelle</t>
  </si>
  <si>
    <t>Augustin</t>
  </si>
  <si>
    <t>Koudougou, Boulkiemdé, Centre-ouest</t>
  </si>
  <si>
    <t>berehoudougou</t>
  </si>
  <si>
    <t>Hauts Bassins, Tuy, Boni</t>
  </si>
  <si>
    <t>Activités sociales et éducatives (mutuelle, tontine, entraide, sensibilisation, alphabétisation…), Production agricole</t>
  </si>
  <si>
    <t>Boni, Tuy, Hauts Bassins</t>
  </si>
  <si>
    <t>http://maps.google.com/maps?q=11.5029004,-3.5812692</t>
  </si>
  <si>
    <t>bwamu</t>
  </si>
  <si>
    <t>idani</t>
  </si>
  <si>
    <t>http://maps.google.com/maps?q=,</t>
  </si>
  <si>
    <t>kabore</t>
  </si>
  <si>
    <t>fany</t>
  </si>
  <si>
    <t>Centre-est, Boulgou, Zigla, Polacé</t>
  </si>
  <si>
    <t>Garango, Boulgou, Centre-est</t>
  </si>
  <si>
    <t>http://maps.google.com/maps?q=11.7528516,-0.5872288</t>
  </si>
  <si>
    <t>Bissa</t>
  </si>
  <si>
    <t>Collecte de noix et amandes de karité, Commercialisation de beurre de karité, Commercialisation de produit à base de karité (pommade, savons…), Fabrication de produit à base de karité (pommade, savons…)</t>
  </si>
  <si>
    <t>Salle/hall d’activités diverses (alphabétisation, formation, réunions, etc.) en ciment/pierre taillées, Cuisine/Aire de cuisson avec des pierres (foyer traditionnels)</t>
  </si>
  <si>
    <t>Ustensiles (Bassine, fûts, marmites…), Foyers artisanaux (pierres)</t>
  </si>
  <si>
    <t>Gouem</t>
  </si>
  <si>
    <t>Roukiatou</t>
  </si>
  <si>
    <t>bissa</t>
  </si>
  <si>
    <t>Salle/hall d’activités diverses (alphabétisation, formation, réunions, etc.) en ciment/pierre taillées, Cuisine/Aire de cuisson avec foyers améliorées</t>
  </si>
  <si>
    <t>Petite Balance de pesée, Ustensiles (Bassine, fûts, marmites…), Plaques solaires, Foyers améliorés à bois</t>
  </si>
  <si>
    <t>lingani</t>
  </si>
  <si>
    <t>Centre-est, Boulgou, Boussouma</t>
  </si>
  <si>
    <t>Boussouma, Boulgou, Centre-est</t>
  </si>
  <si>
    <t>http://maps.google.com/maps?q=11.6986047,-0.7021767</t>
  </si>
  <si>
    <t>Salle/hall d’activités diverses (alphabétisation, formation, réunions, etc.) en ciment/pierre taillées, Local de machine/matériel en ciment/pierres taillées, Cuisine/Aire de cuisson avec foyers améliorées, Forage/château d’eau</t>
  </si>
  <si>
    <t>Groupes électrogène, Petite Balance de pesée, Ustensiles (Bassine, fûts, marmites…), Foyers améliorés à bois, Baratte à moteur</t>
  </si>
  <si>
    <t>Centre-est, Boulgou, Kampouga</t>
  </si>
  <si>
    <t>President</t>
  </si>
  <si>
    <t>Kampouga, Boulgou, Centre-est</t>
  </si>
  <si>
    <t>http://maps.google.com/maps?q=11.4336766,-0.3748354</t>
  </si>
  <si>
    <t>Collecte de noix et amandes de karité, Fabrication de produit à base de karité (pommade, savons…), Production de beurre de karité, Commercialisation d’amandes de karité, Commercialisation de beurre de karité</t>
  </si>
  <si>
    <t>oubda</t>
  </si>
  <si>
    <t>Boucle Mouhoun, Mouhoun, Dédougou</t>
  </si>
  <si>
    <t>Dédougou, Mouhoun, Boucle Mouhoun</t>
  </si>
  <si>
    <t>http://maps.google.com/maps?q=12.4503003,-3.4700327</t>
  </si>
  <si>
    <t>marthe</t>
  </si>
  <si>
    <t>fondatrice</t>
  </si>
  <si>
    <t>Commerçants locaux, Acheteurs Internationaux, Consommateurs directement (vente en détail), Exportateurs nationaux</t>
  </si>
  <si>
    <t>Salle/hall d’activités diverses (alphabétisation, formation, réunions, etc.) en ciment/pierre taillées, Local de machine/matériel en ciment/pierres taillées, Cuisine/Aire de cuisson avec foyers améliorées, Boutique d’exposition/vente</t>
  </si>
  <si>
    <t>Concasseur mécanique (sans moteur), Baratte manuelle, Petite Balance de pesée, Ustensiles (Bassine, fûts, marmites…), Foyers améliorés à bois, Torréfacteur artisanal (feu de bois)</t>
  </si>
  <si>
    <t>Assita Finiyes</t>
  </si>
  <si>
    <t>Boucle Mouhoun, Balés, Boromo, Fara</t>
  </si>
  <si>
    <t>Fara, Boromo, Balés, Boucle Mouhoun</t>
  </si>
  <si>
    <t>http://maps.google.com/maps?q=11.5308634,-2.764243</t>
  </si>
  <si>
    <t>some</t>
  </si>
  <si>
    <t>eloi</t>
  </si>
  <si>
    <t>Centre, Kadiogo, Pabré</t>
  </si>
  <si>
    <t>Pabré, Kadiogo, Centre</t>
  </si>
  <si>
    <t>Foyers artisanaux (pierres), Torréfacteur artisanal (feu de bois), Concasseur artisanal (système bois), Baratte manuelle</t>
  </si>
  <si>
    <t>DOUAMBA/NIKIEMA</t>
  </si>
  <si>
    <t>Cascades, Léraba, Niankorodougou</t>
  </si>
  <si>
    <t>Niankorodougou, Léraba, Cascades</t>
  </si>
  <si>
    <t>http://maps.google.com/maps?q=10.457233,-5.2949907</t>
  </si>
  <si>
    <t>Puits, Cuisine/Aire de cuisson avec foyers améliorées, Bureau/Local administratif, Atelier de production, Local de machine/matériel en ciment/pierres taillées</t>
  </si>
  <si>
    <t>Broyeur à moteur, Foyers améliorés à bois, Grande Bascule de pesée, Baratte à moteur, Torréfacteur artisanal (feu de bois), Moulin à moteur, Concasseur à moteur, Ustensiles (Bassine, fûts, marmites…), Petite Balance de pesée</t>
  </si>
  <si>
    <t>12.3677376,-1.4771899,2252.0</t>
  </si>
  <si>
    <t>Wend Panga de Dabaré</t>
  </si>
  <si>
    <t>Centre, Kadiogo, Pabré, Dabaré</t>
  </si>
  <si>
    <t>pabré burkina</t>
  </si>
  <si>
    <t>http://maps.google.com/maps?q=12.5101611,-1.5771523</t>
  </si>
  <si>
    <t>Cuisine/Aire de cuisson avec des pierres (foyer traditionnels), Atelier de production, Local de machine/matériel en ciment/pierres taillées, Forage/château d’eau</t>
  </si>
  <si>
    <t>Foyers artisanaux (pierres), Torréfacteur artisanal (feu de bois), Moulin à moteur, Concasseur artisanal (système bois), Ustensiles (Bassine, fûts, marmites…), Baratte manuelle</t>
  </si>
  <si>
    <t>sécretaire</t>
  </si>
  <si>
    <t>Puits, Atelier de production</t>
  </si>
  <si>
    <t>sata</t>
  </si>
  <si>
    <t>10.6425476,-4.7683802,10.0</t>
  </si>
  <si>
    <t>Centre-ouest, Boulkiemde, Pella, Kandaaga</t>
  </si>
  <si>
    <t>Kandaaga, Pella, Boulkiemde, Centre-ouest</t>
  </si>
  <si>
    <t>http://maps.google.com/maps?q=12.58333,-2.03333</t>
  </si>
  <si>
    <t>Collecte de noix et amandes de karité, Production de beurre de karité, Commercialisation de beurre de karité, Commercialisation d’amandes de karité</t>
  </si>
  <si>
    <t>T. Joséphine</t>
  </si>
  <si>
    <t>Centre-ouest, Boulkiemdé, Pella</t>
  </si>
  <si>
    <t>Pella, Boulkiemdé, Centre-ouest</t>
  </si>
  <si>
    <t>http://maps.google.com/maps?q=12.5883785,-2.0914677</t>
  </si>
  <si>
    <t>Atelier de production, Local de machine/matériel en ciment/pierres taillées</t>
  </si>
  <si>
    <t>P. Marie</t>
  </si>
  <si>
    <t>korgo</t>
  </si>
  <si>
    <t>Centre-nord, Namentenga, Boulsa</t>
  </si>
  <si>
    <t>informatrice</t>
  </si>
  <si>
    <t>Boulsa, Namentenga, Centre-nord</t>
  </si>
  <si>
    <t>http://maps.google.com/maps?q=12.6612116,-0.5683399</t>
  </si>
  <si>
    <t>Atelier de production, Bureau/Local administratif, Salle/hall d’activités diverses (alphabétisation, formation, réunions, etc.) en banco, Cuisine/Aire de cuisson avec foyers améliorées, Local de machine/matériel en banco</t>
  </si>
  <si>
    <t>Petite Balance de pesée, Ustensiles (Bassine, fûts, marmites…), Moulin à moteur</t>
  </si>
  <si>
    <t>Forage manuel, Puits</t>
  </si>
  <si>
    <t>Bois de chauffe, Gasoil</t>
  </si>
  <si>
    <t>Zinaaba</t>
  </si>
  <si>
    <t>pougnini</t>
  </si>
  <si>
    <t>12.3718899,-1.4757805,2397.0</t>
  </si>
  <si>
    <t>Centre-nord, Namentenga, Boulsa, Mané</t>
  </si>
  <si>
    <t>mane, Boulsa, Namentenga, Centre-nord</t>
  </si>
  <si>
    <t>http://maps.google.com/maps?q=12.9873879,-1.3451348</t>
  </si>
  <si>
    <t>Atelier de production, Forage/château d’eau, Local de machine/matériel en banco</t>
  </si>
  <si>
    <t>kadissa</t>
  </si>
  <si>
    <t>Centre-est, Namentenga, Boulsa</t>
  </si>
  <si>
    <t>responsable a la formation</t>
  </si>
  <si>
    <t>Boulsa, Namentenga, Centre-est</t>
  </si>
  <si>
    <t>Salle/hall d’activités diverses (alphabétisation, formation, réunions, etc.) en ciment/pierre taillées, Atelier de production, Bureau/Local administratif, Boutique d’exposition/vente, Forage/château d’eau</t>
  </si>
  <si>
    <t>Broyeur à moteur, Concasseur mécanique (sans moteur), Ustensiles (Bassine, fûts, marmites…), Grande Bascule de pesée, Moulin à moteur</t>
  </si>
  <si>
    <t>Fontaine publique (ONEA) , Forage hydraulique (avec ou sans château), Forage manuel</t>
  </si>
  <si>
    <t>nomwendé rita yvette</t>
  </si>
  <si>
    <t>Centre-nord, Namentenga, Boulsa, Goaga</t>
  </si>
  <si>
    <t>chargé de la commande</t>
  </si>
  <si>
    <t>Goaga, Boulsa, Namentenga, Centre-nord</t>
  </si>
  <si>
    <t>http://maps.google.com/maps?q=12.683333,-0.4500001</t>
  </si>
  <si>
    <t>Atelier de production, Bureau/Local administratif, Cuisine/Aire de cuisson avec des pierres (foyer traditionnels), Local de machine/matériel en banco</t>
  </si>
  <si>
    <t>Petite Balance de pesée, Ustensiles (Bassine, fûts, marmites…), Moulin à moteur, Concasseur artisanal (système bois)</t>
  </si>
  <si>
    <t>Forage hydraulique (avec ou sans château), Cours d’eau (rivière, fleuve, barrage…), Puits</t>
  </si>
  <si>
    <t>ilboudo</t>
  </si>
  <si>
    <t>chargé de vente</t>
  </si>
  <si>
    <t>Atelier de production, Cuisine/Aire de cuisson avec des pierres (foyer traditionnels), Local de machine/matériel en banco</t>
  </si>
  <si>
    <t>Présidence</t>
  </si>
  <si>
    <t>Cuisine/Aire de cuisson avec des pierres (foyer traditionnels), Cuisine/Aire de cuisson avec foyers améliorées, Bureau/Local administratif, Salle/hall d’activités diverses (alphabétisation, formation, réunions, etc.) en banco, Forage/château d’eau</t>
  </si>
  <si>
    <t>Foyers artisanaux (pierres), Moulin à moteur, Concasseur artisanal (système bois), Foyers améliorés à bois, Ustensiles (Bassine, fûts, marmites…), Petite Balance de pesée</t>
  </si>
  <si>
    <t>Plateau Central, Kourweogo, Boussé</t>
  </si>
  <si>
    <t>Boussé, Kourweogo, Plateau Central</t>
  </si>
  <si>
    <t>Cuisine/Aire de cuisson avec des pierres (foyer traditionnels), Salle/hall d’activités diverses (alphabétisation, formation, réunions, etc.) en ciment/pierre taillées, Atelier de production, Local de machine/matériel en ciment/pierres taillées</t>
  </si>
  <si>
    <t>Baratte à moteur, Grande Bascule de pesée</t>
  </si>
  <si>
    <t>Naré</t>
  </si>
  <si>
    <t>Julie</t>
  </si>
  <si>
    <t>12.3507908,-1.4915656,2638.0</t>
  </si>
  <si>
    <t>Centre-est, Kouritenga, Koupéla, Kando</t>
  </si>
  <si>
    <t>Kando, Koupéla, Kouritenga, Centre-est</t>
  </si>
  <si>
    <t>http://maps.google.com/maps?q=12.3446813,-0.4970705</t>
  </si>
  <si>
    <t>12.344319,-1.489547,2289.0</t>
  </si>
  <si>
    <t>Centre-ouest, Sanguié, Zamo</t>
  </si>
  <si>
    <t>Zamo, Sanguié, Centre-ouest</t>
  </si>
  <si>
    <t>http://maps.google.com/maps?q=12.0187493,-2.7133005</t>
  </si>
  <si>
    <t>Boucle Mouhoun, Mouhoun, Dedougou</t>
  </si>
  <si>
    <t>Dedougou, Mouhoun, Boucle Mouhoun</t>
  </si>
  <si>
    <t>boni</t>
  </si>
  <si>
    <t>marita</t>
  </si>
  <si>
    <t>Pascaline Wendedata</t>
  </si>
  <si>
    <t>Centre-ouest, Boulkiemdé, Koudougou Secteur 10</t>
  </si>
  <si>
    <t>Koudougou Secteur 10, Boulkiemdé, Centre-ouest</t>
  </si>
  <si>
    <t>Production de beurre de karité, Commercialisation de produit à base de karité (pommade, savons…), Fabrication de produit à base de karité (pommade, savons…), Commercialisation de beurre de karité, Commercialisation d’amandes de karité</t>
  </si>
  <si>
    <t>Concasseur artisanal (système bois), Broyeur manuel/mécanique, Foyers améliorés à bois, Ustensiles (Bassine, fûts, marmites…), Baratte manuelle, Petite Balance de pesée</t>
  </si>
  <si>
    <t>P. Magloire</t>
  </si>
  <si>
    <t>Est, Komandjari, Gayeri</t>
  </si>
  <si>
    <t>Gayeri, Komandjari, Est</t>
  </si>
  <si>
    <t>http://maps.google.com/maps?q=12.6513142,0.4915329</t>
  </si>
  <si>
    <t>Nandelia, Koudougou, Boulkiemdé, Centre-ouest</t>
  </si>
  <si>
    <t>Pauline Magloire</t>
  </si>
  <si>
    <t>Centre-ouest, Sanguié, Kordié</t>
  </si>
  <si>
    <t>Kordié, Sanguié, Centre-ouest</t>
  </si>
  <si>
    <t>http://maps.google.com/maps?q=12.596882,-2.3640875</t>
  </si>
  <si>
    <t>Ramassage en forêt/champs, Achat auprès de Collecteurs-revendeurs (bûcherons)</t>
  </si>
  <si>
    <t>TANYILI</t>
  </si>
  <si>
    <t>Essama</t>
  </si>
  <si>
    <t>12.2465476,-2.3711818,2733.0</t>
  </si>
  <si>
    <t>Centre-sud, Zoundweogo, Manga, Guiba</t>
  </si>
  <si>
    <t>Production d’articles d’Artisanat, Activités sociales et éducatives (mutuelle, tontine, entraide, sensibilisation, alphabétisation…)</t>
  </si>
  <si>
    <t>Guiba, Zoundweogo, Centre-sud</t>
  </si>
  <si>
    <t>Torréfacteur artisanal (feu de bois), Concasseur artisanal (système bois), Ustensiles (Bassine, fûts, marmites…), Baratte manuelle, Petite Balance de pesée</t>
  </si>
  <si>
    <t>Puits , Adduction domestique (branchement ONEA à domicile)</t>
  </si>
  <si>
    <t>bilgo</t>
  </si>
  <si>
    <t>Centre-est, Boulgou, Garango</t>
  </si>
  <si>
    <t>http://maps.google.com/maps?q=11.8088575,-0.5352356</t>
  </si>
  <si>
    <t>Ustensiles (Bassine, fûts, marmites…), Foyers améliorés à bois, Broyeur à moteur, Concasseur mécanique (sans moteur), Installation électrique, Petite Balance de pesée, Baratte à moteur, Torréfacteur artisanal (feu de bois)</t>
  </si>
  <si>
    <t>Moné</t>
  </si>
  <si>
    <t>organisateur</t>
  </si>
  <si>
    <t>Production de beurre de karité, Commercialisation d’amandes de karité, Commercialisation de beurre de karité</t>
  </si>
  <si>
    <t>dao</t>
  </si>
  <si>
    <t>anata</t>
  </si>
  <si>
    <t>bawmou</t>
  </si>
  <si>
    <t>Collecte de noix et amandes de karité, Production de beurre de karité, Commercialisation d’amandes de karité, Commercialisation de beurre de karité</t>
  </si>
  <si>
    <t>SAHO</t>
  </si>
  <si>
    <t>Marie Anne</t>
  </si>
  <si>
    <t>Cuisine/Aire de cuisson avec foyers améliorées</t>
  </si>
  <si>
    <t>koumaré</t>
  </si>
  <si>
    <t>Commercialisation d’amandes de karité, Commercialisation de beurre de karité</t>
  </si>
  <si>
    <t>berthe</t>
  </si>
  <si>
    <t>tionou</t>
  </si>
  <si>
    <t>djenaba</t>
  </si>
  <si>
    <t>sawadogo adama</t>
  </si>
  <si>
    <t>Sud ouest, Bougouriba, Ioronioro, Loukoura</t>
  </si>
  <si>
    <t>Loukoura, Ioronioro, Bougouriba, Sud ouest</t>
  </si>
  <si>
    <t>http://maps.google.com/maps?q=10.7531338,-3.40071</t>
  </si>
  <si>
    <t>Sud ouest, Noumbiel, Kpuéré</t>
  </si>
  <si>
    <t>Kpuéré, Noumbiel, Sud ouest</t>
  </si>
  <si>
    <t>11.1830875,-4.3528833,2086.0</t>
  </si>
  <si>
    <t>Hauts Bassins, Houet, Karankasso, Vigué</t>
  </si>
  <si>
    <t>Vigué, Karankasso, Houet, Hauts Bassins</t>
  </si>
  <si>
    <t>http://maps.google.com/maps?q=10.8798266,-3.9365372</t>
  </si>
  <si>
    <t>11.1865748,-4.3546093,1986.0</t>
  </si>
  <si>
    <t>transformatrice de beurre de karité</t>
  </si>
  <si>
    <t>Cuisine/Aire de cuisson avec des pierres (foyer traditionnels), Puits</t>
  </si>
  <si>
    <t>SIA</t>
  </si>
  <si>
    <t>ZALIKA</t>
  </si>
  <si>
    <t>12.3441987,-1.4893236,2289.0</t>
  </si>
  <si>
    <t>Centre-est, Kouritenga, Koupela</t>
  </si>
  <si>
    <t>Koupela, Kouritenga, Centre-est</t>
  </si>
  <si>
    <t>http://maps.google.com/maps?q=12.180204,-0.3513021</t>
  </si>
  <si>
    <t>Centre-Ouest, Sissili, Bieha</t>
  </si>
  <si>
    <t>Bieha, Sissili, Centre-Ouest</t>
  </si>
  <si>
    <t>12.2410164,-2.3554251,3018.0</t>
  </si>
  <si>
    <t>Kadidja</t>
  </si>
  <si>
    <t>Sababougnouma de Koudougou</t>
  </si>
  <si>
    <t>gnanou</t>
  </si>
  <si>
    <t>Allah Dari</t>
  </si>
  <si>
    <t>Hauts Bassins, Kenedougou, Orodara</t>
  </si>
  <si>
    <t>Orodara, Kenedougou, Hauts Bassins</t>
  </si>
  <si>
    <t>Est, Gourma, Tibga</t>
  </si>
  <si>
    <t>Tibga, Gourma, Est</t>
  </si>
  <si>
    <t>http://maps.google.com/maps?q=12.1624473,0.6773046</t>
  </si>
  <si>
    <t>ouoba</t>
  </si>
  <si>
    <t>alima</t>
  </si>
  <si>
    <t>Centre-Ouest, Boulkiemdé, Koudougou Secteur 1</t>
  </si>
  <si>
    <t>jm</t>
  </si>
  <si>
    <t>Koudougou Secteur 1, Boulkiemdé, Centre-Ouest</t>
  </si>
  <si>
    <t>Tiedwanenye</t>
  </si>
  <si>
    <t>Centre-ouest, Sanguié, Didyr, Mouzoumou</t>
  </si>
  <si>
    <t>Mouzomou, Didyr, Sanguié, Centre-ouest</t>
  </si>
  <si>
    <t>http://maps.google.com/maps?q=12.5646792,-2.5693451</t>
  </si>
  <si>
    <t>Centre-ouest, Sanguié, Didyr, Ziladir</t>
  </si>
  <si>
    <t>Ziladir, Didyr, Sanguié, Centre-ouest</t>
  </si>
  <si>
    <t>Centre-ouest, Sanguié, Didyr, Nigiolo N'Tounou</t>
  </si>
  <si>
    <t>Nigiolo Toumou, Didyr, Sanguié, Centre-ouest</t>
  </si>
  <si>
    <t>Centre-ouest, Sanguié, Didyr, Nigiolo</t>
  </si>
  <si>
    <t>Nigiolo, Didyr, Sanguié, Centre-ouest</t>
  </si>
  <si>
    <t>Hauts Bassins, Houet, Bobo Secteur 10, Yéguéré</t>
  </si>
  <si>
    <t>Yeguere, Bobo Secteur 10, Houet, Hauts Bassins</t>
  </si>
  <si>
    <t>http://maps.google.com/maps?q=11.2013941,-4.3231241</t>
  </si>
  <si>
    <t>Hauts Bassins, Houet, Bobo, Bobo</t>
  </si>
  <si>
    <t>COORDONNATRICE</t>
  </si>
  <si>
    <t>Regional</t>
  </si>
  <si>
    <t>https://docs.google.com/spreadsheets/d/13i-71-8pT4rpMALB54lkxj9iElQQKs5WTj19r-X2hm4/edit#gid=81933000</t>
  </si>
  <si>
    <t>BOBO-DIOULASSO, Bobo, Houet, Hauts Bassins</t>
  </si>
  <si>
    <t>http://maps.google.com/maps?q=11.1649219,-4.3051542</t>
  </si>
  <si>
    <t>Hauts Bassins, Houet, Dandé, Dandé</t>
  </si>
  <si>
    <t>sécrétaire générale</t>
  </si>
  <si>
    <t>Communal</t>
  </si>
  <si>
    <t>im</t>
  </si>
  <si>
    <t>Dande, Dandé, Houet, Hauts Bassins</t>
  </si>
  <si>
    <t>Hauts Bassins, Houet, Peni, Peni</t>
  </si>
  <si>
    <t>Peni, Peni, Houet, Hauts Bassins</t>
  </si>
  <si>
    <t>http://maps.google.com/maps?q=10.9508936,-4.4722512</t>
  </si>
  <si>
    <t>Cascades, Leraba, Sindou, Tourni</t>
  </si>
  <si>
    <t>Sécrétaire</t>
  </si>
  <si>
    <t>communal</t>
  </si>
  <si>
    <t>Tourni, Sindou, Leraba, Cascades</t>
  </si>
  <si>
    <t>http://maps.google.com/maps?q=10.76667,-5.15</t>
  </si>
  <si>
    <t>Sud ouest, Poni, Gaoua, Gaoua</t>
  </si>
  <si>
    <t>Gaoua, Gaoua, Poni, Sud ouest</t>
  </si>
  <si>
    <t>Hauts Bassins, Tuy, Kôti, Indini</t>
  </si>
  <si>
    <t>Indini, Kôti, Tuy, Hauts Bassins</t>
  </si>
  <si>
    <t>http://maps.google.com/maps?q=11.438007,-3.006048</t>
  </si>
  <si>
    <t>Centre-ouest, Boulkiemde, Kokologho, Kokologho</t>
  </si>
  <si>
    <t>Kokologho, Kokologho, Boulkiemde, Centre-ouest</t>
  </si>
  <si>
    <t>http://maps.google.com/maps?q=12.1941174,-1.8733017</t>
  </si>
  <si>
    <t>Hautes Bassins, Houet, Bobo, Bobo</t>
  </si>
  <si>
    <t>Responsable fondatrice</t>
  </si>
  <si>
    <t>BOBO-DIOULASSO, Bobo, Houet, Hautes Bassins</t>
  </si>
  <si>
    <t>Cascades, Comoé, Banfora, Banfora</t>
  </si>
  <si>
    <t>Banfora, Banfora, Comoé, Cascades</t>
  </si>
  <si>
    <t>http://maps.google.com/maps?q=10.6400163,-4.7588042</t>
  </si>
  <si>
    <t>Centre-ouest, Sanguié, Didyr, Didyr</t>
  </si>
  <si>
    <t>didyr burkina</t>
  </si>
  <si>
    <t>Centre-ouest, Sanguié, Réo, Réo</t>
  </si>
  <si>
    <t>COORDONNATEUR</t>
  </si>
  <si>
    <t>Reo, Réo, Sanguié, Centre-ouest</t>
  </si>
  <si>
    <t>http://maps.google.com/maps?q=12.3181444,-2.4653598</t>
  </si>
  <si>
    <t>Centre-ouest, Boulkiemdé, Koudougou, Guy</t>
  </si>
  <si>
    <t>Guy, Koudougou, Boulkiemdé, Centre-ouest</t>
  </si>
  <si>
    <t>Centre-ouest, Ziro, Sapouy, Sapouy</t>
  </si>
  <si>
    <t>Sapouy, Sapouy, Ziro, Centre-ouest</t>
  </si>
  <si>
    <t>Centre-ouest, Sissili, Leo, Leo</t>
  </si>
  <si>
    <t>Leo, Leo, Sissili, Centre-ouest</t>
  </si>
  <si>
    <t>Wend benedo</t>
  </si>
  <si>
    <t>Plateau Central, Oubritenga, Ziniaré, Guiloungou</t>
  </si>
  <si>
    <t>Guiloungou, Ziniaré, Oubritenga, Plateau Central</t>
  </si>
  <si>
    <t>http://maps.google.com/maps?q=12.5930608,-1.3009307</t>
  </si>
  <si>
    <t>Centre sud, Nahouri, Tiebelé</t>
  </si>
  <si>
    <t>Tiebelé, Nahouri, Centre sud</t>
  </si>
  <si>
    <t>Centre, Kadiogo, Pabre, Sambtenga</t>
  </si>
  <si>
    <t>National</t>
  </si>
  <si>
    <t>Saabtenga, Pabre, Kadiogo, Centre</t>
  </si>
  <si>
    <t>http://maps.google.com/maps?q=12.514587,-1.577821</t>
  </si>
  <si>
    <t>Zemstaaba de Nagretenga</t>
  </si>
  <si>
    <t>Plateau Central, Oubritenga, Nagréongo, Nagretenga</t>
  </si>
  <si>
    <t>Nagretenga, Nagréongo, Oubritenga, Plateau Central</t>
  </si>
  <si>
    <t>Centre-sud, Bazèga, Kombissiri, Kombissiri</t>
  </si>
  <si>
    <t>Kombissiri, Kombissiri, Bazèga, Centre-sud</t>
  </si>
  <si>
    <t>Centre, Kadiogo, Tanghindassouri, Tanghin</t>
  </si>
  <si>
    <t>Tanghin, Tanghindassouri, Kadiogo, Centre</t>
  </si>
  <si>
    <t>http://maps.google.com/maps?q=12.4022622,-1.5281253</t>
  </si>
  <si>
    <t>Centre, Kadiogo, Ouagadougou, Koulweoguin</t>
  </si>
  <si>
    <t>Koulweoguin, Ouagadougou, Kadiogo, Centre</t>
  </si>
  <si>
    <t>Centre-nord, Sanematenga, Kaya, Kousisian</t>
  </si>
  <si>
    <t>COMMUNAL</t>
  </si>
  <si>
    <t>Kousisian, Kaya, Sanematenga, Centre-nord</t>
  </si>
  <si>
    <t>http://maps.google.com/maps?q=13.083896,-1.1165669</t>
  </si>
  <si>
    <t>Centre, Kadiogo, Sakoula, Sakoula</t>
  </si>
  <si>
    <t>Sakoula, Sakoula, Kadiogo, Centre</t>
  </si>
  <si>
    <t>http://maps.google.com/maps?q=12.466667,-1.516667</t>
  </si>
  <si>
    <t>Centre-Ouest, Boulkiemde, Koudougou, Secteur 6</t>
  </si>
  <si>
    <t>RESPONSABLE A LA PRODUCTION</t>
  </si>
  <si>
    <t>Secteur 6, Koudougou, Boulkiemde, Centre-Ouest</t>
  </si>
  <si>
    <t>http://maps.google.com/maps?q=11.58333,-3.38333</t>
  </si>
  <si>
    <t>Boucle Mouhoun, Sourou, Tougan, Tougan</t>
  </si>
  <si>
    <t>Tougan, Tougan, Sourou, Boucle Mouhoun</t>
  </si>
  <si>
    <t>Centre-ouest, Boulkiemdé, Koudougou, Sogopelsé</t>
  </si>
  <si>
    <t>Sogpelse, Koudougou, Boulkiemdé, Centre-ouest</t>
  </si>
  <si>
    <t>http://maps.google.com/maps?q=12.03333,-2.18333</t>
  </si>
  <si>
    <t>Sud ouest, Bougouriba, Diebougou, Diebougou</t>
  </si>
  <si>
    <t>Diebougou, Diebougou, Bougouriba, Sud ouest</t>
  </si>
  <si>
    <t>Boucle Mouhoun, Bawan, Solenzo, Solenzo</t>
  </si>
  <si>
    <t>Solenzo, Solenzo, Bawan, Boucle Mouhoun</t>
  </si>
  <si>
    <t>Boucle Mouhoun, Bawan, Kouka, Kouka</t>
  </si>
  <si>
    <t>Kouka, Kouka, Bawan, Boucle Mouhoun</t>
  </si>
  <si>
    <t>Centre-sud, Zoundweogo, Manga, Manga</t>
  </si>
  <si>
    <t>Manga, Manga, Zoundweogo, Centre-sud</t>
  </si>
  <si>
    <t>Cuisine/Aire de cuisson avec des pierres (foyer traditionnels), Salle/hall d’activités diverses (alphabétisation, formation, réunions, etc.) en ciment/pierre taillées, Bureau/Local administratif, Atelier de production, Local de machine/matériel en ciment/pierres taillées, Boutique d’exposition/vente, Forage/château d’eau</t>
  </si>
  <si>
    <t>Foyers artisanaux (pierres), Grande Bascule de pesée, Installation électrique, Ustensiles (Bassine, fûts, marmites…)</t>
  </si>
  <si>
    <t>Fontaine publique (ONEA) , Adduction domestique (branchement ONEA à domicile)</t>
  </si>
  <si>
    <t>Plateau Central, Ganzourgou, Zorgho, Zorgho</t>
  </si>
  <si>
    <t>Zorgho, Zorgho, Ganzourgou, Plateau Central</t>
  </si>
  <si>
    <t>Est, Kompienga, Pama, Pama</t>
  </si>
  <si>
    <t>Pama, Pama, Kompienga, Est</t>
  </si>
  <si>
    <t>Centre-ouest, Boulkiemde, Koudougou Secteur 7</t>
  </si>
  <si>
    <t>Secteur 7, Koudougou, Boulkiemde, Centre-ouest</t>
  </si>
  <si>
    <t>BEIGNIN</t>
  </si>
  <si>
    <t>Sud ouest, Ioba, Zambo, Djikologo Centre</t>
  </si>
  <si>
    <t>COMMUNALE</t>
  </si>
  <si>
    <t>Djipologo, Zambo, Ioba, Sud ouest</t>
  </si>
  <si>
    <t>http://maps.google.com/maps?q=10.940716,-3.1315471</t>
  </si>
  <si>
    <t>ARTISANAL</t>
  </si>
  <si>
    <t>GNOWKAA</t>
  </si>
  <si>
    <t>SEMI-INDUSTRIELS</t>
  </si>
  <si>
    <t>IBELGNIN</t>
  </si>
  <si>
    <t>Sud ouest, Ioba, Zambo, Djikologo Kankampele</t>
  </si>
  <si>
    <t>IGNIN DE SEGRO</t>
  </si>
  <si>
    <t>Sud ouest, Ioba, Zambo, Djikologo Bontioli</t>
  </si>
  <si>
    <t>IGNIN de TAMPLA V1</t>
  </si>
  <si>
    <t>Sud ouest, Ioba, Zambo, Djikologo Tampla V1</t>
  </si>
  <si>
    <t>SECRETAIRE</t>
  </si>
  <si>
    <t>KONEBERE</t>
  </si>
  <si>
    <t>Sud ouest, Ioba, Zambo, Djikologo Bilbale</t>
  </si>
  <si>
    <t>MALIGNELE DE MOLO</t>
  </si>
  <si>
    <t>Sud ouest, Ioba, Zambo, Djikologo Mologaone</t>
  </si>
  <si>
    <t>Centre-ouest, Boulkiemde, Kokologho, Menega-Passambiri</t>
  </si>
  <si>
    <t>Menega-Passambiri, Kokologho, Boulkiemde, Centre-ouest</t>
  </si>
  <si>
    <t>POGBE LAONTAA</t>
  </si>
  <si>
    <t>Sud ouest, Ioba, Zambo, Djikologo Dombe</t>
  </si>
  <si>
    <t>Centre-ouest, Boulkiemde, Imasgo, Rana</t>
  </si>
  <si>
    <t>Rana, Imasgo, Boulkiemde, Centre-ouest</t>
  </si>
  <si>
    <t>http://maps.google.com/maps?q=12.26667,-2.2</t>
  </si>
  <si>
    <t>Centre-ouest, Boulkiemde, Koudougou, Secteur 3</t>
  </si>
  <si>
    <t>TCHAMBIERE</t>
  </si>
  <si>
    <t>TIETA</t>
  </si>
  <si>
    <t>Est, Gourma, Diapangou</t>
  </si>
  <si>
    <t>Diapangou, Gourma, Est</t>
  </si>
  <si>
    <t>Sud ouest, Ioba, Dissin, Dissin Secteur 2</t>
  </si>
  <si>
    <t>Dissin, Dissin, Ioba, Sud ouest</t>
  </si>
  <si>
    <t>http://maps.google.com/maps?q=10.9426244,-2.9203463</t>
  </si>
  <si>
    <t>TOAYINKAN DE LAOGNIN KANKANPELE</t>
  </si>
  <si>
    <t>Sud ouest, Ioba, Zambo, Djikologo KanKampele</t>
  </si>
  <si>
    <t>Centre-ouest, Boulkiemde, Koudougou, Kamedji</t>
  </si>
  <si>
    <t>Kamedji, Koudougou, Boulkiemde, Centre-ouest</t>
  </si>
  <si>
    <t>Hauts Bassins, Tuy, Bekuy</t>
  </si>
  <si>
    <t>Bekuy, Tuy, Hauts Bassins</t>
  </si>
  <si>
    <t>http://maps.google.com/maps?q=11.6360692,-3.8913988</t>
  </si>
  <si>
    <t>Hauts Bassins, Houet, Padema, Lahirasso</t>
  </si>
  <si>
    <t>Lahirasso, padema</t>
  </si>
  <si>
    <t>http://maps.google.com/maps?q=11.8529365,-4.0708047</t>
  </si>
  <si>
    <t>Response</t>
  </si>
  <si>
    <t>Record id</t>
  </si>
  <si>
    <t>Submission Date</t>
  </si>
  <si>
    <t>Agent</t>
  </si>
  <si>
    <t>A01. Nom</t>
  </si>
  <si>
    <t>A02. Prénom</t>
  </si>
  <si>
    <t>A02. Sexe</t>
  </si>
  <si>
    <t>A05. Quelle est votre fonction actuelle dans l’organisation ?</t>
  </si>
  <si>
    <t>A06. Contact du répondant (Tel.) : (+226)</t>
  </si>
  <si>
    <t>REGION</t>
  </si>
  <si>
    <t>PROVINCE</t>
  </si>
  <si>
    <t>COMMUNE</t>
  </si>
  <si>
    <t>Bulk_Data_Upload_Instructions</t>
  </si>
  <si>
    <t>Nom du village</t>
  </si>
  <si>
    <t>A09. Votre appellation a-t-elle changé ?</t>
  </si>
  <si>
    <t>A11. Quelle est l’appellation exacte de votre organisation ?</t>
  </si>
  <si>
    <t>A12. Quel est le statut de l’organisation ?</t>
  </si>
  <si>
    <t>A13. L’organisation a-t’elle un document officiel de création ?</t>
  </si>
  <si>
    <t>A14. Si oui, numéro d’identifiant de l’organisation</t>
  </si>
  <si>
    <t>A15. Quelle est la zone d’action/intervention de l’organisation ?</t>
  </si>
  <si>
    <t>A16. Combien de membres compte votre groupement ?</t>
  </si>
  <si>
    <t>B01. Arrivez-vous à vendre toute votre production ?</t>
  </si>
  <si>
    <t>B02. Etes-vous habitués à contractualiser vos ventes ?</t>
  </si>
  <si>
    <t>B03. Quelle proportion d’amande avez-vendu sur base de contrat/facture pro forma/bon de commande?</t>
  </si>
  <si>
    <t>B04. Avez-vous déjà un contrat de vente avec un client/partenaire pour cette année ?</t>
  </si>
  <si>
    <t>B05. Quelle quantité est déjà contractualisée cette année ?</t>
  </si>
  <si>
    <t>B06. Etes-vous disposé à vendre le reste à un autre acheteur pour cette saison ?</t>
  </si>
  <si>
    <t>B07. Quel volume de votre production de noix destinée à la vente souhaitez-vous vendre à un autre acheteur ?</t>
  </si>
  <si>
    <t>B08. Quel volume de votre production d’amandes destinée à la vente souhaitez-vous vendre à un autre acheteur ?</t>
  </si>
  <si>
    <t>B09. Souhaitez-vous contractualiser ces ventes ?</t>
  </si>
  <si>
    <t>C01. Quels types de produits de karité achetez-vous de vos membres ?</t>
  </si>
  <si>
    <t>C02. Quels types de produits de karité achetez-vous en dehors de vos membres ?</t>
  </si>
  <si>
    <t>C03. Quels types de produits de karité vendez-vous ?</t>
  </si>
  <si>
    <t>C3. 1.1. Quelle quantité de fruit avez-vous acheté de vos membres en 2016 (Tonne) ?</t>
  </si>
  <si>
    <t>C3. 1.2. Quelle quantité de fruit avez-vous vendu en 2016 (Tonne) ?</t>
  </si>
  <si>
    <t>C3. 1.3. Quelle quantité de fruit avez-vous vendu en 2016 (Tonne) ?</t>
  </si>
  <si>
    <t>C3. 1.4. Quelle quantité de fruit avez-vous acheté de vos membres en 2017 (Tonne) ?</t>
  </si>
  <si>
    <t>C3. 1.5. Quelle quantité de fruit avez-vous vendu en 2017 (Tonne) ?</t>
  </si>
  <si>
    <t>C3. 1.6. Quelle quantité de fruit avez-vous vendu en 2017 (Tonne) ?</t>
  </si>
  <si>
    <t>C3. 1.7. Quelle quantité de fruit avez-vous acheté de vos membres en 2018 (Tonne) ?</t>
  </si>
  <si>
    <t>C3. 1.8. Quelle quantité de fruit avez-vous vendu en 2018 (Tonne) ?</t>
  </si>
  <si>
    <t>C3. 1.9. Quelle quantité de fruit avez-vous vendu en 2018 (Tonne) ?</t>
  </si>
  <si>
    <t>C3. 1.10. Quelle quantité de fruit estimez-vous acheter de vos membres en 2019 (Tonne) ?</t>
  </si>
  <si>
    <t>C3. 1.11. Quelle quantité de fruit estimez -vous acheter en dehors de vos membres en 2019 (Tonne) ?</t>
  </si>
  <si>
    <t>C3. 1.12. Quelle quantité de fruit estimez -vous vendre en 2019 (Tonne) ?</t>
  </si>
  <si>
    <t>C3. 2.1. Quelle quantité de noix avez-vous acheté de vos membres en 2016 (Tonne) ?</t>
  </si>
  <si>
    <t>C3. 2.2. Quelle quantité de noix avez-vous vendu en 2016 (Tonne) ?</t>
  </si>
  <si>
    <t>C3. 2.3. Quelle quantité de noix avez-vous vendu en 2016 (Tonne) ?</t>
  </si>
  <si>
    <t>C3. 2.4. Quelle quantité de noix avez-vous acheté de vos membres en 2017 (Tonne) ?</t>
  </si>
  <si>
    <t>C3. 2.5. Quelle quantité de noix avez-vous vendu en 2017 (Tonne) ?</t>
  </si>
  <si>
    <t>C3. 2.6. Quelle quantité de noix avez-vous vendu en 2017 (Tonne) ?</t>
  </si>
  <si>
    <t>C3. 2.7. Quelle quantité de noix avez-vous acheté de vos membres en 2018 (Tonne) ?</t>
  </si>
  <si>
    <t>C3. 2.8. Quelle quantité de noix avez-vous vendu en 2018 (Tonne) ?</t>
  </si>
  <si>
    <t>C3. 2.9. Quelle quantité de noix avez-vous vendu en 2018 (Tonne) ?</t>
  </si>
  <si>
    <t>C3. 2.10. Quelle quantité de noix estimez-vous acheter de vos membres en 2019 (Tonne) ?</t>
  </si>
  <si>
    <t>C3. 2.11. Quelle quantité de noix estimez -vous acheter en dehors de vos membres en 2019 (Tonne) ?</t>
  </si>
  <si>
    <t>C3. 2.12. Quelle quantité de noix estimez -vous vendre en 2019 (Tonne) ?</t>
  </si>
  <si>
    <t>C3. 3.1. Quelle quantité de amandes avez-vous acheté de vos membres en 2016 (Tonne) ?</t>
  </si>
  <si>
    <t>C3. 3.2. Quelle quantité de amandes avez-vous vendu en 2016 (Tonne) ?</t>
  </si>
  <si>
    <t>C3. 3.3. Quelle quantité de amandes avez-vous vendu en 2016 (Tonne) ?</t>
  </si>
  <si>
    <t>C3. 3.4. Quelle quantité de amandes avez-vous acheté de vos membres en 2017 (Tonne) ?</t>
  </si>
  <si>
    <t>C3. 3.5. Quelle quantité de amandes avez-vous vendu en 2017 (Tonne) ?</t>
  </si>
  <si>
    <t>C3. 3.6. Quelle quantité de amandes avez-vous vendu en 2017 (Tonne) ?</t>
  </si>
  <si>
    <t>C3. 3.7. Quelle quantité de amandes avez-vous acheté de vos membres en 2018 (Tonne) ?</t>
  </si>
  <si>
    <t>C3. 3.8. Quelle quantité de amandes avez-vous vendu en 2018 (Tonne) ?</t>
  </si>
  <si>
    <t>C3. 3.9. Quelle quantité de amandes avez-vous vendu en 2018 (Tonne) ?</t>
  </si>
  <si>
    <t>C3. 3.10. Quelle quantité de amandes estimez-vous acheter de vos membres en 2019 (Tonne) ?</t>
  </si>
  <si>
    <t>C3. 3.11. Quelle quantité de amandes estimez -vous acheter en dehors de vos membres en 2019 (Tonne) ?</t>
  </si>
  <si>
    <t>C3. 3.13. Quelle quantité de amandes estimez -vous vendre en 2019 (Tonne) ?</t>
  </si>
  <si>
    <t>C4. 4.1. Quelle quantité de beurre avez-vous acheté de vos membres en 2016 (Tonne) ?</t>
  </si>
  <si>
    <t>C4. 4.2. Quelle quantité de beurre avez-vous vendu en 2016 (Tonne) ?</t>
  </si>
  <si>
    <t>C4. 4.3. Quelle quantité de beurre avez-vous vendu en 2016 (Tonne) ?</t>
  </si>
  <si>
    <t>C4. 4.4. Quelle quantité de beurre avez-vous acheté de vos membres en 2017 (Tonne) ?</t>
  </si>
  <si>
    <t>C4. 4.5. Quelle quantité de beurre avez-vous vendu en 2017 (Tonne) ?</t>
  </si>
  <si>
    <t>C4. 4.6. Quelle quantité de beurre avez-vous vendu en 2017 (Tonne) ?</t>
  </si>
  <si>
    <t>C4. 4.7. Quelle quantité de beurre avez-vous acheté de vos membres en 2018 (Tonne) ?</t>
  </si>
  <si>
    <t>C4. 4.8. Quelle quantité de beurre avez-vous vendu en 2018 (Tonne) ?</t>
  </si>
  <si>
    <t>C4. 4.9. Quelle quantité de beurre avez-vous vendu en 2018 (Tonne) ?</t>
  </si>
  <si>
    <t>C4. 4.10. Quelle quantité de beurre estimez-vous acheter de vos membres en 2019 (Tonne) ?</t>
  </si>
  <si>
    <t>C4. 4.11. Quelle quantité de beurre estimez -vous acheter en dehors de vos membres en 2019 (Tonne) ?</t>
  </si>
  <si>
    <t>C4. 4.14. Quelle quantité de beurre estimez -vous vendre en 2019 (Tonne) ?</t>
  </si>
  <si>
    <t>D01. Qu’est-ce qui peut vous motiver à travailler avec un nouvel acheteur ?</t>
  </si>
  <si>
    <t>D02. Quels sont les problèmes que vous rencontrés dans votre centre de transformation ?</t>
  </si>
  <si>
    <t>D03. Quelles solutions proposez-vous pour résoudre ces problèmes ?</t>
  </si>
  <si>
    <t>D04. Accepteriez-vous qu’un autre centre de transformation s’installe dans votre zone ?</t>
  </si>
  <si>
    <t>D04. 1. Pourquoi ?</t>
  </si>
  <si>
    <t>D05. Accepteriez-vous de payer pour utiliser le centre vous-même ?</t>
  </si>
  <si>
    <t>D05. 1. Pourquoi ?</t>
  </si>
  <si>
    <t>D.06 Au cas où un autre centre s’installe, qu’est-ce qui pourrait vous motiver à vous y rendre avec vos noix de karité pour les transformer ?</t>
  </si>
  <si>
    <t>D07. Au cas où un autre centre s’installe, qu’est-ce qui pourrait vous motiver à vous y rendre avec vos amandes pour les transformer ?</t>
  </si>
  <si>
    <t>D08. Accepteriez-vous que votre production d’amandes soit transportée et transformée ailleurs par quelqu’un d’autre ?</t>
  </si>
  <si>
    <t>D08. 1. Pourquoi ?</t>
  </si>
  <si>
    <t>E01. Quels modes de paiement obtenez-vous de vos acheteurs ?</t>
  </si>
  <si>
    <t>E02. Quel mode de paiement souhaiterez-vous obtenir le plus de vos acheteurs ?</t>
  </si>
  <si>
    <t>E03. Quels délais de paiement obtenez-vous de vos acheteurs ?</t>
  </si>
  <si>
    <t>E04. Quel délai de paiement souhaiterez-vous obtenir le plus de vos acheteurs ?</t>
  </si>
  <si>
    <t>E05. Quels modes de paiement utilise le groupement pour payer ses membres ?</t>
  </si>
  <si>
    <t>E06. Quel mode de paiement le groupement préfère le plus pour payer ses membres ?</t>
  </si>
  <si>
    <t>E07. Quels délais de paiement effectue le groupement pour payer ses membres ?</t>
  </si>
  <si>
    <t>E08. Quel délai de paiement le groupement préfère le plus pour payer ses membres ?</t>
  </si>
  <si>
    <t>E09. Quels sont les difficultés de paiement que vous vivez dans le domaine du karité ? (Question ouverte)</t>
  </si>
  <si>
    <t>E09. Quels sont les difficultés de paiement que vous vivez dans le domaine du karité ?</t>
  </si>
  <si>
    <t>E10. Selon vous, quels solutions ou appuis pourrait offrir un acheteur pour vous aider à faire face à ses difficultés ?</t>
  </si>
  <si>
    <t>E11. Quand vous faites un accord avec un acheteur, quel est le délai moyen entre l’accord et la livraison (Par mois) ?</t>
  </si>
  <si>
    <t>E12. Selon vous, quel serait le délai souhaitable entre un accord et une livraison (Par mois) ?</t>
  </si>
  <si>
    <t>E13. Quand vous vendez, vous livrez chez l’acheteur, ou l’acheteur vient chercher ?</t>
  </si>
  <si>
    <t>E14. Quels modes de transport sont à votre disposition pour effectuer des livraisons de karité ?</t>
  </si>
  <si>
    <t>E14. 11 A pied , jusqu’ à quelle distance êtes-vous capable à livrer (km) ?</t>
  </si>
  <si>
    <t>E14. 12 A pied, jusqu’à quel volume êtes-vous capable à livrer (Kg) ?</t>
  </si>
  <si>
    <t>E14. 21 En charrette , jusqu’ à quelle distance êtes-vous capable à livrer (km) ?</t>
  </si>
  <si>
    <t>E14. 22 En charrette, jusqu’à quel volume êtes-vous capable à livrer (Kg) ?</t>
  </si>
  <si>
    <t>E14. 31 A vélo , jusqu’à quelle distance êtes-vous capable à livrer (km) ?</t>
  </si>
  <si>
    <t>E14. 32 A vélo, jusqu’à quel volume êtes-vous capable à livrer (Kg) ?</t>
  </si>
  <si>
    <t>E14. 41 En moto/tricycle , jusqu’ à quelle distance êtes-vous capable à livrer (km) ?</t>
  </si>
  <si>
    <t>E14. 42 En moto/tricycle,jusqu’à quel volume êtes-vous capable à livrer (Kg) ?</t>
  </si>
  <si>
    <t>E14. 51 En Camion , jusqu’ à quelle distance êtes-vous capable à livrer (km) ?</t>
  </si>
  <si>
    <t>E14. 52 En Camion, jusqu’à quel volume êtes-vous capable à livrer (Kg) ?</t>
  </si>
  <si>
    <t>E15. Quelles sont les difficultés de livraison que vous vivez dans le domaine du karité ? (Question ouverte)</t>
  </si>
  <si>
    <t>E15. Quelles sont les difficultés de livraison que vous vivez dans le domaine du karité ?</t>
  </si>
  <si>
    <t>E18. Selon vous, quels solutions ou appuis pourrait offrir un acheteur pour vous aider à faire face à ses difficultés ? (Question ouverte)</t>
  </si>
  <si>
    <t>E18. Selon vous, quels solutions ou appuis pourrait offrir un acheteur pour vous aider à faire face à ses difficultés ?</t>
  </si>
  <si>
    <t>E19. De combien de magasins dispose-le groupement ?</t>
  </si>
  <si>
    <t>E19. 11. Quelle est le nom du village où se situe le magasin 1 ?</t>
  </si>
  <si>
    <t>E19. 12. Le magasin 1 est-il en bon état (facilement accessible, l’eau ne peut pas entrer, il existe un système d’aération, il y a des portes/fenêtres qui ferment a clé) ?</t>
  </si>
  <si>
    <t>E19. 13. Quelle est la capacité de stockage du magasin 1 (kg) ?</t>
  </si>
  <si>
    <t>E19. 21. Quelle est le nom du village où se situe le magasin 2 ?</t>
  </si>
  <si>
    <t>E19. 22. Le magasin 2 est-il en bon état (facilement accessible, l’eau ne peut pas entrer, il existe un système d’aération, il y a des portes/fenêtres qui ferment a clé) ?</t>
  </si>
  <si>
    <t>E19. 23. Quelle est la capacité de stockage du magasin 2 (kg) ?</t>
  </si>
  <si>
    <t>E19. 31. Quelle est le nom du village où se situe le magasin 3 ?</t>
  </si>
  <si>
    <t>E19. 32. Le magasin 3 est-il en bon état (facilement accessible, l’eau ne peut pas entrer, il existe un système d’aération, il y a des portes/fenêtres qui ferment a clé) ?</t>
  </si>
  <si>
    <t>E19. 31. Quelle est la capacité de stockage du magasin 3 (kg) ?</t>
  </si>
  <si>
    <t>E19. 41. Quelle est le nom du village où se situe le magasin 4 ?</t>
  </si>
  <si>
    <t>E19. 42. Le magasin 4 est-il en bon état (facilement accessible, l’eau ne peut pas entrer, il existe un système d’aération, il y a des portes/fenêtres qui ferment a clé) ?</t>
  </si>
  <si>
    <t>E19. 43. Quelle est la capacité de stockage du magasin 4 (kg) ?</t>
  </si>
  <si>
    <t>E19. 51. Quelle est le nom du village où se situe le magasin 5 ?</t>
  </si>
  <si>
    <t>E19. 52. Le magasin 5 est-il en bon état (facilement accessible, l’eau ne peut pas entrer, il existe un système d’aération, il y a des portes/fenêtres qui ferment a clé) ?</t>
  </si>
  <si>
    <t>E19. 53. Quelle est la capacité de stockage du magasin 5 (kg) ?</t>
  </si>
  <si>
    <t>F01. Quels sont les types de zones de collecte des fruits par vos membres ?</t>
  </si>
  <si>
    <t>F02. Listez les noms des villages où vos membres collectent des fruits des zones d’habitation ou des champs privés</t>
  </si>
  <si>
    <t>F03. Listez les noms des forêts villageoises (réserves) où vos membres collectent des fruits</t>
  </si>
  <si>
    <t>F04. Listez les noms des forêts étatiques (classées) ou vos membres collectent des fruits</t>
  </si>
  <si>
    <t>Est-ce que votre zone est accessible ?</t>
  </si>
  <si>
    <t>G01. Nom</t>
  </si>
  <si>
    <t>G02. Prénom</t>
  </si>
  <si>
    <t>G03. Numéro téléphone 1 : (+226)</t>
  </si>
  <si>
    <t>G03. Numéro téléphone 2 : +226)</t>
  </si>
  <si>
    <t>G04. Liste de participants (Photo)</t>
  </si>
  <si>
    <t>G05. Photo des magasins visités</t>
  </si>
  <si>
    <t>Abdoul 4 Congo</t>
  </si>
  <si>
    <t>PLATEAU CENTRAL</t>
  </si>
  <si>
    <t>OUBRITENGA</t>
  </si>
  <si>
    <t>Toubré</t>
  </si>
  <si>
    <t>Pang be newendé</t>
  </si>
  <si>
    <t>n2013-027</t>
  </si>
  <si>
    <t>Informel (pas d’outil commercial)</t>
  </si>
  <si>
    <t>Moyen = 50%</t>
  </si>
  <si>
    <t>Beaucoup</t>
  </si>
  <si>
    <t>Noix</t>
  </si>
  <si>
    <t>le prix et avoir un bon contrat</t>
  </si>
  <si>
    <t>Grosse commande, Bon prix</t>
  </si>
  <si>
    <t>Problème de transformation et manque de matériel de transformation</t>
  </si>
  <si>
    <t>Manque d’équipements de transformation, Manque de moyens de transport</t>
  </si>
  <si>
    <t>avoir matériel de transformation</t>
  </si>
  <si>
    <t>Besoin équipements modernises, Besoin en équipement</t>
  </si>
  <si>
    <t>Concurrence</t>
  </si>
  <si>
    <t>s'il veut être partenaire</t>
  </si>
  <si>
    <t>Pas de motivation (Rien)</t>
  </si>
  <si>
    <t>plus de prudence</t>
  </si>
  <si>
    <t>Virement bancaire</t>
  </si>
  <si>
    <t>Paiement entier après la livraison</t>
  </si>
  <si>
    <t>Paiement entier à la livraison</t>
  </si>
  <si>
    <t>Espèce</t>
  </si>
  <si>
    <t>Pas de difficultés</t>
  </si>
  <si>
    <t>Pas de solution</t>
  </si>
  <si>
    <t>Je livre</t>
  </si>
  <si>
    <t>Moto/tricycle</t>
  </si>
  <si>
    <t>manque de moyens de livraison</t>
  </si>
  <si>
    <t>Manque de moyens de transport</t>
  </si>
  <si>
    <t>avoir des moyens de livraison</t>
  </si>
  <si>
    <t>Besoin de moyens de transport</t>
  </si>
  <si>
    <t>Zone d’habitation (Champs de case)</t>
  </si>
  <si>
    <t>Remorque (Long véhicule)</t>
  </si>
  <si>
    <t>Timpoko</t>
  </si>
  <si>
    <t>NaN</t>
  </si>
  <si>
    <t>Nina Edwige Bamboré</t>
  </si>
  <si>
    <t>CENTRE-OUEST</t>
  </si>
  <si>
    <t>SANGUIÉ</t>
  </si>
  <si>
    <t>Groupement / Association / Coopérative</t>
  </si>
  <si>
    <t>Contrat, facture pro forma ou bon de commande</t>
  </si>
  <si>
    <t>Tout = 100%</t>
  </si>
  <si>
    <t>Rien = 0%</t>
  </si>
  <si>
    <t>Faire du profit, grosse commande...</t>
  </si>
  <si>
    <t>Grosse commande, Bonne collaboration</t>
  </si>
  <si>
    <t>Manque d'équipements, de centre de transformation, de fond...</t>
  </si>
  <si>
    <t>Manque d'assistance technique, Manque de centres de transformation, Manque de moyens de transport, Manque d’équipements de transformation, Manque de moyens financiers (Fonds insuffisants), Manque d’équipement adéquats pour la transformation, Difficulté d'approvisionnement des équipements de transformation</t>
  </si>
  <si>
    <t>Besoin en équipements, de moyen de transport, de moyen de transformation...</t>
  </si>
  <si>
    <t>Besoin de partenaires financiers, Besoin équipements modernises, Besoin en équipement, Besoin en moyens de transport, Besoin d'assistance technique, Besoin de centres modernises</t>
  </si>
  <si>
    <t>accès aux nouveaux équipements</t>
  </si>
  <si>
    <t>Accès/usage de nouveaux équipements</t>
  </si>
  <si>
    <t>Rien</t>
  </si>
  <si>
    <t>accès aux nouveaux équipements, qualité de service</t>
  </si>
  <si>
    <t>Qualité du service, Accès/usage de nouveaux équipements</t>
  </si>
  <si>
    <t>Manque de confiance</t>
  </si>
  <si>
    <t>Paiement partiel en avance</t>
  </si>
  <si>
    <t>Retard de paiement</t>
  </si>
  <si>
    <t>Besoin de paiement instantané</t>
  </si>
  <si>
    <t>L’acheteur vient chercher</t>
  </si>
  <si>
    <t>On ne livre pas donc pas de difficultés</t>
  </si>
  <si>
    <t>Foret villageoise (réserve)</t>
  </si>
  <si>
    <t>Ras</t>
  </si>
  <si>
    <t>Doudou,balélédo,boo,vétatcholo,labouagnairè</t>
  </si>
  <si>
    <t>Bassono</t>
  </si>
  <si>
    <t>Hubert</t>
  </si>
  <si>
    <t>kyon</t>
  </si>
  <si>
    <t>Beurre</t>
  </si>
  <si>
    <t>Grosse comande</t>
  </si>
  <si>
    <t>Grosse commande</t>
  </si>
  <si>
    <t>Manque de moyens financiers,magasin, assistance technique</t>
  </si>
  <si>
    <t>Manque d'assistance technique, Manque de magasins de stockage, Manque de moyens financiers (Fonds insuffisants), Manque d'eau pour la transformation</t>
  </si>
  <si>
    <t>besoin en équipements, assistance technique..</t>
  </si>
  <si>
    <t>Besoin en équipement, Besoin de partenaires financiers, Besoin d'assistance technique, Besoin d’infrastructure en eau (Forage)</t>
  </si>
  <si>
    <t>concurrence, nouvelles connaissances</t>
  </si>
  <si>
    <t>Concurrence, Amélioration de la connaissance (nouvelles technologies)</t>
  </si>
  <si>
    <t>concurrence</t>
  </si>
  <si>
    <t>Cheque</t>
  </si>
  <si>
    <t>Paiement entier à la livraison, Paiement entier après la livraison</t>
  </si>
  <si>
    <t>Manque de moyen de transport</t>
  </si>
  <si>
    <t>livraison bord champ</t>
  </si>
  <si>
    <t>Livraison bord champ</t>
  </si>
  <si>
    <t>kado,toumou,goundou,edjoum,epare</t>
  </si>
  <si>
    <t>essapoum,Pô</t>
  </si>
  <si>
    <t>Véhicule</t>
  </si>
  <si>
    <t>Bationo</t>
  </si>
  <si>
    <t>Balébouai</t>
  </si>
  <si>
    <t>Moussa Kabore</t>
  </si>
  <si>
    <t>SORE Aissata</t>
  </si>
  <si>
    <t>CENTRE</t>
  </si>
  <si>
    <t>KADIOGO</t>
  </si>
  <si>
    <t>Zaktouli</t>
  </si>
  <si>
    <t>19-SC-0039/RCEN/PKAD le 12/02/2019</t>
  </si>
  <si>
    <t>Peu</t>
  </si>
  <si>
    <t>Le groupement n’achète pas avec ses membres</t>
  </si>
  <si>
    <t>Beurre , Amande</t>
  </si>
  <si>
    <t>Si le nouvel acheteur accepte de signer un contrat avec nous et que son prix d'achat est meilleur que celui de notre ancien acheteur.</t>
  </si>
  <si>
    <t>Bon prix, Bonne collaboration</t>
  </si>
  <si>
    <t>Il y'a les coupures d'eau et d'électricité et la gestion des déchets.</t>
  </si>
  <si>
    <t>Problème Electricité (Coupure de courant), Manque d'eau pour la transformation</t>
  </si>
  <si>
    <t>Si nous pouvons avoir les moyens pour installer des plaques solaires et un forage cela allait beaucoup nous aider.</t>
  </si>
  <si>
    <t>Besoin de groupe électrogène, Besoin d’infrastructure en eau (Forage), Besoin en plaques solaires</t>
  </si>
  <si>
    <t>Parce-que si le centre s'installe il peut y avoir la concurrence déloyale.</t>
  </si>
  <si>
    <t>Notre centre dispose de matériels adaptés et performants pour la transformation de nos amandes de karité.</t>
  </si>
  <si>
    <t>Aucune motivation parce que nous ne transformons pas de noix de karité.</t>
  </si>
  <si>
    <t>Aucune motivation parce que nous avons du matériel nécessaire dans notre centre donc nous ne voyons pas ce qui peut nous motiver à aller transformer nos amandes dans ce centre.</t>
  </si>
  <si>
    <t>Manque de confiance : nous ne sommes pas sûre que la personne nous rendra toute notre amande et nous ne sommes sûre de la qualité du beurre et de l'hygiène.</t>
  </si>
  <si>
    <t>Virement bancaire, Cheque</t>
  </si>
  <si>
    <t>Les difficultés de paiement sont liées au manque de moyens de transport pour transporter nos amandes des marchés vers notre centre de transformation. Notre camion ne peut transporter que 10T seulement.</t>
  </si>
  <si>
    <t>Si un acheteur peut nous aider avec un crédit nous allons payer un autre camion ça allait nous arranger.</t>
  </si>
  <si>
    <t>Besoin d'aide financière</t>
  </si>
  <si>
    <t>Camion</t>
  </si>
  <si>
    <t>Nous sommes capables de livrer hors du BURKINA dans la sous region.</t>
  </si>
  <si>
    <t>Le manque de moyen de transport pour livrer nos amandes de karité. Notre camion ne peut livre que 10T alors que nos commandes dépassent parfois les 10T.</t>
  </si>
  <si>
    <t>Si l'acheteur peut venir chercher ses marchandises ou-bien l'acheteur décide de prendre en charge les frais de transport de ses marchandises.</t>
  </si>
  <si>
    <t>ZAKTOULI</t>
  </si>
  <si>
    <t>Ne collecte pas</t>
  </si>
  <si>
    <t>Néant
En nota bénin nos membres ne collectent ni ne payent les amandes de karité pour revendre avec le groupement. Nous commandons avec les groupements des autres provinces et des villages. Nos membres transforme les amandes de karité en beurre.</t>
  </si>
  <si>
    <t>https://insyt-api.esoko.com/api/v1/surveys/blobs/e97c03db-cb39-4501-b7eb-6a1a5a0b0c31.jpg</t>
  </si>
  <si>
    <t>https://insyt-api.esoko.com/api/v1/surveys/blobs/560b91ae-33ae-439d-a6ef-eaafecf48c89.jpg</t>
  </si>
  <si>
    <t>Abdoul Rasmané ZONGO</t>
  </si>
  <si>
    <t>echou Pauline</t>
  </si>
  <si>
    <t>bachoucorépoun</t>
  </si>
  <si>
    <t>N’achète pas en dehors des membres</t>
  </si>
  <si>
    <t>si ce acheteur paie a bon prix.</t>
  </si>
  <si>
    <t>Bon prix</t>
  </si>
  <si>
    <t>nous venons de commencer la production en groupe, mais les difficultés sont surtout l'absence de matériels (machines pour noix et amendes).</t>
  </si>
  <si>
    <t>Manque d’équipements de transformation</t>
  </si>
  <si>
    <t>un financement pour nous aidé a acquérir le matériel de transformation.</t>
  </si>
  <si>
    <t>Besoin en équipement, Besoin de partenaires financiers</t>
  </si>
  <si>
    <t>parce que nous transformons nos amendes dans un autre centre qui est a plusieurs kilomètres du village.</t>
  </si>
  <si>
    <t>Absence de centre de transformation</t>
  </si>
  <si>
    <t>parce que nous le faisons déjà pour l'autre centre où nous transformons.</t>
  </si>
  <si>
    <t>le prix, si le prix est abordable.</t>
  </si>
  <si>
    <t>Prix abordable</t>
  </si>
  <si>
    <t>si le prix est abordable.</t>
  </si>
  <si>
    <t>pour cause de confiance.</t>
  </si>
  <si>
    <t>jusqu'à présent aucune.</t>
  </si>
  <si>
    <t>aucun.</t>
  </si>
  <si>
    <t>Champs de village ou de brousse privés</t>
  </si>
  <si>
    <t>village de ngopoulou,de bachicorépoun</t>
  </si>
  <si>
    <t>forêt de ngopoulou</t>
  </si>
  <si>
    <t>forêt de la volta.</t>
  </si>
  <si>
    <t>jean baptisen</t>
  </si>
  <si>
    <t>https://insyt-api.esoko.com/api/v1/surveys/blobs/01885b71-6cfb-4077-86f3-3955fca63686.jpg</t>
  </si>
  <si>
    <t>18-sc-s-009</t>
  </si>
  <si>
    <t>si celui-ci est disposé a faire des grosses commendes, de façon régulière et surtout s'il paie a bon prix.</t>
  </si>
  <si>
    <t>Grosse commande, Bon prix, Fidélité</t>
  </si>
  <si>
    <t>-absence de cadre approprié de travail, absence de moyen de transformation (machines surtout), manque de matériel de transformation (sceau, récipient).</t>
  </si>
  <si>
    <t>Manque d’équipements de transformation, Manque de centres de transformation</t>
  </si>
  <si>
    <t>dotation en ces outils cité ci-dessus ou un financement pour les acquérir.</t>
  </si>
  <si>
    <t>Besoin de partenaires financiers, Besoin en équipement</t>
  </si>
  <si>
    <t>parce que nous nous déplaçons a des kilomètres pour transformer nos amendes dans un autre village.car nous ne somme pas équipé en outils de transformation,</t>
  </si>
  <si>
    <t>parce que ces ce que nous faisons quand nous allons transformé dans le centre de dassa.</t>
  </si>
  <si>
    <t>Absence de centre</t>
  </si>
  <si>
    <t>si celui-ci est équipé en machines et moins coûteux que celui de dassa.</t>
  </si>
  <si>
    <t>Proximité du centre, Prix abordable, Accès/usage de nouveaux équipements</t>
  </si>
  <si>
    <t>Prix abordable, Accès/usage de nouveaux équipements</t>
  </si>
  <si>
    <t>non parce que nous voulons transformé nos amendes nous même en beurre car nous avons reçu une formation pour la transformation de l'amande.</t>
  </si>
  <si>
    <t>aucune jusqu'à présent car nous nous ne livrons pas.</t>
  </si>
  <si>
    <t>village de nebia, de divolet, de poua,</t>
  </si>
  <si>
    <t>forêt de ngopoulou, de tiogo</t>
  </si>
  <si>
    <t>ras</t>
  </si>
  <si>
    <t>bawar</t>
  </si>
  <si>
    <t>boukari</t>
  </si>
  <si>
    <t>https://insyt-api.esoko.com/api/v1/surveys/blobs/96d67d24-1832-412b-a8a1-78a403b69aa2.jpg</t>
  </si>
  <si>
    <t>Bassolé</t>
  </si>
  <si>
    <t>Etio</t>
  </si>
  <si>
    <t>boo</t>
  </si>
  <si>
    <t>Manque de centre de transformation, magasin, équipements de transformation...</t>
  </si>
  <si>
    <t>Manque de moyens de transport, Manque de centres de transformation, Manque de magasins de stockage, Manque d’équipements de transformation</t>
  </si>
  <si>
    <t>besoin de centre de transformation, d'équipements de transformation</t>
  </si>
  <si>
    <t>Besoin équipements modernises, Besoin en équipement, Besoin de centres modernises</t>
  </si>
  <si>
    <t>Amélioration de la connaissance, développement</t>
  </si>
  <si>
    <t>Amélioration de la connaissance (nouvelles technologies), Valeur ajoutée au développement</t>
  </si>
  <si>
    <t>accès aux nouveaux équipements de transformation</t>
  </si>
  <si>
    <t>Paiement entier en avance</t>
  </si>
  <si>
    <t>paiement instantané</t>
  </si>
  <si>
    <t>Bamouni</t>
  </si>
  <si>
    <t>Otiema</t>
  </si>
  <si>
    <t>Manque d'équipements et de centre de transformation</t>
  </si>
  <si>
    <t>Manque d’équipements de transformation, Manque d'assistance technique, Manque d’équipement adéquats pour la transformation, Manque de centres de transformation</t>
  </si>
  <si>
    <t>Besoin d'équipements</t>
  </si>
  <si>
    <t>Besoin équipements modernises, Besoin d'assistance technique, Besoin en équipement</t>
  </si>
  <si>
    <t>Valeur ajoutée au développement</t>
  </si>
  <si>
    <t>accès nouveaux équipements</t>
  </si>
  <si>
    <t>bonne collaboration</t>
  </si>
  <si>
    <t>Bonne collaboration, Accès/usage de nouveaux équipements</t>
  </si>
  <si>
    <t>manque de confiance</t>
  </si>
  <si>
    <t>Moyen de transport</t>
  </si>
  <si>
    <t>Foret étatique (classée)</t>
  </si>
  <si>
    <t>Guigui</t>
  </si>
  <si>
    <t>Boo,bavila,guigui</t>
  </si>
  <si>
    <t>Bako</t>
  </si>
  <si>
    <t>Pascal</t>
  </si>
  <si>
    <t>Tenga Gislaine</t>
  </si>
  <si>
    <t>Fidélité</t>
  </si>
  <si>
    <t>Manque d'équipements et de centre de transformation, de magasin de stockage</t>
  </si>
  <si>
    <t>Manque de magasins de stockage, Manque d’équipements de transformation, Manque de centres de transformation</t>
  </si>
  <si>
    <t>Besoin en équipements, centres modernisés,partenaires financiers</t>
  </si>
  <si>
    <t>Besoin en équipement, Besoin de partenaires financiers, Besoin de centres modernises</t>
  </si>
  <si>
    <t>Valeur ajoutée au développement, Amélioration de la connaissance (nouvelles technologies)</t>
  </si>
  <si>
    <t>Paiement partiel en avance , Paiement entier en avance</t>
  </si>
  <si>
    <t>paiement en retard</t>
  </si>
  <si>
    <t>Livraison champ bord</t>
  </si>
  <si>
    <t>Kanyili</t>
  </si>
  <si>
    <t>Nébilbié</t>
  </si>
  <si>
    <t>Manque de centre de transformation, d'équipements de transformation...</t>
  </si>
  <si>
    <t>construction de centre de transformation</t>
  </si>
  <si>
    <t>Besoin équipements modernises, Besoin de centres modernises</t>
  </si>
  <si>
    <t>absence de centre de transformation</t>
  </si>
  <si>
    <t>Boo,balélédo</t>
  </si>
  <si>
    <t>Hélène Bama</t>
  </si>
  <si>
    <t>zoma</t>
  </si>
  <si>
    <t>BOULKIEMDÉ</t>
  </si>
  <si>
    <t>le meilleur prix, bonne collaboration, payement instantané</t>
  </si>
  <si>
    <t>Paiement instantané, Bon prix, Bonne collaboration, Fidélité</t>
  </si>
  <si>
    <t>manque d assistance technique, manque de moyens financiers</t>
  </si>
  <si>
    <t>Manque de centres de transformation, Manque de moyens financiers (Fonds insuffisants), Manque d’équipement adéquats pour la transformation, Manque d'assistance technique, Manque d’équipements de transformation, Difficulté d'approvisionnement des équipements de transformation</t>
  </si>
  <si>
    <t>besoins de renforcer,besoins en équipements,besoins de centres modernises</t>
  </si>
  <si>
    <t>Besoin équipements modernises, Besoin en équipement, Besoin de renforcement de capacité, Besoin d'assistance technique, Besoin de centres modernises</t>
  </si>
  <si>
    <t>éviter la concurrence déloyale</t>
  </si>
  <si>
    <t>sauf si ce centre est le notre</t>
  </si>
  <si>
    <t>la qualité du service, la réduction du travail physique,la bonne collaboration,la proximité du centre</t>
  </si>
  <si>
    <t>Proximité du centre, Réduction du travail physique, Qualité du service, Bonne collaboration</t>
  </si>
  <si>
    <t>la qualité du service, la bonne collaboration</t>
  </si>
  <si>
    <t>Proximité du centre, Qualité du service, Bonne collaboration</t>
  </si>
  <si>
    <t>pas de motivation</t>
  </si>
  <si>
    <t>aucunes</t>
  </si>
  <si>
    <t>RAS</t>
  </si>
  <si>
    <t>abdoul zoga</t>
  </si>
  <si>
    <t>BOUDA/KAMA</t>
  </si>
  <si>
    <t>Louise</t>
  </si>
  <si>
    <t>N2000-009 MATS/PBLK/DKDG</t>
  </si>
  <si>
    <t>S'il me propose un bon contract (le bon prix)</t>
  </si>
  <si>
    <t>.Manque d'équipements adapté 
.Pas de magasin
.Absence de moyen de transport</t>
  </si>
  <si>
    <t>Manque d'assistance technique, Problème Electricité (Coupure de courant), Manque de centres de transformation, Manque de moyens de transport, Manque de magasins de stockage, Manque d’équipements de transformation, Manque de moyens financiers (Fonds insuffisants), Manque d’équipement adéquats pour la transformation, Manque d'eau pour la transformation</t>
  </si>
  <si>
    <t>Dotation en équipements, en magasin et en moyen de transport</t>
  </si>
  <si>
    <t>Besoin en moyens de transport, Besoin équipements modernises, Besoin de renforcement de capacité, Besoin de partenaires financiers, Besoin en équipement, Besoin en plaques solaires, Besoin d'assistance technique, Besoin de centres modernises, Besoin d’infrastructure en eau (Forage)</t>
  </si>
  <si>
    <t>Pas besoin de concourent</t>
  </si>
  <si>
    <t>Préfère améliorer pour moi</t>
  </si>
  <si>
    <t>Rien. je ne veux pas</t>
  </si>
  <si>
    <t>Non sauf si je suis malade</t>
  </si>
  <si>
    <t>Une fois payé il est libre d'envoyer là où il veut</t>
  </si>
  <si>
    <t>Bonne collaboration</t>
  </si>
  <si>
    <t>Coût de transport élevé</t>
  </si>
  <si>
    <t>Avoir un moyen de transport</t>
  </si>
  <si>
    <t>Sigoghin,Soupelcé,villy, tenado</t>
  </si>
  <si>
    <t>Semi-remorque (10 Tonnes)</t>
  </si>
  <si>
    <t>KAMA</t>
  </si>
  <si>
    <t>Aguerata</t>
  </si>
  <si>
    <t>Godin</t>
  </si>
  <si>
    <t>62MATD/PBLK/DPOA le 28/04/2009</t>
  </si>
  <si>
    <t>Si le nouvel acheteur paye mieux que l'ancien acheteur, s'il nous promet de signer un contrat avec nous et s'il restera fidèle avec nous pendant longtemps.</t>
  </si>
  <si>
    <t>Bon prix, Bonne collaboration, Fidélité</t>
  </si>
  <si>
    <t>Notre centre ne dispose pas de matériels de transformation.</t>
  </si>
  <si>
    <t>Nous souhaitons avoir un crédit de la part d'un partenaire pour l'achat de nos matériels.</t>
  </si>
  <si>
    <t>Parce que nous pouvons utiliser ce centre pour la transformation de nos amandes de karité.</t>
  </si>
  <si>
    <t>Contribution à la transformation du surplus de karité</t>
  </si>
  <si>
    <t>Parce que nous ne disposons pas de matériels de transformation. En plus dans le centre nous allons acquérir d'autres expériences.</t>
  </si>
  <si>
    <t>Notre groupement paye directement les amandes avec leurs membres donc il n'a pas besoin de transformer des noix.</t>
  </si>
  <si>
    <t>Si le centre dispose assez de matériels performants et que le coût de transformation est abordable nous serons motiver d'y rendre pour transformer nos amandes.</t>
  </si>
  <si>
    <t>Accès/usage de nouveaux équipements, Prix abordable</t>
  </si>
  <si>
    <t>Nous n'avons pas confiance à la structure qui va aller transformer nos amandes. En plus c'est notre travail et nous sommes formés pour la transformation des amandes. Il y'a enfin le problème d'hygiène qui va se poser.</t>
  </si>
  <si>
    <t>Les difficultés de paiement sont liées au manque de moyens financiers et le manque de matériels de transport pour transporter nos amandes.</t>
  </si>
  <si>
    <t>L'acheteur peut nous aider avec un fond de roulement ou un moyen de transport et nous lui livrons une certaine quantité d'amandes de karité par an jusqu'à épuiser notre dette.</t>
  </si>
  <si>
    <t>Besoin d'aide financière, Besoin de préfinancement</t>
  </si>
  <si>
    <t>Vélo</t>
  </si>
  <si>
    <t>Le manque de moyens de transport pour la livraison de nos amandes de karité.</t>
  </si>
  <si>
    <t>L'acheteur peut nous aider avec un moyen de transport ou bien un crédit pour l'achat de notre moyen de transport en contrepartie nous allons lui livrer les amandes jusqu'à épuiser la dette.</t>
  </si>
  <si>
    <t>Besoin de moyens de transport, Livraison bord champ</t>
  </si>
  <si>
    <t>Goudin</t>
  </si>
  <si>
    <t>Le village de Godin</t>
  </si>
  <si>
    <t>Yerou</t>
  </si>
  <si>
    <t>https://insyt-api.esoko.com/api/v1/surveys/blobs/9f1a66ee-2113-4186-b450-d2e785c05481.jpg</t>
  </si>
  <si>
    <t>Idrissa</t>
  </si>
  <si>
    <t>M</t>
  </si>
  <si>
    <t>CENTRE SUD</t>
  </si>
  <si>
    <t>BAZÈGA</t>
  </si>
  <si>
    <t>Damkieta</t>
  </si>
  <si>
    <t>2017-75</t>
  </si>
  <si>
    <t>Amande , Noix</t>
  </si>
  <si>
    <t>Prix d'achat</t>
  </si>
  <si>
    <t>manque de moyens de transport</t>
  </si>
  <si>
    <t>avoir au moins 2 à 4 moyens de transport</t>
  </si>
  <si>
    <t>Besoin en moyens de transport</t>
  </si>
  <si>
    <t>on veut pas de concurrent</t>
  </si>
  <si>
    <t>Virement bancaire, Espèce</t>
  </si>
  <si>
    <t>avoir un moyen de transport</t>
  </si>
  <si>
    <t>damkieta</t>
  </si>
  <si>
    <t>Aguira</t>
  </si>
  <si>
    <t>KOURWEOGO</t>
  </si>
  <si>
    <t>n2012-012</t>
  </si>
  <si>
    <t>Le prix d'achat</t>
  </si>
  <si>
    <t>Problèmes entre collectrice et membre</t>
  </si>
  <si>
    <t>Manque d'assistance technique</t>
  </si>
  <si>
    <t>Unir les deux membres</t>
  </si>
  <si>
    <t>Besoin de renforcement de capacité</t>
  </si>
  <si>
    <t>Plus de sécurité</t>
  </si>
  <si>
    <t>Charrette</t>
  </si>
  <si>
    <t>manque de noix</t>
  </si>
  <si>
    <t>Éloignement des points de livraison</t>
  </si>
  <si>
    <t>Avoir des collectrices hors zone</t>
  </si>
  <si>
    <t>bousse</t>
  </si>
  <si>
    <t>Rasmané Kabore</t>
  </si>
  <si>
    <t>julienne</t>
  </si>
  <si>
    <t>zingdsée</t>
  </si>
  <si>
    <t>2011_221</t>
  </si>
  <si>
    <t>si le marche est bien, le financement, payer ses produits.</t>
  </si>
  <si>
    <t>Grosse commande, Bon prix, Bonne collaboration</t>
  </si>
  <si>
    <t>l'intérieur du magasin n'est pas arrange, le centre na pas de mur, manque de plats e de machines elles se déplacent loin pour la transformation des amandes.</t>
  </si>
  <si>
    <t>Problème Electricité (Coupure de courant), Manque de centres de transformation, Manque d’équipements de transformation, Manque de moyens financiers (Fonds insuffisants), Difficulté d'approvisionnement des équipements de transformation</t>
  </si>
  <si>
    <t>laide, le matériel, le financement, beaucoup de commende venant des clients</t>
  </si>
  <si>
    <t>nous allons perdre nos clients et nous n'aurions plus de marché</t>
  </si>
  <si>
    <t>nous n'aurions plus a nous déplacer très loin pour la transformation de nos produits</t>
  </si>
  <si>
    <t>le manque de matériel CR nous en avons pas</t>
  </si>
  <si>
    <t>Proximité du centre, Qualité du service, Réduction du travail physique</t>
  </si>
  <si>
    <t>manque de machine</t>
  </si>
  <si>
    <t>Qualité du service, Bonne collaboration, Prix abordable</t>
  </si>
  <si>
    <t>je préfère que ça soit moi même</t>
  </si>
  <si>
    <t>Manque d'équipements</t>
  </si>
  <si>
    <t>les gens veulent paye a crédit et ne rembourse pas</t>
  </si>
  <si>
    <t>qu'il paie la liquidité la totalité de l'argent en mm temps</t>
  </si>
  <si>
    <t>Besoin de paiement instantané, Besoin d'aide financière</t>
  </si>
  <si>
    <t>le vélo se gâte, le beurre devient de la liquide du au soleil qui brule</t>
  </si>
  <si>
    <t>Éloignement des points de livraison, Manque de moyens de transport</t>
  </si>
  <si>
    <t>nous aider avec des motos, et de nous aidez avc des sachets a protéger le beurre</t>
  </si>
  <si>
    <t>yikoudin</t>
  </si>
  <si>
    <t>bonko, tang weogo, kalyede,</t>
  </si>
  <si>
    <t>carpo, gougou</t>
  </si>
  <si>
    <t>konseyiga</t>
  </si>
  <si>
    <t>https://insyt-api.esoko.com/api/v1/surveys/blobs/36989eaf-b43e-45be-a8ae-ba85724d6302.jpg</t>
  </si>
  <si>
    <t>https://insyt-api.esoko.com/api/v1/surveys/blobs/2eb0292e-48d2-4e3b-9355-1af3925d8309.jpg</t>
  </si>
  <si>
    <t>tientore</t>
  </si>
  <si>
    <t>kadidia</t>
  </si>
  <si>
    <t>kinfange</t>
  </si>
  <si>
    <t>2012_04</t>
  </si>
  <si>
    <t>si le nouveau acheteur est honnête et respect ses engagements</t>
  </si>
  <si>
    <t>Grosse commande, Bon prix, Bonne collaboration, Fidélité</t>
  </si>
  <si>
    <t>nous n'avons pas de magasin. notre machine est gâté, notre centre ne nous appartient pas et et puis c'est obscure manque de matériel</t>
  </si>
  <si>
    <t>Manque d'assistance technique, Manque de moyens de transport, Manque de centres de transformation, Manque d’équipements de transformation, Manque de magasins de stockage, Manque de moyens financiers (Fonds insuffisants)</t>
  </si>
  <si>
    <t>l'obtention des machines et des fonds</t>
  </si>
  <si>
    <t>Besoin de partenaires financiers, Besoin en moyens de transport, Besoin en équipement, Besoin équipements modernises, Besoin en plaques solaires</t>
  </si>
  <si>
    <t>ils vont prendre notre marché</t>
  </si>
  <si>
    <t>nous voulions resté seul pas de besoin dun centre</t>
  </si>
  <si>
    <t>rien ne pourra me motivé je ne veux pas travaille chez quelqu'un d'autre</t>
  </si>
  <si>
    <t>rien ce qu'on a nous suffit</t>
  </si>
  <si>
    <t>puisque nous ne disposons pas de machines pour ça donc nous sommes obligé</t>
  </si>
  <si>
    <t>Mobile Money</t>
  </si>
  <si>
    <t>les gens paient a credit</t>
  </si>
  <si>
    <t>s'il les acheteurs pouvaient payer la totalité de l'argent</t>
  </si>
  <si>
    <t>nous ne livrons pas l'acheteur vient cherché au marche qui est a quelque metre</t>
  </si>
  <si>
    <t>si on pouvait avoir des moyens de transport</t>
  </si>
  <si>
    <t>sapouy, leo</t>
  </si>
  <si>
    <t>rakai, koupaka</t>
  </si>
  <si>
    <t>nikiema</t>
  </si>
  <si>
    <t>https://insyt-api.esoko.com/api/v1/surveys/blobs/76df2721-a2a6-437c-ad95-d5427f62dd94.jpg</t>
  </si>
  <si>
    <t>Relwende</t>
  </si>
  <si>
    <t>le bon prix proposé, payement instantané,la bonne collaboration, la fidélité</t>
  </si>
  <si>
    <t>absence de centre de transformation, manque de fonds de roulement, absence d' équipements</t>
  </si>
  <si>
    <t>Manque d'assistance technique, Manque de centres de transformation, Manque de magasins de stockage, Manque d’équipements de transformation, Manque de moyens financiers (Fonds insuffisants), Manque d’équipement adéquats pour la transformation, Difficulté d'approvisionnement des équipements de transformation</t>
  </si>
  <si>
    <t>les solutions sont sous-citées</t>
  </si>
  <si>
    <t>éviction de la concurrence</t>
  </si>
  <si>
    <t>manque de centre de transformation</t>
  </si>
  <si>
    <t>les réponses sont sous-citées</t>
  </si>
  <si>
    <t>Qualité du service, Bonne collaboration, Réduction du travail physique, Accès/usage de nouveaux équipements</t>
  </si>
  <si>
    <t>Proximité du centre, Qualité du service, Bonne collaboration, Accès/usage de nouveaux équipements</t>
  </si>
  <si>
    <t>le groupement vient de se rassembler</t>
  </si>
  <si>
    <t>pas de solutions car chaque membre ne travaillait que pour lui même</t>
  </si>
  <si>
    <t>pas de delais car étant au marché on vend et on prend notre argent</t>
  </si>
  <si>
    <t>pas de delais</t>
  </si>
  <si>
    <t>pas de solutions</t>
  </si>
  <si>
    <t>passamyiri</t>
  </si>
  <si>
    <t>secteur 7</t>
  </si>
  <si>
    <t>19-sc-c-080</t>
  </si>
  <si>
    <t>prix et collaboration</t>
  </si>
  <si>
    <t>manque de centre équipé, moyens de transport, moyens financiers</t>
  </si>
  <si>
    <t>Manque de centres de transformation, Manque de moyens de transport, Manque d’équipements de transformation, Manque de moyens financiers (Fonds insuffisants)</t>
  </si>
  <si>
    <t>besoin de centre équipé, moyens de transport, moyens financiers</t>
  </si>
  <si>
    <t>Besoin équipements modernises, Besoin en équipement, Besoin de partenaires financiers, Besoin de centres modernises</t>
  </si>
  <si>
    <t>concurrence et proximité</t>
  </si>
  <si>
    <t>Proximité du centre, Concurrence</t>
  </si>
  <si>
    <t>apprendre de nouvelles technologies</t>
  </si>
  <si>
    <t>Acquisition/apprentissage de nouvelles connaissances</t>
  </si>
  <si>
    <t>prix , collaboration</t>
  </si>
  <si>
    <t>Bonne collaboration, Accès/usage de nouveaux équipements, Prix abordable</t>
  </si>
  <si>
    <t>utiliser de nouveaux équipements à un bon prix</t>
  </si>
  <si>
    <t>Bonne collaboration, Prix abordable, Accès/usage de nouveaux équipements</t>
  </si>
  <si>
    <t>manque d'équipements</t>
  </si>
  <si>
    <t>les clients payent en retard</t>
  </si>
  <si>
    <t>payé cash et une aide financière</t>
  </si>
  <si>
    <t>lieu de livraison éloigné et transport coûteux</t>
  </si>
  <si>
    <t>Coût de transport élevé, Éloignement des points de livraison</t>
  </si>
  <si>
    <t>Bow, Villy,nadiela,tiogo</t>
  </si>
  <si>
    <t>pas d'autorisation pour collecter</t>
  </si>
  <si>
    <t>Zongo</t>
  </si>
  <si>
    <t>Kiswendsida Ouaga</t>
  </si>
  <si>
    <t>l'augmentation du prix du kilo de l'amende et du beurre</t>
  </si>
  <si>
    <t>électricité</t>
  </si>
  <si>
    <t>dotation dé groupes électrogène</t>
  </si>
  <si>
    <t>jamais</t>
  </si>
  <si>
    <t>non jamais</t>
  </si>
  <si>
    <t>Mobile Money, Virement bancaire</t>
  </si>
  <si>
    <t>livraison car pas de taxi moto</t>
  </si>
  <si>
    <t>dotation de tricycle, camion</t>
  </si>
  <si>
    <t>dotations en camion</t>
  </si>
  <si>
    <t>ramasse pas</t>
  </si>
  <si>
    <t>Amsetou</t>
  </si>
  <si>
    <t>susanne</t>
  </si>
  <si>
    <t>Guinloungou</t>
  </si>
  <si>
    <t>wend benedo / ancien Kabeela</t>
  </si>
  <si>
    <t>18_038</t>
  </si>
  <si>
    <t>si c'est un partenariat gagnant gagnant</t>
  </si>
  <si>
    <t>Paiement instantané, Grosse commande, Bonne collaboration</t>
  </si>
  <si>
    <t>manque de matériel de transformation manque de fond manque de moyen financiers et matériels</t>
  </si>
  <si>
    <t>Manque de moyens financiers (Fonds insuffisants), Manque d’équipement adéquats pour la transformation, Manque de moyens de transport</t>
  </si>
  <si>
    <t>demande de matériels et de partenaire</t>
  </si>
  <si>
    <t>Besoin de partenaires financiers, Besoin en moyens de transport, Besoin en équipement</t>
  </si>
  <si>
    <t>deux vaut mieux qu'un</t>
  </si>
  <si>
    <t>parce-que ça peut nous profiter tous</t>
  </si>
  <si>
    <t>manque de moyen de matériels pour bien réussir le travail</t>
  </si>
  <si>
    <t>Qualité du service, Bonne collaboration</t>
  </si>
  <si>
    <t>manque de matériel</t>
  </si>
  <si>
    <t>Qualité du service, Bonne collaboration, Accès/usage de nouveaux équipements</t>
  </si>
  <si>
    <t>nous n'avons pas les moyens nécessaire pour le faire nous meme</t>
  </si>
  <si>
    <t>Bonne collaboration, Manque d'équipements</t>
  </si>
  <si>
    <t>Mobile Money, Virement bancaire, Cheque</t>
  </si>
  <si>
    <t>manque d'argent pour payer les membres, les gens paient a crédit</t>
  </si>
  <si>
    <t>payer en avance la on aura du fond pour bien faire le travail le respect du contract</t>
  </si>
  <si>
    <t>Besoin de paiement instantané, Besoin d'aide financière, Besoin de préfinancement</t>
  </si>
  <si>
    <t>nous n'avons pas de matériel de transport raison pour laquelle nous ne livrons pas beaucoup</t>
  </si>
  <si>
    <t>Coût de transport élevé, Éloignement des points de livraison, Manque de moyens de transport</t>
  </si>
  <si>
    <t>aide de moyens de transport pour la livraison</t>
  </si>
  <si>
    <t>oubritenga</t>
  </si>
  <si>
    <t>ladwenda, koasinga, napam, boumbou</t>
  </si>
  <si>
    <t>tankounga, nambinguan</t>
  </si>
  <si>
    <t>soalla</t>
  </si>
  <si>
    <t>marie denise</t>
  </si>
  <si>
    <t>https://insyt-api.esoko.com/api/v1/surveys/blobs/f77783a9-56f0-4c1e-aae2-b9fc878fdd35.jpg</t>
  </si>
  <si>
    <t>https://insyt-api.esoko.com/api/v1/surveys/blobs/bf761cb9-f7d4-44e9-a3d6-272dc1e7bd45.jpg</t>
  </si>
  <si>
    <t>Tampouy/Ouaga</t>
  </si>
  <si>
    <t>2018-0288/MATD/RCEN/PKAD/HC/SG/SAGJ</t>
  </si>
  <si>
    <t>Si le nouvel acheteur est honnête et nous promet de nous rester fidèle et que son prix d'achat est plus élevé que le prix d'achat de notre ancien acheteur nous allons travailler avec lui.</t>
  </si>
  <si>
    <t>Notre centre manque de matériels adaptés à la transformation des amandes de karités c'est pourquoi nous payons directement le beurre de karité avec d'autres groupements pour revendre avec nos clients.</t>
  </si>
  <si>
    <t>Pour résoudre ces problèmes nous avons commandé de nouveaux matériels de transformation adaptés pour la transformation des amandes de karités.</t>
  </si>
  <si>
    <t>Parce que chacun a sa chance et l'installation d'un autre centre dans notre zone ne peut pas jouer sur notre marché ni sur nos activités.</t>
  </si>
  <si>
    <t>Parce que nous payons le beurre de karité directement avec d'autres groupements et nous n'avons pas besoin de transformer.</t>
  </si>
  <si>
    <t>Aucune motivation.</t>
  </si>
  <si>
    <t>Manque de confiance et problème d'hygiène.</t>
  </si>
  <si>
    <t>Aucune difficulté.</t>
  </si>
  <si>
    <t>Nous n'avons aucune difficulté de paiement.</t>
  </si>
  <si>
    <t>Dans la sous region.</t>
  </si>
  <si>
    <t>Les difficultés de livraison sont le manque de moyen de transport pour la livraison de notre beurre de karité.</t>
  </si>
  <si>
    <t>L'acheteur peut venir chercher son beurre de karité ou prendre en charge les frais de transport de son beurre de karité.</t>
  </si>
  <si>
    <t>Tampouy/Ouagadougou</t>
  </si>
  <si>
    <t>https://insyt-api.esoko.com/api/v1/surveys/blobs/6a5c5b84-c8be-41df-aa3b-7d7177eba7d8.jpg</t>
  </si>
  <si>
    <t>https://insyt-api.esoko.com/api/v1/surveys/blobs/7eb6c44c-7922-427e-93a7-f5c75d3f2720.jpg</t>
  </si>
  <si>
    <t>nigiolo</t>
  </si>
  <si>
    <t>Pyacéné de Nigiolo</t>
  </si>
  <si>
    <t>le bon prix, la sincérité, la fidélité,la bonne collaboration</t>
  </si>
  <si>
    <t>Fidélité, Paiement instantané, Bon prix, Bonne collaboration</t>
  </si>
  <si>
    <t>manque de moyens de transport, manque d équipements de transformation</t>
  </si>
  <si>
    <t>Manque de centres de transformation, Manque de moyens de transport, Manque de magasins de stockage, Manque d’équipements de transformation, Manque de moyens financiers (Fonds insuffisants), Manque d’équipement adéquats pour la transformation, Difficulté d'approvisionnement des équipements de transformation</t>
  </si>
  <si>
    <t>manque de centre de transformation, manque de magasins</t>
  </si>
  <si>
    <t>Besoin de partenaires financiers, Besoin équipements modernises, Besoin en équipement, Besoin en moyens de transport, Besoin de renforcement de capacité, Besoin d'assistance technique, Besoin de centres modernises</t>
  </si>
  <si>
    <t>Amélioration des connaissances</t>
  </si>
  <si>
    <t>Amélioration de la connaissance (nouvelles technologies), Contribution à la transformation du surplus de karité</t>
  </si>
  <si>
    <t>absences de centre de transformation</t>
  </si>
  <si>
    <t>bonne collaboration, la qualité du service</t>
  </si>
  <si>
    <t>Qualité du service, Bonne collaboration, Réduction du travail physique</t>
  </si>
  <si>
    <t>manque d équipements</t>
  </si>
  <si>
    <t>pas solution</t>
  </si>
  <si>
    <t>Yaachô</t>
  </si>
  <si>
    <t>2014-070/MATS/RCOS/PSNG/DDYR du 23 juin 2014</t>
  </si>
  <si>
    <t>Si le nouvel acheteur nous promet de nous rester fidèle et si son prix d'achat est meilleur que celui de notre ancien acheteur.</t>
  </si>
  <si>
    <t>Bon prix, Fidélité</t>
  </si>
  <si>
    <t>Les problèmes rencontrés dans notre centre de transformation sont nombreux: manque de magasin de stockage de nos amandes de karité, manque de matériels de transformation.</t>
  </si>
  <si>
    <t>Manque de magasins de stockage, Manque d’équipements de transformation</t>
  </si>
  <si>
    <t>Nous proposons qu'une bonne volonté nous aide avec un magasin. Si nous avoir un crédit pour acheter nos matériels de transformation remboursable par tranche.</t>
  </si>
  <si>
    <t>Parce-que nous allons utiliser ce centre pour la transformation de nos amandes de karité. En plus ce centre va aider les autres groupement de notre zone. Et enfin la présence du centre va développer notre zone.</t>
  </si>
  <si>
    <t>Contribution à la transformation du surplus de karité, Valeur ajoutée au développement</t>
  </si>
  <si>
    <t>Parce-que dans le centre nous pouvons rencontrer d'autres productrices et nous allons partager nos expériences. En plus si le centre dispose de matériels de transformation ils pourront rendre notre travail plus facile.</t>
  </si>
  <si>
    <t>Si le centre est bien équipé et que les coûts de transformation sont abordables nous serons motiver d'y rendre pour transformer nos amandes de karité.</t>
  </si>
  <si>
    <t>Si le centre est équipé, fréquenté par plusieurs transformatrices et que les coûts de transformation sont abordables nous serons motiver d'y rendre pour transformer à cause de l'expérience que nous allons accueillir.</t>
  </si>
  <si>
    <t>ce refus est catégorique ,à moins que nous fassions partie de ce personnel vu que nous voulons aussi être former</t>
  </si>
  <si>
    <t>Nous n'arrivons pas à avoir l'argent pour donner aux femmes comme avance pour qu'elle puisse payer les amandes. Nous remarquons également que même les hommes payent les amandes pour revendre après. Ce qui fait que sur le marché il faut parfois lutter pour pouvoir les amandes de karité.</t>
  </si>
  <si>
    <t>Si nous pouvons avoir un fond de roulement qui pourra nous permettre de donner des avances aux membres du groupement pour qu'elle puisse payer les amandes de karité avant que son prix n'augmente.</t>
  </si>
  <si>
    <t>Les difficultés de livraison sont le manque de moyens de transport.</t>
  </si>
  <si>
    <t>U acheteur peut nous appuyer en nous donnant un moyen de transport comme tricycle pour la livraison de nos amandes de karité.</t>
  </si>
  <si>
    <t>Le village de Soulguie.</t>
  </si>
  <si>
    <t>BAKOUAN</t>
  </si>
  <si>
    <t>Soumaila</t>
  </si>
  <si>
    <t>https://insyt-api.esoko.com/api/v1/surveys/blobs/aef6c77e-7df0-4621-93d0-7327667bb0e0.jpg</t>
  </si>
  <si>
    <t>Mouzoumou</t>
  </si>
  <si>
    <t>Tiedwaneye/ Ancien Tiedwaneye dourega de Mouzoumou</t>
  </si>
  <si>
    <t>2013_044/MATS/RCOS/PSNG/DDYR</t>
  </si>
  <si>
    <t>comme nous n'avons pas commencer mais si un autre centre vient ouvrir nous allons travailler avec eux.</t>
  </si>
  <si>
    <t>nous n'avons pas de centre de transformation</t>
  </si>
  <si>
    <t>Manque de magasins de stockage, Manque d’équipements de transformation, Manque de moyens financiers (Fonds insuffisants), Manque d’équipement adéquats pour la transformation, Manque de centres de transformation</t>
  </si>
  <si>
    <t>qu'on nous trouve un centre</t>
  </si>
  <si>
    <t>pour nous faciliter la tâche</t>
  </si>
  <si>
    <t>Absence de centre de transformation, Concurrence, Valeur ajoutée au développement</t>
  </si>
  <si>
    <t>parce que si tout le matériel est au point ça nous arrange.</t>
  </si>
  <si>
    <t>si les conditions vraiment sont abordables</t>
  </si>
  <si>
    <t>Proximité du centre, Qualité du service, Bonne collaboration, Réduction du travail physique</t>
  </si>
  <si>
    <t>idem</t>
  </si>
  <si>
    <t>Proximité du centre, Bonne collaboration, Prix abordable</t>
  </si>
  <si>
    <t>non pas du tout nous souhaitons aussi avoir des connaissance en la matière pour en tirer profit</t>
  </si>
  <si>
    <t>Le groupement ne paie ses membres</t>
  </si>
  <si>
    <t>comme nous n'avons pas commencé d'abord</t>
  </si>
  <si>
    <t>nous n'avons pas commencé d'abord</t>
  </si>
  <si>
    <t>un mois</t>
  </si>
  <si>
    <t>Livraison bord champ, Pas de difficultés</t>
  </si>
  <si>
    <t>Edoua</t>
  </si>
  <si>
    <t>guissou</t>
  </si>
  <si>
    <t>solange</t>
  </si>
  <si>
    <t>pabre</t>
  </si>
  <si>
    <t>2014_026</t>
  </si>
  <si>
    <t>si l'acheteur veut réellement travailler honnêtement</t>
  </si>
  <si>
    <t>nous n'avions pas de centre ni de siège nous partons très loin de pabre a tanghin pour la transformation</t>
  </si>
  <si>
    <t>si on pouvait avoir des machines et une centre de transformation avec un magasin</t>
  </si>
  <si>
    <t>Besoin de partenaires financiers, Besoin en équipement, Besoin en moyens de transport, Besoin en plaques solaires, Besoin de centres modernises, Besoin d’infrastructure en eau (Forage)</t>
  </si>
  <si>
    <t>on risque de prendre notre marche</t>
  </si>
  <si>
    <t>Concurrence, Contribution à la transformation du surplus de karité</t>
  </si>
  <si>
    <t>nous voulons pour nous</t>
  </si>
  <si>
    <t>on préfère souffrir que d'aller laba</t>
  </si>
  <si>
    <t>même si c'était gratuit on n'ira pas laba c'est mieux d'avoir pour soie</t>
  </si>
  <si>
    <t>pas de problèmes dans ce cas on paie chacun en fonction de son travail</t>
  </si>
  <si>
    <t>que l'acheteur finance a ce qu'on fait le boulot pour lui et après il complète la suite de l'argent</t>
  </si>
  <si>
    <t>la moto se gâte le beurre se fond a cause du soleil</t>
  </si>
  <si>
    <t>l'obtention des moyens de transport comme des charrettes et des tricycles</t>
  </si>
  <si>
    <t>gaskaye, wavougou</t>
  </si>
  <si>
    <t>Nedgo, sale</t>
  </si>
  <si>
    <t>tarbangdo</t>
  </si>
  <si>
    <t>clarisse</t>
  </si>
  <si>
    <t>goko</t>
  </si>
  <si>
    <t>si cet acheteur est prêt a payer a un meilleur prix que les autres.</t>
  </si>
  <si>
    <t>ces un problème de matériel et cadre de travail.</t>
  </si>
  <si>
    <t>Manque d’équipement adéquats pour la transformation</t>
  </si>
  <si>
    <t>possibilité d'avoir des machines pour nos différents activités de transformation.</t>
  </si>
  <si>
    <t>Besoin équipements modernises</t>
  </si>
  <si>
    <t>parce que nous avons assez a transformé mais pas de matériel modernes pour aller plus vite.</t>
  </si>
  <si>
    <t>bien-sûr pour l'entretien du matériel et aussi pour contribuer a payer les employés je pense.</t>
  </si>
  <si>
    <t>si ce nouveau centre possède des machines et matériels modernes.</t>
  </si>
  <si>
    <t>Réduction du travail physique, Accès/usage de nouveaux équipements</t>
  </si>
  <si>
    <t>parce que nous transformons ici a la mains, donc cela vas même nous aidé.</t>
  </si>
  <si>
    <t>aucune car nous ne livrons pas.</t>
  </si>
  <si>
    <t>forêt de moeya</t>
  </si>
  <si>
    <t>moïsse</t>
  </si>
  <si>
    <t>https://insyt-api.esoko.com/api/v1/surveys/blobs/20f58969-4b2a-406d-b5fa-879b63d2c895.jpg</t>
  </si>
  <si>
    <t>Kantoro</t>
  </si>
  <si>
    <t>Bouldié, Sodjir 1</t>
  </si>
  <si>
    <t>Goulou-nyé de Bouldié</t>
  </si>
  <si>
    <t>Contrat régulier, le prix</t>
  </si>
  <si>
    <t>Absence de matériels</t>
  </si>
  <si>
    <t>dotation en machines</t>
  </si>
  <si>
    <t>absence de centre équipé et moderne</t>
  </si>
  <si>
    <t>entretien du matériel</t>
  </si>
  <si>
    <t>S'il est plus équipé</t>
  </si>
  <si>
    <t>s'il est équipé que le notre</t>
  </si>
  <si>
    <t>question de confiance et des bénéfices dans la transformation</t>
  </si>
  <si>
    <t>aucune difficulté .l'acheteur vient chercher</t>
  </si>
  <si>
    <t>Bouldié</t>
  </si>
  <si>
    <t>Bakouan</t>
  </si>
  <si>
    <t>Bazomboué</t>
  </si>
  <si>
    <t>mousseo</t>
  </si>
  <si>
    <t>Soulou nye de Mousseo</t>
  </si>
  <si>
    <t>2014-064/MATDS/RCOS/PSNG/DDYR</t>
  </si>
  <si>
    <t>nous refusons catégoriquement de travailler avec un nouvel acheteur quelques soit les raisons où conditions que ce soit</t>
  </si>
  <si>
    <t>Pas de motivations</t>
  </si>
  <si>
    <t>nous manquons de centre de transformation, du matériel adaptée et aussi de fonds pour nos activités ,aussi nous ne sommes pas formé</t>
  </si>
  <si>
    <t>Manque d'assistance technique, Manque de moyens de transport, Manque de centres de transformation, Manque de magasins de stockage, Manque d’équipements de transformation, Manque de moyens financiers (Fonds insuffisants), Manque d’équipement adéquats pour la transformation</t>
  </si>
  <si>
    <t>nous accepteront un centre de transformation, du matériel adaptée ,de l'assistance technique et de bonnes collaboration financière</t>
  </si>
  <si>
    <t>Besoin en moyens de transport, Besoin équipements modernises, Besoin de renforcement de capacité, Besoin de groupe électrogène, Besoin de partenaires financiers, Besoin en équipement, Besoin en plaques solaires, Besoin d'assistance technique, Besoin de centres modernises, Besoin d’infrastructure en eau (Forage)</t>
  </si>
  <si>
    <t>si un centre s'installe cela pourrait améliorer nos conditions et promouvoir la filière karité ainsi que les activités qui s'y attache</t>
  </si>
  <si>
    <t>Proximité du centre, Valeur ajoutée au développement, Concurrence, Amélioration de la connaissance (nouvelles technologies), Contribution à la transformation du surplus de karité</t>
  </si>
  <si>
    <t>pourquoi pas ?? cela y vas de nos intérêt propre à nous</t>
  </si>
  <si>
    <t>l'intention d'avoir de nouvelles connaissance et aussi la bonne collaboration et les conditions liée à la filière karité</t>
  </si>
  <si>
    <t>Proximité du centre, Réduction du travail physique, Qualité du service, Bonne collaboration, Accès/usage de nouveaux équipements, Prix abordable</t>
  </si>
  <si>
    <t>Proximité du centre, Qualité du service, Bonne collaboration, Accès/usage de nouveaux équipements, Prix abordable</t>
  </si>
  <si>
    <t>oups ! là nous ne serions pas en accord vu que nous manquons déjà de centre et que nous voulions aussi être au devant des activités et contribué au développement de la filière</t>
  </si>
  <si>
    <t>aucune difficulté</t>
  </si>
  <si>
    <t>le payement sans délai à la livraison</t>
  </si>
  <si>
    <t>nos routes ne sont pas en bon état et nous ne disposons pas de bon moyen de transport ,la location aussi coûte trop cher</t>
  </si>
  <si>
    <t>Coût de transport élevé, Manque de moyens de transport</t>
  </si>
  <si>
    <t>nous accepteront un moyen de transport dans la mesure du possible ou que l'acheteur viennent chercher sa marchandise sur place</t>
  </si>
  <si>
    <t>Bala 
Kysio
Pankorogo
Sieni</t>
  </si>
  <si>
    <t>kansole</t>
  </si>
  <si>
    <t>Ezomboue</t>
  </si>
  <si>
    <t>rien nous préférons travailler avec notre coopérative</t>
  </si>
  <si>
    <t>nous n'avons pas de centre d'abord</t>
  </si>
  <si>
    <t>besoin de centre de transformation et équipements</t>
  </si>
  <si>
    <t>Besoin d'assistance technique, Besoin en équipement, Besoin de centres modernises</t>
  </si>
  <si>
    <t>nous voulons nous même notre centre</t>
  </si>
  <si>
    <t>Absence de centre de transformation, Concurrence</t>
  </si>
  <si>
    <t>puisque nous ne voulons même pas d'un autre centre</t>
  </si>
  <si>
    <t>nous préférons notre centre</t>
  </si>
  <si>
    <t>nous voudrions le faire sur place dans notre centre si nous l'avons</t>
  </si>
  <si>
    <t>https://insyt-api.esoko.com/api/v1/surveys/blobs/31d5183d-9493-4b88-8b63-ba0d141b2188.jpg</t>
  </si>
  <si>
    <t>https://insyt-api.esoko.com/api/v1/surveys/blobs/2b57fe14-1040-4e72-bf10-c0a09e48bcfa.jpg</t>
  </si>
  <si>
    <t>N 2013-042/MATS/RCOS/PSNG/DDYR</t>
  </si>
  <si>
    <t>nous ne sommes pas prêt à travailler avec un autre acheteur</t>
  </si>
  <si>
    <t>Pas de motivations, Fidélité</t>
  </si>
  <si>
    <t>Manque de centres de transformation</t>
  </si>
  <si>
    <t>besoin d'un centre de transformation et les équipements</t>
  </si>
  <si>
    <t>Besoin en équipement, Besoin de centres modernises</t>
  </si>
  <si>
    <t>Concurrence, Absence de centre de transformation</t>
  </si>
  <si>
    <t>nous ne sommes pas prêt à le faire</t>
  </si>
  <si>
    <t>nous ne voulons pas d'autres centre</t>
  </si>
  <si>
    <t>nous voulons le faire chez nous</t>
  </si>
  <si>
    <t>comme nous n'avons pas commencé d'abord nous n'avons pas constaté de problème</t>
  </si>
  <si>
    <t>pour le moment nous n'avons pas commencer donc pas de difficultés</t>
  </si>
  <si>
    <t>Amadou</t>
  </si>
  <si>
    <t>https://insyt-api.esoko.com/api/v1/surveys/blobs/c1ff291e-da0b-40fb-a0eb-8761b544bccc.jpg</t>
  </si>
  <si>
    <t>https://insyt-api.esoko.com/api/v1/surveys/blobs/a4555dca-7f4c-494c-acb1-0c1fd59f4e53.jpg</t>
  </si>
  <si>
    <t>dydir</t>
  </si>
  <si>
    <t>Kidone nye de Divolet</t>
  </si>
  <si>
    <t>si cette personne peut racheter en grande quantité et a un bon prix.</t>
  </si>
  <si>
    <t>manque de matériel de travail ainsi que de cadre approprié.</t>
  </si>
  <si>
    <t>fourniture en matériel modernes de transformation( concassage de noix, broyage d'amende)</t>
  </si>
  <si>
    <t>parce que cela vas plutôt nous aidé a transformé vite nos noix et amende.</t>
  </si>
  <si>
    <t>Proximité du centre</t>
  </si>
  <si>
    <t>parce que nous le faisons déjà lorsque que nous partons transformé ailleurs.</t>
  </si>
  <si>
    <t>Habitude du paiement pour usage d'un centre</t>
  </si>
  <si>
    <t>la réduction de notre peine de travail et le gains en temps.</t>
  </si>
  <si>
    <t>Réduction du travail physique</t>
  </si>
  <si>
    <t>pour question de confiance et nous voulons aussi transformé sur place notre noix et nos amende.</t>
  </si>
  <si>
    <t>aucun car nous venons de commencer ce travail en groupe.</t>
  </si>
  <si>
    <t>un quart de mois(1/4).</t>
  </si>
  <si>
    <t>moins d'un quart de mois.</t>
  </si>
  <si>
    <t>aucun jusqu'à présent</t>
  </si>
  <si>
    <t>forêt de tôyon, de souloudié,de boulouyon.</t>
  </si>
  <si>
    <t>bakouan</t>
  </si>
  <si>
    <t>tidian</t>
  </si>
  <si>
    <t>https://insyt-api.esoko.com/api/v1/surveys/blobs/bd5e56dc-4511-4fdc-b71d-358864954dee.jpg</t>
  </si>
  <si>
    <t>Eguine</t>
  </si>
  <si>
    <t>71572245 / 56873698</t>
  </si>
  <si>
    <t>nous ne sommes pas prêt à vendre avec un nouveau acheteur</t>
  </si>
  <si>
    <t>qu'on nous donne un centre de formation</t>
  </si>
  <si>
    <t>Besoin équipements modernises, Besoin d'assistance technique, Besoin de centres modernises</t>
  </si>
  <si>
    <t>si c'est pas pour nous ne voulons pas d'un autre centre</t>
  </si>
  <si>
    <t>nous ne voulons que notre centre.</t>
  </si>
  <si>
    <t>on ne va pas accepter qu'un autre centre vienne</t>
  </si>
  <si>
    <t>nous voulons le faire nous même</t>
  </si>
  <si>
    <t>Bonne collaboration, Pas de motivation (Rien)</t>
  </si>
  <si>
    <t>Maxime</t>
  </si>
  <si>
    <t>https://insyt-api.esoko.com/api/v1/surveys/blobs/ed2b73d5-0bfb-4c1a-8675-677394baf843.jpg</t>
  </si>
  <si>
    <t>https://insyt-api.esoko.com/api/v1/surveys/blobs/6917b82a-b6b7-4e22-b24e-ac3ac9b02756.jpg</t>
  </si>
  <si>
    <t>2014- 081/MATS/RCOS/PSNG/DDYR</t>
  </si>
  <si>
    <t>comme nous sommes dans une coopérative nous ne vendrons qu'avec la coopérative.</t>
  </si>
  <si>
    <t>nous n'en avons pas d'abord</t>
  </si>
  <si>
    <t>Manque d'assistance technique, Manque de moyens de transport, Manque de centres de transformation, Manque de magasins de stockage, Manque de moyens financiers (Fonds insuffisants), Manque d’équipement adéquats pour la transformation</t>
  </si>
  <si>
    <t>Besoin en équipement</t>
  </si>
  <si>
    <t>parce qu'on ne travaille pas ensemble avec lui. on ne travaille qu'avec la coopérative</t>
  </si>
  <si>
    <t>n'étant pas des partenaires nous ne voulons pas</t>
  </si>
  <si>
    <t>nous n'irons pas</t>
  </si>
  <si>
    <t>si les conditions sont bonnes</t>
  </si>
  <si>
    <t>nous n'avons pas effectué de paiement d'abord</t>
  </si>
  <si>
    <t>Besoin de moyens de transport, Pas de difficultés</t>
  </si>
  <si>
    <t>Doolo</t>
  </si>
  <si>
    <t>Gnambié</t>
  </si>
  <si>
    <t>Sononye de Mogueya</t>
  </si>
  <si>
    <t>nous n'avons pas de centre</t>
  </si>
  <si>
    <t>Manque de moyens financiers (Fonds insuffisants), Manque d’équipement adéquats pour la transformation, Manque de centres de transformation</t>
  </si>
  <si>
    <t>besoin en équipements centre et autres</t>
  </si>
  <si>
    <t>Besoin équipements modernises, Besoin de partenaires financiers, Besoin en équipement, Besoin en moyens de transport, Besoin d'assistance technique, Besoin de centres modernises, Besoin d’infrastructure en eau (Forage)</t>
  </si>
  <si>
    <t>nous voulons un centre à nous</t>
  </si>
  <si>
    <t>parque nous n'avions pas le matériel nécessaire pour le faire nous meme</t>
  </si>
  <si>
    <t>nous n'avons jamais eu de paiement puisqu'on est un jeune groupement qui n'a pas d'activité et doit commencé cette année</t>
  </si>
  <si>
    <t>nous n'avons pas d'accord</t>
  </si>
  <si>
    <t>nous n'avons jamais livré</t>
  </si>
  <si>
    <t>je ne sais pas</t>
  </si>
  <si>
    <t>kannara</t>
  </si>
  <si>
    <t>Eguisé</t>
  </si>
  <si>
    <t>BEREWIDOUGOU</t>
  </si>
  <si>
    <t>KDG/ZAKIN/Secteur 3</t>
  </si>
  <si>
    <t>18-SC_C-023/BF/RCOS/PBLK/le 05 octobre 2018.</t>
  </si>
  <si>
    <t>Si le nouvel acheteur accepte de signer un contrat avec nous et que son prix d'achat est meilleur que notre ancien acheteur.</t>
  </si>
  <si>
    <t>Notre centre ne dispose pas de matériels adaptés à la transformation des amandes de karité.</t>
  </si>
  <si>
    <t>Manque d’équipements de transformation, Manque d’équipement adéquats pour la transformation</t>
  </si>
  <si>
    <t>Si nous pouvons avoir un partenaire qui allait nous aider avec des matériels adaptés et performants.</t>
  </si>
  <si>
    <t>Besoin de partenaires financiers, Besoin équipements modernises</t>
  </si>
  <si>
    <t>Parce-que le centre va nous aider et aider les autres coopératives dans la transformation des amandes de karité.</t>
  </si>
  <si>
    <t>Parce que nous ne disposons pas de matériels adaptés dans notre centre.</t>
  </si>
  <si>
    <t>Pour le moment nous ne payons pas de noix de karité nous payons directement les amandes donc nous n'avons pas besoin de transformer des noix.</t>
  </si>
  <si>
    <t>Si le centre dispose de matériels de transformation plus adaptés et plus performants que les matériels de notre centre et que son coût de transformation est à notre portée nous serons motiver d'y rendre pour transformer nos amandes de karité.</t>
  </si>
  <si>
    <t>Il y'a le manque de confiance et il y'a le problème d'hygiène et le coût de transformation.</t>
  </si>
  <si>
    <t>Les difficultés de paiement sont: le manque de fond de roulement pour payer beaucoup d'amandes de karité et le manque de moyens de transport pour transporter nos amandes de karité après achat. Si nous payons les amandes de karité dans les marchés nous sommes obligés de louer un moyen de déplacement pour transporter nos amandes.</t>
  </si>
  <si>
    <t>Pour nous aider à faire face à ces difficultés un acheteur peut nous appuyer avec un fond de roulement ou un moyen de transport et nous allons lui livrer les amandes ou le beurre jusqu'à épuiser notre dette.</t>
  </si>
  <si>
    <t>Les difficultés de livraison que nous vivons dans le domaine de karité est le manque de moyens de transport pour la livraison de nos amandes. Pour le moment ce sont nos clients qui viennent chercher leurs amandes parce-que notre centre ne dispose pas de moyens de transport pour la livraison de nos amandes.</t>
  </si>
  <si>
    <t>Pour nous aider à faire face à ces difficultés un acheteur peut nous aider avec un crédit pour nous permettre de payer un moyen de transport pour la livraison de nos amandes. En retour nous lui livrons les amandes jusqu'à épuiser notre dette.</t>
  </si>
  <si>
    <t>KDG ZAKIN secteur 3</t>
  </si>
  <si>
    <t>https://insyt-api.esoko.com/api/v1/surveys/blobs/d25c98e2-a3e0-418c-9735-15c49e6a4123.jpg</t>
  </si>
  <si>
    <t>https://insyt-api.esoko.com/api/v1/surveys/blobs/3dd57959-7fd4-4459-9a91-d97037212f9d.jpg</t>
  </si>
  <si>
    <t>P .Hélène</t>
  </si>
  <si>
    <t>Wend panga de Guy</t>
  </si>
  <si>
    <t>la sincérité, le bon prix, payement instantané</t>
  </si>
  <si>
    <t>Paiement instantané, Bon prix, Bonne collaboration</t>
  </si>
  <si>
    <t>Manque d'assistance technique, Manque de centres de transformation, Manque de magasins de stockage, Manque d’équipements de transformation, Manque d’équipement adéquats pour la transformation, Difficulté d'approvisionnement des équipements de transformation</t>
  </si>
  <si>
    <t>Besoin équipements modernises, Besoin en équipement, Besoin en moyens de transport, Besoin d'assistance technique, Besoin de centres modernises</t>
  </si>
  <si>
    <t>TIONO</t>
  </si>
  <si>
    <t>19-SC_C-0104/BF/RCOS/PBLK le 25/03/2019</t>
  </si>
  <si>
    <t>Son coopérative est jeune et nous ne disposons pas de matériels de transformation dans notre centre et en plus nous n'avons pas de fond de roulement suffisant pour l'achat de nos amandes.</t>
  </si>
  <si>
    <t>Manque de magasins de stockage, Manque d’équipements de transformation, Manque de moyens financiers (Fonds insuffisants), Manque de moyens de transport</t>
  </si>
  <si>
    <t>Nous proposons qu'une bonne volonté nous aide avec les matériels de transformation adaptés ou qu'il nous aide avec un crédit nous allons payer nos matériels de transformation.</t>
  </si>
  <si>
    <t>Parce-que le centre va nous aider dans la transformation de nos amandes de karité et il va développer notre zone.</t>
  </si>
  <si>
    <t>Parce que nous ne disposons pas de matériels de transformation pour le moment. En plus dans le centre nous allons nous partager les expériences.</t>
  </si>
  <si>
    <t>Si le centre dispose de concasseurs pouvant nous permettre de gagner du temps en transformant nos noix et si les coûts de transformation sont abordables nous serons motiver d'y rendre pour transformer nos noix.</t>
  </si>
  <si>
    <t>Si les coûts de transformation sont abordables et que le centre dispose de matériels de transformation adaptés nous serons motiver d'y rendre pour transformer nos amandes de karité.</t>
  </si>
  <si>
    <t>Pour raisons d'hygiène et manque de confiance.</t>
  </si>
  <si>
    <t>Les difficultés de paiement dans le domaine de karité sont liées au manque de fond de roulement pour payer beaucoup d'amandes de karité. En plus nous n'avons pas de moyen de transport pour transporter nos amandes de karité des marchés vers notre centre de transformation.</t>
  </si>
  <si>
    <t>Un acheteur peut nous aider à faire face à ces difficultés en nous octroyant un moyen de transport pour nous ou en nous octroyant un crédit.</t>
  </si>
  <si>
    <t>Les difficultés de livraison sont liées au manque de moyen de transport pour la livraison de nos amandes de karité. C'est pourquoi nos acheteurs viennent chercher leurs amandes de karité eux-mêmes.</t>
  </si>
  <si>
    <t>Pour nous aider à faire face à ces difficultés un acheteur peut nous aider avec un crédit nous allons payer notre matériel de transport ou il prend l'engagement de venir chercher ses amandes ou il prend en charge les frais de transport de ses amandes de karité.</t>
  </si>
  <si>
    <t>Le village de Rana</t>
  </si>
  <si>
    <t>Pierre</t>
  </si>
  <si>
    <t>https://insyt-api.esoko.com/api/v1/surveys/blobs/454f598f-2ff8-45fc-96ad-7531f635c105.jpg</t>
  </si>
  <si>
    <t>Dénise</t>
  </si>
  <si>
    <t>NAGREONGO</t>
  </si>
  <si>
    <t>Zemstaaba de Nagréongo</t>
  </si>
  <si>
    <t>n18-sc-081/rpcl/potg</t>
  </si>
  <si>
    <t>Fruit, Noix</t>
  </si>
  <si>
    <t>le prix d'achat</t>
  </si>
  <si>
    <t>Grosse commande, Paiement instantané, Bon prix, Bonne collaboration, Fidélité</t>
  </si>
  <si>
    <t>manque de moyens financier</t>
  </si>
  <si>
    <t>Manque d’équipement adéquats pour la transformation, Manque d'eau pour la transformation, Difficulté d'approvisionnement des équipements de transformation, Manque de moyens de transport</t>
  </si>
  <si>
    <t>avoir de financement</t>
  </si>
  <si>
    <t>Besoin d'assistance technique, Besoin de partenaires financiers, Besoin de renforcement de capacité</t>
  </si>
  <si>
    <t>on veut pas, parce quon a déjà un centre ici, plus besoin</t>
  </si>
  <si>
    <t>rien ne peut me motivé</t>
  </si>
  <si>
    <t>s'il accepte de travaillé avec moi</t>
  </si>
  <si>
    <t>nous procuré un moyens de transport</t>
  </si>
  <si>
    <t>au centre</t>
  </si>
  <si>
    <t>nahartenga</t>
  </si>
  <si>
    <t>Tiemtoré</t>
  </si>
  <si>
    <t>ZONGO/ZOMA</t>
  </si>
  <si>
    <t>Justine</t>
  </si>
  <si>
    <t>19-SC_C-079/BF/RCOS/PBLK</t>
  </si>
  <si>
    <t>Hausse du prix</t>
  </si>
  <si>
    <t>Manque d'équipements adaptés</t>
  </si>
  <si>
    <t>Manque d'assistance technique, Problème Electricité (Coupure de courant), Manque de centres de transformation, Manque de moyens de transport, Manque d’équipements de transformation, Manque de moyens financiers (Fonds insuffisants), Manque d’équipement adéquats pour la transformation, Manque d'eau pour la transformation</t>
  </si>
  <si>
    <t>Dotation ou subvention du matériel</t>
  </si>
  <si>
    <t>Besoin en moyens de transport, Besoin équipements modernises, Besoin de partenaires financiers, Besoin en équipement, Besoin en plaques solaires, Besoin d'assistance technique, Besoin de centres modernises</t>
  </si>
  <si>
    <t>Pas de besoin de concurrent</t>
  </si>
  <si>
    <t>Je préfère qu'on améliore chez nous</t>
  </si>
  <si>
    <t>Il est libre de faire de ce qu'il veut du produit s'il a payé</t>
  </si>
  <si>
    <t>Retard de payement après la livraison</t>
  </si>
  <si>
    <t>Évitez le retard de payement après la livraison</t>
  </si>
  <si>
    <t>Manque de moyen de transport
cout du moyen de transport</t>
  </si>
  <si>
    <t>Villy, Latou, Godin, tenado</t>
  </si>
  <si>
    <t>BIRBA</t>
  </si>
  <si>
    <t>Antoinette</t>
  </si>
  <si>
    <t>2014- 007/MATS/RCOS/PSNG/DDYR</t>
  </si>
  <si>
    <t>nous ne sommes pas prêt à travailler avec un nouveau acheteur</t>
  </si>
  <si>
    <t>nous n'avons pas un centre de transformation</t>
  </si>
  <si>
    <t>nous ne voulons pas d'un autre</t>
  </si>
  <si>
    <t>nous voulons pour nous même</t>
  </si>
  <si>
    <t>nous ne voulons pas</t>
  </si>
  <si>
    <t>nous ne voulons pas.</t>
  </si>
  <si>
    <t>uniquement la coopérative qui doit le faire</t>
  </si>
  <si>
    <t>nous n'avons pas encore fait d'accord</t>
  </si>
  <si>
    <t>nous allons étudié cela cette année</t>
  </si>
  <si>
    <t>https://insyt-api.esoko.com/api/v1/surveys/blobs/885baf7c-d505-4dc3-9bd2-4ac8e185bf6b.jpg</t>
  </si>
  <si>
    <t>dabare</t>
  </si>
  <si>
    <t>s'il achète bien plus que les autres</t>
  </si>
  <si>
    <t>depuis 2016 nous ne fesons plus du beurre parce que le toit de notre maison est enlevé ce qui fait que nous ne vendons seulement que les amendes et au moment ou vendions le beurre nous payons les amendes cher et après le prix du beurre chute</t>
  </si>
  <si>
    <t>Manque d’équipements de transformation, Manque de moyens financiers (Fonds insuffisants), Manque de centres de transformation, Manque de moyens de transport</t>
  </si>
  <si>
    <t>aménagé notre centre pour nous, nous aidez avc des machines</t>
  </si>
  <si>
    <t>Besoin de partenaires financiers, Besoin en équipement, Besoin en moyens de transport, Besoin de centres modernises</t>
  </si>
  <si>
    <t>si nous avions besoin d'aide nous allons faire recours a eux</t>
  </si>
  <si>
    <t>Absence de centre de transformation, Amélioration de la connaissance (nouvelles technologies)</t>
  </si>
  <si>
    <t>parce que ce centre peut nous aidez a aller de l'avant et a modernise notre travail</t>
  </si>
  <si>
    <t>s'ils veulent nous aider a aller de l'avant</t>
  </si>
  <si>
    <t>s'il veut veulent rellement nous apprendre afin nous soyons comme eux et la rapidité, la modernisation aussi peut nous amener a y aller</t>
  </si>
  <si>
    <t>pas de difficulté car au début on s'entend</t>
  </si>
  <si>
    <t>qu'il nous donne la totalité de l'argent d'abord avant que nous ne fassions le travail</t>
  </si>
  <si>
    <t>le beurre se verse très souvent sur la route</t>
  </si>
  <si>
    <t>si on pouvait avoir des sachets pour mettre le beurre et des cartons</t>
  </si>
  <si>
    <t>pabre, dabare, gaskaye</t>
  </si>
  <si>
    <t>https://insyt-api.esoko.com/api/v1/surveys/blobs/0823389c-29e1-46f5-a449-8b83fd13e9cd.jpg</t>
  </si>
  <si>
    <t>https://insyt-api.esoko.com/api/v1/surveys/blobs/6ef605ac-390b-4da2-8116-41b39e01c78d.jpg</t>
  </si>
  <si>
    <t>Sinkèga</t>
  </si>
  <si>
    <t>Membre</t>
  </si>
  <si>
    <t>18-SC_C-028/BF/RCOS/PBLK /le 25/10/2018</t>
  </si>
  <si>
    <t>Si le prix d'achat du nouvel acheteur dépasse le prix de nos anciens acheteurs et s'il nous promet de nous rester fidèle.</t>
  </si>
  <si>
    <t>Notre centre n'a pas de matériels. Nous transformons toujours nos amandes à la main.</t>
  </si>
  <si>
    <t>Si nous pouvons avoir du matériel de transformation ou un crédit pour payer nos matériel de la part de notre union ou d'un partenaire cela allait beaucoup nous faciliter la tâche.</t>
  </si>
  <si>
    <t>Un autre centre de transformation serait la bienvenue dans notre zone Parce-que ce centre va beaucoup nous aider dans la transformation de nos amandes. En plus ce centre va développer notre zone.</t>
  </si>
  <si>
    <t>Parce-que dans le centre nous pourrons transformer une grande quantité d'amandes plus qu'à la main. Et cela va nous permettre de gagner en temps.</t>
  </si>
  <si>
    <t>Si le centre dispose de concasseurs pour concasser les noix et que son coût de transformation est abordable nous serons motiver d'y rendre pour transformer nos noix.</t>
  </si>
  <si>
    <t>Si le centre dispose de matériels de transformation des amandes et que son coût de transformation est abordable nous serons motiver d'y rendre pour transformer nos amandes.</t>
  </si>
  <si>
    <t>Parce-que nous n'avons pas de matériels pour le moment et nous n'arrivons pas à transformer nos amandes en beurre.</t>
  </si>
  <si>
    <t>Les difficultés de paiement sont liées au manque de moyens financiers pour donner aux femmes pour l'achat des amandes dès sa sortie. Dans le village nous n'arrivons pas à avoir un crédit à cause de la garantie.</t>
  </si>
  <si>
    <t>Un acheteur peut nous aider avec un fond de roulement consistant pour l'achat de nos amandes et quand nous allons revendre nous lui remboursons son argent.</t>
  </si>
  <si>
    <t>Les difficultés de livraison sont liées au manque de moyens de transport. C'est pourquoi pour le moment ce sont nos acheteurs qui viennent chercher leurs amandes de karité.</t>
  </si>
  <si>
    <t>L'acheteur peut nous aider avec un moyen de transport comme un tricycle par exemple pour le transport de nos amandes de karité ou bien il prend l'engagement de venir chercher ses amandes avec son moyen de transport.</t>
  </si>
  <si>
    <t>Kandaga</t>
  </si>
  <si>
    <t>Les villages de Kandaga et de dapoya</t>
  </si>
  <si>
    <t>Boulwandbanka.</t>
  </si>
  <si>
    <t>Marcel</t>
  </si>
  <si>
    <t>https://insyt-api.esoko.com/api/v1/surveys/blobs/277592be-0e54-41dd-99b7-a69fb38eba93.jpg</t>
  </si>
  <si>
    <t>https://insyt-api.esoko.com/api/v1/surveys/blobs/b4c26ec8-8e6f-4f1c-aa92-f560088f6a61.jpg</t>
  </si>
  <si>
    <t>sanga Joséphine</t>
  </si>
  <si>
    <t>salbisgo</t>
  </si>
  <si>
    <t>le bon prix, la bonne collaboration</t>
  </si>
  <si>
    <t>manque de moyens,absence de centre</t>
  </si>
  <si>
    <t>Manque d'assistance technique, Manque de centres de transformation, Manque d’équipements de transformation, Manque de magasins de stockage, Manque de moyens financiers (Fonds insuffisants), Manque d’équipement adéquats pour la transformation</t>
  </si>
  <si>
    <t>besoin en équipements, besoin de centre de transformation, besoin d assistance technique</t>
  </si>
  <si>
    <t>Besoin équipements modernises, Besoin en équipement, Besoin de renforcement de capacité, Besoin de centres modernises</t>
  </si>
  <si>
    <t>Éviter la concurrence</t>
  </si>
  <si>
    <t>retard de payement</t>
  </si>
  <si>
    <t>besoin d' aide financière,besoin de payement instantané, besoin de préfinancement</t>
  </si>
  <si>
    <t>pas de difficultés</t>
  </si>
  <si>
    <t>Sako/Sissao</t>
  </si>
  <si>
    <t>Adjaratou</t>
  </si>
  <si>
    <t>BOUCLE DU MOUHOUN</t>
  </si>
  <si>
    <t>BALÉ</t>
  </si>
  <si>
    <t>sibi</t>
  </si>
  <si>
    <t>prix</t>
  </si>
  <si>
    <t>Manque d'équipement,nous n'avons pas encore commencé les activités en groupe</t>
  </si>
  <si>
    <t>aide financière</t>
  </si>
  <si>
    <t>Besoin de partenaires financiers</t>
  </si>
  <si>
    <t>Accès aux équipement</t>
  </si>
  <si>
    <t>Accès aux équipements</t>
  </si>
  <si>
    <t>pas de solution</t>
  </si>
  <si>
    <t>manque de moyen de transport</t>
  </si>
  <si>
    <t>on achète les noix</t>
  </si>
  <si>
    <t>Boureima</t>
  </si>
  <si>
    <t>BASSON/KAMA</t>
  </si>
  <si>
    <t>KAMEDJI</t>
  </si>
  <si>
    <t>19-SC_C-076/BF/RCOS/PBLK du 05 fevrier 2018</t>
  </si>
  <si>
    <t>S'il y'a assez d'amandes
Prix à la hausse</t>
  </si>
  <si>
    <t>. Manque d'équipement de transformation adapté</t>
  </si>
  <si>
    <t>Problème Electricité (Coupure de courant), Manque de moyens de transport, Manque de moyens financiers (Fonds insuffisants), Manque d’équipement adéquats pour la transformation, Manque d'assistance technique, Manque d’équipements de transformation, Manque d'eau pour la transformation, Difficulté d'approvisionnement des équipements de transformation</t>
  </si>
  <si>
    <t>Dotation en équipements de transformation par aide ou par subvention</t>
  </si>
  <si>
    <t>Besoin en moyens de transport, Besoin équipements modernises, Besoin de renforcement de capacité, Besoin de groupe électrogène, Besoin en équipement, Besoin en plaques solaires, Besoin d'assistance technique, Besoin de centres modernises, Besoin d’infrastructure en eau (Forage)</t>
  </si>
  <si>
    <t>Parce qu'elles vivent de cette activités</t>
  </si>
  <si>
    <t>Elles veulent un centre de transformation propre à eux</t>
  </si>
  <si>
    <t>Si le coût est abordable</t>
  </si>
  <si>
    <t>Proximité du centre, Réduction du travail physique, Qualité du service, Bonne collaboration, Gratuité de l'usage, Accès/usage de nouveaux équipements, Prix abordable</t>
  </si>
  <si>
    <t>Proximité du centre, Bonne collaboration, Prix abordable, Accès/usage de nouveaux équipements</t>
  </si>
  <si>
    <t>Elles veulent les transformer sur place</t>
  </si>
  <si>
    <t>Pas de difficulté</t>
  </si>
  <si>
    <t>Un moyen de transport adapté</t>
  </si>
  <si>
    <t>.Kamedji</t>
  </si>
  <si>
    <t>BAKO</t>
  </si>
  <si>
    <t>Marc</t>
  </si>
  <si>
    <t>secteur3</t>
  </si>
  <si>
    <t>bon prix, fidélité</t>
  </si>
  <si>
    <t>manque d'équipements de transformation, manque d'assistance technique</t>
  </si>
  <si>
    <t>Manque d’équipements de transformation, Manque d'assistance technique</t>
  </si>
  <si>
    <t>Besoin équipements modernises, Besoin d'assistance technique</t>
  </si>
  <si>
    <t>concurrence, amélioration de la connaissance (nouvelles technologies)</t>
  </si>
  <si>
    <t>acquisition/apprentissage de nouvelles connaissances</t>
  </si>
  <si>
    <t>qualité du service, réduction du travail physique</t>
  </si>
  <si>
    <t>Qualité du service, Réduction du travail physique</t>
  </si>
  <si>
    <t>prix abordable, qualité du service</t>
  </si>
  <si>
    <t>Qualité du service, Prix abordable</t>
  </si>
  <si>
    <t>manque d'équipements, bonne collaboration</t>
  </si>
  <si>
    <t>retard de paiement</t>
  </si>
  <si>
    <t>coût de transport élevé,manque de moyens de transport</t>
  </si>
  <si>
    <t>Zones de jachères et de brousse non-cultivée en ce moment autour du village en général accessible à tous</t>
  </si>
  <si>
    <t>tiogo,bow,wera,nadiala</t>
  </si>
  <si>
    <t>o</t>
  </si>
  <si>
    <t>https://insyt-api.esoko.com/api/v1/surveys/blobs/6b6098ed-f37e-40c0-9a94-a2ef8d2f4811.jpg</t>
  </si>
  <si>
    <t>Kanzié</t>
  </si>
  <si>
    <t>Nigiolo N'Tounou</t>
  </si>
  <si>
    <t>manque d'équipements adéquats pour la transformation,manque de centre stockage, manque de centre de transformation</t>
  </si>
  <si>
    <t>besoins de centre modernise,Besoins d'assistance technique, besoins en équipements</t>
  </si>
  <si>
    <t>Besoin de partenaires financiers, Besoin en équipement, Besoin en moyens de transport, Besoin de renforcement de capacité, Besoin d'assistance technique, Besoin de centres modernises</t>
  </si>
  <si>
    <t>Éviction de la concurrence déloyale</t>
  </si>
  <si>
    <t>Seulement si ce centre est le notre</t>
  </si>
  <si>
    <t>qualité du travail, proximité du centre, bonne collaboration, réduction du travail physique</t>
  </si>
  <si>
    <t>qualité du service, proximité du centre, bonne collaboration, usage de nouveaux équipements</t>
  </si>
  <si>
    <t>manque d' équipements</t>
  </si>
  <si>
    <t>Yaachô, Kay</t>
  </si>
  <si>
    <t>Nassa</t>
  </si>
  <si>
    <t>Nandiela</t>
  </si>
  <si>
    <t>Sougr-nooma de Nandiela</t>
  </si>
  <si>
    <t>bon prix, bonne collaboration, fidélité</t>
  </si>
  <si>
    <t>manque d'équipements de transformation, manque de centres de transformation, manque de magasins de stockage, manque de moyens financiers(fonds insuffisants)</t>
  </si>
  <si>
    <t>Manque de magasins de stockage, Manque d’équipements de transformation, Manque de moyens financiers (Fonds insuffisants), Manque de centres de transformation</t>
  </si>
  <si>
    <t>besoin en équipement,besoin d'assistance technique, besoin de partenaires financiers</t>
  </si>
  <si>
    <t>Besoin de partenaires financiers, Besoin d'assistance technique, Besoin en équipement</t>
  </si>
  <si>
    <t>concurrence, amélioration de la connaissance (nouvelles technologies</t>
  </si>
  <si>
    <t>qualité du service,proximité du centre</t>
  </si>
  <si>
    <t>Proximité du centre, Qualité du service</t>
  </si>
  <si>
    <t>qualité du service</t>
  </si>
  <si>
    <t>Qualité du service</t>
  </si>
  <si>
    <t>besoin d'aide financière, besoin de paiement instantané</t>
  </si>
  <si>
    <t>coût de transport élevé, éloignement des points de livraison</t>
  </si>
  <si>
    <t>besoin de moyens de transport</t>
  </si>
  <si>
    <t>imasgo,nadiela,tiogo,ramongo</t>
  </si>
  <si>
    <t>rose</t>
  </si>
  <si>
    <t>https://insyt-api.esoko.com/api/v1/surveys/blobs/4208fd39-d2f6-4705-8fcc-59e60062b13e.jpg</t>
  </si>
  <si>
    <t>T Rosalie</t>
  </si>
  <si>
    <t>Secteur 9</t>
  </si>
  <si>
    <t>N 2019-018/MEEVCC/RCOS/DREEVCC-COS/DPEEVCC-BLK</t>
  </si>
  <si>
    <t>Si le prix haut</t>
  </si>
  <si>
    <t>Retard et le manque de matériel adapté</t>
  </si>
  <si>
    <t>Évitez le retard, avoir des moyens de déplacement</t>
  </si>
  <si>
    <t>Besoin de partenaires financiers, Besoin équipements modernises, Besoin en équipement, Besoin en moyens de transport, Besoin de renforcement de capacité, Besoin en plaques solaires, Besoin d'assistance technique</t>
  </si>
  <si>
    <t>Évitez la conccurence</t>
  </si>
  <si>
    <t>Je préfère chez moi</t>
  </si>
  <si>
    <t>Rien je préfère chez moi</t>
  </si>
  <si>
    <t>S'il achète il est libre d'envoyer là ou il veux</t>
  </si>
  <si>
    <t>Retard de payement après livraison</t>
  </si>
  <si>
    <t>Payement entier à la livraison</t>
  </si>
  <si>
    <t>Coût du transport</t>
  </si>
  <si>
    <t>Secteur 2 route de Guy</t>
  </si>
  <si>
    <t>sanguié, bouldjé, kamedji, Godin, Imassogo, Ralo, ramogo</t>
  </si>
  <si>
    <t>bewoolgou</t>
  </si>
  <si>
    <t>sylvie</t>
  </si>
  <si>
    <t>Koudougou, secteur 2</t>
  </si>
  <si>
    <t>Tangsbeoyélé</t>
  </si>
  <si>
    <t>bonne collaboration, grosse commande</t>
  </si>
  <si>
    <t>manque d'équipements de transformation, de centre de transformation, de magasins de stockages, d'assistance technique et de moyens financiers</t>
  </si>
  <si>
    <t>Manque d'assistance technique, Manque de centres de transformation, Manque d’équipements de transformation, Manque de magasins de stockage, Manque de moyens financiers (Fonds insuffisants)</t>
  </si>
  <si>
    <t>Besoin de partenaires financiers, Besoin d'assistance technique, Besoin de centres modernises</t>
  </si>
  <si>
    <t>concurrence, contribution à la transformation du surplus du karité</t>
  </si>
  <si>
    <t>qualité du service,bonne collaboration</t>
  </si>
  <si>
    <t>qualité du service, proximité du centre</t>
  </si>
  <si>
    <t>coût du transport élevé, éloignement des points de livraison</t>
  </si>
  <si>
    <t>boulse,salbisgo,imasgo</t>
  </si>
  <si>
    <t>pas de forêts villageoises</t>
  </si>
  <si>
    <t>bougma</t>
  </si>
  <si>
    <t>clémentine</t>
  </si>
  <si>
    <t>komki</t>
  </si>
  <si>
    <t>Wensdsongda de Konkiipala</t>
  </si>
  <si>
    <t>2014_011</t>
  </si>
  <si>
    <t>ce qui peut me motivé est si le client achète bien plus que les autres.</t>
  </si>
  <si>
    <t>nous n'avions pas de machine pour transforme les amandes en beurre raison pour laquelle nous ne vendons plus du beurre</t>
  </si>
  <si>
    <t>Manque de magasins de stockage, Manque de centres de transformation, Manque de moyens de transport</t>
  </si>
  <si>
    <t>l'obtention des machines, si on pouvait avoir des partenaires et un magasin pour le travail</t>
  </si>
  <si>
    <t>Besoin de partenaires financiers, Besoin en équipement, Besoin de centres modernises</t>
  </si>
  <si>
    <t>nous aurions de l'expérience l'ABA car la connaissance ne suffit pas</t>
  </si>
  <si>
    <t>parque nous n'avions pas de matériel</t>
  </si>
  <si>
    <t>le manque de matériel et d'expérience</t>
  </si>
  <si>
    <t>pour la connaissance et la modernisation</t>
  </si>
  <si>
    <t>nous avons tout le nécessaire pour le faire chez nous</t>
  </si>
  <si>
    <t>nous ne rencontrons pas de problèmes</t>
  </si>
  <si>
    <t>s'il pouvait nous aide avec les machines, financement, s'il pouvait leur rendre l'argent sous forme de prêt</t>
  </si>
  <si>
    <t>l'engin se gâte très souvent</t>
  </si>
  <si>
    <t>nous dispose de tous les matériels magasin financement</t>
  </si>
  <si>
    <t>pi, sommè, toubr ka wangue,</t>
  </si>
  <si>
    <t>foret boly</t>
  </si>
  <si>
    <t>kiema</t>
  </si>
  <si>
    <t>salmata</t>
  </si>
  <si>
    <t>Abdoul 6 ZONGA</t>
  </si>
  <si>
    <t>Dakane</t>
  </si>
  <si>
    <t>Ezoin</t>
  </si>
  <si>
    <t>2003-055/MATS/RCOS/PSNG/DDYR</t>
  </si>
  <si>
    <t>si l'acheteur nous propose un bon prix et de bonnes conditions de travail</t>
  </si>
  <si>
    <t>Bon prix, Paiement instantané, Bonne collaboration</t>
  </si>
  <si>
    <t>nous manquons de centre de transformation ,de matériaux modernes et aussi de fonds de déroulement ce qui limites nos activités</t>
  </si>
  <si>
    <t>Manque d'assistance technique, Manque de moyens de transport, Manque de centres de transformation, Manque de magasins de stockage, Manque d’équipements de transformation, Manque de moyens financiers (Fonds insuffisants)</t>
  </si>
  <si>
    <t>un appui en nous construisant un centre , un dispositif de travail moderne ,un appui financier et technique</t>
  </si>
  <si>
    <t>Besoin de partenaires financiers, Besoin équipements modernises, Besoin en équipement, Besoin en moyens de transport, Besoin de renforcement de capacité, Besoin d'assistance technique</t>
  </si>
  <si>
    <t>il est souhaitable qu'on ait nos propre centre d'abord avant d'accepter tout autres installations</t>
  </si>
  <si>
    <t>Proximité du centre, Absence de centre de transformation, Contribution à la transformation du surplus de karité, Amélioration de la connaissance (nouvelles technologies)</t>
  </si>
  <si>
    <t>pourquoi pas si cela y vas de nos propre intérêt ??</t>
  </si>
  <si>
    <t>Dans cas précis on suppose que ce serait de meilleur conditions de travail et une bonne collaboration avec nos futur centre qu'on aura sur place</t>
  </si>
  <si>
    <t>nous accepteront si toutefois le prix est élevé ,s'il y'a une assistance technique, la qualité du service et aussi les conditions de travail</t>
  </si>
  <si>
    <t>nous souhaitons aussi avoir des connaissance en la matière vu que nous manquons de centre dont de matériel</t>
  </si>
  <si>
    <t>paiement cash à chaque livraison du groupement</t>
  </si>
  <si>
    <t>nous manquons de moyen de déplacement et le transport est aussi cher</t>
  </si>
  <si>
    <t>il serait souhaitable qu'on nous équipe de ces moyen pour allégé les histoire de transport ou bien que l'acheteur nous fasse stocker afin qu'il vienne chercher lui même</t>
  </si>
  <si>
    <t>Kakouan</t>
  </si>
  <si>
    <t>Eyo</t>
  </si>
  <si>
    <t>2003-048/MATS/RCOS/PSNG/DDYR</t>
  </si>
  <si>
    <t>nous pourrions travailler avec un nouvel acheteur si le prix est abordable et si les autre conditions tels que le transport ,le payement sont favorable</t>
  </si>
  <si>
    <t>nous manquons de centre de transformation ,de matériel adaptée et aussi de fonds de déroulement ,aussi nous ne disposons pas de moyen de déplacement</t>
  </si>
  <si>
    <t>l'acquisition d'un centre de transformation ,du matériel adaptée et aussi de l'assistance technique pour la qualité ,aussi nous souhaitons un fonds de déroulement</t>
  </si>
  <si>
    <t>nous souhaitons d'abord avoir nos propre centre de transformation et nous ne voudrions pas de la concurrence</t>
  </si>
  <si>
    <t>ne se prononce pas</t>
  </si>
  <si>
    <t>la qualité du service ,les conditions et surtout le prix s'il est abordable</t>
  </si>
  <si>
    <t>Qualité du service, Bonne collaboration, Réduction du travail physique, Prix abordable, Accès/usage de nouveaux équipements</t>
  </si>
  <si>
    <t>la qualité du service et aussi les conditions ,surtout le prix s'il est abordable</t>
  </si>
  <si>
    <t>Qualité du service, Bonne collaboration, Accès/usage de nouveaux équipements, Prix abordable</t>
  </si>
  <si>
    <t>uniquement avec la coopérative</t>
  </si>
  <si>
    <t>Manque d'équipements, Pas de motivation (Rien)</t>
  </si>
  <si>
    <t>le payement cash à la livraison</t>
  </si>
  <si>
    <t>nous manquons de moyen de transport et généralement les coût du transport sont trop élevé et c'est beaucoup fatigant</t>
  </si>
  <si>
    <t>l'acheteur peut bien nous aider en venant chercher les produit sur place ou-bien en nous dotant de moyen de déplacement</t>
  </si>
  <si>
    <t>kankouan</t>
  </si>
  <si>
    <t>Essan</t>
  </si>
  <si>
    <t>kansane</t>
  </si>
  <si>
    <t>Ezilbie</t>
  </si>
  <si>
    <t>2014-035/MATS/RCOS/PSNG/DDYR</t>
  </si>
  <si>
    <t>nous somme disposée à travailler avec un nouvel acheteur si toutefois il nous propose un prix abordable et de meilleurs conditions de collaboration</t>
  </si>
  <si>
    <t>Grosse commande, Bon prix, Paiement instantané, Bonne collaboration</t>
  </si>
  <si>
    <t>nous n'avons même pas un centre ,pas de matériel , aussi nous n'avons même pas de fonds de déroulement ni de moyen de déplacement</t>
  </si>
  <si>
    <t>l'acquisition d'un centre de transformation bien équipé ,avec des formation a l'appui et aussi un soutien financier pour nos activités</t>
  </si>
  <si>
    <t>nous n'accepterons pas un autre centre vu que nous même à notre niveau ,ne disposions pas de centre pour les activités</t>
  </si>
  <si>
    <t>vu que nous ne disposons pas de centre on ne peut se prononcé sur cette question</t>
  </si>
  <si>
    <t>une bonne collaboration avec nos groupement ,la qualité du service et des conditions</t>
  </si>
  <si>
    <t>il n'ont ouvrir pour nous d'abord si on par pas avec nos amande .où bien il n'ont qu'a payer beaucoup l'argent</t>
  </si>
  <si>
    <t>nous ne sommes pas intéressé par un autre</t>
  </si>
  <si>
    <t>aucune difficulté puisque nous n'acceptons que du cash à la livraison</t>
  </si>
  <si>
    <t>un payement cash à la livraison</t>
  </si>
  <si>
    <t>manque de moyen de transport , et aussi c'est cher pour emprunté les taxis motos pour livrer</t>
  </si>
  <si>
    <t>un acheteur peut nous aider si il vient chercher sur place ,aussi nous souhaitons avoir nos propre moyen de transport</t>
  </si>
  <si>
    <t>mogoya 
kiia 
kwen</t>
  </si>
  <si>
    <t>kansono</t>
  </si>
  <si>
    <t>mamouna</t>
  </si>
  <si>
    <t>eyembie</t>
  </si>
  <si>
    <t>les conditions de travail et un bonne collaboration avec un prix abordable</t>
  </si>
  <si>
    <t>Fidélité, Paiement instantané, Bon prix, Grosse commande, Bonne collaboration</t>
  </si>
  <si>
    <t>manque de centre de transformation ,de matériel adaptée et de fonds pour nos activités</t>
  </si>
  <si>
    <t>Manque d'assistance technique, Problème Electricité (Coupure de courant), Manque de centres de transformation, Manque de moyens de transport, Manque de magasins de stockage, Manque d’équipements de transformation, Manque de moyens financiers (Fonds insuffisants), Manque d’équipement adéquats pour la transformation, Difficulté d'approvisionnement des équipements de transformation</t>
  </si>
  <si>
    <t>la construction d'un centre bien équipé avec du matériel moderne ,de l'assistance technique bien suivi et un appui financier</t>
  </si>
  <si>
    <t>nous voulions avoir des centres propre à nous pas et nous n'allons pas accepter qu'on nous retire nos marchés</t>
  </si>
  <si>
    <t>cela y vas de nos intérêt propre à nous et nous sommes prêt à le faire si cela s'avère nécessaire</t>
  </si>
  <si>
    <t>Dans ce cas ce serait sans doute la recherche de connaissance mais aussi et surtout de meilleures conditions de travail et de partenariat</t>
  </si>
  <si>
    <t>dans ce cas ce serait sans doute la recherche de connaissance mais aussi et surtout de meilleures conditions de travail et de partenariat</t>
  </si>
  <si>
    <t>nous voudrions dans la mesure du possible être au centre de cette activités dans toutes ses forme ,donc non nous n'accepterons pas cela</t>
  </si>
  <si>
    <t>un acheteur peut nous aider si il paye cash à la livraison ou-bien nous données des fonds à l'avance des la saison</t>
  </si>
  <si>
    <t>Besoin de paiement instantané, Besoin de préfinancement</t>
  </si>
  <si>
    <t>nos routes sont trop en mauvaise état ,nous manquons de moyen de transport et généralement les coût du transport sont trop élevé</t>
  </si>
  <si>
    <t>une dotation en moyen de transport nous serait favorable ou-bien que l'acheteur se déplace et vienne chercher les produits</t>
  </si>
  <si>
    <t>Tonton
mogoya
kwen</t>
  </si>
  <si>
    <t>Tonton 
mogoya
kwen</t>
  </si>
  <si>
    <t>kanzie</t>
  </si>
  <si>
    <t>Françoise</t>
  </si>
  <si>
    <t>https://insyt-api.esoko.com/api/v1/surveys/blobs/12656e9c-7865-49fc-a6f6-e198f02b1f44.jpg</t>
  </si>
  <si>
    <t>2015-009/MATDS/PSNG/DDYR</t>
  </si>
  <si>
    <t>bon prix, bonnes conditions de travail</t>
  </si>
  <si>
    <t>Fidélité, Grosse commande, Paiement instantané, Bon prix, Bonne collaboration</t>
  </si>
  <si>
    <t>manque de centre, matériel de transformation, fonds de roulement</t>
  </si>
  <si>
    <t>besoin de centre de transformation, assistance technique, matériaux, fonds de roulement</t>
  </si>
  <si>
    <t>Besoin de partenaires financiers, Besoin en moyens de transport, Besoin d'assistance technique, Besoin de centres modernises</t>
  </si>
  <si>
    <t>opportunité d'apprentissage de nouvelles technologies</t>
  </si>
  <si>
    <t>Proximité du centre, Valeur ajoutée au développement, Contribution à la transformation du surplus de karité, Amélioration de la connaissance (nouvelles technologies)</t>
  </si>
  <si>
    <t>nous accepterons dans la mesure ou cela y va de nos propres intérêts</t>
  </si>
  <si>
    <t>qualité, conditions et bien-sûr les opportunités qui seront au plus à notre profit</t>
  </si>
  <si>
    <t>Proximité du centre, Réduction du travail physique, Qualité du service, Bonne collaboration, Prix abordable, Accès/usage de nouveaux équipements</t>
  </si>
  <si>
    <t>bon prix , usage de nouvelles technologies, qualité du service</t>
  </si>
  <si>
    <t>Proximité du centre, Qualité du service, Bonne collaboration, Prix abordable, Accès/usage de nouveaux équipements</t>
  </si>
  <si>
    <t>pas de soucis</t>
  </si>
  <si>
    <t>paiement cash</t>
  </si>
  <si>
    <t>manque de transport et coût élevé</t>
  </si>
  <si>
    <t>venir chercher sa marchandise</t>
  </si>
  <si>
    <t>Kiia, nigiolo,mogueya,kwen</t>
  </si>
  <si>
    <t>kiia,nigiolo ,mogueya,kwen</t>
  </si>
  <si>
    <t>Kandeme</t>
  </si>
  <si>
    <t>Secteur 10</t>
  </si>
  <si>
    <t>19-SC_C-051/BF/RCOS/PBLK</t>
  </si>
  <si>
    <t>S'il a un bon prix</t>
  </si>
  <si>
    <t>Manque de matériel adapté 
Pas d'angar
Materiels existant usés
Manque d'eau</t>
  </si>
  <si>
    <t>Manque d'assistance technique, Problème Electricité (Coupure de courant), Manque de centres de transformation, Manque de moyens de transport, Manque d’équipements de transformation, Manque de moyens financiers (Fonds insuffisants), Manque d’équipement adéquats pour la transformation, Difficulté d'approvisionnement des équipements de transformation</t>
  </si>
  <si>
    <t>Dotation en matériels, en eaux, et en angar</t>
  </si>
  <si>
    <t>Pas besoin de concurrent</t>
  </si>
  <si>
    <t>Si c'est gratuit</t>
  </si>
  <si>
    <t>Gratuité de l'usage</t>
  </si>
  <si>
    <t>Une fois payé il est libre d'envoyer là qu'il veut</t>
  </si>
  <si>
    <t>Éviter le retard de payement</t>
  </si>
  <si>
    <t>nabinia Georgette</t>
  </si>
  <si>
    <t>secteur 5</t>
  </si>
  <si>
    <t>Wend-Woaga</t>
  </si>
  <si>
    <t>bon prix, bonne collaboration</t>
  </si>
  <si>
    <t>manque d'équipements de transformation, manque d'assistance technique, manque de moyens financiers (fonds insuffisants)</t>
  </si>
  <si>
    <t>Manque d’équipements de transformation, Manque de moyens financiers (Fonds insuffisants), Manque d'assistance technique</t>
  </si>
  <si>
    <t>besoin d'assistance technique, besoin des partenaires financiers, besoin de groupe électrogène</t>
  </si>
  <si>
    <t>Besoin de partenaires financiers, Besoin d'assistance technique, Besoin de groupe électrogène</t>
  </si>
  <si>
    <t>concurrence, contribution à la transformation du surplus de karité</t>
  </si>
  <si>
    <t>qualité de service,bonne collaboration</t>
  </si>
  <si>
    <t>qualité de service, bonne collaboration</t>
  </si>
  <si>
    <t>besoin de paiement instantané,besoin de préfinancement</t>
  </si>
  <si>
    <t>coût de transport élevé</t>
  </si>
  <si>
    <t>ramogo,imasgo,nadiela</t>
  </si>
  <si>
    <t>https://insyt-api.esoko.com/api/v1/surveys/blobs/86fc3984-08f5-4e7c-890c-1b3f05cf2d56.jpg</t>
  </si>
  <si>
    <t>https://insyt-api.esoko.com/api/v1/surveys/blobs/bfb77dd7-1cc0-4cf7-be9c-02d6e3763395.jpg</t>
  </si>
  <si>
    <t>sabou</t>
  </si>
  <si>
    <t>20_sc_0082</t>
  </si>
  <si>
    <t>manque d'équipements de transformation, manque de centres de transformation, manque de magasins de stockage, manque d'assistance technique</t>
  </si>
  <si>
    <t>Manque d'assistance technique, Manque de centres de transformation, Manque de magasins de stockage, Manque d’équipements de transformation, Manque de moyens financiers (Fonds insuffisants), Difficulté d'approvisionnement des équipements de transformation</t>
  </si>
  <si>
    <t>besoin en équipement,besoin de centres modernises,besoin d'assistance technique, besoin de partenaires financiers</t>
  </si>
  <si>
    <t>Besoin de partenaires financiers, Besoin équipements modernises, Besoin en équipement, Besoin d'assistance technique, Besoin de centres modernises</t>
  </si>
  <si>
    <t>concurrence, valeur ajoutée au développement</t>
  </si>
  <si>
    <t>Concurrence, Amélioration de la connaissance (nouvelles technologies), Valeur ajoutée au développement</t>
  </si>
  <si>
    <t>accès/usage de nouveaux équipements, qualité du service, bonne collaboration</t>
  </si>
  <si>
    <t>.qualité du service, bonne collaboration</t>
  </si>
  <si>
    <t>livraison bord champ,besoin de moyens de transport</t>
  </si>
  <si>
    <t>bourbatan,tiogo</t>
  </si>
  <si>
    <t>bouda</t>
  </si>
  <si>
    <t>https://insyt-api.esoko.com/api/v1/surveys/blobs/09709252-061c-4a79-93dc-10f98dba0846.jpg</t>
  </si>
  <si>
    <t>Teegawendé de Pella/Kandaga</t>
  </si>
  <si>
    <t>Union Neem La Nam</t>
  </si>
  <si>
    <t>Union APES de Kombissiri</t>
  </si>
  <si>
    <t>Union Relwende de Kokologho</t>
  </si>
  <si>
    <t>Federation New Karikis</t>
  </si>
  <si>
    <t>Union Kiswendsida de Koudougou</t>
  </si>
  <si>
    <t>Union BEOGO NEERE</t>
  </si>
  <si>
    <t>Union YiwoaZhena de Yierdion</t>
  </si>
  <si>
    <t>Pyononye de Ziladyr</t>
  </si>
  <si>
    <t>Soulou-nyē de Mousseo</t>
  </si>
  <si>
    <t>Union Paysanne de Tenado</t>
  </si>
  <si>
    <t>Yibula</t>
  </si>
  <si>
    <t>Sensonomic 1</t>
  </si>
  <si>
    <t>Technoserve / Sensonomic 1</t>
  </si>
  <si>
    <t>Ecodata / Technoserve / Sensonomic 1</t>
  </si>
  <si>
    <t>Ecodata = 1 - 342</t>
  </si>
  <si>
    <t>Sensonomic 2</t>
  </si>
  <si>
    <t>Sensonomic 3</t>
  </si>
  <si>
    <t>Exclusively Technoserve = 401 - 421</t>
  </si>
  <si>
    <t>Exclusively Sensonomic 1 (Sanguié, Centre-Ouest) = 430 - 496</t>
  </si>
  <si>
    <t>37. Dist centre transf (km)</t>
  </si>
  <si>
    <t>Soulougnè de Mousseo</t>
  </si>
  <si>
    <t>Goulou Nyè de Bouldié</t>
  </si>
  <si>
    <t>Korotou de Nigiolo N'tounou</t>
  </si>
  <si>
    <t>Yilawachio</t>
  </si>
  <si>
    <t>Essien</t>
  </si>
  <si>
    <t>juillet+CY61:CY74-sept</t>
  </si>
  <si>
    <t>Joceline</t>
  </si>
  <si>
    <t xml:space="preserve">Kanmouni </t>
  </si>
  <si>
    <t>Marie Brigitte</t>
  </si>
  <si>
    <t>BINTOU</t>
  </si>
  <si>
    <t>In the Group ID sheet, groups listed include unions including the 9 unions surveyed in the Technoserve surveys. To differentiate them from regular groups, the term 'union' is included in the organization name.</t>
  </si>
  <si>
    <t>In Sensonomic 1 survey, sold kernel volumes are presented in columns CE (2017) and CF (2018). Expected sale volumes in 2019 are presented in column CG.</t>
  </si>
  <si>
    <t>Data</t>
  </si>
  <si>
    <t>Ecodata / Sensonomic 2</t>
  </si>
  <si>
    <t>Exclusively Sensonomic 2 (Sud-Ouest) = 500 - 545</t>
  </si>
  <si>
    <t>Association Femmes Catholiques</t>
  </si>
  <si>
    <t>In Sensonomic 2 survey, sold kernel volumes are presented in columns CE (2017) and CF (2018). Expected sale volumes in 2019 are presented in column CG.</t>
  </si>
  <si>
    <t>Kernel volumes</t>
  </si>
  <si>
    <t>Ecodata / Sensonomic 3</t>
  </si>
  <si>
    <t>stockage, transformation, vente</t>
  </si>
  <si>
    <t>stockage, trasformation, vente</t>
  </si>
  <si>
    <t>transformation, vente</t>
  </si>
  <si>
    <t>In Sensonomic 3 survey, sold kernel volumes are presented in columns CE (2017) and CF (2018). Expected sale volumes in 2019 are presented in column CG. However this set of data is vastly overestimated and shouuuld not be used.</t>
  </si>
  <si>
    <t>Hauts Bassins, Houet, Karangasso-Sambla, Karangasso-Sambla, Secteur 3</t>
  </si>
  <si>
    <t>Sud ouest, Bougouriba, Iolonioro, Toména</t>
  </si>
  <si>
    <t>Tomena</t>
  </si>
  <si>
    <t>Tomena, Iolonioro, Bougouriba, Sud ouest</t>
  </si>
  <si>
    <t>Sud ouest, Poni, Loropeni, Secteur 4</t>
  </si>
  <si>
    <t>Secteur 4</t>
  </si>
  <si>
    <t>Secteur 4, Loropeni, Poni, Sud ouest</t>
  </si>
  <si>
    <t>Berewidougou</t>
  </si>
  <si>
    <t>Union Neeb La Nam</t>
  </si>
  <si>
    <t>Centre-nord, Sanmatenga, Pissila Secteur 5</t>
  </si>
  <si>
    <t>Centre-est, Kouritenga, Andemtenga, Songretenga</t>
  </si>
  <si>
    <t>Songretenga, Andemtenga, Kouritenga, Centre-est</t>
  </si>
  <si>
    <t>Centre-ouest, Sanguié, Didyr, Ziladyr</t>
  </si>
  <si>
    <t>Ziladyr</t>
  </si>
  <si>
    <t>Ziladyr, Didyr, Sanguié, Centre-ouest</t>
  </si>
  <si>
    <t>Kansane</t>
  </si>
  <si>
    <t>70321172 /54741615</t>
  </si>
  <si>
    <t>Quelle est l’appellation exacte de votre organisation ?</t>
  </si>
  <si>
    <t>In the Ecodata survey, column BB is the estimated average (or 2017) shea kernel production of the organization in kg.</t>
  </si>
  <si>
    <t>BG: Kernel quantity purchased from members in 2016</t>
  </si>
  <si>
    <t>BH: Kernel quantity sold in 2016</t>
  </si>
  <si>
    <t>BJ: Kernel quantity purchased from members in 2017</t>
  </si>
  <si>
    <t>BK: Kernel quantity sold in 2017</t>
  </si>
  <si>
    <t>BM: Kernel quantity purchased from members in 2018</t>
  </si>
  <si>
    <t>BN: Kernel quantity sold in 2018</t>
  </si>
  <si>
    <t>BQ: Kernel quantity you expect to purchase outside your members in 2019</t>
  </si>
  <si>
    <t>BP: Kernel quantity you expect to purchase from members in 2019</t>
  </si>
  <si>
    <t>BR: Kernel quantity you expect to sell in 2019</t>
  </si>
  <si>
    <t>A09. Nom du village</t>
  </si>
  <si>
    <t>A010. Votre appellation a-t-elle changé ?</t>
  </si>
  <si>
    <t>A14. Si oui, numéro d’identifiant ou agrément de l’organisation</t>
  </si>
  <si>
    <t>A16. Combien de groupements compte votre union ?</t>
  </si>
  <si>
    <t>A16 - 11. Quelle est l’appellation exacte du groupement 1 ?</t>
  </si>
  <si>
    <t>A16 - 12. Dans quel village est basé le groupement 1 ?</t>
  </si>
  <si>
    <t>A16 - 21. Quel est l’appellation exacte du groupement 2 ?</t>
  </si>
  <si>
    <t>A16 - 22. Dans quel village est basé ce groupement 2 ?</t>
  </si>
  <si>
    <t>A16 - 31. Quel est l’appellation exacte du groupement 3 ?</t>
  </si>
  <si>
    <t>A16 - 32. Dans quel village est basé ce groupement 3 ?</t>
  </si>
  <si>
    <t>A16 - 41. Quel est l’appellation exacte du groupement 4 ?</t>
  </si>
  <si>
    <t>A16 - 42. Dans quel village est basé ce groupement 4 ?</t>
  </si>
  <si>
    <t>A16 - 51. Quel est l’appellation exacte du groupement 5 ?</t>
  </si>
  <si>
    <t>A16 - 52. Dans quel village est basé ce groupement 5 ?</t>
  </si>
  <si>
    <t>A16 - 61. Quelle est l’appellation exacte du groupement 6 ?</t>
  </si>
  <si>
    <t>A16 - 62. Dans quel village est basé ce groupement 6 ?</t>
  </si>
  <si>
    <t>A16 - 71. Quel est l’appellation exacte du groupement 7 ?</t>
  </si>
  <si>
    <t>A16 - 72. Dans quel village est basé ce groupement 7 ?</t>
  </si>
  <si>
    <t>A16 - 81. Quel est l’appellation exacte du groupement 8 ?</t>
  </si>
  <si>
    <t>A16 - 82. Dans quel village est basé ce groupement 8 ?</t>
  </si>
  <si>
    <t>A16 - 91. Quel est l’appellation exacte du groupement 9 ?</t>
  </si>
  <si>
    <t>A16 - 92. Dans quel village est basé ce groupement ?</t>
  </si>
  <si>
    <t>A16 - 101. Quel est l’appellation exacte du groupement 10 ?</t>
  </si>
  <si>
    <t>A16 - 102. Dans quel village est basé ce groupement 10 ?</t>
  </si>
  <si>
    <t>B02. Etes-vous habitué à contractualiser vos ventes ?</t>
  </si>
  <si>
    <t>B03. Quelle proportion d’amande vendez-vous sur base de contrat/facture pro forma/bon de commande?</t>
  </si>
  <si>
    <t>C01. Quel type de produit de karité achetez-vous de vos groupements ?</t>
  </si>
  <si>
    <t>C02. Quel type de produit de karité achetez-vous en dehors de vos groupements ?</t>
  </si>
  <si>
    <t>C03. Quel type de produit de karité vendez-vous ?</t>
  </si>
  <si>
    <t>C03.1 Quel type de produit de karité vendez-vous ?</t>
  </si>
  <si>
    <t>C03. 1. Quelle quantité de fruit avez-vous acheté de vos groupements en 2016 ?</t>
  </si>
  <si>
    <t>C03. 2. Quelle quantité de fruit avez-vous acheté en dehors de vos groupements en 2016 ?</t>
  </si>
  <si>
    <t>C3. 3. Quelle quantité de fruit avez-vous vendu en 2016 ?</t>
  </si>
  <si>
    <t>C3. 4. Quelle quantité de fruit avez-vous acheté de vos groupements en 2017 ?</t>
  </si>
  <si>
    <t>C3. 5. Quelle quantité de fruit avez-vous acheté en dehors de vos groupements en 2017 ?</t>
  </si>
  <si>
    <t>C3. 6. Quelle quantité de fruit avez-vous vendu en 2017 ?</t>
  </si>
  <si>
    <t>C3. 7. Quelle quantité de fruit avez-vous acheté de vos groupements en 2018 ?</t>
  </si>
  <si>
    <t>C3. 8. Quelle quantité de fruit avez-vous acheté en dehors de vos groupements en 2018 ?</t>
  </si>
  <si>
    <t>C3. 9 Quelle quantité de fruit avez-vous vendu en 2018 ?</t>
  </si>
  <si>
    <t>C3. 10 Quelle quantité de fruit estimez-vous acheter de vos groupements en 2019 ?</t>
  </si>
  <si>
    <t>C3. 1.11. Quelle quantité de fruit estimez -vous acheter en dehors de vos groupements en 2019 ?</t>
  </si>
  <si>
    <t>C3. 1.12 Quelle quantité de fruit estimez -vous vendre en 2019 ?</t>
  </si>
  <si>
    <t>C03. 2.1 Quelle quantité de noix avez-vous acheté de vos groupements en 2016 ?</t>
  </si>
  <si>
    <t>C03. 2.2 Quelle quantité de noix avez-vous acheté en dehors de vos groupements en 2016 ?</t>
  </si>
  <si>
    <t>C03. 2.3. Quelle quantité de noix avez-vous vendu en 2016 (Tonne) ?</t>
  </si>
  <si>
    <t>C03. 2.4 Quelle quantité de noix avez-vous acheté de vos groupements en 2017 (Tonne) ?</t>
  </si>
  <si>
    <t>C03. 2.5 Quelle quantité de noix avez-vous acheté en dehors de vos groupements en 2017 (Tonne) ?</t>
  </si>
  <si>
    <t>C03. 2.6. Quelle quantité de noix avez-vous vendu en 2017 (Tonne) ?</t>
  </si>
  <si>
    <t>C03. 2.7. Quelle quantité de noix avez-vous acheté de vos groupements en 2018 (Tonne) ?</t>
  </si>
  <si>
    <t>C03. 2.8 Quelle quantité de noix avez-vous acheté en dehors de vos groupements en 2018 (Tonne) ?</t>
  </si>
  <si>
    <t>C03. 2.9 Quelle quantité de noix avez-vous vendu en 2018 (Tonne) ?</t>
  </si>
  <si>
    <t>C03. 2.10. Quelle quantité de noix estimez-vous acheter de vos groupements en 2019 (Tonne) ?</t>
  </si>
  <si>
    <t>C03. 2.11. Quelle quantité de noix estimez -vous acheter en dehors de vos groupements en 2019 (Tonne) ?</t>
  </si>
  <si>
    <t>C03. 2.12 Quelle quantité d'amandes estimez -vous vendre en 2019 (Tonne) ?</t>
  </si>
  <si>
    <t>C03. 3.1 Quelle quantité d'amandes avez-vous acheté de vos groupements en 2016 ?</t>
  </si>
  <si>
    <t>C03. 3.2 Quelle quantité d'amandes avez-vous acheté en dehors de vos groupements en 2016 ?</t>
  </si>
  <si>
    <t>C03. 3.3 Quelle quantité d'amandes avez-vous vendu en 2016 ?</t>
  </si>
  <si>
    <t>C03. 3.4 Quelle quantité d'amandes avez-vous acheté de vos groupements en 2017 ?</t>
  </si>
  <si>
    <t>C03. 3.5 Quelle quantité d'amandes avez-vous acheté en dehors de vos membres en 2017 ?</t>
  </si>
  <si>
    <t>C03. 3.6 Quelle quantité d'amandes avez-vous vendu en 2017 ?</t>
  </si>
  <si>
    <t>C03. 3.7 Quelle quantité d'amandes avez-vous acheté de vos groupements en 2018 ?</t>
  </si>
  <si>
    <t>C03. 3.8 Quelle quantité d'amandes avez-vous acheté en dehors de vos groupements en 2018 ?</t>
  </si>
  <si>
    <t>C03. 3.9 Quelle quantité d'amandes avez-vous vendu en 2018 ?</t>
  </si>
  <si>
    <t>C03. 3.10 Quelle quantité d'amandes estimez-vous acheter de vos groupements en 2019 ?</t>
  </si>
  <si>
    <t>C03. 3.11 Quelle quantité d'amandes estimez -vous acheter en dehors de vos groupements en 2019 ?</t>
  </si>
  <si>
    <t>C03. 3.12 Quelle quantité d'amandes estimez -vous vendre en 2019 ?</t>
  </si>
  <si>
    <t>C03. 4.1 Quelle quantité de beurre avez-vous acheté de vos groupements en 2016 (Tonne) ?</t>
  </si>
  <si>
    <t>C03. 4.2 Quelle quantité de beurre avez-vous acheté en dehors de vos groupements en 2016 (Tonne) ?</t>
  </si>
  <si>
    <t>C03. 4.3 Quelle quantité de beurre avez-vous vendu en 2016 (Tonne) ?</t>
  </si>
  <si>
    <t>C03. 4.4 Quelle quantité de beurre avez-vous acheté de vos groupements en 2017 (Tonne) ?</t>
  </si>
  <si>
    <t>C03. 4.5 Quelle quantité de beurre avez-vous acheté en dehors de vos groupements en 2017 (Tonne) ?</t>
  </si>
  <si>
    <t>C03. 4.6 Quelle quantité de beurre avez-vous vendu en 2017 (Tonne) ?</t>
  </si>
  <si>
    <t>C03. 4.7 Quelle quantité de beurre avez-vous acheté de vos groupements en 2018 (Tonne) ?</t>
  </si>
  <si>
    <t>C03. 4.8 Quelle quantité de beurre avez-vous acheté en dehors de vos groupements en 2018 (Tonne) ?</t>
  </si>
  <si>
    <t>C03. 4.9 Quelle quantité de beurre avez-vous vendu en 2018 (Tonne) ?</t>
  </si>
  <si>
    <t>C03. 4.10 Quelle quantité de beurre estimez-vous acheter de vos groupements en 2019 (Tonne) ?</t>
  </si>
  <si>
    <t>C03. 4.11 Quelle quantité de beurre estimez -vous acheter en dehors de vos groupements en 2019 (Tonne) ?</t>
  </si>
  <si>
    <t>C03. 4.12 Quelle quantité de beurre estimez -vous vendre en 2019 (Tonne) ?</t>
  </si>
  <si>
    <t>E05. Quels modes de paiement utilise l'union pour payer ses membres ?</t>
  </si>
  <si>
    <t>E06. Quel mode de paiement l'union préfère le plus pour payer ses membres ?</t>
  </si>
  <si>
    <t>E07. Quels délais de paiement effectue l'union pour payer ses membres ?</t>
  </si>
  <si>
    <t>E08. Quel délai de paiement l'union préfère le plus pour payer ses membres ?</t>
  </si>
  <si>
    <t>E14. Selon vous quel mode de livraison serait souhaitable ?</t>
  </si>
  <si>
    <t>E15. Quels modes de transport sont à votre disposition pour effectuer des livraisons de karité ?</t>
  </si>
  <si>
    <t>E15. 11 A pied , jusqu’ à quelle distance êtes-vous capable à livrer (km) ?</t>
  </si>
  <si>
    <t>E15. 12 A pied, jusqu’à quel volume êtes-vous capable à livrer (Kg) ?</t>
  </si>
  <si>
    <t>E15. 21 En charrette , jusqu’ à quelle distance êtes-vous capable à livrer (km) ?</t>
  </si>
  <si>
    <t>E15. 22 En charrette, jusqu’à quel volume êtes-vous capable à livrer (Kg) ?</t>
  </si>
  <si>
    <t>E15. 31 A vélo , jusqu’à quelle distance êtes-vous capable à livrer (km) ?</t>
  </si>
  <si>
    <t>E15. 32 A vélo, jusqu’à quel volume êtes-vous capable à livrer (Kg) ?</t>
  </si>
  <si>
    <t>E15. 41 En moto/tricycle , jusqu’ à quelle distance êtes-vous capable à livrer (km) ?</t>
  </si>
  <si>
    <t>E15. 42 En moto/tricycle,jusqu’à quel volume êtes-vous capable à livrer (Kg) ?</t>
  </si>
  <si>
    <t>E15. 51 En Camion , jusqu’ à quelle distance êtes-vous capable à livrer (km) ?</t>
  </si>
  <si>
    <t>E15. 52 En Camion, jusqu’à quel volume êtes-vous capable à livrer (Kg) ?</t>
  </si>
  <si>
    <t>E16. Quels sont les difficultés de livraison que vous vivez dans le domaine du karité ? (Question ouverte)</t>
  </si>
  <si>
    <t>E16. Quels sont les difficultés de livraison que vous vivez dans le domaine du karité ?</t>
  </si>
  <si>
    <t>E17. Selon vous, quelles solutions ou appuis pourrait offrir un acheteur pour vous aider à faire face à ces difficultés ? (Question ouverte)</t>
  </si>
  <si>
    <t>E17. Selon vous, quelles solutions ou appuis pourrait offrir un acheteur pour vous aider à faire face à ces difficultés ?</t>
  </si>
  <si>
    <t>E18. De combien de magasins dispose l'union?</t>
  </si>
  <si>
    <t>E18. 11. Quelle est le nom du village où se situe le magasin 1 ?</t>
  </si>
  <si>
    <t>E18. 12. Le magasin 1 est-il en bon état (facilement accessible, l’eau ne peut pas entrer, il existe un système d’aération, il y a des portes/fenêtres qui ferment a clé) ?</t>
  </si>
  <si>
    <t>E18. 13. Quelle est la capacité de stockage du magasin 1 (kg) ?</t>
  </si>
  <si>
    <t>E18. 21. Quelle est le nom du village où se situe le magasin 2 ?</t>
  </si>
  <si>
    <t>E18. 22. Le magasin 2 est-il en bon état (facilement accessible, l’eau ne peut pas entrer, il existe un système d’aération, il y a des portes/fenêtres qui ferment a clé) ?</t>
  </si>
  <si>
    <t>E18. 23. Quelle est la capacité de stockage du magasin 2 (kg) ?</t>
  </si>
  <si>
    <t>E18. 31. Quelle est le nom du village où se situe le magasin 3 ?</t>
  </si>
  <si>
    <t>E18. 32. Le magasin 3 est-il en bon état (facilement accessible, l’eau ne peut pas entrer, il existe un système d’aération, il y a des portes/fenêtres qui ferment a clé) ?</t>
  </si>
  <si>
    <t>E18. 31. Quelle est la capacité de stockage du magasin 3 (kg) ?</t>
  </si>
  <si>
    <t>E18. 41. Quelle est le nom du village où se situe le magasin 4 ?</t>
  </si>
  <si>
    <t>E18. 42. Le magasin 4 est-il en bon état (facilement accessible, l’eau ne peut pas entrer, il existe un système d’aération, il y a des portes/fenêtres qui ferment a clé) ?</t>
  </si>
  <si>
    <t>E18. 43. Quelle est la capacité de stockage du magasin 4 (kg) ?</t>
  </si>
  <si>
    <t>E18. 51. Quelle est le nom du village où se situe le magasin 5 ?</t>
  </si>
  <si>
    <t>E18. 52. Le magasin 5 est-il en bon état (facilement accessible, l’eau ne peut pas entrer, il existe un système d’aération, il y a des portes/fenêtres qui ferment a clé) ?</t>
  </si>
  <si>
    <t>E18. 53. Quelle est la capacité de stockage du magasin 5 (kg) ?</t>
  </si>
  <si>
    <t>F02. Listez les noms des villages où vos membres collectent des fruits au niveau des zones d’habitation ou des champs privés</t>
  </si>
  <si>
    <t>G03. Numéro téléphone 2 : (+226)</t>
  </si>
  <si>
    <t>Kiemtoré</t>
  </si>
  <si>
    <t>Union paysanne de Ténado</t>
  </si>
  <si>
    <t>Union / Fédération</t>
  </si>
  <si>
    <t>Groupement Yi Dwi Yal Ne Noa Nab</t>
  </si>
  <si>
    <t>Poun</t>
  </si>
  <si>
    <t>Groupement sulu nyè</t>
  </si>
  <si>
    <t>doudou</t>
  </si>
  <si>
    <t>groupement ze se yi se mo</t>
  </si>
  <si>
    <t>baguiomo(bouyou)</t>
  </si>
  <si>
    <t>Groupement féminin nyi dwi wokélé</t>
  </si>
  <si>
    <t>groupement féminin nyi dwii nyè</t>
  </si>
  <si>
    <t>groupement féminin yiwoyo</t>
  </si>
  <si>
    <t>kaboro</t>
  </si>
  <si>
    <t>groupement jingnan de tenado</t>
  </si>
  <si>
    <t>groupement blégnè de balélédo</t>
  </si>
  <si>
    <t>balélédo</t>
  </si>
  <si>
    <t>groupement kédoinignè de koukouldi</t>
  </si>
  <si>
    <t>koukouldi</t>
  </si>
  <si>
    <t>groupement ce dwa ne nyèv</t>
  </si>
  <si>
    <t>Amande, Beurre</t>
  </si>
  <si>
    <t>Prix,idées</t>
  </si>
  <si>
    <t>Ouvert au dialogue (Idées), Bon prix</t>
  </si>
  <si>
    <t>Manque de moyen de transport, d'équipements</t>
  </si>
  <si>
    <t>Manque d’équipements de transformation, Difficulté d'approvisionnement des équipements de transformation, Manque de moyens de transport</t>
  </si>
  <si>
    <t>Besoin d'équipements et moyen de transport</t>
  </si>
  <si>
    <t>Besoin en moyens de transport, Besoin en équipement</t>
  </si>
  <si>
    <t>Acquisition de nouvelles connaissances</t>
  </si>
  <si>
    <t>On achète directement les amandes avec les membres</t>
  </si>
  <si>
    <t>Accès aux equipements</t>
  </si>
  <si>
    <t>L'acheteur vient chercher</t>
  </si>
  <si>
    <t>Besoin de moyen de transport</t>
  </si>
  <si>
    <t>Foret villageoise (réserve), Champs de village ou de brousse privés, Foret étatique (classée)</t>
  </si>
  <si>
    <t>Batondo,kaboro</t>
  </si>
  <si>
    <t>koualeo</t>
  </si>
  <si>
    <t>forêt classée étatique de tiogo, forêt classée de Latie</t>
  </si>
  <si>
    <t>Bargo</t>
  </si>
  <si>
    <t>Federation New karikis</t>
  </si>
  <si>
    <t>New Karikis International</t>
  </si>
  <si>
    <t>Kiswensida de pabre</t>
  </si>
  <si>
    <t>kiswendsida de Dabare</t>
  </si>
  <si>
    <t>Toudweogo</t>
  </si>
  <si>
    <t>Sougri nooma</t>
  </si>
  <si>
    <t>Tabghin Dassouri</t>
  </si>
  <si>
    <t>kiswendsida de Guilingou</t>
  </si>
  <si>
    <t>Guilingou</t>
  </si>
  <si>
    <t>Malgre-Nooma</t>
  </si>
  <si>
    <t>Nagreongo</t>
  </si>
  <si>
    <t>Sapone</t>
  </si>
  <si>
    <t>APES</t>
  </si>
  <si>
    <t>s'il est loyal</t>
  </si>
  <si>
    <t>problème de transport. manque de camions pour livrer, électricité car délestage fréquent.</t>
  </si>
  <si>
    <t>dotations de camions et plaques solaires</t>
  </si>
  <si>
    <t>question de concurrence</t>
  </si>
  <si>
    <t>problèmes de moyens de transport pour livrer</t>
  </si>
  <si>
    <t>dotation en moyens de transport</t>
  </si>
  <si>
    <t>Camion, Moto/tricycle</t>
  </si>
  <si>
    <t>coût du carburant, manque de camions</t>
  </si>
  <si>
    <t>venir chercher sa commande</t>
  </si>
  <si>
    <t>ne ramasse pas de fruits</t>
  </si>
  <si>
    <t>ne ramasse pas</t>
  </si>
  <si>
    <t>Félicité</t>
  </si>
  <si>
    <t>https://insyt-api.esoko.com/api/v1/surveys/blobs/e150878c-46d3-4496-a6db-800253d1ef92.jpg</t>
  </si>
  <si>
    <t>https://insyt-api.esoko.com/api/v1/surveys/blobs/eacdb747-e14b-413a-b184-e5c6eca51652.jpg</t>
  </si>
  <si>
    <t>secteur3 de kombissiri</t>
  </si>
  <si>
    <t>n n00000516901</t>
  </si>
  <si>
    <t>association de collecte des amandes</t>
  </si>
  <si>
    <t>kouhassa</t>
  </si>
  <si>
    <t>association des collectriece des amandes de karité</t>
  </si>
  <si>
    <t>bebtenga</t>
  </si>
  <si>
    <t>association des femmes collectrice des amandes</t>
  </si>
  <si>
    <t>kamsonghin</t>
  </si>
  <si>
    <t>Fruit</t>
  </si>
  <si>
    <t>le prix d'achat du kg et le contrat</t>
  </si>
  <si>
    <t>Formalisation de la relation commerciale (Acceptation de signer un contrat ), Fidelite(Loyauté, sincerite, Confiance, respect des engagements)</t>
  </si>
  <si>
    <t>problème technique</t>
  </si>
  <si>
    <t>Problème Electricité (Coupure de courant), Manque de moyens financiers (Fonds insuffisants), Manque d'eau pour la transformation, Difficulté d'approvisionnement des équipements de transformation</t>
  </si>
  <si>
    <t>avoir des équipement en bon état et moderne</t>
  </si>
  <si>
    <t>Besoin de partenaires financiers, Besoin d'assistance technique, Besoin d’infrastructure en eau = Forage</t>
  </si>
  <si>
    <t>pour plus de prudence</t>
  </si>
  <si>
    <t>L’acheteur vient chercher, Je livre</t>
  </si>
  <si>
    <t>manque de moyens de transport de bonne qualité</t>
  </si>
  <si>
    <t>avoir des moyens de transport en bon état</t>
  </si>
  <si>
    <t>Zone d’habitation (Champs de case), Foret villageoise (réserve), Zones de jachères et de brousse non-cultivée en ce moment autour du village en général accessible à tous</t>
  </si>
  <si>
    <t>kouhassa, bebtenga</t>
  </si>
  <si>
    <t>doulgou, toessé</t>
  </si>
  <si>
    <t>doulgou toessé</t>
  </si>
  <si>
    <t>Mme NONGUIERMA</t>
  </si>
  <si>
    <t>Magloire</t>
  </si>
  <si>
    <t>Secteur N2 route de Guy</t>
  </si>
  <si>
    <t>2006-023/MATD/RCOS/PBIK/DKDG du 26 Avril 2006</t>
  </si>
  <si>
    <t>Buudnooma</t>
  </si>
  <si>
    <t>Secteur n2 de koudougou</t>
  </si>
  <si>
    <t>kokologo Secteur 1</t>
  </si>
  <si>
    <t>Secteur 10 koudougou</t>
  </si>
  <si>
    <t>Wend panga 1</t>
  </si>
  <si>
    <t>Wend panga 2</t>
  </si>
  <si>
    <t>Secteur 3 koudougou</t>
  </si>
  <si>
    <t>Wendraabo</t>
  </si>
  <si>
    <t>Secteur 1 koudougou</t>
  </si>
  <si>
    <t>Association y croire du Boulkiemdé</t>
  </si>
  <si>
    <t>Association Tags-beog yellé</t>
  </si>
  <si>
    <t>Secteur 2 koudougou</t>
  </si>
  <si>
    <t>Hunyu</t>
  </si>
  <si>
    <t>Suugr-nooma</t>
  </si>
  <si>
    <t>Nandiala</t>
  </si>
  <si>
    <t>.Respect des engagements 
. Payer plus que l'acheteur actuel</t>
  </si>
  <si>
    <t>Ouvert au dialogue (Idées), Formalisation de la relation commerciale (Acceptation de signer un contrat ), Fidelite(Loyauté, sincerite, Confiance, respect des engagements), Flexibilité (Bonnes conditions)</t>
  </si>
  <si>
    <t>. Matériel non adapté</t>
  </si>
  <si>
    <t>Manque d'assistance technique, Manque de moyens de transport, Manque d’équipements de transformation, Manque de moyens financiers (Fonds insuffisants), Manque d’équipement adéquats pour la transformation, Manque d'eau pour la transformation, Difficulté d'approvisionnement des équipements de transformation</t>
  </si>
  <si>
    <t>Dotation en équipements adaptés</t>
  </si>
  <si>
    <t>Besoin en moyens de transport, Besoin équipements modernises, Besoin d’infrastructure en eau = Forage, Besoin de partenaires financiers, Besoin en équipement, Besoin en plaques solaires, Besoin d'assistance technique, Besoin de centres modernises</t>
  </si>
  <si>
    <t>Vaut mieux améliorer le centre déjà existant</t>
  </si>
  <si>
    <t>Améliorer le centre déjà existant</t>
  </si>
  <si>
    <t>Si et seulement si y'a un partenariat</t>
  </si>
  <si>
    <t>s'il y'a un partenariat</t>
  </si>
  <si>
    <t>Qualité du service, Bonne collaboration, Prix abordable, Accès/usage de nouveaux équipements</t>
  </si>
  <si>
    <t>Puis qu'on vend déjà nos amandes</t>
  </si>
  <si>
    <t>Payé à la livraison</t>
  </si>
  <si>
    <t>Souvent sur la qualité du produit</t>
  </si>
  <si>
    <t>Sensibiliser les transformatrices sur la qualité</t>
  </si>
  <si>
    <t>Zones de jachères et de brousse non-cultivée en ce moment autour du village en général accessible à tous, Champs de village ou de brousse privés</t>
  </si>
  <si>
    <t>Villy, Ralo, Guy, Reo, Didyr, Reo, Tenado</t>
  </si>
  <si>
    <t>Salbisgyo</t>
  </si>
  <si>
    <t>Guisou</t>
  </si>
  <si>
    <t>Issaka</t>
  </si>
  <si>
    <t>Noongtaaba</t>
  </si>
  <si>
    <t>Goulouré</t>
  </si>
  <si>
    <t>pas de groupement 2</t>
  </si>
  <si>
    <t>la sincérité,le bon prix</t>
  </si>
  <si>
    <t>Bon prix , Flexibilité (Bonnes conditions), Fidelite(Loyauté, sincerite, Confiance, respect des engagements)</t>
  </si>
  <si>
    <t>manque de magasins de stockage, manque de moyens financiers</t>
  </si>
  <si>
    <t>aide en équipements de transformation, besoins de centre de transformation</t>
  </si>
  <si>
    <t>Besoin de partenaires financiers, Besoin en équipement, Besoin équipements modernises, Besoin d'assistance technique, Besoin de centres modernises</t>
  </si>
  <si>
    <t>j 'évite la concurrence</t>
  </si>
  <si>
    <t>la qualité du service</t>
  </si>
  <si>
    <t>la proximité</t>
  </si>
  <si>
    <t>Qualité du service, Proximité du centre, Bonne collaboration</t>
  </si>
  <si>
    <t>la confiance en soi</t>
  </si>
  <si>
    <t>moins 1</t>
  </si>
  <si>
    <t>kokologho</t>
  </si>
  <si>
    <t>Union NEEB LA NAM</t>
  </si>
  <si>
    <t>19-SCU-003/BF/RCOS/PBLK</t>
  </si>
  <si>
    <t>WENDENSO</t>
  </si>
  <si>
    <t>TEEGAWENDE</t>
  </si>
  <si>
    <t>PELLA/KANDAGA</t>
  </si>
  <si>
    <t>TEEL-TAABA</t>
  </si>
  <si>
    <t>POA/GODIN</t>
  </si>
  <si>
    <t>RELWENDE</t>
  </si>
  <si>
    <t>IMASGO/RANA</t>
  </si>
  <si>
    <t>Si le nouvel acheteur accepte de signer un contrat avec nous. Si son prix est meilleur que notre ancien acheteur et s'il nous promet de nous rester fidèle.</t>
  </si>
  <si>
    <t>Bon prix , Fidelite(Loyauté, sincerite, Confiance, respect des engagements), Formalisation de la relation commerciale (Acceptation de signer un contrat )</t>
  </si>
  <si>
    <t>Notre centre ne dispose pas de matériels adaptés et performants nous permettant de transformer nos amandes en grande quantité.</t>
  </si>
  <si>
    <t>Pour résoudre ces problèmes nous souhaitons avoir un partenaire qui pourra nous financer pour l'achat de nos matériels.</t>
  </si>
  <si>
    <t>Parce-que nous pourrons utiliser ce centre pour la transformation de nos amandes de karité.</t>
  </si>
  <si>
    <t>Contribution a la transformation du surplus de karité</t>
  </si>
  <si>
    <t>Parce que notre centre ne dispose pas de matériels adaptés pour la transformation des amandes de karité.</t>
  </si>
  <si>
    <t>Notre union n'achète pas de noix. Elle ne ramasse pas les noix donc elle ne transforme pas les noix en amandes. Aucune motivation</t>
  </si>
  <si>
    <t>Si les frais de transformation sont abordables et que le matériel que dispose ce centre est plus performant que le matériel que dispose notre union nous serons motiver à y rendre pour transformer nos amandes</t>
  </si>
  <si>
    <t>Manque de confiance et problèmes d'hygiène.</t>
  </si>
  <si>
    <t>Les problèmes de fond de roulement, problèmes de moyens de transport.</t>
  </si>
  <si>
    <t>Si le nouvel acheteur peut nous aider avec un fond de roulement comme crédit et nous allons lui rembourser par tranche.</t>
  </si>
  <si>
    <t>Nous n'avons pas de moyens de transport pour la livraison de nos marchandises, nous louons un camion donc les frais de transport sont élevés.</t>
  </si>
  <si>
    <t>Si l'acheteur peut prendre en charge les frais de transport de livraison de ses amandes ou-bien il peut venir chercher ses amandes avec son moyen de déplacement.</t>
  </si>
  <si>
    <t>https://insyt-api.esoko.com/api/v1/surveys/blobs/6f6fe341-5535-4d9d-a170-0c5e574814f8.jpg</t>
  </si>
  <si>
    <t>Joséphine</t>
  </si>
  <si>
    <t>toudoub weogo</t>
  </si>
  <si>
    <t>Union Beogo neere</t>
  </si>
  <si>
    <t>2019_052</t>
  </si>
  <si>
    <t>beog yinga</t>
  </si>
  <si>
    <t>ayou</t>
  </si>
  <si>
    <t>nabonswende</t>
  </si>
  <si>
    <t>passore</t>
  </si>
  <si>
    <t>wend songdo</t>
  </si>
  <si>
    <t>doulgou</t>
  </si>
  <si>
    <t>wend kuuni</t>
  </si>
  <si>
    <t>kombisiri</t>
  </si>
  <si>
    <t>sourbila</t>
  </si>
  <si>
    <t>koulweogo</t>
  </si>
  <si>
    <t>kiswend sida</t>
  </si>
  <si>
    <t>zitenga</t>
  </si>
  <si>
    <t>lagme yinsgo</t>
  </si>
  <si>
    <t>toudoubweogo</t>
  </si>
  <si>
    <t>relwende 1</t>
  </si>
  <si>
    <t>nanoro</t>
  </si>
  <si>
    <t>relwende 2</t>
  </si>
  <si>
    <t>wend kuuni 2</t>
  </si>
  <si>
    <t>basega</t>
  </si>
  <si>
    <t>si l'acheteur propose mieux que les autres</t>
  </si>
  <si>
    <t>Bon prix , Fidelite(Loyauté, sincerite, Confiance, respect des engagements)</t>
  </si>
  <si>
    <t>manque d'eau l'eau coûte très cher elles n'ont pas de courant</t>
  </si>
  <si>
    <t>Manque d’équipements de transformation, Manque d’équipement adéquats pour la transformation, Manque d'eau pour la transformation</t>
  </si>
  <si>
    <t>si elle pouvait avoir un robinet et le courant ou les plaques</t>
  </si>
  <si>
    <t>Besoin en équipement, Besoin d’infrastructure en eau = Forage</t>
  </si>
  <si>
    <t>le quartier appartient a tout le monde</t>
  </si>
  <si>
    <t>parce que nous avons un centre propre a nous</t>
  </si>
  <si>
    <t>du moment ou j'ai le matériel j'ai pas a aller l'ABA</t>
  </si>
  <si>
    <t>nous avions tout le nécessaire chez nous donc je n'est pas a aller laba</t>
  </si>
  <si>
    <t>nous pouvons le faire nous même dans notre centre du moment ou nous avons tous le matériel</t>
  </si>
  <si>
    <t>certains clients paient a crédit et pourtant nous avions besoin d'argent</t>
  </si>
  <si>
    <t>Retard de payement</t>
  </si>
  <si>
    <t>qu'il nous paie la totalité de l'argent et qu'il respecte le contract et les engagements</t>
  </si>
  <si>
    <t>Besoin d'aide financière, Besoin de paiement instantané</t>
  </si>
  <si>
    <t>si on pouvait avoir plus de camions pour la livraison</t>
  </si>
  <si>
    <t>Zone d’habitation (Champs de case), Foret villageoise (réserve), Champs de village ou de brousse privés</t>
  </si>
  <si>
    <t>togin, souli, bagleogo</t>
  </si>
  <si>
    <t>silmiougou</t>
  </si>
  <si>
    <t>tankuilga</t>
  </si>
  <si>
    <t>rouamba</t>
  </si>
  <si>
    <t>https://insyt-api.esoko.com/api/v1/surveys/blobs/773694be-42c3-492f-bea2-23ab560685b2.jpg</t>
  </si>
  <si>
    <t>https://insyt-api.esoko.com/api/v1/surveys/blobs/ad0d6b2f-a298-47a0-81e7-7586891f6382.jpg</t>
  </si>
  <si>
    <t>kanssane</t>
  </si>
  <si>
    <t>54741615 / 70321172</t>
  </si>
  <si>
    <t>didyr/yerdion</t>
  </si>
  <si>
    <t>Union Yiwazhena de Yerdion</t>
  </si>
  <si>
    <t>18-SC_S-007/BF/RCOS/PSNG</t>
  </si>
  <si>
    <t>bakouando</t>
  </si>
  <si>
    <t>dollo</t>
  </si>
  <si>
    <t>koroto</t>
  </si>
  <si>
    <t>ladiou</t>
  </si>
  <si>
    <t>yiwazhena</t>
  </si>
  <si>
    <t>pyatiene</t>
  </si>
  <si>
    <t>piatiene dourega</t>
  </si>
  <si>
    <t>goulou nye</t>
  </si>
  <si>
    <t>Bouldie</t>
  </si>
  <si>
    <t>dwane nye</t>
  </si>
  <si>
    <t>Amande, Beurre, Noix</t>
  </si>
  <si>
    <t>de meilleures conditions de collaboration et de partenariat financier</t>
  </si>
  <si>
    <t>Ouvert au dialogue (Idées), Bon prix , Formalisation de la relation commerciale (Acceptation de signer un contrat ), Flexibilité (Bonnes conditions), Fidelite(Loyauté, sincerite, Confiance, respect des engagements)</t>
  </si>
  <si>
    <t>nous ne disposons pas d'un centre de transformation adapté avec du bon matériel et nos magasin de stockage sont insuffisant , aussi nous manquons d'assistance et de fonds pour nos activités</t>
  </si>
  <si>
    <t>Manque d'assistance technique, Problème Electricité (Coupure de courant), Manque de centres de transformation, Manque de moyens de transport, Manque d’équipements de transformation, Manque de moyens financiers (Fonds insuffisants), Manque d’équipement adéquats pour la transformation</t>
  </si>
  <si>
    <t>au risque de ne pas faire d'erreur en listant ,nous acceptons tout aides pouvant aider à promouvoir la filière karité dans toutes ses forme</t>
  </si>
  <si>
    <t>comprenez par ce refus ,une réelle envie de contribué au lancement et à la promotion de la filière karité dans tous ses aspect par nous même d'abord !</t>
  </si>
  <si>
    <t>ne se prononce pas vu que nos conditions ne sont pas réunit</t>
  </si>
  <si>
    <t>sans doute la qualité du service et aussi les conditions de travail ,de partenariat financier et aussi des faveurs qui en découlent</t>
  </si>
  <si>
    <t>sans doute la qualité du service et aussi les conditions de travail et de partenariat financier et surtout des faveurs qui en découlent</t>
  </si>
  <si>
    <t>nous voudrions faire partie des activités afin de nous améliorer et en profiter aussi</t>
  </si>
  <si>
    <t>payement cash à la livraison</t>
  </si>
  <si>
    <t>les coût du transport sont trop élevé et cela nous défavorise et nous ne disposons pas de moyen de transport</t>
  </si>
  <si>
    <t>l'acquisition de moyen de transport</t>
  </si>
  <si>
    <t>yerdion</t>
  </si>
  <si>
    <t>Zone d’habitation (Champs de case), Champs de village ou de brousse privés</t>
  </si>
  <si>
    <t>dollo 
ladiou
kwen
nigielo 
manzoumou
gouldie
gpumie</t>
  </si>
  <si>
    <t>dollo
ladiou
kwen
nigielo
manzoumou
gouldie
goumie</t>
  </si>
  <si>
    <t>evour</t>
  </si>
  <si>
    <t>https://insyt-api.esoko.com/api/v1/surveys/blobs/9f29be98-847d-48bd-a66f-b3a4fc2f4bc5.jpg</t>
  </si>
  <si>
    <t>https://insyt-api.esoko.com/api/v1/surveys/blobs/6bbeb683-faa3-4ec7-aded-ede59ca868d6.jpg</t>
  </si>
  <si>
    <t>Union communale des transformatrices des PFNL</t>
  </si>
  <si>
    <t>2014-19</t>
  </si>
  <si>
    <t>chelesyli</t>
  </si>
  <si>
    <t>yeroudjon</t>
  </si>
  <si>
    <t>Ceneye (kéneyen)</t>
  </si>
  <si>
    <t>dassa(soldir)</t>
  </si>
  <si>
    <t>yiboula</t>
  </si>
  <si>
    <t>dassa 1</t>
  </si>
  <si>
    <t>kanwoukélés</t>
  </si>
  <si>
    <t>divolet</t>
  </si>
  <si>
    <t>tiédonyen</t>
  </si>
  <si>
    <t>bachikoré</t>
  </si>
  <si>
    <t>?</t>
  </si>
  <si>
    <t>si celui-ci est quelqu'un de confiance et aussi Fidèle.</t>
  </si>
  <si>
    <t>Fidelite(Loyauté, sincerite, Confiance, respect des engagements)</t>
  </si>
  <si>
    <t>Insuffisance de matériel de transformation(concasseurs et broyeurs),et la disponibilité de l'eau ainsi que l'absence de moyen de déplacement (véhicules et motos ).</t>
  </si>
  <si>
    <t>Manque de moyens financiers (Fonds insuffisants), Manque d'eau pour la transformation, Manque de moyens de transport</t>
  </si>
  <si>
    <t>si possible un financement pour acquérir le matériel, et un forage d'eau.</t>
  </si>
  <si>
    <t>Besoin de partenaires financiers, Besoin d’infrastructure en eau = Forage</t>
  </si>
  <si>
    <t>Parce que la demande en transformation du karité est grande ici dans la commune(il y'a beaucoup de noix et d'amende a transformé).</t>
  </si>
  <si>
    <t>oui parce que nous payons même dans notre propre centre pour la transformation de nos amende et noix.</t>
  </si>
  <si>
    <t>je pense pas qu'il y est une autre source de motivation mis a part que notre centre n'arrive pas a satisfaire la demande en transformation.</t>
  </si>
  <si>
    <t>Je ne pense pas qu'il y est une autre source de motivation mis a part que notre centre n'arrive pas a satisfaire la demande en transformation.</t>
  </si>
  <si>
    <t>Bonne collaboration, Prix abordable</t>
  </si>
  <si>
    <t>parce que nous avons dans notre union un centre de transformation.</t>
  </si>
  <si>
    <t>jusqu'à présent pas de difficultés.</t>
  </si>
  <si>
    <t>aucun selon nous.</t>
  </si>
  <si>
    <t>Zone d’habitation (Champs de case), Foret villageoise (réserve), Champs de village ou de brousse privés, Foret étatique (classée)</t>
  </si>
  <si>
    <t>yilawachio, dô, farba, divolet.</t>
  </si>
  <si>
    <t>forêt de divolet, de n'gopoulou</t>
  </si>
  <si>
    <t>moussa</t>
  </si>
  <si>
    <t>536 entries</t>
  </si>
  <si>
    <t>The number of groups surveyed by more than one organization can be counted by sorting the data in the 'Group ID' sheet by 'Source'.</t>
  </si>
  <si>
    <t>In the Technoserve survey of groups, kernel volumes (tons) can be read in data columns as follows:</t>
  </si>
  <si>
    <t>Exclusively Sensonomic 3 (Centre-Sud) = 550 - 620</t>
  </si>
  <si>
    <t>Note: Consistency of group information in the Sensonomic 1 (Sanguié) dataset was thoroughly verified with Ecodata and Technoserve datasets to ensure unique IDs and avoid inclusion of groups under different names when an area was surveyed in more than one survey. In contrast, the relatively few possible inconsistencies between Sensonomic 2 (Sud-Ouest) and 3 (Centre-Sud) and the Ecodata datasets in common locations were not verified.</t>
  </si>
  <si>
    <t>File:</t>
  </si>
  <si>
    <t xml:space="preserve">Shea Butter Production, Burkina Faso
</t>
  </si>
  <si>
    <t>Description:</t>
  </si>
  <si>
    <t xml:space="preserve">This document constitutes proprietory information and should not be shared or used without the direct consent of the Serious Shea SARL management team. </t>
  </si>
  <si>
    <t>Date:</t>
  </si>
  <si>
    <t>13th November</t>
  </si>
  <si>
    <t>Version:</t>
  </si>
  <si>
    <t>Contact:</t>
  </si>
  <si>
    <t xml:space="preserve">Alastair Woods  </t>
  </si>
  <si>
    <t>alastair.woods@impactagri.com</t>
  </si>
  <si>
    <t>Jon White</t>
  </si>
  <si>
    <t>jon.white@impactagri.com</t>
  </si>
  <si>
    <t>Include carbon credits?</t>
  </si>
  <si>
    <t xml:space="preserve">  Please use dropdown (Yes = includes carbon savings on Carbon Data sheet at USD4/tCO2e)</t>
  </si>
  <si>
    <t>Serious Shea</t>
  </si>
  <si>
    <t>Dried Kernels Secured by Serious Shea</t>
  </si>
  <si>
    <t># of Members</t>
  </si>
  <si>
    <t>Kilograms of Dried Kernels</t>
  </si>
  <si>
    <t>Dried Kernels Identified (sold as kernels)</t>
  </si>
  <si>
    <t>Dried Kernels Identified (currently processed into shea butter)</t>
  </si>
  <si>
    <t>TOTAL</t>
  </si>
  <si>
    <t>Group Name</t>
  </si>
  <si>
    <t>Surname</t>
  </si>
  <si>
    <t>First Name</t>
  </si>
  <si>
    <t>Geographic Scope</t>
  </si>
  <si>
    <t>Dried Kernels Identified by Serious Shea (sold as kernels)</t>
  </si>
  <si>
    <t>Dried Kernels Identified by Serious Shea (currently processed into butter)</t>
  </si>
  <si>
    <t>Goulou Nyè</t>
  </si>
  <si>
    <t>Bakondo De Doolo</t>
  </si>
  <si>
    <t>Edo</t>
  </si>
  <si>
    <t>Korotou De Nidiolo N'Tounou</t>
  </si>
  <si>
    <t>Kanzie</t>
  </si>
  <si>
    <t>Villageoise</t>
  </si>
  <si>
    <t>Dakani</t>
  </si>
  <si>
    <t>Ejoin</t>
  </si>
  <si>
    <t xml:space="preserve">Bazie </t>
  </si>
  <si>
    <t>Kyidone Nyè</t>
  </si>
  <si>
    <t>Zhiladyr</t>
  </si>
  <si>
    <t>Ça-Dwa-Nyè/Koroto</t>
  </si>
  <si>
    <t>Pougnè</t>
  </si>
  <si>
    <t>Dango</t>
  </si>
  <si>
    <t>Club Des Paysannes Forestières</t>
  </si>
  <si>
    <t>Bazie</t>
  </si>
  <si>
    <t>Koroto De Boho</t>
  </si>
  <si>
    <t>Kogo</t>
  </si>
  <si>
    <t>Kanzongo</t>
  </si>
  <si>
    <t>Bayala</t>
  </si>
  <si>
    <t xml:space="preserve">Kansole </t>
  </si>
  <si>
    <t>Kientega</t>
  </si>
  <si>
    <t>Sanandoné</t>
  </si>
  <si>
    <t>Yili</t>
  </si>
  <si>
    <t>Gulugnè De Kiro</t>
  </si>
  <si>
    <t>Kansinga</t>
  </si>
  <si>
    <t>Kidonenye De Goumi</t>
  </si>
  <si>
    <t>Kilounye De Kwen</t>
  </si>
  <si>
    <t>Kanssane</t>
  </si>
  <si>
    <t>Ezilibié</t>
  </si>
  <si>
    <t>Yiwoazhena De Yierdion</t>
  </si>
  <si>
    <t>Pynognin De Ziladié</t>
  </si>
  <si>
    <t>Ziladié</t>
  </si>
  <si>
    <t>Zouinbilou</t>
  </si>
  <si>
    <t>Kawar</t>
  </si>
  <si>
    <t>Elilie</t>
  </si>
  <si>
    <t>Soulou Nye De Tonton</t>
  </si>
  <si>
    <t>Cedwanenyen</t>
  </si>
  <si>
    <t>Kanzole</t>
  </si>
  <si>
    <t>Epiman</t>
  </si>
  <si>
    <t>Sulunye</t>
  </si>
  <si>
    <t>Margueritte</t>
  </si>
  <si>
    <t>Dye Edu T'A Pwa Mun</t>
  </si>
  <si>
    <t xml:space="preserve">Kanzongo </t>
  </si>
  <si>
    <t>Elou</t>
  </si>
  <si>
    <t>Gnidougnin</t>
  </si>
  <si>
    <t>Wourounandouan</t>
  </si>
  <si>
    <t>Dasmata</t>
  </si>
  <si>
    <t>Nebia</t>
  </si>
  <si>
    <t>Nidouinwokona</t>
  </si>
  <si>
    <t>Sulunyen</t>
  </si>
  <si>
    <t>Zita</t>
  </si>
  <si>
    <t>Sidoninyen</t>
  </si>
  <si>
    <t>Jocheline</t>
  </si>
  <si>
    <t>Ogatoui</t>
  </si>
  <si>
    <t>Dôh</t>
  </si>
  <si>
    <t>Sanadoni</t>
  </si>
  <si>
    <t>Soulounyen</t>
  </si>
  <si>
    <t>Djoun</t>
  </si>
  <si>
    <t>Ceneye(Keneyen)</t>
  </si>
  <si>
    <t>Djènebou</t>
  </si>
  <si>
    <t>Domcené</t>
  </si>
  <si>
    <t>Farba</t>
  </si>
  <si>
    <t>Soulounyen De Madyr</t>
  </si>
  <si>
    <t>Dwinyin</t>
  </si>
  <si>
    <t xml:space="preserve">Bayala/Kando </t>
  </si>
  <si>
    <t>Kansoule</t>
  </si>
  <si>
    <t>Kantiono</t>
  </si>
  <si>
    <t xml:space="preserve">Kanki </t>
  </si>
  <si>
    <t>Ikirga</t>
  </si>
  <si>
    <t>Kanbouro</t>
  </si>
  <si>
    <t>Imazina</t>
  </si>
  <si>
    <t>Kanco</t>
  </si>
  <si>
    <t>Rock</t>
  </si>
  <si>
    <t>Yeridion</t>
  </si>
  <si>
    <t>Zounadou</t>
  </si>
  <si>
    <t xml:space="preserve">Kanouni </t>
  </si>
  <si>
    <t>Gue-Edu</t>
  </si>
  <si>
    <t>Kamyiri</t>
  </si>
  <si>
    <t>Maro Brigitte</t>
  </si>
  <si>
    <t>Soulougné</t>
  </si>
  <si>
    <t>Tiononyé De Ladiou</t>
  </si>
  <si>
    <t>Kédoinigné De Ténado</t>
  </si>
  <si>
    <t>Boo</t>
  </si>
  <si>
    <t>Nabinia Georgette</t>
  </si>
  <si>
    <t>Kdg/Zakin/Secteur 3</t>
  </si>
  <si>
    <t>Bewoolgou</t>
  </si>
  <si>
    <t>Koudougou, Secteur 2</t>
  </si>
  <si>
    <t>Secteur3</t>
  </si>
  <si>
    <t>Teeltaaba De Poa</t>
  </si>
  <si>
    <t>Poa</t>
  </si>
  <si>
    <t>Pyacéné De Nigiolo</t>
  </si>
  <si>
    <t>Dwi-Yè</t>
  </si>
  <si>
    <t>Yiwoadjan De Goko</t>
  </si>
  <si>
    <t>Etiono Nyè De Ladiou</t>
  </si>
  <si>
    <t>Yiwazhena De Kwen</t>
  </si>
  <si>
    <t>Kidone Nye De Gwiwoly</t>
  </si>
  <si>
    <t>Pyinèmatuin De Ladiou</t>
  </si>
  <si>
    <t>Kidonenye De Ziladir</t>
  </si>
  <si>
    <t>Sononyé De Kyon</t>
  </si>
  <si>
    <t>Sononye De Mogueya</t>
  </si>
  <si>
    <t>Yijougnin</t>
  </si>
  <si>
    <t>Basson/Kama</t>
  </si>
  <si>
    <t>Bouda/Kama</t>
  </si>
  <si>
    <t>Zongo/Zoma</t>
  </si>
  <si>
    <t>Sougr-Nooma De Nandiela</t>
  </si>
  <si>
    <t>Nadiela</t>
  </si>
  <si>
    <t>Teegawendé De Pella/Tandaga</t>
  </si>
  <si>
    <t>Tandaga/Pella</t>
  </si>
  <si>
    <t>Benkadi De Sibi</t>
  </si>
  <si>
    <t>Boucle Du Mouhoun</t>
  </si>
  <si>
    <t>Balé</t>
  </si>
  <si>
    <t>Sibi</t>
  </si>
  <si>
    <t>Wend Panga De Guy</t>
  </si>
  <si>
    <t>Zinguédé</t>
  </si>
  <si>
    <t>Zoma</t>
  </si>
  <si>
    <t>Sanga Joséphine</t>
  </si>
  <si>
    <t>Ramongo</t>
  </si>
  <si>
    <t>Salbisgo</t>
  </si>
  <si>
    <t>Tiedwaneye/ Ancien Tiedwaneye Dourega De Mouzoumou</t>
  </si>
  <si>
    <t>Koroto Doumpo De Ladiou</t>
  </si>
  <si>
    <t>Soulou Nye De Mousseo</t>
  </si>
  <si>
    <t>Sita Rachel</t>
  </si>
  <si>
    <t>Eyembie</t>
  </si>
  <si>
    <t>Bakouando De Dolo</t>
  </si>
  <si>
    <t>Pyononye De Guiwoly</t>
  </si>
  <si>
    <t>Goulou-Nyé De Bouldié</t>
  </si>
  <si>
    <t>Koroto De Nigilo Toumou</t>
  </si>
  <si>
    <t>Nigiolo Tounou</t>
  </si>
  <si>
    <t xml:space="preserve">This database includes primary data gathered 2016 to 2020 by the Serious Shea team on shea kernel sourcing and shea butter processing. Serious Shea collected the data through commissioned country-wide surveys and direct engagement (and agreement) with partner women's processor groups in Burkina Faso.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</si>
</sst>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0.0"/>
    <numFmt numFmtId="165" formatCode="_-* #,##0_-;\-* #,##0_-;_-* &quot;-&quot;??_-;_-@_-"/>
  </numFmts>
  <fonts count="36">
    <font>
      <sz val="10"/>
      <color rgb="FF000000"/>
      <name val="Arial"/>
    </font>
    <font>
      <sz val="11"/>
      <color theme="1"/>
      <name val="Arial"/>
      <family val="2"/>
      <scheme val="minor"/>
    </font>
    <font>
      <b/>
      <sz val="11"/>
      <name val="Calibri"/>
      <family val="2"/>
    </font>
    <font>
      <b/>
      <sz val="11"/>
      <color theme="1"/>
      <name val="Calibri"/>
      <family val="2"/>
    </font>
    <font>
      <b/>
      <sz val="10"/>
      <color theme="1"/>
      <name val="Arial"/>
      <family val="2"/>
    </font>
    <font>
      <b/>
      <i/>
      <sz val="10"/>
      <color theme="1"/>
      <name val="Arial"/>
      <family val="2"/>
    </font>
    <font>
      <sz val="11"/>
      <color theme="1"/>
      <name val="Calibri"/>
      <family val="2"/>
    </font>
    <font>
      <sz val="10"/>
      <color theme="1"/>
      <name val="Arial"/>
      <family val="2"/>
    </font>
    <font>
      <i/>
      <sz val="10"/>
      <color theme="1"/>
      <name val="Arial"/>
      <family val="2"/>
    </font>
    <font>
      <sz val="10"/>
      <name val="Arial"/>
      <family val="2"/>
    </font>
    <font>
      <sz val="11"/>
      <color rgb="FF000000"/>
      <name val="Calibri"/>
      <family val="2"/>
    </font>
    <font>
      <sz val="10"/>
      <color rgb="FF000000"/>
      <name val="Arial"/>
      <family val="2"/>
    </font>
    <font>
      <sz val="11"/>
      <color rgb="FF000000"/>
      <name val="Arial"/>
      <family val="2"/>
    </font>
    <font>
      <sz val="10"/>
      <color rgb="FF000000"/>
      <name val="Calibri"/>
      <family val="2"/>
    </font>
    <font>
      <b/>
      <sz val="11"/>
      <color rgb="FF000000"/>
      <name val="Calibri"/>
      <family val="2"/>
    </font>
    <font>
      <b/>
      <sz val="10"/>
      <color theme="1"/>
      <name val="Roboto"/>
    </font>
    <font>
      <sz val="12"/>
      <color rgb="FF000000"/>
      <name val="Times New Roman"/>
      <family val="1"/>
    </font>
    <font>
      <b/>
      <sz val="10"/>
      <color rgb="FF000000"/>
      <name val="Arial"/>
      <family val="2"/>
    </font>
    <font>
      <b/>
      <sz val="11"/>
      <color rgb="FFFF0000"/>
      <name val="Calibri"/>
      <family val="2"/>
    </font>
    <font>
      <sz val="11"/>
      <color rgb="FFFF0000"/>
      <name val="Calibri"/>
      <family val="2"/>
    </font>
    <font>
      <sz val="11"/>
      <color rgb="FFF7981D"/>
      <name val="Calibri"/>
      <family val="2"/>
    </font>
    <font>
      <u/>
      <sz val="10"/>
      <color theme="10"/>
      <name val="Arial"/>
      <family val="2"/>
    </font>
    <font>
      <b/>
      <sz val="11"/>
      <color theme="1"/>
      <name val="Arial"/>
      <family val="2"/>
      <scheme val="minor"/>
    </font>
    <font>
      <sz val="8"/>
      <name val="Arial"/>
      <family val="2"/>
    </font>
    <font>
      <b/>
      <sz val="9"/>
      <color indexed="81"/>
      <name val="Tahoma"/>
      <family val="2"/>
    </font>
    <font>
      <sz val="9"/>
      <color indexed="81"/>
      <name val="Tahoma"/>
      <family val="2"/>
    </font>
    <font>
      <sz val="10"/>
      <color rgb="FF000000"/>
      <name val="Arial"/>
    </font>
    <font>
      <sz val="11"/>
      <color theme="0"/>
      <name val="Arial"/>
      <family val="2"/>
      <scheme val="minor"/>
    </font>
    <font>
      <sz val="10"/>
      <color theme="1"/>
      <name val="Arial"/>
      <family val="2"/>
      <scheme val="minor"/>
    </font>
    <font>
      <b/>
      <sz val="10"/>
      <color theme="1"/>
      <name val="Arial"/>
      <family val="2"/>
      <scheme val="minor"/>
    </font>
    <font>
      <b/>
      <sz val="10"/>
      <color rgb="FFFF0000"/>
      <name val="Arial"/>
      <family val="2"/>
      <scheme val="minor"/>
    </font>
    <font>
      <u/>
      <sz val="11"/>
      <color theme="10"/>
      <name val="Arial"/>
      <family val="2"/>
      <scheme val="minor"/>
    </font>
    <font>
      <u/>
      <sz val="10"/>
      <color theme="10"/>
      <name val="Arial"/>
      <family val="2"/>
      <scheme val="minor"/>
    </font>
    <font>
      <i/>
      <sz val="9"/>
      <color theme="1"/>
      <name val="Arial"/>
      <family val="2"/>
      <scheme val="minor"/>
    </font>
    <font>
      <b/>
      <i/>
      <sz val="9"/>
      <color theme="1"/>
      <name val="Arial"/>
      <family val="2"/>
      <scheme val="minor"/>
    </font>
    <font>
      <sz val="10"/>
      <color rgb="FF000000"/>
      <name val="Arial"/>
      <family val="2"/>
      <scheme val="minor"/>
    </font>
  </fonts>
  <fills count="17">
    <fill>
      <patternFill patternType="none"/>
    </fill>
    <fill>
      <patternFill patternType="gray125"/>
    </fill>
    <fill>
      <patternFill patternType="solid">
        <fgColor rgb="FFF3F3F3"/>
        <bgColor rgb="FFF3F3F3"/>
      </patternFill>
    </fill>
    <fill>
      <patternFill patternType="solid">
        <fgColor rgb="FFFFFFFF"/>
        <bgColor indexed="64"/>
      </patternFill>
    </fill>
    <fill>
      <patternFill patternType="solid">
        <fgColor rgb="FFFFFF00"/>
        <bgColor indexed="64"/>
      </patternFill>
    </fill>
    <fill>
      <patternFill patternType="solid">
        <fgColor rgb="FFFFF2CC"/>
        <bgColor rgb="FFFFF2CC"/>
      </patternFill>
    </fill>
    <fill>
      <patternFill patternType="solid">
        <fgColor rgb="FFF4CCCC"/>
        <bgColor indexed="64"/>
      </patternFill>
    </fill>
    <fill>
      <patternFill patternType="solid">
        <fgColor theme="0"/>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249977111117893"/>
        <bgColor indexed="64"/>
      </patternFill>
    </fill>
  </fills>
  <borders count="16">
    <border>
      <left/>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0" fontId="11" fillId="0" borderId="0"/>
    <xf numFmtId="0" fontId="21" fillId="0" borderId="0" applyNumberFormat="0" applyFill="0" applyBorder="0" applyAlignment="0" applyProtection="0"/>
    <xf numFmtId="0" fontId="1" fillId="0" borderId="0"/>
    <xf numFmtId="0" fontId="31"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26" fillId="0" borderId="0"/>
  </cellStyleXfs>
  <cellXfs count="236">
    <xf numFmtId="0" fontId="0" fillId="0" borderId="0" xfId="0" applyFont="1" applyAlignment="1"/>
    <xf numFmtId="0" fontId="2" fillId="0" borderId="0" xfId="0" applyFont="1" applyAlignment="1"/>
    <xf numFmtId="0" fontId="4" fillId="0" borderId="0" xfId="0" applyFont="1" applyAlignment="1"/>
    <xf numFmtId="0" fontId="5" fillId="2" borderId="1" xfId="0" applyFont="1" applyFill="1" applyBorder="1" applyAlignment="1"/>
    <xf numFmtId="0" fontId="5" fillId="2" borderId="2" xfId="0" applyFont="1" applyFill="1" applyBorder="1"/>
    <xf numFmtId="0" fontId="4" fillId="0" borderId="0" xfId="0" applyFont="1"/>
    <xf numFmtId="0" fontId="6" fillId="0" borderId="0" xfId="0" applyFont="1" applyAlignment="1"/>
    <xf numFmtId="0" fontId="7" fillId="0" borderId="0" xfId="0" applyFont="1" applyAlignment="1"/>
    <xf numFmtId="0" fontId="8" fillId="2" borderId="3" xfId="0" applyFont="1" applyFill="1" applyBorder="1" applyAlignment="1"/>
    <xf numFmtId="0" fontId="8" fillId="2" borderId="4" xfId="0" applyFont="1" applyFill="1" applyBorder="1"/>
    <xf numFmtId="0" fontId="8" fillId="2" borderId="5" xfId="0" applyFont="1" applyFill="1" applyBorder="1" applyAlignment="1"/>
    <xf numFmtId="0" fontId="8" fillId="2" borderId="6" xfId="0" applyFont="1" applyFill="1" applyBorder="1"/>
    <xf numFmtId="0" fontId="6" fillId="0" borderId="0" xfId="0" applyFont="1" applyAlignment="1"/>
    <xf numFmtId="0" fontId="7" fillId="0" borderId="0" xfId="0" applyFont="1"/>
    <xf numFmtId="0" fontId="9" fillId="0" borderId="0" xfId="0" applyFont="1" applyAlignment="1"/>
    <xf numFmtId="0" fontId="4" fillId="5" borderId="0" xfId="0" applyFont="1" applyFill="1"/>
    <xf numFmtId="0" fontId="15" fillId="0" borderId="0" xfId="0" applyFont="1"/>
    <xf numFmtId="0" fontId="0" fillId="0" borderId="0" xfId="0"/>
    <xf numFmtId="14" fontId="7" fillId="0" borderId="0" xfId="0" applyNumberFormat="1" applyFont="1"/>
    <xf numFmtId="0" fontId="7" fillId="5" borderId="0" xfId="0" applyFont="1" applyFill="1"/>
    <xf numFmtId="9" fontId="0" fillId="0" borderId="0" xfId="0" applyNumberFormat="1"/>
    <xf numFmtId="9" fontId="7" fillId="0" borderId="0" xfId="0" applyNumberFormat="1" applyFont="1"/>
    <xf numFmtId="0" fontId="11" fillId="0" borderId="0" xfId="1"/>
    <xf numFmtId="0" fontId="7" fillId="0" borderId="0" xfId="1" applyFont="1"/>
    <xf numFmtId="14" fontId="7" fillId="0" borderId="0" xfId="1" applyNumberFormat="1" applyFont="1"/>
    <xf numFmtId="0" fontId="7" fillId="5" borderId="0" xfId="1" applyFont="1" applyFill="1"/>
    <xf numFmtId="9" fontId="7" fillId="0" borderId="0" xfId="1" applyNumberFormat="1" applyFont="1"/>
    <xf numFmtId="9" fontId="11" fillId="0" borderId="0" xfId="1" applyNumberFormat="1"/>
    <xf numFmtId="10" fontId="11" fillId="0" borderId="0" xfId="1" applyNumberFormat="1"/>
    <xf numFmtId="0" fontId="4" fillId="0" borderId="0" xfId="0" applyFont="1" applyAlignment="1">
      <alignment horizontal="center"/>
    </xf>
    <xf numFmtId="0" fontId="7" fillId="0" borderId="0" xfId="0" applyFont="1" applyAlignment="1">
      <alignment horizontal="center"/>
    </xf>
    <xf numFmtId="10" fontId="0" fillId="0" borderId="0" xfId="0" applyNumberFormat="1"/>
    <xf numFmtId="0" fontId="7" fillId="0" borderId="0" xfId="1" applyFont="1" applyAlignment="1">
      <alignment horizontal="center"/>
    </xf>
    <xf numFmtId="14" fontId="11" fillId="0" borderId="0" xfId="1" applyNumberFormat="1"/>
    <xf numFmtId="0" fontId="11" fillId="0" borderId="0" xfId="1" applyAlignment="1">
      <alignment horizontal="center"/>
    </xf>
    <xf numFmtId="0" fontId="11" fillId="4" borderId="0" xfId="1" applyFill="1"/>
    <xf numFmtId="16" fontId="7" fillId="0" borderId="0" xfId="1" applyNumberFormat="1" applyFont="1"/>
    <xf numFmtId="0" fontId="7" fillId="0" borderId="0" xfId="1" applyFont="1" applyAlignment="1">
      <alignment horizontal="right"/>
    </xf>
    <xf numFmtId="0" fontId="7" fillId="0" borderId="0" xfId="0" applyFont="1" applyAlignment="1">
      <alignment horizontal="center" vertical="center"/>
    </xf>
    <xf numFmtId="16" fontId="7" fillId="0" borderId="0" xfId="0" applyNumberFormat="1" applyFont="1" applyAlignment="1">
      <alignment horizontal="center" vertical="center"/>
    </xf>
    <xf numFmtId="0" fontId="7" fillId="5" borderId="0" xfId="0" applyFont="1" applyFill="1" applyAlignment="1">
      <alignment horizontal="center" vertical="center"/>
    </xf>
    <xf numFmtId="0" fontId="7" fillId="0" borderId="0" xfId="0" applyFont="1" applyAlignment="1">
      <alignment horizontal="right" vertical="center"/>
    </xf>
    <xf numFmtId="0" fontId="0" fillId="0" borderId="0" xfId="0" applyAlignment="1">
      <alignment horizontal="center" vertical="center"/>
    </xf>
    <xf numFmtId="9" fontId="0" fillId="0" borderId="0" xfId="0" applyNumberFormat="1" applyAlignment="1">
      <alignment horizontal="center" vertical="center"/>
    </xf>
    <xf numFmtId="0" fontId="7" fillId="0" borderId="0" xfId="1" applyFont="1" applyAlignment="1">
      <alignment horizontal="center" vertical="center"/>
    </xf>
    <xf numFmtId="16" fontId="7" fillId="0" borderId="0" xfId="1" applyNumberFormat="1" applyFont="1" applyAlignment="1">
      <alignment horizontal="center" vertical="center"/>
    </xf>
    <xf numFmtId="0" fontId="7" fillId="5" borderId="0" xfId="1" applyFont="1" applyFill="1" applyAlignment="1">
      <alignment horizontal="center" vertical="center"/>
    </xf>
    <xf numFmtId="0" fontId="11" fillId="0" borderId="0" xfId="1" applyAlignment="1">
      <alignment horizontal="right" vertical="center"/>
    </xf>
    <xf numFmtId="0" fontId="11" fillId="0" borderId="0" xfId="1" applyAlignment="1">
      <alignment horizontal="center" vertical="center"/>
    </xf>
    <xf numFmtId="9" fontId="11" fillId="0" borderId="0" xfId="1" applyNumberFormat="1" applyAlignment="1">
      <alignment horizontal="center" vertical="center"/>
    </xf>
    <xf numFmtId="0" fontId="0" fillId="0" borderId="0" xfId="0" applyAlignment="1">
      <alignment horizontal="center"/>
    </xf>
    <xf numFmtId="0" fontId="9" fillId="0" borderId="0" xfId="0" applyFont="1" applyAlignment="1">
      <alignment horizontal="center" vertical="center"/>
    </xf>
    <xf numFmtId="16" fontId="9" fillId="0" borderId="0" xfId="0" applyNumberFormat="1" applyFont="1" applyAlignment="1">
      <alignment horizontal="center" vertical="center"/>
    </xf>
    <xf numFmtId="9" fontId="9" fillId="0" borderId="0" xfId="0" applyNumberFormat="1" applyFont="1" applyAlignment="1">
      <alignment horizontal="center" vertical="center"/>
    </xf>
    <xf numFmtId="0" fontId="9" fillId="0" borderId="0" xfId="0" applyFont="1"/>
    <xf numFmtId="0" fontId="11" fillId="0" borderId="0" xfId="0" applyFont="1" applyAlignment="1">
      <alignment horizontal="center" vertical="center"/>
    </xf>
    <xf numFmtId="0" fontId="9" fillId="0" borderId="0" xfId="1" applyFont="1" applyAlignment="1">
      <alignment horizontal="center" vertical="center"/>
    </xf>
    <xf numFmtId="22" fontId="0" fillId="0" borderId="0" xfId="0" applyNumberFormat="1" applyFont="1" applyAlignment="1"/>
    <xf numFmtId="0" fontId="0" fillId="0" borderId="0" xfId="0" applyFont="1" applyAlignment="1">
      <alignment wrapText="1"/>
    </xf>
    <xf numFmtId="16" fontId="0" fillId="0" borderId="0" xfId="0" applyNumberFormat="1" applyFont="1" applyAlignment="1"/>
    <xf numFmtId="0" fontId="6" fillId="0" borderId="0" xfId="0" applyFont="1" applyFill="1" applyAlignment="1"/>
    <xf numFmtId="0" fontId="11" fillId="0" borderId="0" xfId="0" applyFont="1" applyAlignment="1"/>
    <xf numFmtId="0" fontId="0" fillId="0" borderId="0" xfId="0" applyFont="1" applyBorder="1" applyAlignment="1"/>
    <xf numFmtId="0" fontId="3" fillId="0" borderId="0" xfId="0" applyFont="1" applyAlignment="1">
      <alignment horizontal="left"/>
    </xf>
    <xf numFmtId="0" fontId="6" fillId="0" borderId="0" xfId="0" applyFont="1" applyAlignment="1">
      <alignment horizontal="left"/>
    </xf>
    <xf numFmtId="0" fontId="7" fillId="0" borderId="0" xfId="0" applyFont="1" applyAlignment="1">
      <alignment horizontal="left"/>
    </xf>
    <xf numFmtId="0" fontId="9" fillId="0" borderId="0" xfId="0" applyFont="1" applyAlignment="1">
      <alignment horizontal="left"/>
    </xf>
    <xf numFmtId="0" fontId="6" fillId="0" borderId="0" xfId="0" applyFont="1" applyFill="1" applyAlignment="1">
      <alignment horizontal="left"/>
    </xf>
    <xf numFmtId="0" fontId="7" fillId="0" borderId="0" xfId="1" applyFont="1" applyAlignment="1">
      <alignment horizontal="left"/>
    </xf>
    <xf numFmtId="0" fontId="7" fillId="0" borderId="0" xfId="1" applyFont="1" applyAlignment="1">
      <alignment horizontal="left" vertical="center"/>
    </xf>
    <xf numFmtId="0" fontId="7" fillId="0" borderId="0" xfId="0" applyFont="1" applyAlignment="1">
      <alignment horizontal="left" vertical="center"/>
    </xf>
    <xf numFmtId="0" fontId="11" fillId="0" borderId="0" xfId="1" applyAlignment="1">
      <alignment horizontal="left"/>
    </xf>
    <xf numFmtId="0" fontId="0" fillId="0" borderId="0" xfId="0" applyFont="1" applyAlignment="1">
      <alignment horizontal="left"/>
    </xf>
    <xf numFmtId="0" fontId="14" fillId="0" borderId="7" xfId="0" applyFont="1" applyBorder="1" applyAlignment="1">
      <alignment horizontal="left" wrapText="1"/>
    </xf>
    <xf numFmtId="0" fontId="10" fillId="0" borderId="7" xfId="0" applyFont="1" applyBorder="1" applyAlignment="1">
      <alignment horizontal="left" wrapText="1"/>
    </xf>
    <xf numFmtId="0" fontId="11" fillId="0" borderId="7" xfId="0" applyFont="1" applyBorder="1" applyAlignment="1">
      <alignment horizontal="left" wrapText="1"/>
    </xf>
    <xf numFmtId="0" fontId="11" fillId="0" borderId="0" xfId="0" applyFont="1" applyBorder="1" applyAlignment="1">
      <alignment horizontal="left" wrapText="1"/>
    </xf>
    <xf numFmtId="0" fontId="22" fillId="0" borderId="0" xfId="0" applyFont="1"/>
    <xf numFmtId="0" fontId="7" fillId="4" borderId="0" xfId="1" applyFont="1" applyFill="1"/>
    <xf numFmtId="9" fontId="7" fillId="0" borderId="0" xfId="0" applyNumberFormat="1" applyFont="1" applyAlignment="1">
      <alignment horizontal="center" vertical="center"/>
    </xf>
    <xf numFmtId="0" fontId="17" fillId="0" borderId="0" xfId="0" applyFont="1" applyAlignment="1"/>
    <xf numFmtId="0" fontId="7" fillId="0" borderId="0" xfId="1" applyFont="1" applyBorder="1" applyAlignment="1">
      <alignment horizontal="left" vertical="center"/>
    </xf>
    <xf numFmtId="0" fontId="7" fillId="0" borderId="0" xfId="1" applyFont="1" applyBorder="1" applyAlignment="1">
      <alignment horizontal="left"/>
    </xf>
    <xf numFmtId="0" fontId="7" fillId="0" borderId="0" xfId="0" applyFont="1" applyBorder="1" applyAlignment="1">
      <alignment horizontal="left" vertical="center"/>
    </xf>
    <xf numFmtId="0" fontId="7" fillId="0" borderId="0" xfId="0" applyFont="1" applyBorder="1" applyAlignment="1">
      <alignment horizontal="left"/>
    </xf>
    <xf numFmtId="0" fontId="11" fillId="0" borderId="0" xfId="1" applyBorder="1" applyAlignment="1">
      <alignment horizontal="left"/>
    </xf>
    <xf numFmtId="0" fontId="4" fillId="0" borderId="0" xfId="0" applyFont="1" applyAlignment="1">
      <alignment horizontal="left"/>
    </xf>
    <xf numFmtId="0" fontId="0" fillId="0" borderId="0" xfId="0" applyAlignment="1">
      <alignment horizontal="left" vertical="center"/>
    </xf>
    <xf numFmtId="0" fontId="0" fillId="0" borderId="0" xfId="0" applyAlignment="1">
      <alignment vertical="center"/>
    </xf>
    <xf numFmtId="0" fontId="9" fillId="0" borderId="0" xfId="0" applyFont="1" applyAlignment="1">
      <alignment horizontal="left" vertical="center"/>
    </xf>
    <xf numFmtId="0" fontId="9" fillId="0" borderId="0" xfId="0" applyFont="1" applyAlignment="1">
      <alignment vertical="center"/>
    </xf>
    <xf numFmtId="0" fontId="11" fillId="0" borderId="0" xfId="1" applyAlignment="1">
      <alignment horizontal="left" vertical="center"/>
    </xf>
    <xf numFmtId="0" fontId="11" fillId="0" borderId="0" xfId="1" applyAlignment="1">
      <alignment vertical="center"/>
    </xf>
    <xf numFmtId="9" fontId="11" fillId="0" borderId="0" xfId="0" applyNumberFormat="1" applyFont="1" applyAlignment="1">
      <alignment horizontal="center" vertical="center"/>
    </xf>
    <xf numFmtId="0" fontId="0" fillId="0" borderId="0" xfId="0" applyAlignment="1">
      <alignment horizontal="left"/>
    </xf>
    <xf numFmtId="0" fontId="10" fillId="3" borderId="8" xfId="0" applyFont="1" applyFill="1" applyBorder="1" applyAlignment="1">
      <alignment horizontal="right" wrapText="1"/>
    </xf>
    <xf numFmtId="0" fontId="14" fillId="3" borderId="8" xfId="0" applyFont="1" applyFill="1" applyBorder="1" applyAlignment="1">
      <alignment wrapText="1"/>
    </xf>
    <xf numFmtId="0" fontId="14" fillId="3" borderId="8" xfId="0" applyFont="1" applyFill="1" applyBorder="1" applyAlignment="1">
      <alignment vertical="center" wrapText="1"/>
    </xf>
    <xf numFmtId="0" fontId="14" fillId="3" borderId="8" xfId="0" applyFont="1" applyFill="1" applyBorder="1" applyAlignment="1">
      <alignment horizontal="center" vertical="center" wrapText="1"/>
    </xf>
    <xf numFmtId="0" fontId="10" fillId="3" borderId="8" xfId="0" applyFont="1" applyFill="1" applyBorder="1" applyAlignment="1">
      <alignment wrapText="1"/>
    </xf>
    <xf numFmtId="0" fontId="18" fillId="3" borderId="8" xfId="0" applyFont="1" applyFill="1" applyBorder="1" applyAlignment="1">
      <alignment vertical="center" wrapText="1"/>
    </xf>
    <xf numFmtId="0" fontId="10" fillId="3" borderId="8" xfId="0" applyFont="1" applyFill="1" applyBorder="1" applyAlignment="1">
      <alignment vertical="center" wrapText="1"/>
    </xf>
    <xf numFmtId="0" fontId="0" fillId="0" borderId="8" xfId="0" applyFont="1" applyBorder="1" applyAlignment="1"/>
    <xf numFmtId="0" fontId="10" fillId="3" borderId="8" xfId="0" applyFont="1" applyFill="1" applyBorder="1" applyAlignment="1">
      <alignment horizontal="center" wrapText="1"/>
    </xf>
    <xf numFmtId="0" fontId="21" fillId="3" borderId="8" xfId="2" applyFill="1" applyBorder="1" applyAlignment="1">
      <alignment horizontal="center" wrapText="1"/>
    </xf>
    <xf numFmtId="3" fontId="10" fillId="3" borderId="8" xfId="0" applyNumberFormat="1" applyFont="1" applyFill="1" applyBorder="1" applyAlignment="1">
      <alignment horizontal="center" wrapText="1"/>
    </xf>
    <xf numFmtId="3" fontId="10" fillId="3" borderId="8" xfId="0" applyNumberFormat="1" applyFont="1" applyFill="1" applyBorder="1" applyAlignment="1">
      <alignment horizontal="right" wrapText="1"/>
    </xf>
    <xf numFmtId="0" fontId="19" fillId="3" borderId="8" xfId="0" applyFont="1" applyFill="1" applyBorder="1" applyAlignment="1">
      <alignment wrapText="1"/>
    </xf>
    <xf numFmtId="22" fontId="10" fillId="3" borderId="8" xfId="0" applyNumberFormat="1" applyFont="1" applyFill="1" applyBorder="1" applyAlignment="1">
      <alignment horizontal="center" wrapText="1"/>
    </xf>
    <xf numFmtId="22" fontId="10" fillId="3" borderId="8" xfId="0" applyNumberFormat="1" applyFont="1" applyFill="1" applyBorder="1" applyAlignment="1">
      <alignment wrapText="1"/>
    </xf>
    <xf numFmtId="0" fontId="12" fillId="3" borderId="8" xfId="0" applyFont="1" applyFill="1" applyBorder="1" applyAlignment="1">
      <alignment wrapText="1"/>
    </xf>
    <xf numFmtId="0" fontId="12" fillId="3" borderId="8" xfId="0" applyFont="1" applyFill="1" applyBorder="1" applyAlignment="1">
      <alignment horizontal="center" wrapText="1"/>
    </xf>
    <xf numFmtId="0" fontId="10" fillId="3" borderId="8" xfId="0" applyFont="1" applyFill="1" applyBorder="1" applyAlignment="1">
      <alignment horizontal="center" vertical="center"/>
    </xf>
    <xf numFmtId="0" fontId="10" fillId="4" borderId="8" xfId="0" applyFont="1" applyFill="1" applyBorder="1" applyAlignment="1">
      <alignment horizontal="center" wrapText="1"/>
    </xf>
    <xf numFmtId="0" fontId="10" fillId="4" borderId="8" xfId="0" applyFont="1" applyFill="1" applyBorder="1" applyAlignment="1">
      <alignment wrapText="1"/>
    </xf>
    <xf numFmtId="0" fontId="12" fillId="3" borderId="8" xfId="0" applyFont="1" applyFill="1" applyBorder="1" applyAlignment="1">
      <alignment horizontal="right" wrapText="1"/>
    </xf>
    <xf numFmtId="0" fontId="10" fillId="3" borderId="8" xfId="0" applyFont="1" applyFill="1" applyBorder="1" applyAlignment="1">
      <alignment horizontal="center" vertical="top" wrapText="1"/>
    </xf>
    <xf numFmtId="0" fontId="10" fillId="0" borderId="8" xfId="0" applyFont="1" applyBorder="1" applyAlignment="1">
      <alignment wrapText="1"/>
    </xf>
    <xf numFmtId="0" fontId="13" fillId="3" borderId="8" xfId="0" applyFont="1" applyFill="1" applyBorder="1" applyAlignment="1">
      <alignment wrapText="1"/>
    </xf>
    <xf numFmtId="0" fontId="10" fillId="3" borderId="8" xfId="0" applyFont="1" applyFill="1" applyBorder="1" applyAlignment="1">
      <alignment vertical="center"/>
    </xf>
    <xf numFmtId="0" fontId="20" fillId="3" borderId="8" xfId="0" applyFont="1" applyFill="1" applyBorder="1" applyAlignment="1">
      <alignment horizontal="right" wrapText="1"/>
    </xf>
    <xf numFmtId="0" fontId="10" fillId="6" borderId="8" xfId="0" applyFont="1" applyFill="1" applyBorder="1" applyAlignment="1">
      <alignment wrapText="1"/>
    </xf>
    <xf numFmtId="0" fontId="13" fillId="3" borderId="8" xfId="0" applyFont="1" applyFill="1" applyBorder="1" applyAlignment="1">
      <alignment horizontal="right" vertical="center" wrapText="1"/>
    </xf>
    <xf numFmtId="0" fontId="10" fillId="3" borderId="8" xfId="0" applyFont="1" applyFill="1" applyBorder="1" applyAlignment="1">
      <alignment vertical="top" wrapText="1"/>
    </xf>
    <xf numFmtId="0" fontId="17" fillId="0" borderId="0" xfId="0" applyFont="1" applyFill="1"/>
    <xf numFmtId="0" fontId="4" fillId="0" borderId="0" xfId="0" applyFont="1" applyFill="1"/>
    <xf numFmtId="0" fontId="15" fillId="0" borderId="0" xfId="0" applyFont="1" applyFill="1"/>
    <xf numFmtId="0" fontId="0" fillId="0" borderId="0" xfId="0" applyFill="1"/>
    <xf numFmtId="0" fontId="7" fillId="0" borderId="0" xfId="0" applyFont="1" applyFill="1"/>
    <xf numFmtId="14" fontId="7" fillId="0" borderId="0" xfId="0" applyNumberFormat="1" applyFont="1" applyFill="1"/>
    <xf numFmtId="9" fontId="0" fillId="0" borderId="0" xfId="0" applyNumberFormat="1" applyFill="1"/>
    <xf numFmtId="0" fontId="16" fillId="0" borderId="0" xfId="0" applyFont="1" applyFill="1" applyAlignment="1">
      <alignment vertical="center" wrapText="1"/>
    </xf>
    <xf numFmtId="0" fontId="11" fillId="0" borderId="0" xfId="1" applyFill="1"/>
    <xf numFmtId="0" fontId="7" fillId="0" borderId="0" xfId="1" applyFont="1" applyFill="1"/>
    <xf numFmtId="14" fontId="7" fillId="0" borderId="0" xfId="1" applyNumberFormat="1" applyFont="1" applyFill="1"/>
    <xf numFmtId="9" fontId="7" fillId="0" borderId="0" xfId="1" applyNumberFormat="1" applyFont="1" applyFill="1"/>
    <xf numFmtId="9" fontId="11" fillId="0" borderId="0" xfId="1" applyNumberFormat="1" applyFill="1"/>
    <xf numFmtId="16" fontId="11" fillId="0" borderId="0" xfId="1" applyNumberFormat="1" applyFill="1"/>
    <xf numFmtId="0" fontId="11" fillId="0" borderId="0" xfId="0" applyFont="1" applyFill="1"/>
    <xf numFmtId="0" fontId="9" fillId="0" borderId="0" xfId="0" applyFont="1" applyFill="1"/>
    <xf numFmtId="46" fontId="0" fillId="0" borderId="0" xfId="0" applyNumberFormat="1" applyFill="1"/>
    <xf numFmtId="9" fontId="7" fillId="0" borderId="0" xfId="0" applyNumberFormat="1" applyFont="1" applyFill="1"/>
    <xf numFmtId="14" fontId="0" fillId="0" borderId="0" xfId="0" applyNumberFormat="1" applyFill="1"/>
    <xf numFmtId="0" fontId="0" fillId="0" borderId="0" xfId="0" applyFill="1" applyAlignment="1">
      <alignment wrapText="1"/>
    </xf>
    <xf numFmtId="0" fontId="7" fillId="0" borderId="0" xfId="0" applyFont="1" applyFill="1" applyAlignment="1">
      <alignment wrapText="1"/>
    </xf>
    <xf numFmtId="3" fontId="7" fillId="0" borderId="0" xfId="1" applyNumberFormat="1" applyFont="1" applyFill="1"/>
    <xf numFmtId="10" fontId="11" fillId="0" borderId="0" xfId="1" applyNumberFormat="1" applyFill="1"/>
    <xf numFmtId="0" fontId="7" fillId="0" borderId="0" xfId="0" applyFont="1" applyFill="1" applyAlignment="1">
      <alignment horizontal="left"/>
    </xf>
    <xf numFmtId="0" fontId="28" fillId="0" borderId="0" xfId="3" applyFont="1"/>
    <xf numFmtId="0" fontId="28" fillId="0" borderId="0" xfId="3" applyFont="1" applyAlignment="1">
      <alignment horizontal="left"/>
    </xf>
    <xf numFmtId="0" fontId="1" fillId="0" borderId="0" xfId="3" applyAlignment="1">
      <alignment horizontal="left"/>
    </xf>
    <xf numFmtId="0" fontId="1" fillId="0" borderId="0" xfId="3"/>
    <xf numFmtId="0" fontId="29" fillId="0" borderId="0" xfId="3" applyFont="1"/>
    <xf numFmtId="0" fontId="22" fillId="0" borderId="0" xfId="3" applyFont="1"/>
    <xf numFmtId="0" fontId="29" fillId="7" borderId="0" xfId="3" applyFont="1" applyFill="1" applyAlignment="1">
      <alignment horizontal="left" vertical="top" wrapText="1"/>
    </xf>
    <xf numFmtId="0" fontId="28" fillId="7" borderId="0" xfId="3" applyFont="1" applyFill="1"/>
    <xf numFmtId="0" fontId="28" fillId="7" borderId="0" xfId="3" applyFont="1" applyFill="1" applyAlignment="1">
      <alignment horizontal="left"/>
    </xf>
    <xf numFmtId="0" fontId="29" fillId="7" borderId="0" xfId="3" applyFont="1" applyFill="1" applyAlignment="1">
      <alignment horizontal="left" vertical="top"/>
    </xf>
    <xf numFmtId="0" fontId="28" fillId="7" borderId="0" xfId="3" applyFont="1" applyFill="1" applyAlignment="1">
      <alignment horizontal="left" vertical="top" wrapText="1"/>
    </xf>
    <xf numFmtId="0" fontId="28" fillId="7" borderId="0" xfId="3" applyFont="1" applyFill="1" applyAlignment="1">
      <alignment horizontal="left" vertical="top" wrapText="1"/>
    </xf>
    <xf numFmtId="0" fontId="30" fillId="7" borderId="0" xfId="3" applyFont="1" applyFill="1" applyAlignment="1">
      <alignment horizontal="left" vertical="top" wrapText="1"/>
    </xf>
    <xf numFmtId="0" fontId="29" fillId="7" borderId="0" xfId="3" applyFont="1" applyFill="1"/>
    <xf numFmtId="14" fontId="28" fillId="7" borderId="0" xfId="3" applyNumberFormat="1" applyFont="1" applyFill="1" applyAlignment="1">
      <alignment horizontal="left"/>
    </xf>
    <xf numFmtId="164" fontId="28" fillId="7" borderId="0" xfId="3" applyNumberFormat="1" applyFont="1" applyFill="1" applyAlignment="1">
      <alignment horizontal="left"/>
    </xf>
    <xf numFmtId="0" fontId="32" fillId="7" borderId="0" xfId="4" applyFont="1" applyFill="1"/>
    <xf numFmtId="0" fontId="27" fillId="0" borderId="0" xfId="3" applyFont="1" applyAlignment="1">
      <alignment horizontal="left"/>
    </xf>
    <xf numFmtId="0" fontId="22" fillId="4" borderId="8" xfId="3" applyFont="1" applyFill="1" applyBorder="1" applyAlignment="1">
      <alignment horizontal="center"/>
    </xf>
    <xf numFmtId="3" fontId="22" fillId="0" borderId="0" xfId="5" applyNumberFormat="1" applyFont="1" applyAlignment="1">
      <alignment horizontal="left"/>
    </xf>
    <xf numFmtId="9" fontId="22" fillId="0" borderId="0" xfId="6" applyFont="1" applyAlignment="1">
      <alignment horizontal="left"/>
    </xf>
    <xf numFmtId="0" fontId="29" fillId="8" borderId="0" xfId="3" applyFont="1" applyFill="1" applyAlignment="1">
      <alignment horizontal="left" vertical="center"/>
    </xf>
    <xf numFmtId="0" fontId="29" fillId="8" borderId="9" xfId="3" applyFont="1" applyFill="1" applyBorder="1" applyAlignment="1">
      <alignment horizontal="left" vertical="center"/>
    </xf>
    <xf numFmtId="0" fontId="29" fillId="9" borderId="10" xfId="3" applyFont="1" applyFill="1" applyBorder="1" applyAlignment="1">
      <alignment horizontal="center"/>
    </xf>
    <xf numFmtId="0" fontId="29" fillId="9" borderId="0" xfId="3" applyFont="1" applyFill="1" applyAlignment="1">
      <alignment horizontal="center"/>
    </xf>
    <xf numFmtId="0" fontId="29" fillId="9" borderId="9" xfId="3" applyFont="1" applyFill="1" applyBorder="1" applyAlignment="1">
      <alignment horizontal="center"/>
    </xf>
    <xf numFmtId="0" fontId="29" fillId="10" borderId="10" xfId="3" applyFont="1" applyFill="1" applyBorder="1" applyAlignment="1">
      <alignment horizontal="center" vertical="center"/>
    </xf>
    <xf numFmtId="0" fontId="33" fillId="0" borderId="10" xfId="3" applyFont="1" applyBorder="1" applyAlignment="1">
      <alignment horizontal="left" vertical="center" wrapText="1"/>
    </xf>
    <xf numFmtId="0" fontId="33" fillId="0" borderId="0" xfId="3" applyFont="1" applyAlignment="1">
      <alignment horizontal="left" vertical="center" wrapText="1"/>
    </xf>
    <xf numFmtId="0" fontId="29" fillId="8" borderId="10" xfId="3" applyFont="1" applyFill="1" applyBorder="1"/>
    <xf numFmtId="0" fontId="29" fillId="8" borderId="0" xfId="3" applyFont="1" applyFill="1"/>
    <xf numFmtId="0" fontId="29" fillId="8" borderId="0" xfId="3" applyFont="1" applyFill="1" applyAlignment="1">
      <alignment horizontal="right"/>
    </xf>
    <xf numFmtId="0" fontId="34" fillId="11" borderId="10" xfId="3" applyFont="1" applyFill="1" applyBorder="1" applyAlignment="1">
      <alignment horizontal="center"/>
    </xf>
    <xf numFmtId="0" fontId="34" fillId="11" borderId="0" xfId="3" applyFont="1" applyFill="1" applyAlignment="1">
      <alignment horizontal="center"/>
    </xf>
    <xf numFmtId="0" fontId="28" fillId="11" borderId="0" xfId="3" applyFont="1" applyFill="1"/>
    <xf numFmtId="165" fontId="28" fillId="11" borderId="10" xfId="5" applyNumberFormat="1" applyFont="1" applyFill="1" applyBorder="1"/>
    <xf numFmtId="165" fontId="28" fillId="11" borderId="0" xfId="5" applyNumberFormat="1" applyFont="1" applyFill="1"/>
    <xf numFmtId="0" fontId="28" fillId="12" borderId="10" xfId="3" applyFont="1" applyFill="1" applyBorder="1"/>
    <xf numFmtId="0" fontId="1" fillId="0" borderId="10" xfId="3" applyBorder="1"/>
    <xf numFmtId="0" fontId="28" fillId="11" borderId="11" xfId="3" applyFont="1" applyFill="1" applyBorder="1"/>
    <xf numFmtId="165" fontId="28" fillId="11" borderId="12" xfId="5" applyNumberFormat="1" applyFont="1" applyFill="1" applyBorder="1"/>
    <xf numFmtId="165" fontId="28" fillId="11" borderId="11" xfId="5" applyNumberFormat="1" applyFont="1" applyFill="1" applyBorder="1"/>
    <xf numFmtId="0" fontId="28" fillId="12" borderId="12" xfId="3" applyFont="1" applyFill="1" applyBorder="1"/>
    <xf numFmtId="0" fontId="1" fillId="0" borderId="12" xfId="3" applyBorder="1"/>
    <xf numFmtId="0" fontId="1" fillId="0" borderId="11" xfId="3" applyBorder="1"/>
    <xf numFmtId="0" fontId="29" fillId="9" borderId="0" xfId="3" applyFont="1" applyFill="1"/>
    <xf numFmtId="0" fontId="28" fillId="9" borderId="0" xfId="3" applyFont="1" applyFill="1"/>
    <xf numFmtId="165" fontId="29" fillId="9" borderId="13" xfId="3" applyNumberFormat="1" applyFont="1" applyFill="1" applyBorder="1"/>
    <xf numFmtId="165" fontId="29" fillId="9" borderId="14" xfId="3" applyNumberFormat="1" applyFont="1" applyFill="1" applyBorder="1"/>
    <xf numFmtId="165" fontId="29" fillId="9" borderId="15" xfId="3" applyNumberFormat="1" applyFont="1" applyFill="1" applyBorder="1"/>
    <xf numFmtId="165" fontId="29" fillId="13" borderId="10" xfId="5" applyNumberFormat="1" applyFont="1" applyFill="1" applyBorder="1" applyAlignment="1">
      <alignment horizontal="center"/>
    </xf>
    <xf numFmtId="0" fontId="29" fillId="8" borderId="0" xfId="3" applyFont="1" applyFill="1" applyAlignment="1">
      <alignment horizontal="center" vertical="center"/>
    </xf>
    <xf numFmtId="0" fontId="28" fillId="0" borderId="0" xfId="3" applyFont="1" applyAlignment="1">
      <alignment horizontal="right"/>
    </xf>
    <xf numFmtId="43" fontId="28" fillId="14" borderId="10" xfId="5" applyFont="1" applyFill="1" applyBorder="1" applyAlignment="1">
      <alignment horizontal="right"/>
    </xf>
    <xf numFmtId="43" fontId="28" fillId="15" borderId="0" xfId="5" applyFont="1" applyFill="1" applyAlignment="1">
      <alignment horizontal="right"/>
    </xf>
    <xf numFmtId="43" fontId="28" fillId="16" borderId="0" xfId="5" applyFont="1" applyFill="1" applyAlignment="1">
      <alignment horizontal="right"/>
    </xf>
    <xf numFmtId="0" fontId="28" fillId="0" borderId="0" xfId="7" applyFont="1" applyAlignment="1">
      <alignment horizontal="left"/>
    </xf>
    <xf numFmtId="0" fontId="28" fillId="0" borderId="0" xfId="7" applyFont="1" applyAlignment="1">
      <alignment horizontal="right"/>
    </xf>
    <xf numFmtId="43" fontId="35" fillId="14" borderId="10" xfId="5" applyFont="1" applyFill="1" applyBorder="1" applyAlignment="1">
      <alignment horizontal="right"/>
    </xf>
    <xf numFmtId="43" fontId="35" fillId="15" borderId="0" xfId="5" applyFont="1" applyFill="1" applyAlignment="1">
      <alignment horizontal="right"/>
    </xf>
    <xf numFmtId="43" fontId="35" fillId="16" borderId="0" xfId="5" applyFont="1" applyFill="1" applyAlignment="1">
      <alignment horizontal="right"/>
    </xf>
    <xf numFmtId="0" fontId="35" fillId="0" borderId="0" xfId="7" applyFont="1" applyAlignment="1">
      <alignment horizontal="left"/>
    </xf>
    <xf numFmtId="0" fontId="35" fillId="0" borderId="0" xfId="7" applyFont="1" applyAlignment="1">
      <alignment horizontal="right"/>
    </xf>
    <xf numFmtId="0" fontId="28" fillId="0" borderId="0" xfId="3" applyFont="1" applyAlignment="1">
      <alignment horizontal="left" vertical="center"/>
    </xf>
    <xf numFmtId="0" fontId="28" fillId="0" borderId="0" xfId="3" applyFont="1" applyAlignment="1">
      <alignment horizontal="right" vertical="center"/>
    </xf>
    <xf numFmtId="43" fontId="28" fillId="14" borderId="10" xfId="5" applyFont="1" applyFill="1" applyBorder="1" applyAlignment="1">
      <alignment horizontal="right" vertical="center"/>
    </xf>
    <xf numFmtId="43" fontId="28" fillId="15" borderId="0" xfId="5" applyFont="1" applyFill="1" applyAlignment="1">
      <alignment horizontal="right" vertical="center"/>
    </xf>
    <xf numFmtId="43" fontId="28" fillId="16" borderId="0" xfId="5" applyFont="1" applyFill="1" applyAlignment="1">
      <alignment horizontal="right" vertical="center"/>
    </xf>
    <xf numFmtId="0" fontId="28" fillId="0" borderId="0" xfId="7" applyFont="1" applyAlignment="1">
      <alignment horizontal="left" vertical="center"/>
    </xf>
    <xf numFmtId="0" fontId="35" fillId="0" borderId="0" xfId="7" applyFont="1" applyAlignment="1">
      <alignment horizontal="left" vertical="center"/>
    </xf>
    <xf numFmtId="0" fontId="28" fillId="0" borderId="0" xfId="7" applyFont="1" applyAlignment="1">
      <alignment horizontal="right" vertical="center"/>
    </xf>
    <xf numFmtId="43" fontId="35" fillId="14" borderId="10" xfId="5" applyFont="1" applyFill="1" applyBorder="1" applyAlignment="1">
      <alignment horizontal="right" vertical="center"/>
    </xf>
    <xf numFmtId="43" fontId="35" fillId="15" borderId="0" xfId="5" applyFont="1" applyFill="1" applyAlignment="1">
      <alignment horizontal="right" vertical="center"/>
    </xf>
    <xf numFmtId="43" fontId="35" fillId="16" borderId="0" xfId="5" applyFont="1" applyFill="1" applyAlignment="1">
      <alignment horizontal="right" vertical="center"/>
    </xf>
    <xf numFmtId="43" fontId="35" fillId="15" borderId="0" xfId="5" applyFont="1" applyFill="1" applyBorder="1" applyAlignment="1">
      <alignment horizontal="right" vertical="center"/>
    </xf>
    <xf numFmtId="43" fontId="35" fillId="16" borderId="0" xfId="5" applyFont="1" applyFill="1" applyBorder="1" applyAlignment="1">
      <alignment horizontal="right" vertical="center"/>
    </xf>
    <xf numFmtId="43" fontId="28" fillId="15" borderId="0" xfId="5" applyFont="1" applyFill="1" applyBorder="1" applyAlignment="1">
      <alignment horizontal="right"/>
    </xf>
    <xf numFmtId="43" fontId="28" fillId="16" borderId="0" xfId="5" applyFont="1" applyFill="1" applyBorder="1" applyAlignment="1">
      <alignment horizontal="right"/>
    </xf>
    <xf numFmtId="0" fontId="28" fillId="0" borderId="11" xfId="3" applyFont="1" applyBorder="1" applyAlignment="1">
      <alignment horizontal="left"/>
    </xf>
    <xf numFmtId="0" fontId="35" fillId="0" borderId="11" xfId="7" applyFont="1" applyBorder="1" applyAlignment="1">
      <alignment horizontal="left" vertical="center"/>
    </xf>
    <xf numFmtId="0" fontId="28" fillId="0" borderId="11" xfId="3" applyFont="1" applyBorder="1" applyAlignment="1">
      <alignment horizontal="right"/>
    </xf>
    <xf numFmtId="43" fontId="28" fillId="14" borderId="12" xfId="5" applyFont="1" applyFill="1" applyBorder="1" applyAlignment="1">
      <alignment horizontal="right"/>
    </xf>
    <xf numFmtId="43" fontId="28" fillId="15" borderId="11" xfId="5" applyFont="1" applyFill="1" applyBorder="1" applyAlignment="1">
      <alignment horizontal="right"/>
    </xf>
    <xf numFmtId="43" fontId="28" fillId="16" borderId="11" xfId="5" applyFont="1" applyFill="1" applyBorder="1" applyAlignment="1">
      <alignment horizontal="right"/>
    </xf>
    <xf numFmtId="0" fontId="29" fillId="8" borderId="0" xfId="3" applyFont="1" applyFill="1" applyAlignment="1">
      <alignment horizontal="left"/>
    </xf>
    <xf numFmtId="165" fontId="29" fillId="8" borderId="0" xfId="5" applyNumberFormat="1" applyFont="1" applyFill="1" applyAlignment="1">
      <alignment horizontal="center"/>
    </xf>
    <xf numFmtId="165" fontId="29" fillId="8" borderId="10" xfId="5" applyNumberFormat="1" applyFont="1" applyFill="1" applyBorder="1"/>
    <xf numFmtId="165" fontId="29" fillId="8" borderId="0" xfId="5" applyNumberFormat="1" applyFont="1" applyFill="1"/>
  </cellXfs>
  <cellStyles count="8">
    <cellStyle name="Comma 2" xfId="5" xr:uid="{AF47C810-4EB1-4131-A195-FF7CADDFAE23}"/>
    <cellStyle name="Hyperlink" xfId="2" builtinId="8"/>
    <cellStyle name="Hyperlink 2" xfId="4" xr:uid="{D9B70881-3AD9-47DF-911A-F6C83CB3D3F4}"/>
    <cellStyle name="Normal" xfId="0" builtinId="0"/>
    <cellStyle name="Normal 2" xfId="1" xr:uid="{419F4FC0-8749-4568-8B8D-B65DC7873479}"/>
    <cellStyle name="Normal 2 2" xfId="7" xr:uid="{1FB732AA-AD22-4D67-823D-07FB7F38B411}"/>
    <cellStyle name="Normal 3" xfId="3" xr:uid="{359D3926-2863-4D9E-9023-1AB8AE8E8AF3}"/>
    <cellStyle name="Percent 2" xfId="6" xr:uid="{F6BC72A0-9537-4940-9739-4B801C5AC27B}"/>
  </cellStyles>
  <dxfs count="3">
    <dxf>
      <fill>
        <patternFill patternType="solid">
          <fgColor rgb="FFB7E1CD"/>
          <bgColor rgb="FFB7E1CD"/>
        </patternFill>
      </fill>
    </dxf>
    <dxf>
      <fill>
        <patternFill patternType="solid">
          <fgColor theme="5"/>
          <bgColor theme="5"/>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externalLink" Target="externalLinks/externalLink7.xml"/><Relationship Id="rId26" Type="http://schemas.openxmlformats.org/officeDocument/2006/relationships/externalLink" Target="externalLinks/externalLink15.xml"/><Relationship Id="rId3" Type="http://schemas.openxmlformats.org/officeDocument/2006/relationships/worksheet" Target="worksheets/sheet3.xml"/><Relationship Id="rId21" Type="http://schemas.openxmlformats.org/officeDocument/2006/relationships/externalLink" Target="externalLinks/externalLink10.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openxmlformats.org/officeDocument/2006/relationships/externalLink" Target="externalLinks/externalLink14.xml"/><Relationship Id="rId2" Type="http://schemas.openxmlformats.org/officeDocument/2006/relationships/worksheet" Target="worksheets/sheet2.xml"/><Relationship Id="rId16" Type="http://schemas.openxmlformats.org/officeDocument/2006/relationships/externalLink" Target="externalLinks/externalLink5.xml"/><Relationship Id="rId20" Type="http://schemas.openxmlformats.org/officeDocument/2006/relationships/externalLink" Target="externalLinks/externalLink9.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3.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openxmlformats.org/officeDocument/2006/relationships/externalLink" Target="externalLinks/externalLink12.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externalLink" Target="externalLinks/externalLink11.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149679</xdr:colOff>
      <xdr:row>0</xdr:row>
      <xdr:rowOff>149678</xdr:rowOff>
    </xdr:from>
    <xdr:to>
      <xdr:col>2</xdr:col>
      <xdr:colOff>1706783</xdr:colOff>
      <xdr:row>2</xdr:row>
      <xdr:rowOff>296456</xdr:rowOff>
    </xdr:to>
    <xdr:pic>
      <xdr:nvPicPr>
        <xdr:cNvPr id="2" name="image1.jpeg">
          <a:extLst>
            <a:ext uri="{FF2B5EF4-FFF2-40B4-BE49-F238E27FC236}">
              <a16:creationId xmlns:a16="http://schemas.microsoft.com/office/drawing/2014/main" id="{264B0087-FD58-4B92-AEE6-A575EDB4AE69}"/>
            </a:ext>
          </a:extLst>
        </xdr:cNvPr>
        <xdr:cNvPicPr>
          <a:picLocks noChangeAspect="1"/>
        </xdr:cNvPicPr>
      </xdr:nvPicPr>
      <xdr:blipFill>
        <a:blip xmlns:r="http://schemas.openxmlformats.org/officeDocument/2006/relationships" r:embed="rId1"/>
        <a:srcRect l="3078" r="3078"/>
        <a:stretch>
          <a:fillRect/>
        </a:stretch>
      </xdr:blipFill>
      <xdr:spPr>
        <a:xfrm>
          <a:off x="154441" y="154440"/>
          <a:ext cx="3000142" cy="599216"/>
        </a:xfrm>
        <a:prstGeom prst="rect">
          <a:avLst/>
        </a:prstGeom>
        <a:ln w="12700">
          <a:miter lim="400000"/>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Jean-Marc's%20files\Jean-Marc%2017%20June%2010\Karit&#233;\Serious%20Shea\Stage%202\Saisie%20de%20resultats\Saisies%20Sanguie\11-16%20Oct\OJ%20et%20DT%2011-16%20Oct%20Sanguie%2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Jean-Marc's%20files\Jean-Marc%2017%20June%2010\Karit&#233;\Serious%20Shea\Stage%202\Saisie%20de%20resultats\Saisies%20Sud-Ouest\Donnees%20Sud-Ouest%203%20binome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YOUMA/Desktop/sansonic%20SERIOUS%20SHAE/Sensonomic%20Survey%20inpu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Jean-Marc's%20files\Jean-Marc%2017%20June%2010\Karit&#233;\Serious%20Shea\Stage%202\Saisie%20de%20resultats\Sud-Ouest\Lamine%20Yves%202.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Jean-Marc's%20files\Jean-Marc%2017%20June%2010\Karit&#233;\Serious%20Shea\Stage%202\Saisie%20de%20resultats\Sud-Ouest\Jeremie-Thierry%20Sud-Ouest%202%20Oc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Jean-Marc's%20files\Jean-Marc%2017%20June%2010\Karit&#233;\Serious%20Shea\Stage%202\Saisie%20de%20resultats\Saisies%20Manga\OJ%20et%20DT%20donn&#233;es%20Manga%201.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Jean-Marc's%20files\Jean-Marc%2017%20June%2010\Karit&#233;\Serious%20Shea\Stage%202\Saisie%20de%20resultats\Saisies%20Sanguie\4-9%20Oct\Centre-Ouest%20AZ%20et%20OK%204-9%20Oc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Users/KAMBIRET%20OSWALD/Desktop/Sud-Ouest%20%20binome%20AZ-OK.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Jean-Marc's%20files\Jean-Marc%2017%20June%2010\Karit&#233;\Serious%20Shea\Stage%202\Saisie%20de%20resultats\Saisies%20Sud-Ouest\Jeremie-Thierry%20Sud-Ouest%202%20Oct.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Alastair/Dropbox%20(Irbaris)/Africa%20Power/Sida%20Zambia/160320%20-%20Financial%20Model%20-%20Base%20case%20for%20Concept%20note.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Alasdair/Desktop/GTL%20economic%20model.14021318v20.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David%20Hampton/Documents/!irbaris/!!!!!AfricaPower/!!Zambia/AfricaPower.EconomicAssessment.v1031%20(HoA).xlsx" TargetMode="External"/></Relationships>
</file>

<file path=xl/externalLinks/_rels/externalLink13.xml.rels><?xml version="1.0" encoding="UTF-8" standalone="yes"?>
<Relationships xmlns="http://schemas.openxmlformats.org/package/2006/relationships"><Relationship Id="rId2" Type="http://schemas.microsoft.com/office/2019/04/relationships/externalLinkLongPath" Target="/Users/Alastair%20Woods/Dropbox%20(ImpactAgri%20&amp;%20Irbaris)/ImpactAgri/Advanced%20Agribusinesses/Burkina%20Faso%20-%20Serious%20Shea/Due%20Diligence%20-%20Master%20Documents/Women's%20Groups%20&amp;%20Mapping/SeriousShea.VolumeData.Confidential.February2020.xlsx?0DD5B44D" TargetMode="External"/><Relationship Id="rId1" Type="http://schemas.openxmlformats.org/officeDocument/2006/relationships/externalLinkPath" Target="file:///\\0DD5B44D\SeriousShea.VolumeData.Confidential.February2020.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Alasdair/Documents/Irbaris/Sectors/Telecoms/Africa%20Power/Drip-feed%20Irrigation/Project%20projections%20($15m)%20v4.1.ARG.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Users/Alasdair/Desktop/GTL%20economic%20model.140318v2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ta"/>
      <sheetName val="Data"/>
      <sheetName val="Internal-logic"/>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ta"/>
      <sheetName val="Data"/>
      <sheetName val="Original"/>
      <sheetName val="Sheet1"/>
      <sheetName val="Distance to paved road"/>
      <sheetName val="Committee size"/>
      <sheetName val="Sheet2"/>
      <sheetName val="Internal-logic"/>
    </sheetNames>
    <sheetDataSet>
      <sheetData sheetId="0"/>
      <sheetData sheetId="1"/>
      <sheetData sheetId="2"/>
      <sheetData sheetId="3"/>
      <sheetData sheetId="4"/>
      <sheetData sheetId="5"/>
      <sheetData sheetId="6"/>
      <sheetData sheetId="7">
        <row r="1">
          <cell r="G1" t="str">
            <v>Group name</v>
          </cell>
          <cell r="H1" t="str">
            <v>Group number</v>
          </cell>
          <cell r="I1" t="str">
            <v>Group Commune</v>
          </cell>
        </row>
        <row r="2">
          <cell r="G2" t="str">
            <v xml:space="preserve"> Allah Dari</v>
          </cell>
          <cell r="H2">
            <v>268</v>
          </cell>
          <cell r="I2" t="str">
            <v>Orodara</v>
          </cell>
        </row>
        <row r="3">
          <cell r="G3" t="str">
            <v>AAVC de Loropeni</v>
          </cell>
          <cell r="H3">
            <v>286</v>
          </cell>
          <cell r="I3" t="str">
            <v>Loropeni</v>
          </cell>
        </row>
        <row r="4">
          <cell r="G4" t="str">
            <v>ABPJF\ UPROKA</v>
          </cell>
          <cell r="H4">
            <v>54</v>
          </cell>
          <cell r="I4" t="str">
            <v>Ouagadougou</v>
          </cell>
        </row>
        <row r="5">
          <cell r="G5" t="str">
            <v>Aditou</v>
          </cell>
          <cell r="H5">
            <v>51</v>
          </cell>
          <cell r="I5" t="str">
            <v>Boussera</v>
          </cell>
        </row>
        <row r="6">
          <cell r="G6" t="str">
            <v>ADMGA</v>
          </cell>
          <cell r="H6">
            <v>147</v>
          </cell>
          <cell r="I6" t="str">
            <v>Gourcy</v>
          </cell>
        </row>
        <row r="7">
          <cell r="G7" t="str">
            <v>ALLAH BARKA</v>
          </cell>
          <cell r="H7">
            <v>183</v>
          </cell>
          <cell r="I7" t="str">
            <v>Kpueré</v>
          </cell>
        </row>
        <row r="8">
          <cell r="G8" t="str">
            <v>Allah kabo</v>
          </cell>
          <cell r="H8">
            <v>184</v>
          </cell>
          <cell r="I8" t="str">
            <v>Houndé</v>
          </cell>
        </row>
        <row r="9">
          <cell r="G9" t="str">
            <v>Amarian yiidian</v>
          </cell>
          <cell r="H9">
            <v>187</v>
          </cell>
          <cell r="I9" t="str">
            <v>Léo</v>
          </cell>
        </row>
        <row r="10">
          <cell r="G10" t="str">
            <v>APES de Kombissiri</v>
          </cell>
          <cell r="H10">
            <v>299</v>
          </cell>
          <cell r="I10" t="str">
            <v>Kombissiri</v>
          </cell>
        </row>
        <row r="11">
          <cell r="G11" t="str">
            <v>APES de Poni</v>
          </cell>
          <cell r="H11">
            <v>91</v>
          </cell>
          <cell r="I11"/>
        </row>
        <row r="12">
          <cell r="G12" t="str">
            <v>association</v>
          </cell>
          <cell r="H12">
            <v>92</v>
          </cell>
          <cell r="I12" t="str">
            <v>Fada</v>
          </cell>
        </row>
        <row r="13">
          <cell r="G13" t="str">
            <v>association des femmes pour la solidarité et le développement de Bitou</v>
          </cell>
          <cell r="H13">
            <v>200</v>
          </cell>
          <cell r="I13" t="str">
            <v>Bitou</v>
          </cell>
        </row>
        <row r="14">
          <cell r="G14" t="str">
            <v xml:space="preserve">Association des jeunes femmes de Zecco </v>
          </cell>
          <cell r="H14">
            <v>102</v>
          </cell>
          <cell r="I14" t="str">
            <v>Po</v>
          </cell>
        </row>
        <row r="15">
          <cell r="G15" t="str">
            <v>ASSOCIATION FEMME LEVE TOI ET MARCHE DE GAOUA</v>
          </cell>
          <cell r="H15">
            <v>282</v>
          </cell>
          <cell r="I15" t="str">
            <v>Gaoua</v>
          </cell>
        </row>
        <row r="16">
          <cell r="G16" t="str">
            <v>Association Pingnooma</v>
          </cell>
          <cell r="H16">
            <v>404</v>
          </cell>
          <cell r="I16" t="str">
            <v>BOUSSÉ</v>
          </cell>
        </row>
        <row r="17">
          <cell r="G17" t="str">
            <v xml:space="preserve">association pour l'intégration socioéconomiques des filles mère en difficulté dans la région de toma </v>
          </cell>
          <cell r="H17">
            <v>27</v>
          </cell>
          <cell r="I17" t="str">
            <v>Toma</v>
          </cell>
        </row>
        <row r="18">
          <cell r="G18" t="str">
            <v>association pour la promotion sociale des personnes vulnérables</v>
          </cell>
          <cell r="H18">
            <v>82</v>
          </cell>
          <cell r="I18" t="str">
            <v>Tiankoura</v>
          </cell>
        </row>
        <row r="19">
          <cell r="G19" t="str">
            <v>Association Pour les Femmes de Kouritenga (APFK)</v>
          </cell>
          <cell r="H19">
            <v>242</v>
          </cell>
          <cell r="I19" t="str">
            <v>Koupela</v>
          </cell>
        </row>
        <row r="20">
          <cell r="G20" t="str">
            <v>ASSOCIATION POUR LES FEMMES DU KOURITENGA</v>
          </cell>
          <cell r="H20">
            <v>312</v>
          </cell>
          <cell r="I20" t="str">
            <v>Koupela</v>
          </cell>
        </row>
        <row r="21">
          <cell r="G21" t="str">
            <v>association y croire</v>
          </cell>
          <cell r="H21">
            <v>210</v>
          </cell>
          <cell r="I21" t="str">
            <v>Koudougou</v>
          </cell>
        </row>
        <row r="22">
          <cell r="G22" t="str">
            <v>Associaton pour la promotion économique et sociale des femmes</v>
          </cell>
          <cell r="H22">
            <v>221</v>
          </cell>
          <cell r="I22" t="str">
            <v>Kombissiri</v>
          </cell>
        </row>
        <row r="23">
          <cell r="G23" t="str">
            <v>AZEBENE de Kpuéré</v>
          </cell>
          <cell r="H23">
            <v>177</v>
          </cell>
          <cell r="I23" t="str">
            <v>Kpueré</v>
          </cell>
        </row>
        <row r="24">
          <cell r="G24" t="str">
            <v>Azebène de Pouni</v>
          </cell>
          <cell r="H24">
            <v>172</v>
          </cell>
          <cell r="I24" t="str">
            <v>Pouni</v>
          </cell>
        </row>
        <row r="25">
          <cell r="G25" t="str">
            <v>Bakouando de Daolo</v>
          </cell>
          <cell r="H25">
            <v>113</v>
          </cell>
          <cell r="I25" t="str">
            <v>DIDYR</v>
          </cell>
        </row>
        <row r="26">
          <cell r="G26" t="str">
            <v>Bao-Manag-ré /URBAPK-COS</v>
          </cell>
          <cell r="H26">
            <v>304</v>
          </cell>
          <cell r="I26"/>
        </row>
        <row r="27">
          <cell r="G27" t="str">
            <v>Baosongré</v>
          </cell>
          <cell r="H27">
            <v>104</v>
          </cell>
          <cell r="I27" t="str">
            <v>Fada</v>
          </cell>
        </row>
        <row r="28">
          <cell r="G28" t="str">
            <v xml:space="preserve">BEIGNIN </v>
          </cell>
          <cell r="H28">
            <v>318</v>
          </cell>
          <cell r="I28" t="str">
            <v>Zambo</v>
          </cell>
        </row>
        <row r="29">
          <cell r="G29" t="str">
            <v>Ben nafa</v>
          </cell>
          <cell r="H29">
            <v>115</v>
          </cell>
          <cell r="I29" t="str">
            <v>Toma</v>
          </cell>
        </row>
        <row r="30">
          <cell r="G30" t="str">
            <v>Benéwendé de Kando</v>
          </cell>
          <cell r="H30">
            <v>238</v>
          </cell>
          <cell r="I30" t="str">
            <v>Koupéla</v>
          </cell>
        </row>
        <row r="31">
          <cell r="G31" t="str">
            <v>Benewendé de Solenzo</v>
          </cell>
          <cell r="H31">
            <v>236</v>
          </cell>
          <cell r="I31" t="str">
            <v>Solenzo</v>
          </cell>
        </row>
        <row r="32">
          <cell r="G32" t="str">
            <v>Bengnouma</v>
          </cell>
          <cell r="H32">
            <v>240</v>
          </cell>
          <cell r="I32" t="str">
            <v>Dedougou</v>
          </cell>
        </row>
        <row r="33">
          <cell r="G33" t="str">
            <v>Benibwa</v>
          </cell>
          <cell r="H33">
            <v>244</v>
          </cell>
          <cell r="I33" t="str">
            <v>Gayeri</v>
          </cell>
        </row>
        <row r="34">
          <cell r="G34" t="str">
            <v>Benkadi de Di</v>
          </cell>
          <cell r="H34">
            <v>141</v>
          </cell>
          <cell r="I34" t="str">
            <v>Tougan</v>
          </cell>
        </row>
        <row r="35">
          <cell r="G35" t="str">
            <v>benkadi de korome</v>
          </cell>
          <cell r="H35">
            <v>5</v>
          </cell>
          <cell r="I35" t="str">
            <v>Di</v>
          </cell>
        </row>
        <row r="36">
          <cell r="G36" t="str">
            <v>Benkadi de Sibi</v>
          </cell>
          <cell r="H36">
            <v>416</v>
          </cell>
          <cell r="I36" t="str">
            <v>SIBI</v>
          </cell>
        </row>
        <row r="37">
          <cell r="G37" t="str">
            <v>Benkadi de Vigué</v>
          </cell>
          <cell r="H37">
            <v>259</v>
          </cell>
          <cell r="I37" t="str">
            <v>Karankasso</v>
          </cell>
        </row>
        <row r="38">
          <cell r="G38" t="str">
            <v>Benkadi entraide</v>
          </cell>
          <cell r="H38">
            <v>14</v>
          </cell>
          <cell r="I38" t="str">
            <v>Boromo</v>
          </cell>
        </row>
        <row r="39">
          <cell r="G39" t="str">
            <v>Benkadi Nayo</v>
          </cell>
          <cell r="H39">
            <v>307</v>
          </cell>
          <cell r="I39" t="str">
            <v>Diebougou</v>
          </cell>
        </row>
        <row r="40">
          <cell r="G40" t="str">
            <v>Benkadi Shiriyi Nafa</v>
          </cell>
          <cell r="H40">
            <v>305</v>
          </cell>
          <cell r="I40" t="str">
            <v>Tougan</v>
          </cell>
        </row>
        <row r="41">
          <cell r="G41" t="str">
            <v>Benkagni</v>
          </cell>
          <cell r="H41">
            <v>16</v>
          </cell>
          <cell r="I41" t="str">
            <v>Nouna</v>
          </cell>
        </row>
        <row r="42">
          <cell r="G42" t="str">
            <v>Benkelekan</v>
          </cell>
          <cell r="H42">
            <v>128</v>
          </cell>
          <cell r="I42" t="str">
            <v>Solenzo</v>
          </cell>
        </row>
        <row r="43">
          <cell r="G43" t="str">
            <v>Benkéléma</v>
          </cell>
          <cell r="H43">
            <v>189</v>
          </cell>
          <cell r="I43" t="str">
            <v>Mossodougou</v>
          </cell>
        </row>
        <row r="44">
          <cell r="G44" t="str">
            <v>BEOGO NERE</v>
          </cell>
          <cell r="H44">
            <v>303</v>
          </cell>
          <cell r="I44" t="str">
            <v>Sakoula</v>
          </cell>
        </row>
        <row r="45">
          <cell r="G45" t="str">
            <v>Béréwé</v>
          </cell>
          <cell r="H45">
            <v>164</v>
          </cell>
          <cell r="I45" t="str">
            <v>Satiri</v>
          </cell>
        </row>
        <row r="46">
          <cell r="G46" t="str">
            <v>BGEBEWAALA</v>
          </cell>
          <cell r="H46">
            <v>182</v>
          </cell>
          <cell r="I46" t="str">
            <v>Gbomblora</v>
          </cell>
        </row>
        <row r="47">
          <cell r="G47" t="str">
            <v>Bi-Songo</v>
          </cell>
          <cell r="H47">
            <v>7</v>
          </cell>
          <cell r="I47" t="str">
            <v>Saponé</v>
          </cell>
        </row>
        <row r="48">
          <cell r="G48" t="str">
            <v xml:space="preserve">bientama </v>
          </cell>
          <cell r="H48">
            <v>58</v>
          </cell>
          <cell r="I48" t="str">
            <v>Toma</v>
          </cell>
        </row>
        <row r="49">
          <cell r="G49" t="str">
            <v>Bissongo</v>
          </cell>
          <cell r="H49">
            <v>405</v>
          </cell>
          <cell r="I49" t="str">
            <v>KOMBISSIRI</v>
          </cell>
        </row>
        <row r="50">
          <cell r="G50" t="str">
            <v>Bomafola de Gossina</v>
          </cell>
          <cell r="H50">
            <v>56</v>
          </cell>
          <cell r="I50" t="str">
            <v>Toma</v>
          </cell>
        </row>
        <row r="51">
          <cell r="G51" t="str">
            <v>bomafola de massako</v>
          </cell>
          <cell r="H51">
            <v>55</v>
          </cell>
          <cell r="I51" t="str">
            <v>Toma</v>
          </cell>
        </row>
        <row r="52">
          <cell r="G52" t="str">
            <v>bowdour de choyo</v>
          </cell>
          <cell r="H52">
            <v>86</v>
          </cell>
          <cell r="I52" t="str">
            <v>Tiankoura</v>
          </cell>
        </row>
        <row r="53">
          <cell r="G53" t="str">
            <v>Buud-yam</v>
          </cell>
          <cell r="H53">
            <v>234</v>
          </cell>
          <cell r="I53" t="str">
            <v>Kombissiri</v>
          </cell>
        </row>
        <row r="54">
          <cell r="G54" t="str">
            <v>Buudnoma</v>
          </cell>
          <cell r="H54">
            <v>270</v>
          </cell>
          <cell r="I54" t="str">
            <v>Koudougou Secteur 1</v>
          </cell>
        </row>
        <row r="55">
          <cell r="G55" t="str">
            <v>Buudnoma</v>
          </cell>
          <cell r="H55">
            <v>421</v>
          </cell>
          <cell r="I55" t="str">
            <v>KOUDOUGOU</v>
          </cell>
        </row>
        <row r="56">
          <cell r="G56" t="str">
            <v>Buuyaaba</v>
          </cell>
          <cell r="H56">
            <v>152</v>
          </cell>
          <cell r="I56" t="str">
            <v>Ouagadougou</v>
          </cell>
        </row>
        <row r="57">
          <cell r="G57" t="str">
            <v>centre alpha</v>
          </cell>
          <cell r="H57">
            <v>6</v>
          </cell>
          <cell r="I57" t="str">
            <v>Sapouy</v>
          </cell>
        </row>
        <row r="58">
          <cell r="G58" t="str">
            <v>COOPERATIVE DES PRODUCTRICES DE BEURRE DE KARITE de Manga</v>
          </cell>
          <cell r="H58">
            <v>311</v>
          </cell>
          <cell r="I58" t="str">
            <v>Manga</v>
          </cell>
        </row>
        <row r="59">
          <cell r="G59" t="str">
            <v>Coopérative simplifiée Koroto des produits non ligneux de Kwen</v>
          </cell>
          <cell r="H59">
            <v>111</v>
          </cell>
          <cell r="I59" t="str">
            <v>Didyr</v>
          </cell>
        </row>
        <row r="60">
          <cell r="G60" t="str">
            <v>CYE DWANE NYEE</v>
          </cell>
          <cell r="H60">
            <v>291</v>
          </cell>
          <cell r="I60" t="str">
            <v>Réo</v>
          </cell>
        </row>
        <row r="61">
          <cell r="G61" t="str">
            <v>Danyiwè</v>
          </cell>
          <cell r="H61">
            <v>3</v>
          </cell>
          <cell r="I61" t="str">
            <v>Po</v>
          </cell>
        </row>
        <row r="62">
          <cell r="G62" t="str">
            <v>Delwendé d'Andemtenga</v>
          </cell>
          <cell r="H62">
            <v>137</v>
          </cell>
          <cell r="I62" t="str">
            <v>Andemtenga</v>
          </cell>
        </row>
        <row r="63">
          <cell r="G63" t="str">
            <v>Delwendé de Boudry</v>
          </cell>
          <cell r="H63">
            <v>40</v>
          </cell>
          <cell r="I63" t="str">
            <v>Boudry</v>
          </cell>
        </row>
        <row r="64">
          <cell r="G64" t="str">
            <v>Delwendé de Ouargaye</v>
          </cell>
          <cell r="H64">
            <v>165</v>
          </cell>
          <cell r="I64" t="str">
            <v>Ouargaye</v>
          </cell>
        </row>
        <row r="65">
          <cell r="G65" t="str">
            <v>Delwendé de Pissila</v>
          </cell>
          <cell r="H65">
            <v>163</v>
          </cell>
          <cell r="I65" t="str">
            <v>Pissila</v>
          </cell>
        </row>
        <row r="66">
          <cell r="G66" t="str">
            <v>Delwendé de Poni</v>
          </cell>
          <cell r="H66">
            <v>97</v>
          </cell>
          <cell r="I66"/>
        </row>
        <row r="67">
          <cell r="G67" t="str">
            <v>Dioramae simplifiée Koroto des produits non ligneux de Kwen</v>
          </cell>
          <cell r="H67">
            <v>166</v>
          </cell>
          <cell r="I67" t="str">
            <v>Didyr</v>
          </cell>
        </row>
        <row r="68">
          <cell r="G68" t="str">
            <v>Dioulmale</v>
          </cell>
          <cell r="H68">
            <v>167</v>
          </cell>
          <cell r="I68" t="str">
            <v>Bogande</v>
          </cell>
        </row>
        <row r="69">
          <cell r="G69" t="str">
            <v>DJIGUIDEY</v>
          </cell>
          <cell r="H69">
            <v>309</v>
          </cell>
          <cell r="I69" t="str">
            <v>Kouka</v>
          </cell>
        </row>
        <row r="70">
          <cell r="G70" t="str">
            <v>Dollebou</v>
          </cell>
          <cell r="H70">
            <v>248</v>
          </cell>
          <cell r="I70" t="str">
            <v>Garango</v>
          </cell>
        </row>
        <row r="71">
          <cell r="G71" t="str">
            <v>Dwi-yè</v>
          </cell>
          <cell r="H71">
            <v>61</v>
          </cell>
          <cell r="I71" t="str">
            <v>TENADO</v>
          </cell>
        </row>
        <row r="72">
          <cell r="G72" t="str">
            <v>Etiono nyè de Ladiou</v>
          </cell>
          <cell r="H72">
            <v>123</v>
          </cell>
          <cell r="I72" t="str">
            <v>DIDYR</v>
          </cell>
        </row>
        <row r="73">
          <cell r="G73" t="str">
            <v>Fadefso</v>
          </cell>
          <cell r="H73">
            <v>80</v>
          </cell>
          <cell r="I73"/>
        </row>
        <row r="74">
          <cell r="G74" t="str">
            <v>FAMDIMA</v>
          </cell>
          <cell r="H74">
            <v>314</v>
          </cell>
          <cell r="I74" t="str">
            <v>Pama</v>
          </cell>
        </row>
        <row r="75">
          <cell r="G75" t="str">
            <v>Faso bara</v>
          </cell>
          <cell r="H75">
            <v>83</v>
          </cell>
          <cell r="I75" t="str">
            <v>Douroula</v>
          </cell>
        </row>
        <row r="76">
          <cell r="G76" t="str">
            <v>Fasodjigui</v>
          </cell>
          <cell r="H76">
            <v>87</v>
          </cell>
          <cell r="I76" t="str">
            <v>Loropéni</v>
          </cell>
        </row>
        <row r="77">
          <cell r="G77" t="str">
            <v>Femme 2000</v>
          </cell>
          <cell r="H77">
            <v>4</v>
          </cell>
          <cell r="I77" t="str">
            <v>Ziniaré</v>
          </cell>
        </row>
        <row r="78">
          <cell r="G78" t="str">
            <v>Femmes actives</v>
          </cell>
          <cell r="H78">
            <v>212</v>
          </cell>
          <cell r="I78" t="str">
            <v>Boussouma</v>
          </cell>
        </row>
        <row r="79">
          <cell r="G79" t="str">
            <v>Gbansoangou</v>
          </cell>
          <cell r="H79">
            <v>192</v>
          </cell>
          <cell r="I79" t="str">
            <v>Madjoari</v>
          </cell>
        </row>
        <row r="80">
          <cell r="G80" t="str">
            <v>Gnitamoussin</v>
          </cell>
          <cell r="H80">
            <v>214</v>
          </cell>
          <cell r="I80" t="str">
            <v>Dédougou</v>
          </cell>
        </row>
        <row r="81">
          <cell r="G81" t="str">
            <v>Gnoumankadi</v>
          </cell>
          <cell r="H81">
            <v>194</v>
          </cell>
          <cell r="I81" t="str">
            <v>Solenzo</v>
          </cell>
        </row>
        <row r="82">
          <cell r="G82" t="str">
            <v xml:space="preserve">GNOWKAA </v>
          </cell>
          <cell r="H82">
            <v>319</v>
          </cell>
          <cell r="I82" t="str">
            <v>Zambo</v>
          </cell>
        </row>
        <row r="83">
          <cell r="G83" t="str">
            <v>Goulou-nyē de Bouldié</v>
          </cell>
          <cell r="H83">
            <v>131</v>
          </cell>
          <cell r="I83" t="str">
            <v>DIDYR</v>
          </cell>
        </row>
        <row r="84">
          <cell r="G84" t="str">
            <v>GRÂCE ET MERVEILLES</v>
          </cell>
          <cell r="H84">
            <v>24</v>
          </cell>
          <cell r="I84" t="str">
            <v>Roumtenga</v>
          </cell>
        </row>
        <row r="85">
          <cell r="G85" t="str">
            <v>groupement de femmes productrices de noix de karité volatile de gossina</v>
          </cell>
          <cell r="H85">
            <v>52</v>
          </cell>
          <cell r="I85" t="str">
            <v>Toma</v>
          </cell>
        </row>
        <row r="86">
          <cell r="G86" t="str">
            <v>Guétawendé de Gaoua</v>
          </cell>
          <cell r="H86">
            <v>90</v>
          </cell>
          <cell r="I86" t="str">
            <v>Gaoua</v>
          </cell>
        </row>
        <row r="87">
          <cell r="G87" t="str">
            <v>Guétawendé de Koudougou</v>
          </cell>
          <cell r="H87">
            <v>157</v>
          </cell>
          <cell r="I87" t="str">
            <v>Koudougou</v>
          </cell>
        </row>
        <row r="88">
          <cell r="G88" t="str">
            <v>Hampugine</v>
          </cell>
          <cell r="H88">
            <v>89</v>
          </cell>
          <cell r="I88" t="str">
            <v>Bogande</v>
          </cell>
        </row>
        <row r="89">
          <cell r="G89" t="str">
            <v xml:space="preserve">IBELGNIN </v>
          </cell>
          <cell r="H89">
            <v>320</v>
          </cell>
          <cell r="I89" t="str">
            <v>Zambo</v>
          </cell>
        </row>
        <row r="90">
          <cell r="G90" t="str">
            <v>IGNIN de KANKAMPELE</v>
          </cell>
          <cell r="H90">
            <v>321</v>
          </cell>
          <cell r="I90" t="str">
            <v>Zambo</v>
          </cell>
        </row>
        <row r="91">
          <cell r="G91" t="str">
            <v xml:space="preserve">IGNIN DE SEGRO </v>
          </cell>
          <cell r="H91">
            <v>322</v>
          </cell>
          <cell r="I91" t="str">
            <v>Zambo</v>
          </cell>
        </row>
        <row r="92">
          <cell r="G92" t="str">
            <v xml:space="preserve">IGNIN de TAMPLA V1 </v>
          </cell>
          <cell r="H92">
            <v>323</v>
          </cell>
          <cell r="I92" t="str">
            <v>Zambo</v>
          </cell>
        </row>
        <row r="93">
          <cell r="G93" t="str">
            <v>Iridjè</v>
          </cell>
          <cell r="H93">
            <v>99</v>
          </cell>
          <cell r="I93" t="str">
            <v>Nako</v>
          </cell>
        </row>
        <row r="94">
          <cell r="G94" t="str">
            <v>Iyorou dolobane</v>
          </cell>
          <cell r="H94">
            <v>101</v>
          </cell>
          <cell r="I94" t="str">
            <v>Wolonkoto</v>
          </cell>
        </row>
        <row r="95">
          <cell r="G95" t="str">
            <v>Jintoua</v>
          </cell>
          <cell r="H95">
            <v>410</v>
          </cell>
          <cell r="I95" t="str">
            <v>TENADO</v>
          </cell>
        </row>
        <row r="96">
          <cell r="G96" t="str">
            <v>Kaan-vla</v>
          </cell>
          <cell r="H96">
            <v>84</v>
          </cell>
          <cell r="I96" t="str">
            <v>Niego</v>
          </cell>
        </row>
        <row r="97">
          <cell r="G97" t="str">
            <v>Kagnonsé Léraba</v>
          </cell>
          <cell r="H97">
            <v>193</v>
          </cell>
          <cell r="I97" t="str">
            <v>Sindou</v>
          </cell>
        </row>
        <row r="98">
          <cell r="G98" t="str">
            <v>KANTCHIOLI</v>
          </cell>
          <cell r="H98">
            <v>179</v>
          </cell>
          <cell r="I98" t="str">
            <v>Kpueré</v>
          </cell>
        </row>
        <row r="99">
          <cell r="G99" t="str">
            <v>Karibel</v>
          </cell>
          <cell r="H99">
            <v>44</v>
          </cell>
          <cell r="I99" t="str">
            <v>OUAGADOUGOU</v>
          </cell>
        </row>
        <row r="100">
          <cell r="G100" t="str">
            <v>Kayansé</v>
          </cell>
          <cell r="H100">
            <v>281</v>
          </cell>
          <cell r="I100" t="str">
            <v>Sindou</v>
          </cell>
        </row>
        <row r="101">
          <cell r="G101" t="str">
            <v>Kédoinigné de Ténado</v>
          </cell>
          <cell r="H101">
            <v>412</v>
          </cell>
          <cell r="I101" t="str">
            <v>TENADO</v>
          </cell>
        </row>
        <row r="102">
          <cell r="G102" t="str">
            <v>Kelaignien</v>
          </cell>
          <cell r="H102">
            <v>414</v>
          </cell>
          <cell r="I102" t="str">
            <v>DASSA</v>
          </cell>
        </row>
        <row r="103">
          <cell r="G103" t="str">
            <v>Kidonenye de Goumi</v>
          </cell>
          <cell r="H103">
            <v>118</v>
          </cell>
          <cell r="I103" t="str">
            <v>DIDYR</v>
          </cell>
        </row>
        <row r="104">
          <cell r="G104" t="str">
            <v>Kidonenye de Gwiwoly</v>
          </cell>
          <cell r="H104">
            <v>119</v>
          </cell>
          <cell r="I104" t="str">
            <v>DIDYR</v>
          </cell>
        </row>
        <row r="105">
          <cell r="G105" t="str">
            <v>Kidonenye de Ziladir</v>
          </cell>
          <cell r="H105">
            <v>272</v>
          </cell>
          <cell r="I105" t="str">
            <v>DIDYR</v>
          </cell>
        </row>
        <row r="106">
          <cell r="G106" t="str">
            <v>Kilounye de kwen</v>
          </cell>
          <cell r="H106">
            <v>133</v>
          </cell>
          <cell r="I106" t="str">
            <v>DIDYR</v>
          </cell>
        </row>
        <row r="107">
          <cell r="G107" t="str">
            <v>Kiswendsida de Koudougou</v>
          </cell>
          <cell r="H107">
            <v>292</v>
          </cell>
          <cell r="I107" t="str">
            <v>Koudougou</v>
          </cell>
        </row>
        <row r="108">
          <cell r="G108" t="str">
            <v>Kiswendsida de Ouaga</v>
          </cell>
          <cell r="H108">
            <v>301</v>
          </cell>
          <cell r="I108" t="str">
            <v>OUAGADOUGOU</v>
          </cell>
        </row>
        <row r="109">
          <cell r="G109" t="str">
            <v>Kiswendsida de Pabré</v>
          </cell>
          <cell r="H109">
            <v>216</v>
          </cell>
          <cell r="I109" t="str">
            <v>Pabré</v>
          </cell>
        </row>
        <row r="110">
          <cell r="G110" t="str">
            <v>Kiswendsida de Pabré</v>
          </cell>
          <cell r="H110">
            <v>219</v>
          </cell>
          <cell r="I110" t="str">
            <v>PABRÉ</v>
          </cell>
        </row>
        <row r="111">
          <cell r="G111" t="str">
            <v>Kiswendsida de Yondé</v>
          </cell>
          <cell r="H111">
            <v>139</v>
          </cell>
          <cell r="I111" t="str">
            <v>Yondé</v>
          </cell>
        </row>
        <row r="112">
          <cell r="G112" t="str">
            <v>Kiswensida de Fara</v>
          </cell>
          <cell r="H112">
            <v>217</v>
          </cell>
          <cell r="I112" t="str">
            <v>Boromo</v>
          </cell>
        </row>
        <row r="113">
          <cell r="G113" t="str">
            <v>KOANG-MAASSOUM</v>
          </cell>
          <cell r="H113">
            <v>197</v>
          </cell>
          <cell r="I113" t="str">
            <v>Bitou</v>
          </cell>
        </row>
        <row r="114">
          <cell r="G114" t="str">
            <v>Kokoubinka</v>
          </cell>
          <cell r="H114">
            <v>211</v>
          </cell>
          <cell r="I114" t="str">
            <v>Tenkodogo</v>
          </cell>
        </row>
        <row r="115">
          <cell r="G115" t="str">
            <v>KOLGUEGUESSE SOUGRINOOMA</v>
          </cell>
          <cell r="H115">
            <v>22</v>
          </cell>
          <cell r="I115" t="str">
            <v>Zorgho</v>
          </cell>
        </row>
        <row r="116">
          <cell r="G116" t="str">
            <v>kolomtaaba</v>
          </cell>
          <cell r="H116">
            <v>136</v>
          </cell>
          <cell r="I116" t="str">
            <v>Andemtenga</v>
          </cell>
        </row>
        <row r="117">
          <cell r="G117" t="str">
            <v xml:space="preserve">KONEBERE </v>
          </cell>
          <cell r="H117">
            <v>324</v>
          </cell>
          <cell r="I117" t="str">
            <v>Zambo</v>
          </cell>
        </row>
        <row r="118">
          <cell r="G118" t="str">
            <v>Koroto de Nigiolo Toumou</v>
          </cell>
          <cell r="H118">
            <v>273</v>
          </cell>
          <cell r="I118" t="str">
            <v>DIDYR</v>
          </cell>
        </row>
        <row r="119">
          <cell r="G119" t="str">
            <v>Koroto Doumpo de Ladiou</v>
          </cell>
          <cell r="H119">
            <v>114</v>
          </cell>
          <cell r="I119" t="str">
            <v>Didyr</v>
          </cell>
        </row>
        <row r="120">
          <cell r="G120" t="str">
            <v>Koroto Doumpo de Ladiou</v>
          </cell>
          <cell r="H120">
            <v>140</v>
          </cell>
          <cell r="I120" t="str">
            <v>DIDYR</v>
          </cell>
        </row>
        <row r="121">
          <cell r="G121" t="str">
            <v>Kotongnongo</v>
          </cell>
          <cell r="H121">
            <v>117</v>
          </cell>
          <cell r="I121" t="str">
            <v>Loumana</v>
          </cell>
        </row>
        <row r="122">
          <cell r="G122" t="str">
            <v>Kuumtaaba</v>
          </cell>
          <cell r="H122">
            <v>243</v>
          </cell>
          <cell r="I122" t="str">
            <v>KOUDOUGOU</v>
          </cell>
        </row>
        <row r="123">
          <cell r="G123" t="str">
            <v>Laafi karité</v>
          </cell>
          <cell r="H123">
            <v>215</v>
          </cell>
          <cell r="I123" t="str">
            <v>Tenkodogo</v>
          </cell>
        </row>
        <row r="124">
          <cell r="G124" t="str">
            <v>laafi la boumbou</v>
          </cell>
          <cell r="H124">
            <v>162</v>
          </cell>
          <cell r="I124" t="str">
            <v>Kaya</v>
          </cell>
        </row>
        <row r="125">
          <cell r="G125" t="str">
            <v>LABAN KOGNOUMA</v>
          </cell>
          <cell r="H125">
            <v>96</v>
          </cell>
          <cell r="I125"/>
        </row>
        <row r="126">
          <cell r="G126" t="str">
            <v>Lafi</v>
          </cell>
          <cell r="H126">
            <v>325</v>
          </cell>
          <cell r="I126" t="str">
            <v>Tenkodogo</v>
          </cell>
        </row>
        <row r="127">
          <cell r="G127" t="str">
            <v>Lagmtaaba</v>
          </cell>
          <cell r="H127">
            <v>63</v>
          </cell>
          <cell r="I127" t="str">
            <v>Fada</v>
          </cell>
        </row>
        <row r="128">
          <cell r="G128" t="str">
            <v>Laguem-Taaba</v>
          </cell>
          <cell r="H128">
            <v>316</v>
          </cell>
          <cell r="I128" t="str">
            <v>Fada</v>
          </cell>
        </row>
        <row r="129">
          <cell r="G129" t="str">
            <v>Laguemtaaba cooperatives</v>
          </cell>
          <cell r="H129">
            <v>94</v>
          </cell>
          <cell r="I129" t="str">
            <v>Fada</v>
          </cell>
        </row>
        <row r="130">
          <cell r="G130" t="str">
            <v>lamôgoya</v>
          </cell>
          <cell r="H130">
            <v>78</v>
          </cell>
          <cell r="I130" t="str">
            <v>Diébougou</v>
          </cell>
        </row>
        <row r="131">
          <cell r="G131" t="str">
            <v>LAMPIAGUI</v>
          </cell>
          <cell r="H131">
            <v>315</v>
          </cell>
          <cell r="I131" t="str">
            <v>Fada</v>
          </cell>
        </row>
        <row r="132">
          <cell r="G132" t="str">
            <v>Lanaya</v>
          </cell>
          <cell r="H132">
            <v>79</v>
          </cell>
          <cell r="I132" t="str">
            <v>Batié</v>
          </cell>
        </row>
        <row r="133">
          <cell r="G133" t="str">
            <v>LAW-ZI-YER DIEBOUGOU</v>
          </cell>
          <cell r="H133">
            <v>326</v>
          </cell>
          <cell r="I133" t="str">
            <v>Diebougou</v>
          </cell>
        </row>
        <row r="134">
          <cell r="G134" t="str">
            <v xml:space="preserve">Lawa-taa de Diébougou </v>
          </cell>
          <cell r="H134">
            <v>76</v>
          </cell>
          <cell r="I134" t="str">
            <v>Diébougou</v>
          </cell>
        </row>
        <row r="135">
          <cell r="G135" t="str">
            <v>Lawa-taa de Tougan</v>
          </cell>
          <cell r="H135">
            <v>20</v>
          </cell>
          <cell r="I135" t="str">
            <v>Tougan</v>
          </cell>
        </row>
        <row r="136">
          <cell r="G136" t="str">
            <v>Lolo</v>
          </cell>
          <cell r="H136">
            <v>279</v>
          </cell>
          <cell r="I136" t="str">
            <v>Dandé</v>
          </cell>
        </row>
        <row r="137">
          <cell r="G137" t="str">
            <v>Lombo</v>
          </cell>
          <cell r="H137">
            <v>284</v>
          </cell>
          <cell r="I137" t="str">
            <v>Kôti</v>
          </cell>
        </row>
        <row r="138">
          <cell r="G138" t="str">
            <v>lonkiokoè</v>
          </cell>
          <cell r="H138">
            <v>29</v>
          </cell>
          <cell r="I138" t="str">
            <v>Toma</v>
          </cell>
        </row>
        <row r="139">
          <cell r="G139" t="str">
            <v xml:space="preserve">MALIGNELE DE MOLO </v>
          </cell>
          <cell r="H139">
            <v>327</v>
          </cell>
          <cell r="I139" t="str">
            <v>Zambo</v>
          </cell>
        </row>
        <row r="140">
          <cell r="G140" t="str">
            <v>Manegre nooma</v>
          </cell>
          <cell r="H140">
            <v>38</v>
          </cell>
          <cell r="I140" t="str">
            <v>Guiba</v>
          </cell>
        </row>
        <row r="141">
          <cell r="G141" t="str">
            <v>MINGA BINKA</v>
          </cell>
          <cell r="H141">
            <v>196</v>
          </cell>
          <cell r="I141" t="str">
            <v>Bitou</v>
          </cell>
        </row>
        <row r="142">
          <cell r="G142" t="str">
            <v>Miriya Gnouma du Houet</v>
          </cell>
          <cell r="H142">
            <v>277</v>
          </cell>
          <cell r="I142" t="str">
            <v>Bobo Secteur 10</v>
          </cell>
        </row>
        <row r="143">
          <cell r="G143" t="str">
            <v>Miyamba</v>
          </cell>
          <cell r="H143">
            <v>188</v>
          </cell>
          <cell r="I143" t="str">
            <v>Tambibongo</v>
          </cell>
        </row>
        <row r="144">
          <cell r="G144" t="str">
            <v>Moabzanga</v>
          </cell>
          <cell r="H144">
            <v>198</v>
          </cell>
          <cell r="I144" t="str">
            <v>Toécé</v>
          </cell>
        </row>
        <row r="145">
          <cell r="G145" t="str">
            <v>MOUGNOU</v>
          </cell>
          <cell r="H145">
            <v>310</v>
          </cell>
          <cell r="I145" t="str">
            <v>Nouna</v>
          </cell>
        </row>
        <row r="146">
          <cell r="G146" t="str">
            <v>Mougnou de Nouna</v>
          </cell>
          <cell r="H146">
            <v>26</v>
          </cell>
          <cell r="I146" t="str">
            <v>Nouna</v>
          </cell>
        </row>
        <row r="147">
          <cell r="G147" t="str">
            <v>Mougnou de Tougan</v>
          </cell>
          <cell r="H147">
            <v>23</v>
          </cell>
          <cell r="I147" t="str">
            <v>Tougan</v>
          </cell>
        </row>
        <row r="148">
          <cell r="G148" t="str">
            <v>Mouyou</v>
          </cell>
          <cell r="H148">
            <v>105</v>
          </cell>
          <cell r="I148" t="str">
            <v>KOUDOUGOU</v>
          </cell>
        </row>
        <row r="149">
          <cell r="G149" t="str">
            <v>Nabonswendé de Gourcy</v>
          </cell>
          <cell r="H149">
            <v>146</v>
          </cell>
          <cell r="I149" t="str">
            <v>Gourcy</v>
          </cell>
        </row>
        <row r="150">
          <cell r="G150" t="str">
            <v>Nabonswendé de Ouargaye</v>
          </cell>
          <cell r="H150">
            <v>64</v>
          </cell>
          <cell r="I150" t="str">
            <v>Ouargaye</v>
          </cell>
        </row>
        <row r="151">
          <cell r="G151" t="str">
            <v>Nabonswendé de Tougan</v>
          </cell>
          <cell r="H151">
            <v>143</v>
          </cell>
          <cell r="I151" t="str">
            <v>Tougan</v>
          </cell>
        </row>
        <row r="152">
          <cell r="G152" t="str">
            <v>Nabonswendé de Zorgho</v>
          </cell>
          <cell r="H152">
            <v>148</v>
          </cell>
          <cell r="I152" t="str">
            <v>Zorgho</v>
          </cell>
        </row>
        <row r="153">
          <cell r="G153" t="str">
            <v>Nabonswendé des Veuves de Békuy</v>
          </cell>
          <cell r="H153">
            <v>341</v>
          </cell>
          <cell r="I153" t="str">
            <v>Bekuy</v>
          </cell>
        </row>
        <row r="154">
          <cell r="G154" t="str">
            <v>Nabonswendé Zoundwéogo</v>
          </cell>
          <cell r="H154">
            <v>71</v>
          </cell>
          <cell r="I154" t="str">
            <v>Yagtenga</v>
          </cell>
        </row>
        <row r="155">
          <cell r="G155" t="str">
            <v>Nabouyibzanga pour le développement intégré</v>
          </cell>
          <cell r="H155">
            <v>72</v>
          </cell>
          <cell r="I155" t="str">
            <v>Kombissiri</v>
          </cell>
        </row>
        <row r="156">
          <cell r="G156" t="str">
            <v>Nakaglezanga</v>
          </cell>
          <cell r="H156">
            <v>313</v>
          </cell>
          <cell r="I156" t="str">
            <v>Zorgho</v>
          </cell>
        </row>
        <row r="157">
          <cell r="G157" t="str">
            <v>Nam zood nooma</v>
          </cell>
          <cell r="H157">
            <v>53</v>
          </cell>
          <cell r="I157" t="str">
            <v>Gourcy</v>
          </cell>
        </row>
        <row r="158">
          <cell r="G158" t="str">
            <v>Namanegbzanga de Pouni</v>
          </cell>
          <cell r="H158">
            <v>75</v>
          </cell>
          <cell r="I158" t="str">
            <v>Pouni</v>
          </cell>
        </row>
        <row r="159">
          <cell r="G159" t="str">
            <v>NAMANEGBZANGA de TANILI</v>
          </cell>
          <cell r="H159">
            <v>32</v>
          </cell>
          <cell r="I159" t="str">
            <v>Zitenga</v>
          </cell>
        </row>
        <row r="160">
          <cell r="G160" t="str">
            <v>Nature plus</v>
          </cell>
          <cell r="H160">
            <v>33</v>
          </cell>
          <cell r="I160" t="str">
            <v>Tiankoura</v>
          </cell>
        </row>
        <row r="161">
          <cell r="G161" t="str">
            <v>Neeb-la-Taaba</v>
          </cell>
          <cell r="H161">
            <v>161</v>
          </cell>
          <cell r="I161" t="str">
            <v>Pissila</v>
          </cell>
        </row>
        <row r="162">
          <cell r="G162" t="str">
            <v>Neema</v>
          </cell>
          <cell r="H162">
            <v>159</v>
          </cell>
          <cell r="I162" t="str">
            <v>Houndé</v>
          </cell>
        </row>
        <row r="163">
          <cell r="G163" t="str">
            <v>Nevelya de Sapouy</v>
          </cell>
          <cell r="H163">
            <v>293</v>
          </cell>
          <cell r="I163" t="str">
            <v>Sapouy</v>
          </cell>
        </row>
        <row r="164">
          <cell r="G164" t="str">
            <v>New Karikis</v>
          </cell>
          <cell r="H164">
            <v>328</v>
          </cell>
          <cell r="I164" t="str">
            <v>Ouagadougou</v>
          </cell>
        </row>
        <row r="165">
          <cell r="G165" t="str">
            <v>NIONKO</v>
          </cell>
          <cell r="H165">
            <v>185</v>
          </cell>
          <cell r="I165" t="str">
            <v>Nako</v>
          </cell>
        </row>
        <row r="166">
          <cell r="G166" t="str">
            <v>NOBIEL</v>
          </cell>
          <cell r="H166">
            <v>170</v>
          </cell>
          <cell r="I166" t="str">
            <v>Périgan</v>
          </cell>
        </row>
        <row r="167">
          <cell r="G167" t="str">
            <v>Nongtaaba</v>
          </cell>
          <cell r="H167">
            <v>407</v>
          </cell>
          <cell r="I167" t="str">
            <v>KOUDOUGOU</v>
          </cell>
        </row>
        <row r="168">
          <cell r="G168" t="str">
            <v>Nongtaaba d'Andemtenga</v>
          </cell>
          <cell r="H168">
            <v>262</v>
          </cell>
          <cell r="I168" t="str">
            <v>Andemtenga</v>
          </cell>
        </row>
        <row r="169">
          <cell r="G169" t="str">
            <v>Nongtaaba de Guiba</v>
          </cell>
          <cell r="H169">
            <v>247</v>
          </cell>
          <cell r="I169" t="str">
            <v>Guiba</v>
          </cell>
        </row>
        <row r="170">
          <cell r="G170" t="str">
            <v>Nongtaaba de Iolonioro</v>
          </cell>
          <cell r="H170">
            <v>74</v>
          </cell>
          <cell r="I170" t="str">
            <v>Iolonioro</v>
          </cell>
        </row>
        <row r="171">
          <cell r="G171" t="str">
            <v>Nongtaaba de Kampouga</v>
          </cell>
          <cell r="H171">
            <v>213</v>
          </cell>
          <cell r="I171" t="str">
            <v>Kampouga</v>
          </cell>
        </row>
        <row r="172">
          <cell r="G172" t="str">
            <v>Nongtaaba de Songretenga</v>
          </cell>
          <cell r="H172">
            <v>241</v>
          </cell>
          <cell r="I172" t="str">
            <v>Songretenga</v>
          </cell>
        </row>
        <row r="173">
          <cell r="G173" t="str">
            <v>Nongtaaba de Tenkodogo</v>
          </cell>
          <cell r="H173">
            <v>110</v>
          </cell>
          <cell r="I173" t="str">
            <v>Tenkodogo</v>
          </cell>
        </row>
        <row r="174">
          <cell r="G174" t="str">
            <v>Nongtaaba de Tougan</v>
          </cell>
          <cell r="H174">
            <v>255</v>
          </cell>
          <cell r="I174" t="str">
            <v>Tougan</v>
          </cell>
        </row>
        <row r="175">
          <cell r="G175" t="str">
            <v>Nongtaaba de Zorgho 1</v>
          </cell>
          <cell r="H175">
            <v>12</v>
          </cell>
          <cell r="I175" t="str">
            <v>Zorgho</v>
          </cell>
        </row>
        <row r="176">
          <cell r="G176" t="str">
            <v>Nongtaaba de Zorgho 2</v>
          </cell>
          <cell r="H176">
            <v>107</v>
          </cell>
          <cell r="I176" t="str">
            <v>Zorgho</v>
          </cell>
        </row>
        <row r="177">
          <cell r="G177" t="str">
            <v>Nongtaaba laboumbou</v>
          </cell>
          <cell r="H177">
            <v>401</v>
          </cell>
          <cell r="I177" t="str">
            <v>KOMSILGA</v>
          </cell>
        </row>
        <row r="178">
          <cell r="G178" t="str">
            <v>Nongtaba de Niamba</v>
          </cell>
          <cell r="H178">
            <v>70</v>
          </cell>
          <cell r="I178" t="str">
            <v>Boussé</v>
          </cell>
        </row>
        <row r="179">
          <cell r="G179" t="str">
            <v>NOOBÉEN</v>
          </cell>
          <cell r="H179">
            <v>175</v>
          </cell>
          <cell r="I179"/>
        </row>
        <row r="180">
          <cell r="G180" t="str">
            <v>Noussondia</v>
          </cell>
          <cell r="H180">
            <v>15</v>
          </cell>
          <cell r="I180" t="str">
            <v>Tougan ville</v>
          </cell>
        </row>
        <row r="181">
          <cell r="G181" t="str">
            <v>Nununa</v>
          </cell>
          <cell r="H181">
            <v>294</v>
          </cell>
          <cell r="I181" t="str">
            <v>Leo</v>
          </cell>
        </row>
        <row r="182">
          <cell r="G182" t="str">
            <v>Nyi Dwii Nyé</v>
          </cell>
          <cell r="H182">
            <v>409</v>
          </cell>
          <cell r="I182" t="str">
            <v>TENADO</v>
          </cell>
        </row>
        <row r="183">
          <cell r="G183" t="str">
            <v>Nyow-kaar</v>
          </cell>
          <cell r="H183">
            <v>77</v>
          </cell>
          <cell r="I183" t="str">
            <v>Koper</v>
          </cell>
        </row>
        <row r="184">
          <cell r="G184" t="str">
            <v>Okampélé</v>
          </cell>
          <cell r="H184">
            <v>73</v>
          </cell>
          <cell r="I184" t="str">
            <v>Loropeni</v>
          </cell>
        </row>
        <row r="185">
          <cell r="G185" t="str">
            <v>Ouezena</v>
          </cell>
          <cell r="H185">
            <v>1</v>
          </cell>
          <cell r="I185" t="str">
            <v>Po</v>
          </cell>
        </row>
        <row r="186">
          <cell r="G186" t="str">
            <v>Pang be ne wendé</v>
          </cell>
          <cell r="H186">
            <v>85</v>
          </cell>
          <cell r="I186" t="str">
            <v>Mtoména</v>
          </cell>
        </row>
        <row r="187">
          <cell r="G187" t="str">
            <v>Pang be ne wendé d'Ourgou</v>
          </cell>
          <cell r="H187">
            <v>81</v>
          </cell>
          <cell r="I187" t="str">
            <v>OURGOU-MANEGA</v>
          </cell>
        </row>
        <row r="188">
          <cell r="G188" t="str">
            <v>Pébatioga</v>
          </cell>
          <cell r="H188">
            <v>100</v>
          </cell>
          <cell r="I188" t="str">
            <v>Tiebele</v>
          </cell>
        </row>
        <row r="189">
          <cell r="G189" t="str">
            <v>Pendwendé de Koudougou</v>
          </cell>
          <cell r="H189">
            <v>103</v>
          </cell>
          <cell r="I189" t="str">
            <v>KOUDOUGOU</v>
          </cell>
        </row>
        <row r="190">
          <cell r="G190" t="str">
            <v>Pengdwendé de Boulsa</v>
          </cell>
          <cell r="H190">
            <v>232</v>
          </cell>
          <cell r="I190" t="str">
            <v>Boulsa</v>
          </cell>
        </row>
        <row r="191">
          <cell r="G191" t="str">
            <v>Piakoro de Didyr</v>
          </cell>
          <cell r="H191">
            <v>290</v>
          </cell>
          <cell r="I191" t="str">
            <v>Didyr</v>
          </cell>
        </row>
        <row r="192">
          <cell r="G192" t="str">
            <v>Piakoro de Niabouri</v>
          </cell>
          <cell r="H192">
            <v>149</v>
          </cell>
          <cell r="I192" t="str">
            <v>Niabouri</v>
          </cell>
        </row>
        <row r="193">
          <cell r="G193" t="str">
            <v>POGBE FATAA</v>
          </cell>
          <cell r="H193">
            <v>331</v>
          </cell>
          <cell r="I193" t="str">
            <v>Zambo</v>
          </cell>
        </row>
        <row r="194">
          <cell r="G194" t="str">
            <v xml:space="preserve">POGBE LAONTAA </v>
          </cell>
          <cell r="H194">
            <v>330</v>
          </cell>
          <cell r="I194" t="str">
            <v>Zambo</v>
          </cell>
        </row>
        <row r="195">
          <cell r="G195" t="str">
            <v>Pougoumba</v>
          </cell>
          <cell r="H195">
            <v>237</v>
          </cell>
          <cell r="I195" t="str">
            <v>Pama</v>
          </cell>
        </row>
        <row r="196">
          <cell r="G196" t="str">
            <v>Pug-wissinga</v>
          </cell>
          <cell r="H196">
            <v>9</v>
          </cell>
          <cell r="I196" t="str">
            <v>Ouargaye</v>
          </cell>
        </row>
        <row r="197">
          <cell r="G197" t="str">
            <v>Pyacene de Nigiolo</v>
          </cell>
          <cell r="H197">
            <v>274</v>
          </cell>
          <cell r="I197" t="str">
            <v>DIDYR</v>
          </cell>
        </row>
        <row r="198">
          <cell r="G198" t="str">
            <v>Pyinèmatuin de Ladiou</v>
          </cell>
          <cell r="H198">
            <v>120</v>
          </cell>
          <cell r="I198" t="str">
            <v>DIDYR</v>
          </cell>
        </row>
        <row r="199">
          <cell r="G199" t="str">
            <v>Pyononye de Guiwoly</v>
          </cell>
          <cell r="H199">
            <v>275</v>
          </cell>
          <cell r="I199" t="str">
            <v>Dassa</v>
          </cell>
        </row>
        <row r="200">
          <cell r="G200" t="str">
            <v>Pyononye de Guiwoly</v>
          </cell>
          <cell r="H200">
            <v>420</v>
          </cell>
          <cell r="I200" t="str">
            <v>DIDYR</v>
          </cell>
        </row>
        <row r="201">
          <cell r="G201" t="str">
            <v>RAGUSSI</v>
          </cell>
          <cell r="H201">
            <v>300</v>
          </cell>
          <cell r="I201" t="str">
            <v>Tanghindassouri</v>
          </cell>
        </row>
        <row r="202">
          <cell r="G202" t="str">
            <v>Ramonwende</v>
          </cell>
          <cell r="H202">
            <v>269</v>
          </cell>
          <cell r="I202" t="str">
            <v>Tibga</v>
          </cell>
        </row>
        <row r="203">
          <cell r="G203" t="str">
            <v>Ratamalgré</v>
          </cell>
          <cell r="H203">
            <v>142</v>
          </cell>
          <cell r="I203" t="str">
            <v>Tougan</v>
          </cell>
        </row>
        <row r="204">
          <cell r="G204" t="str">
            <v>Ratamanegre</v>
          </cell>
          <cell r="H204">
            <v>138</v>
          </cell>
          <cell r="I204" t="str">
            <v>Andemtenga</v>
          </cell>
        </row>
        <row r="205">
          <cell r="G205" t="str">
            <v>Ratanéné</v>
          </cell>
          <cell r="H205">
            <v>254</v>
          </cell>
          <cell r="I205" t="str">
            <v>Tougan</v>
          </cell>
        </row>
        <row r="206">
          <cell r="G206" t="str">
            <v>Relwende de Imasgo</v>
          </cell>
          <cell r="H206">
            <v>332</v>
          </cell>
          <cell r="I206" t="str">
            <v>Imasgo</v>
          </cell>
        </row>
        <row r="207">
          <cell r="G207" t="str">
            <v>Relwende de Kaya</v>
          </cell>
          <cell r="H207">
            <v>256</v>
          </cell>
          <cell r="I207" t="str">
            <v>Kaya</v>
          </cell>
        </row>
        <row r="208">
          <cell r="G208" t="str">
            <v>Relwende de Kokologho</v>
          </cell>
          <cell r="H208">
            <v>285</v>
          </cell>
          <cell r="I208" t="str">
            <v>Kokologho</v>
          </cell>
        </row>
        <row r="209">
          <cell r="G209" t="str">
            <v>Relwendé de Loukoura</v>
          </cell>
          <cell r="H209">
            <v>257</v>
          </cell>
          <cell r="I209" t="str">
            <v>Ioronioro</v>
          </cell>
        </row>
        <row r="210">
          <cell r="G210" t="str">
            <v>Relwendé de Mané</v>
          </cell>
          <cell r="H210">
            <v>228</v>
          </cell>
          <cell r="I210" t="str">
            <v>Boulsa</v>
          </cell>
        </row>
        <row r="211">
          <cell r="G211" t="str">
            <v>Relwende de Menega-Passambiri</v>
          </cell>
          <cell r="H211">
            <v>329</v>
          </cell>
          <cell r="I211" t="str">
            <v>KOKOLOGHO</v>
          </cell>
        </row>
        <row r="212">
          <cell r="G212" t="str">
            <v xml:space="preserve">Relwendé de Nabouri </v>
          </cell>
          <cell r="H212">
            <v>202</v>
          </cell>
          <cell r="I212" t="str">
            <v>Konki Ipala</v>
          </cell>
        </row>
        <row r="213">
          <cell r="G213" t="str">
            <v>Relwendé de Pella</v>
          </cell>
          <cell r="H213">
            <v>225</v>
          </cell>
          <cell r="I213" t="str">
            <v>Pella</v>
          </cell>
        </row>
        <row r="214">
          <cell r="G214" t="str">
            <v>Rimtéreb-Som</v>
          </cell>
          <cell r="H214">
            <v>28</v>
          </cell>
          <cell r="I214" t="str">
            <v>OUAGADOUGOU</v>
          </cell>
        </row>
        <row r="215">
          <cell r="G215" t="str">
            <v>RPBHC</v>
          </cell>
          <cell r="H215">
            <v>278</v>
          </cell>
          <cell r="I215" t="str">
            <v>Bobo</v>
          </cell>
        </row>
        <row r="216">
          <cell r="G216" t="str">
            <v>Sababougnouma  de Koudougou</v>
          </cell>
          <cell r="H216">
            <v>266</v>
          </cell>
          <cell r="I216" t="str">
            <v>Koudougou</v>
          </cell>
        </row>
        <row r="217">
          <cell r="G217" t="str">
            <v>Sababougnouma de Bieha</v>
          </cell>
          <cell r="H217">
            <v>264</v>
          </cell>
          <cell r="I217" t="str">
            <v>Bieha</v>
          </cell>
        </row>
        <row r="218">
          <cell r="G218" t="str">
            <v>Sababougnouma de Sindou</v>
          </cell>
          <cell r="H218">
            <v>265</v>
          </cell>
          <cell r="I218" t="str">
            <v>Sindou</v>
          </cell>
        </row>
        <row r="219">
          <cell r="G219" t="str">
            <v>Sababougnouma de Solenzo 1</v>
          </cell>
          <cell r="H219">
            <v>126</v>
          </cell>
          <cell r="I219" t="str">
            <v>Solenzo</v>
          </cell>
        </row>
        <row r="220">
          <cell r="G220" t="str">
            <v>Sababougnouma de Solenzo 2</v>
          </cell>
          <cell r="H220">
            <v>223</v>
          </cell>
          <cell r="I220" t="str">
            <v>Solenzo</v>
          </cell>
        </row>
        <row r="221">
          <cell r="G221" t="str">
            <v>Sabari kagni de Dédougou</v>
          </cell>
          <cell r="H221">
            <v>267</v>
          </cell>
          <cell r="I221" t="str">
            <v>Dédougou</v>
          </cell>
        </row>
        <row r="222">
          <cell r="G222" t="str">
            <v>Sabari kagni de Nouna</v>
          </cell>
          <cell r="H222">
            <v>253</v>
          </cell>
          <cell r="I222" t="str">
            <v>Nouna</v>
          </cell>
        </row>
        <row r="223">
          <cell r="G223" t="str">
            <v>Sabari kagni de Peni</v>
          </cell>
          <cell r="H223">
            <v>280</v>
          </cell>
          <cell r="I223" t="str">
            <v>Peni</v>
          </cell>
        </row>
        <row r="224">
          <cell r="G224" t="str">
            <v>Sabougnouma</v>
          </cell>
          <cell r="H224">
            <v>129</v>
          </cell>
          <cell r="I224" t="str">
            <v>Solenzo</v>
          </cell>
        </row>
        <row r="225">
          <cell r="G225" t="str">
            <v>Santa Soutra</v>
          </cell>
          <cell r="H225">
            <v>59</v>
          </cell>
          <cell r="I225"/>
        </row>
        <row r="226">
          <cell r="G226" t="str">
            <v>Santjoil</v>
          </cell>
          <cell r="H226">
            <v>258</v>
          </cell>
          <cell r="I226" t="str">
            <v>Kpuéré</v>
          </cell>
        </row>
        <row r="227">
          <cell r="G227" t="str">
            <v>Senimi</v>
          </cell>
          <cell r="H227">
            <v>250</v>
          </cell>
          <cell r="I227" t="str">
            <v>Nouna</v>
          </cell>
        </row>
        <row r="228">
          <cell r="G228" t="str">
            <v>shekina-teebpidisgou</v>
          </cell>
          <cell r="H228">
            <v>155</v>
          </cell>
          <cell r="I228" t="str">
            <v>Arbolé</v>
          </cell>
        </row>
        <row r="229">
          <cell r="G229" t="str">
            <v>Shiisun gnataga</v>
          </cell>
          <cell r="H229">
            <v>130</v>
          </cell>
          <cell r="I229" t="str">
            <v>Solenzo</v>
          </cell>
        </row>
        <row r="230">
          <cell r="G230" t="str">
            <v>SIBGLOKAR</v>
          </cell>
          <cell r="H230">
            <v>171</v>
          </cell>
          <cell r="I230" t="str">
            <v>Boussera</v>
          </cell>
        </row>
        <row r="231">
          <cell r="G231" t="str">
            <v>Sidimokar</v>
          </cell>
          <cell r="H231">
            <v>173</v>
          </cell>
          <cell r="I231" t="str">
            <v>Gaoua</v>
          </cell>
        </row>
        <row r="232">
          <cell r="G232" t="str">
            <v>Sidnomwende</v>
          </cell>
          <cell r="H232">
            <v>176</v>
          </cell>
          <cell r="I232" t="str">
            <v>Kaya</v>
          </cell>
        </row>
        <row r="233">
          <cell r="G233" t="str">
            <v>SIRIYI NAFA KA BON</v>
          </cell>
          <cell r="H233">
            <v>308</v>
          </cell>
          <cell r="I233" t="str">
            <v>Solenzo</v>
          </cell>
        </row>
        <row r="234">
          <cell r="G234" t="str">
            <v>Sodoboua</v>
          </cell>
          <cell r="H234">
            <v>178</v>
          </cell>
          <cell r="I234" t="str">
            <v>Perigban</v>
          </cell>
        </row>
        <row r="235">
          <cell r="G235" t="str">
            <v>SONG ZENE</v>
          </cell>
          <cell r="H235">
            <v>93</v>
          </cell>
          <cell r="I235"/>
        </row>
        <row r="236">
          <cell r="G236" t="str">
            <v>Songdo-woaga</v>
          </cell>
          <cell r="H236">
            <v>34</v>
          </cell>
          <cell r="I236" t="str">
            <v>Ziniaré</v>
          </cell>
        </row>
        <row r="237">
          <cell r="G237" t="str">
            <v>Songo Zena</v>
          </cell>
          <cell r="H237">
            <v>296</v>
          </cell>
          <cell r="I237" t="str">
            <v>Tiebelé</v>
          </cell>
        </row>
        <row r="238">
          <cell r="G238" t="str">
            <v>Songof'too</v>
          </cell>
          <cell r="H238">
            <v>333</v>
          </cell>
          <cell r="I238" t="str">
            <v>KOUDOUGOU</v>
          </cell>
        </row>
        <row r="239">
          <cell r="G239" t="str">
            <v>Songtaaba d'Arbolé</v>
          </cell>
          <cell r="H239">
            <v>153</v>
          </cell>
          <cell r="I239" t="str">
            <v>Arbolé</v>
          </cell>
        </row>
        <row r="240">
          <cell r="G240" t="str">
            <v>Songtaaba de Bouroum-Bouroum</v>
          </cell>
          <cell r="H240">
            <v>174</v>
          </cell>
          <cell r="I240" t="str">
            <v>Bouroum-Bouroum</v>
          </cell>
        </row>
        <row r="241">
          <cell r="G241" t="str">
            <v>Songtaaba de Dourtenga</v>
          </cell>
          <cell r="H241">
            <v>10</v>
          </cell>
          <cell r="I241" t="str">
            <v>Dourtenga</v>
          </cell>
        </row>
        <row r="242">
          <cell r="G242" t="str">
            <v>Songtaaba de Gourcy</v>
          </cell>
          <cell r="H242">
            <v>66</v>
          </cell>
          <cell r="I242" t="str">
            <v>Gourcy</v>
          </cell>
        </row>
        <row r="243">
          <cell r="G243" t="str">
            <v>Songtaaba de Ouargaye</v>
          </cell>
          <cell r="H243">
            <v>65</v>
          </cell>
          <cell r="I243" t="str">
            <v>Ouargaye</v>
          </cell>
        </row>
        <row r="244">
          <cell r="G244" t="str">
            <v>Songtaaba de Po</v>
          </cell>
          <cell r="H244">
            <v>8</v>
          </cell>
          <cell r="I244" t="str">
            <v>Po</v>
          </cell>
        </row>
        <row r="245">
          <cell r="G245" t="str">
            <v>Songtaaba de Siglé</v>
          </cell>
          <cell r="H245">
            <v>35</v>
          </cell>
          <cell r="I245" t="str">
            <v>Siglé</v>
          </cell>
        </row>
        <row r="246">
          <cell r="G246" t="str">
            <v>Songtaaba de Solenzo</v>
          </cell>
          <cell r="H246">
            <v>18</v>
          </cell>
          <cell r="I246" t="str">
            <v>Solenzo</v>
          </cell>
        </row>
        <row r="247">
          <cell r="G247" t="str">
            <v>Songtaaba de Tambaga</v>
          </cell>
          <cell r="H247">
            <v>68</v>
          </cell>
          <cell r="I247" t="str">
            <v>Tambaga</v>
          </cell>
        </row>
        <row r="248">
          <cell r="G248" t="str">
            <v>Sononyé de Kyon</v>
          </cell>
          <cell r="H248">
            <v>57</v>
          </cell>
          <cell r="I248" t="str">
            <v>KYON</v>
          </cell>
        </row>
        <row r="249">
          <cell r="G249" t="str">
            <v>Sononyè de Mogueya</v>
          </cell>
          <cell r="H249">
            <v>112</v>
          </cell>
          <cell r="I249" t="str">
            <v>DIDYR</v>
          </cell>
        </row>
        <row r="250">
          <cell r="G250" t="str">
            <v>Sougr-nooma de Nandiala</v>
          </cell>
          <cell r="H250">
            <v>245</v>
          </cell>
          <cell r="I250" t="str">
            <v>KOUDOUGOU</v>
          </cell>
        </row>
        <row r="251">
          <cell r="G251" t="str">
            <v>Sougryinga</v>
          </cell>
          <cell r="H251">
            <v>31</v>
          </cell>
          <cell r="I251" t="str">
            <v>KOUDOUGOU</v>
          </cell>
        </row>
        <row r="252">
          <cell r="G252" t="str">
            <v>Soulou nye de Tonton</v>
          </cell>
          <cell r="H252">
            <v>121</v>
          </cell>
          <cell r="I252" t="str">
            <v>DIDYR</v>
          </cell>
        </row>
        <row r="253">
          <cell r="G253" t="str">
            <v>Soulou-nyē Mousseo</v>
          </cell>
          <cell r="H253">
            <v>124</v>
          </cell>
          <cell r="I253" t="str">
            <v>DIDYR</v>
          </cell>
        </row>
        <row r="254">
          <cell r="G254" t="str">
            <v>Sugrnooma de Kaya</v>
          </cell>
          <cell r="H254">
            <v>69</v>
          </cell>
          <cell r="I254" t="str">
            <v>Kaya</v>
          </cell>
        </row>
        <row r="255">
          <cell r="G255" t="str">
            <v>Sugrnooma de Ouargaye</v>
          </cell>
          <cell r="H255">
            <v>67</v>
          </cell>
          <cell r="I255" t="str">
            <v>Ouargaye</v>
          </cell>
        </row>
        <row r="256">
          <cell r="G256" t="str">
            <v>Sugrnooma de Tanglogo</v>
          </cell>
          <cell r="H256">
            <v>203</v>
          </cell>
          <cell r="I256" t="str">
            <v>Tanglogo</v>
          </cell>
        </row>
        <row r="257">
          <cell r="G257" t="str">
            <v>Tagsbeoyélé</v>
          </cell>
          <cell r="H257">
            <v>204</v>
          </cell>
          <cell r="I257" t="str">
            <v>KOUDOUGOU</v>
          </cell>
        </row>
        <row r="258">
          <cell r="G258" t="str">
            <v>Tamyaaba</v>
          </cell>
          <cell r="H258">
            <v>206</v>
          </cell>
          <cell r="I258" t="str">
            <v>Madjoari</v>
          </cell>
        </row>
        <row r="259">
          <cell r="G259" t="str">
            <v>TANGBABLOSSE</v>
          </cell>
          <cell r="H259">
            <v>95</v>
          </cell>
          <cell r="I259"/>
        </row>
        <row r="260">
          <cell r="G260" t="str">
            <v xml:space="preserve">TCHAMBIERE </v>
          </cell>
          <cell r="H260">
            <v>334</v>
          </cell>
          <cell r="I260" t="str">
            <v>Zambo</v>
          </cell>
        </row>
        <row r="261">
          <cell r="G261" t="str">
            <v>Teega Wendé</v>
          </cell>
          <cell r="H261">
            <v>160</v>
          </cell>
          <cell r="I261" t="str">
            <v>Kaya ville secteur 6</v>
          </cell>
        </row>
        <row r="262">
          <cell r="G262" t="str">
            <v>Teega Wendé de Boulsa</v>
          </cell>
          <cell r="H262">
            <v>227</v>
          </cell>
          <cell r="I262" t="str">
            <v>Boulsa</v>
          </cell>
        </row>
        <row r="263">
          <cell r="G263" t="str">
            <v>Teega Wendé de Goaga</v>
          </cell>
          <cell r="H263">
            <v>230</v>
          </cell>
          <cell r="I263" t="str">
            <v>Boulsa</v>
          </cell>
        </row>
        <row r="264">
          <cell r="G264" t="str">
            <v>Teega Wendé de Kandaaga</v>
          </cell>
          <cell r="H264">
            <v>224</v>
          </cell>
          <cell r="I264" t="str">
            <v>Pella</v>
          </cell>
        </row>
        <row r="265">
          <cell r="G265" t="str">
            <v>Teega Wendé de Kaya</v>
          </cell>
          <cell r="H265">
            <v>158</v>
          </cell>
          <cell r="I265" t="str">
            <v>Pissila</v>
          </cell>
        </row>
        <row r="266">
          <cell r="G266" t="str">
            <v>Teega Wendé de Koupela</v>
          </cell>
          <cell r="H266">
            <v>263</v>
          </cell>
          <cell r="I266" t="str">
            <v>Koupela</v>
          </cell>
        </row>
        <row r="267">
          <cell r="G267" t="str">
            <v>Teega Wendé de Pissila</v>
          </cell>
          <cell r="H267">
            <v>156</v>
          </cell>
          <cell r="I267" t="str">
            <v>Pissila</v>
          </cell>
        </row>
        <row r="268">
          <cell r="G268" t="str">
            <v>Teega Wendé de Tenkodogo</v>
          </cell>
          <cell r="H268">
            <v>226</v>
          </cell>
          <cell r="I268" t="str">
            <v>Tenkodogo</v>
          </cell>
        </row>
        <row r="269">
          <cell r="G269" t="str">
            <v>Teega Wende de Zamo</v>
          </cell>
          <cell r="H269">
            <v>239</v>
          </cell>
          <cell r="I269" t="str">
            <v>Zamo</v>
          </cell>
        </row>
        <row r="270">
          <cell r="G270" t="str">
            <v>Teega Wendé de Ziniaré</v>
          </cell>
          <cell r="H270">
            <v>36</v>
          </cell>
          <cell r="I270" t="str">
            <v>Ziniaré</v>
          </cell>
        </row>
        <row r="271">
          <cell r="G271" t="str">
            <v>Teegawendé de Pella/Tandaga</v>
          </cell>
          <cell r="H271">
            <v>418</v>
          </cell>
          <cell r="I271" t="str">
            <v>PELLA</v>
          </cell>
        </row>
        <row r="272">
          <cell r="G272" t="str">
            <v>TEEL TAABA</v>
          </cell>
          <cell r="H272">
            <v>306</v>
          </cell>
          <cell r="I272" t="str">
            <v>Koudougou</v>
          </cell>
        </row>
        <row r="273">
          <cell r="G273" t="str">
            <v>Teeli kuba de boulsa</v>
          </cell>
          <cell r="H273">
            <v>229</v>
          </cell>
          <cell r="I273" t="str">
            <v>Boulsa</v>
          </cell>
        </row>
        <row r="274">
          <cell r="G274" t="str">
            <v>Teeltaaba</v>
          </cell>
          <cell r="H274">
            <v>231</v>
          </cell>
          <cell r="I274" t="str">
            <v>Koudougou</v>
          </cell>
        </row>
        <row r="275">
          <cell r="G275" t="str">
            <v>Teeltaaba</v>
          </cell>
          <cell r="H275">
            <v>419</v>
          </cell>
          <cell r="I275" t="str">
            <v>PABRÉ</v>
          </cell>
        </row>
        <row r="276">
          <cell r="G276" t="str">
            <v>Teeltaaba de Kaya</v>
          </cell>
          <cell r="H276">
            <v>233</v>
          </cell>
          <cell r="I276" t="str">
            <v>Kaya</v>
          </cell>
        </row>
        <row r="277">
          <cell r="G277" t="str">
            <v>Teeltaaba de Komsilga</v>
          </cell>
          <cell r="H277">
            <v>402</v>
          </cell>
          <cell r="I277" t="str">
            <v>KOMSILGA</v>
          </cell>
        </row>
        <row r="278">
          <cell r="G278" t="str">
            <v>Teeltaaba de Poa</v>
          </cell>
          <cell r="H278">
            <v>406</v>
          </cell>
          <cell r="I278" t="str">
            <v>POA</v>
          </cell>
        </row>
        <row r="279">
          <cell r="G279" t="str">
            <v>Teewendé</v>
          </cell>
          <cell r="H279">
            <v>235</v>
          </cell>
          <cell r="I279" t="str">
            <v>Boussé</v>
          </cell>
        </row>
        <row r="280">
          <cell r="G280" t="str">
            <v>TI-MI-PAN-ZAWNA DISSIN</v>
          </cell>
          <cell r="H280">
            <v>337</v>
          </cell>
          <cell r="I280" t="str">
            <v>Dissin</v>
          </cell>
        </row>
        <row r="281">
          <cell r="G281" t="str">
            <v>Tiedwanenye dourega de Mouzoumou</v>
          </cell>
          <cell r="H281">
            <v>271</v>
          </cell>
          <cell r="I281" t="str">
            <v>DIDYR</v>
          </cell>
        </row>
        <row r="282">
          <cell r="G282" t="str">
            <v xml:space="preserve">TIETA </v>
          </cell>
          <cell r="H282">
            <v>335</v>
          </cell>
          <cell r="I282" t="str">
            <v>Zambo</v>
          </cell>
        </row>
        <row r="283">
          <cell r="G283" t="str">
            <v>Tiligrinooma</v>
          </cell>
          <cell r="H283">
            <v>2</v>
          </cell>
          <cell r="I283" t="str">
            <v>Yako</v>
          </cell>
        </row>
        <row r="284">
          <cell r="G284" t="str">
            <v>TIMALKAAR</v>
          </cell>
          <cell r="H284">
            <v>169</v>
          </cell>
          <cell r="I284"/>
        </row>
        <row r="285">
          <cell r="G285" t="str">
            <v>Timbuaaba</v>
          </cell>
          <cell r="H285">
            <v>336</v>
          </cell>
          <cell r="I285" t="str">
            <v>Diapangou</v>
          </cell>
        </row>
        <row r="286">
          <cell r="G286" t="str">
            <v>Tiononyé de Ladiou</v>
          </cell>
          <cell r="H286">
            <v>135</v>
          </cell>
          <cell r="I286" t="str">
            <v>DIDYR</v>
          </cell>
        </row>
        <row r="287">
          <cell r="G287" t="str">
            <v xml:space="preserve">TOAYINKAN DE LAOGNIN KANKANPELE </v>
          </cell>
          <cell r="H287">
            <v>338</v>
          </cell>
          <cell r="I287" t="str">
            <v>Zambo</v>
          </cell>
        </row>
        <row r="288">
          <cell r="G288" t="str">
            <v>Tondossin</v>
          </cell>
          <cell r="H288">
            <v>252</v>
          </cell>
          <cell r="I288" t="str">
            <v>Nouna</v>
          </cell>
        </row>
        <row r="289">
          <cell r="G289" t="str">
            <v>Toucormone</v>
          </cell>
          <cell r="H289">
            <v>11</v>
          </cell>
          <cell r="I289" t="str">
            <v>Dourtenga</v>
          </cell>
        </row>
        <row r="290">
          <cell r="G290" t="str">
            <v xml:space="preserve">transformatrice de beurre de karité </v>
          </cell>
          <cell r="H290">
            <v>260</v>
          </cell>
          <cell r="I290" t="str">
            <v>Toma</v>
          </cell>
        </row>
        <row r="291">
          <cell r="G291" t="str">
            <v>UGPPK Comoe - Kagnonsé</v>
          </cell>
          <cell r="H291">
            <v>289</v>
          </cell>
          <cell r="I291" t="str">
            <v>Banfora</v>
          </cell>
        </row>
        <row r="292">
          <cell r="G292" t="str">
            <v>UGPPK du Houet</v>
          </cell>
          <cell r="H292">
            <v>288</v>
          </cell>
          <cell r="I292" t="str">
            <v>Bobo</v>
          </cell>
        </row>
        <row r="293">
          <cell r="G293" t="str">
            <v>union communale des productrice de beurre de karité de toma</v>
          </cell>
          <cell r="H293">
            <v>261</v>
          </cell>
          <cell r="I293" t="str">
            <v>Toma</v>
          </cell>
        </row>
        <row r="294">
          <cell r="G294" t="str">
            <v>Union communale des transformatrices des produits forestiers non ligneux</v>
          </cell>
          <cell r="H294">
            <v>30</v>
          </cell>
          <cell r="I294" t="str">
            <v>Dassa</v>
          </cell>
        </row>
        <row r="295">
          <cell r="G295" t="str">
            <v>union départementale d'Orodara</v>
          </cell>
          <cell r="H295">
            <v>186</v>
          </cell>
          <cell r="I295" t="str">
            <v>Orodara</v>
          </cell>
        </row>
        <row r="296">
          <cell r="G296" t="str">
            <v>union departementale de Boni</v>
          </cell>
          <cell r="H296">
            <v>205</v>
          </cell>
          <cell r="I296" t="str">
            <v>Boni</v>
          </cell>
        </row>
        <row r="297">
          <cell r="G297" t="str">
            <v>union départementale des productrices de beurre</v>
          </cell>
          <cell r="H297">
            <v>190</v>
          </cell>
          <cell r="I297" t="str">
            <v>Pama</v>
          </cell>
        </row>
        <row r="298">
          <cell r="G298" t="str">
            <v>Union des Groupements de Productrices de Produits Karité (UGPPK) du Houet</v>
          </cell>
          <cell r="H298">
            <v>39</v>
          </cell>
          <cell r="I298"/>
        </row>
        <row r="299">
          <cell r="G299" t="str">
            <v>union des productrices de beurre</v>
          </cell>
          <cell r="H299">
            <v>41</v>
          </cell>
          <cell r="I299" t="str">
            <v>Tiébélé</v>
          </cell>
        </row>
        <row r="300">
          <cell r="G300" t="str">
            <v>Uromu</v>
          </cell>
          <cell r="H300">
            <v>43</v>
          </cell>
          <cell r="I300" t="str">
            <v>Solenzo</v>
          </cell>
        </row>
        <row r="301">
          <cell r="G301" t="str">
            <v>VENEGREWAYA</v>
          </cell>
          <cell r="H301">
            <v>302</v>
          </cell>
          <cell r="I301" t="str">
            <v>Kaya</v>
          </cell>
        </row>
        <row r="302">
          <cell r="G302" t="str">
            <v>Wamhana</v>
          </cell>
          <cell r="H302">
            <v>45</v>
          </cell>
          <cell r="I302" t="str">
            <v>Piela</v>
          </cell>
        </row>
        <row r="303">
          <cell r="G303" t="str">
            <v>Waogtaaba</v>
          </cell>
          <cell r="H303">
            <v>46</v>
          </cell>
          <cell r="I303" t="str">
            <v>Nobéré</v>
          </cell>
        </row>
        <row r="304">
          <cell r="G304" t="str">
            <v xml:space="preserve">Wematou </v>
          </cell>
          <cell r="H304">
            <v>17</v>
          </cell>
          <cell r="I304" t="str">
            <v>Po</v>
          </cell>
        </row>
        <row r="305">
          <cell r="G305" t="str">
            <v>wend benedo/ ancien Kabeela</v>
          </cell>
          <cell r="H305">
            <v>295</v>
          </cell>
          <cell r="I305" t="str">
            <v>ZINIARÉ</v>
          </cell>
        </row>
        <row r="306">
          <cell r="G306" t="str">
            <v>Wend denda de Boromo</v>
          </cell>
          <cell r="H306">
            <v>19</v>
          </cell>
          <cell r="I306" t="str">
            <v>Boromo</v>
          </cell>
        </row>
        <row r="307">
          <cell r="G307" t="str">
            <v>Wend denda de Kirsi</v>
          </cell>
          <cell r="H307">
            <v>21</v>
          </cell>
          <cell r="I307" t="str">
            <v>Kirsi</v>
          </cell>
        </row>
        <row r="308">
          <cell r="G308" t="str">
            <v>Wend gounsi</v>
          </cell>
          <cell r="H308">
            <v>207</v>
          </cell>
          <cell r="I308"/>
        </row>
        <row r="309">
          <cell r="G309" t="str">
            <v>Wend la Panga</v>
          </cell>
          <cell r="H309">
            <v>127</v>
          </cell>
          <cell r="I309" t="str">
            <v>Solenzo</v>
          </cell>
        </row>
        <row r="310">
          <cell r="G310" t="str">
            <v>Wend la Panga de Koka</v>
          </cell>
          <cell r="H310">
            <v>125</v>
          </cell>
          <cell r="I310" t="str">
            <v>Solenzo</v>
          </cell>
        </row>
        <row r="311">
          <cell r="G311" t="str">
            <v>Wend La Siida</v>
          </cell>
          <cell r="H311">
            <v>151</v>
          </cell>
          <cell r="I311" t="str">
            <v>Arbollé</v>
          </cell>
        </row>
        <row r="312">
          <cell r="G312" t="str">
            <v>Wend la teenda</v>
          </cell>
          <cell r="H312">
            <v>154</v>
          </cell>
          <cell r="I312" t="str">
            <v>Bassi</v>
          </cell>
        </row>
        <row r="313">
          <cell r="G313" t="str">
            <v>Wend lamanegda (UNPK)</v>
          </cell>
          <cell r="H313">
            <v>297</v>
          </cell>
          <cell r="I313" t="str">
            <v>Pabre</v>
          </cell>
        </row>
        <row r="314">
          <cell r="G314" t="str">
            <v>Wend Lamita</v>
          </cell>
          <cell r="H314">
            <v>144</v>
          </cell>
          <cell r="I314" t="str">
            <v>Gourcy</v>
          </cell>
        </row>
        <row r="315">
          <cell r="G315" t="str">
            <v>Wend Panga de Bouroum</v>
          </cell>
          <cell r="H315">
            <v>150</v>
          </cell>
          <cell r="I315" t="str">
            <v>Bouroum</v>
          </cell>
        </row>
        <row r="316">
          <cell r="G316" t="str">
            <v>Wend Panga de DABARÉ</v>
          </cell>
          <cell r="H316">
            <v>222</v>
          </cell>
          <cell r="I316" t="str">
            <v>Pabré</v>
          </cell>
        </row>
        <row r="317">
          <cell r="G317" t="str">
            <v>Wend Panga de Lahirasso</v>
          </cell>
          <cell r="H317">
            <v>342</v>
          </cell>
          <cell r="I317" t="str">
            <v>Padema</v>
          </cell>
        </row>
        <row r="318">
          <cell r="G318" t="str">
            <v>Wend Panga de Latodin</v>
          </cell>
          <cell r="H318">
            <v>145</v>
          </cell>
          <cell r="I318" t="str">
            <v>Latodin</v>
          </cell>
        </row>
        <row r="319">
          <cell r="G319" t="str">
            <v>Wend Panga de Tiogo</v>
          </cell>
          <cell r="H319">
            <v>50</v>
          </cell>
          <cell r="I319" t="str">
            <v>Koudougou</v>
          </cell>
        </row>
        <row r="320">
          <cell r="G320" t="str">
            <v>Wend Penga de Guy</v>
          </cell>
          <cell r="H320">
            <v>108</v>
          </cell>
          <cell r="I320" t="str">
            <v>KOUDOUGOU</v>
          </cell>
        </row>
        <row r="321">
          <cell r="G321" t="str">
            <v>Wend Raabo</v>
          </cell>
          <cell r="H321">
            <v>317</v>
          </cell>
          <cell r="I321" t="str">
            <v>KOUDOUGOU</v>
          </cell>
        </row>
        <row r="322">
          <cell r="G322" t="str">
            <v>Wend Songdo de Boura</v>
          </cell>
          <cell r="H322">
            <v>37</v>
          </cell>
          <cell r="I322" t="str">
            <v>Guiba</v>
          </cell>
        </row>
        <row r="323">
          <cell r="G323" t="str">
            <v>WEND WAOGO</v>
          </cell>
          <cell r="H323">
            <v>181</v>
          </cell>
          <cell r="I323"/>
        </row>
        <row r="324">
          <cell r="G324" t="str">
            <v>Wend-Songda de Konki Ipala</v>
          </cell>
          <cell r="H324">
            <v>168</v>
          </cell>
          <cell r="I324" t="str">
            <v>KONKIIPALA</v>
          </cell>
        </row>
        <row r="325">
          <cell r="G325" t="str">
            <v>Wend-woaga</v>
          </cell>
          <cell r="H325">
            <v>47</v>
          </cell>
          <cell r="I325" t="str">
            <v>Koudougou ville</v>
          </cell>
        </row>
        <row r="326">
          <cell r="G326" t="str">
            <v>Wendsoo</v>
          </cell>
          <cell r="H326">
            <v>109</v>
          </cell>
          <cell r="I326" t="str">
            <v>KOUDOUGOU</v>
          </cell>
        </row>
        <row r="327">
          <cell r="G327" t="str">
            <v>Wendyiida</v>
          </cell>
          <cell r="H327">
            <v>48</v>
          </cell>
          <cell r="I327" t="str">
            <v>Zorgho</v>
          </cell>
        </row>
        <row r="328">
          <cell r="G328" t="str">
            <v>Wenkieta</v>
          </cell>
          <cell r="H328">
            <v>408</v>
          </cell>
          <cell r="I328" t="str">
            <v>KOUDOUGOU</v>
          </cell>
        </row>
        <row r="329">
          <cell r="G329" t="str">
            <v>Wenpenga</v>
          </cell>
          <cell r="H329">
            <v>42</v>
          </cell>
          <cell r="I329" t="str">
            <v>Tougan</v>
          </cell>
        </row>
        <row r="330">
          <cell r="G330" t="str">
            <v>Woignon</v>
          </cell>
          <cell r="H330">
            <v>191</v>
          </cell>
          <cell r="I330" t="str">
            <v>Loumana</v>
          </cell>
        </row>
        <row r="331">
          <cell r="G331" t="str">
            <v>Wowanyon</v>
          </cell>
          <cell r="H331">
            <v>195</v>
          </cell>
          <cell r="I331" t="str">
            <v>Loumana</v>
          </cell>
        </row>
        <row r="332">
          <cell r="G332" t="str">
            <v>Wussoum'cri des femmes de zigla polacé</v>
          </cell>
          <cell r="H332">
            <v>208</v>
          </cell>
          <cell r="I332" t="str">
            <v>Garango</v>
          </cell>
        </row>
        <row r="333">
          <cell r="G333" t="str">
            <v>Yanaba</v>
          </cell>
          <cell r="H333">
            <v>134</v>
          </cell>
          <cell r="I333" t="str">
            <v>Pama</v>
          </cell>
        </row>
        <row r="334">
          <cell r="G334" t="str">
            <v>Yanta du Houet</v>
          </cell>
          <cell r="H334">
            <v>276</v>
          </cell>
          <cell r="I334" t="str">
            <v>Bobo Secteur 10</v>
          </cell>
        </row>
        <row r="335">
          <cell r="G335" t="str">
            <v>Yeleem</v>
          </cell>
          <cell r="H335">
            <v>88</v>
          </cell>
          <cell r="I335" t="str">
            <v>Diébougou</v>
          </cell>
        </row>
        <row r="336">
          <cell r="G336" t="str">
            <v>YELEEN NOUS POUR VOUS</v>
          </cell>
          <cell r="H336">
            <v>287</v>
          </cell>
          <cell r="I336" t="str">
            <v>Bobo</v>
          </cell>
        </row>
        <row r="337">
          <cell r="G337" t="str">
            <v>Yerèkorosi</v>
          </cell>
          <cell r="H337">
            <v>249</v>
          </cell>
          <cell r="I337" t="str">
            <v>Solenzo</v>
          </cell>
        </row>
        <row r="338">
          <cell r="G338" t="str">
            <v>Yérénon</v>
          </cell>
          <cell r="H338">
            <v>251</v>
          </cell>
          <cell r="I338" t="str">
            <v>Nouna</v>
          </cell>
        </row>
        <row r="339">
          <cell r="G339" t="str">
            <v>Yijan</v>
          </cell>
          <cell r="H339">
            <v>209</v>
          </cell>
          <cell r="I339" t="str">
            <v>Sapouy</v>
          </cell>
        </row>
        <row r="340">
          <cell r="G340" t="str">
            <v>Yijan</v>
          </cell>
          <cell r="H340">
            <v>411</v>
          </cell>
          <cell r="I340" t="str">
            <v>TENADO</v>
          </cell>
        </row>
        <row r="341">
          <cell r="G341" t="str">
            <v>Yijougnin de Kamedji</v>
          </cell>
          <cell r="H341">
            <v>339</v>
          </cell>
          <cell r="I341" t="str">
            <v>KOUDOUGOU</v>
          </cell>
        </row>
        <row r="342">
          <cell r="G342" t="str">
            <v>Yiriwalibaara</v>
          </cell>
          <cell r="H342">
            <v>218</v>
          </cell>
          <cell r="I342" t="str">
            <v>Boni</v>
          </cell>
        </row>
        <row r="343">
          <cell r="G343" t="str">
            <v>Yisokiené</v>
          </cell>
          <cell r="H343">
            <v>415</v>
          </cell>
          <cell r="I343" t="str">
            <v>DASSA</v>
          </cell>
        </row>
        <row r="344">
          <cell r="G344" t="str">
            <v>Yitenedjo</v>
          </cell>
          <cell r="H344">
            <v>220</v>
          </cell>
          <cell r="I344" t="str">
            <v>Niankorodougou</v>
          </cell>
        </row>
        <row r="345">
          <cell r="G345" t="str">
            <v>Yiwazhena de Kwen</v>
          </cell>
          <cell r="H345">
            <v>116</v>
          </cell>
          <cell r="I345" t="str">
            <v>DIDYR</v>
          </cell>
        </row>
        <row r="346">
          <cell r="G346" t="str">
            <v>Yiwoadjan de Gooko</v>
          </cell>
          <cell r="H346">
            <v>132</v>
          </cell>
          <cell r="I346" t="str">
            <v>DIDYR</v>
          </cell>
        </row>
        <row r="347">
          <cell r="G347" t="str">
            <v>YiwoaZhena de Yierdion</v>
          </cell>
          <cell r="H347">
            <v>122</v>
          </cell>
          <cell r="I347" t="str">
            <v>Didyr</v>
          </cell>
        </row>
        <row r="348">
          <cell r="G348" t="str">
            <v>Yoninyēn de Kordié</v>
          </cell>
          <cell r="H348">
            <v>246</v>
          </cell>
          <cell r="I348" t="str">
            <v>Kordié</v>
          </cell>
        </row>
        <row r="349">
          <cell r="G349" t="str">
            <v>ZEMSTAABA</v>
          </cell>
          <cell r="H349">
            <v>25</v>
          </cell>
          <cell r="I349"/>
        </row>
        <row r="350">
          <cell r="G350" t="str">
            <v>Zemstaaba</v>
          </cell>
          <cell r="H350">
            <v>417</v>
          </cell>
          <cell r="I350" t="str">
            <v>RAMONGO</v>
          </cell>
        </row>
        <row r="351">
          <cell r="G351" t="str">
            <v>Zemstaaba de Koudougou</v>
          </cell>
          <cell r="H351">
            <v>62</v>
          </cell>
          <cell r="I351" t="str">
            <v>Koudougou</v>
          </cell>
        </row>
        <row r="352">
          <cell r="G352" t="str">
            <v>Zemstaaba de Nagréongo</v>
          </cell>
          <cell r="H352">
            <v>422</v>
          </cell>
          <cell r="I352" t="str">
            <v>NAGREONGO</v>
          </cell>
        </row>
        <row r="353">
          <cell r="G353" t="str">
            <v>ZEMSTAABA de Nagretenga</v>
          </cell>
          <cell r="H353">
            <v>298</v>
          </cell>
          <cell r="I353" t="str">
            <v>Ziniaré</v>
          </cell>
        </row>
        <row r="354">
          <cell r="G354" t="str">
            <v>Zemstaaba de Salbissigo</v>
          </cell>
          <cell r="H354">
            <v>106</v>
          </cell>
          <cell r="I354" t="str">
            <v>Salbissigo</v>
          </cell>
        </row>
        <row r="355">
          <cell r="G355" t="str">
            <v>zemstaaba de Tambarga</v>
          </cell>
          <cell r="H355">
            <v>201</v>
          </cell>
          <cell r="I355" t="str">
            <v>Tambarga</v>
          </cell>
        </row>
        <row r="356">
          <cell r="G356" t="str">
            <v>Zemstaaba de Tenkodogo</v>
          </cell>
          <cell r="H356">
            <v>199</v>
          </cell>
          <cell r="I356" t="str">
            <v>Tenkodogo</v>
          </cell>
        </row>
        <row r="357">
          <cell r="G357" t="str">
            <v>ZEMSTAABA RELWENDE</v>
          </cell>
          <cell r="H357">
            <v>180</v>
          </cell>
          <cell r="I357" t="str">
            <v>Nako</v>
          </cell>
        </row>
        <row r="358">
          <cell r="G358" t="str">
            <v xml:space="preserve">ZEOMIN DE SEGRO </v>
          </cell>
          <cell r="H358">
            <v>340</v>
          </cell>
          <cell r="I358" t="str">
            <v>Zambo</v>
          </cell>
        </row>
        <row r="359">
          <cell r="G359" t="str">
            <v>Zink-waogtaba</v>
          </cell>
          <cell r="H359">
            <v>60</v>
          </cell>
          <cell r="I359" t="str">
            <v>Zecco</v>
          </cell>
        </row>
        <row r="360">
          <cell r="G360" t="str">
            <v>zood nooma</v>
          </cell>
          <cell r="H360">
            <v>98</v>
          </cell>
          <cell r="I360" t="str">
            <v>Manga</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ta"/>
      <sheetName val="Data"/>
      <sheetName val="Internal-logic"/>
    </sheetNames>
    <sheetDataSet>
      <sheetData sheetId="0" refreshError="1"/>
      <sheetData sheetId="1" refreshError="1"/>
      <sheetData sheetId="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ta"/>
      <sheetName val="Data"/>
      <sheetName val="Internal-logic"/>
    </sheetNames>
    <sheetDataSet>
      <sheetData sheetId="0" refreshError="1"/>
      <sheetData sheetId="1" refreshError="1"/>
      <sheetData sheetId="2" refreshError="1">
        <row r="1">
          <cell r="G1" t="str">
            <v>Group name</v>
          </cell>
          <cell r="H1" t="str">
            <v>Group number</v>
          </cell>
          <cell r="I1" t="str">
            <v>Group Commune</v>
          </cell>
        </row>
        <row r="2">
          <cell r="G2" t="str">
            <v xml:space="preserve"> Allah Dari</v>
          </cell>
          <cell r="H2">
            <v>268</v>
          </cell>
          <cell r="I2" t="str">
            <v>Orodara</v>
          </cell>
        </row>
        <row r="3">
          <cell r="G3" t="str">
            <v>AAVC de Loropeni</v>
          </cell>
          <cell r="H3">
            <v>286</v>
          </cell>
          <cell r="I3" t="str">
            <v>Loropeni</v>
          </cell>
        </row>
        <row r="4">
          <cell r="G4" t="str">
            <v>ABPJF\ UPROKA</v>
          </cell>
          <cell r="H4">
            <v>54</v>
          </cell>
          <cell r="I4" t="str">
            <v>Ouagadougou</v>
          </cell>
        </row>
        <row r="5">
          <cell r="G5" t="str">
            <v>Aditou</v>
          </cell>
          <cell r="H5">
            <v>51</v>
          </cell>
          <cell r="I5" t="str">
            <v>Boussera</v>
          </cell>
        </row>
        <row r="6">
          <cell r="G6" t="str">
            <v>ADMGA</v>
          </cell>
          <cell r="H6">
            <v>147</v>
          </cell>
          <cell r="I6" t="str">
            <v>Gourcy</v>
          </cell>
        </row>
        <row r="7">
          <cell r="G7" t="str">
            <v>ALLAH BARKA</v>
          </cell>
          <cell r="H7">
            <v>183</v>
          </cell>
          <cell r="I7" t="str">
            <v>Kpueré</v>
          </cell>
        </row>
        <row r="8">
          <cell r="G8" t="str">
            <v>Allah kabo</v>
          </cell>
          <cell r="H8">
            <v>184</v>
          </cell>
          <cell r="I8" t="str">
            <v>Houndé</v>
          </cell>
        </row>
        <row r="9">
          <cell r="G9" t="str">
            <v>Amarian yiidian</v>
          </cell>
          <cell r="H9">
            <v>187</v>
          </cell>
          <cell r="I9" t="str">
            <v>Léo</v>
          </cell>
        </row>
        <row r="10">
          <cell r="G10" t="str">
            <v>APES de Kombissiri</v>
          </cell>
          <cell r="H10">
            <v>299</v>
          </cell>
          <cell r="I10" t="str">
            <v>Kombissiri</v>
          </cell>
        </row>
        <row r="11">
          <cell r="G11" t="str">
            <v>APES de Poni</v>
          </cell>
          <cell r="H11">
            <v>91</v>
          </cell>
        </row>
        <row r="12">
          <cell r="G12" t="str">
            <v>association</v>
          </cell>
          <cell r="H12">
            <v>92</v>
          </cell>
          <cell r="I12" t="str">
            <v>Fada</v>
          </cell>
        </row>
        <row r="13">
          <cell r="G13" t="str">
            <v>association des femmes pour la solidarité et le développement de Bitou</v>
          </cell>
          <cell r="H13">
            <v>200</v>
          </cell>
          <cell r="I13" t="str">
            <v>Bitou</v>
          </cell>
        </row>
        <row r="14">
          <cell r="G14" t="str">
            <v xml:space="preserve">Association des jeunes femmes de Zecco </v>
          </cell>
          <cell r="H14">
            <v>102</v>
          </cell>
          <cell r="I14" t="str">
            <v>Po</v>
          </cell>
        </row>
        <row r="15">
          <cell r="G15" t="str">
            <v>ASSOCIATION FEMME LEVE TOI ET MARCHE DE GAOUA</v>
          </cell>
          <cell r="H15">
            <v>282</v>
          </cell>
          <cell r="I15" t="str">
            <v>Gaoua</v>
          </cell>
        </row>
        <row r="16">
          <cell r="G16" t="str">
            <v>Association Pingnooma</v>
          </cell>
          <cell r="H16">
            <v>404</v>
          </cell>
          <cell r="I16" t="str">
            <v>BOUSSÉ</v>
          </cell>
        </row>
        <row r="17">
          <cell r="G17" t="str">
            <v xml:space="preserve">association pour l'intégration socioéconomiques des filles mère en difficulté dans la région de toma </v>
          </cell>
          <cell r="H17">
            <v>27</v>
          </cell>
          <cell r="I17" t="str">
            <v>Toma</v>
          </cell>
        </row>
        <row r="18">
          <cell r="G18" t="str">
            <v>association pour la promotion sociale des personnes vulnérables</v>
          </cell>
          <cell r="H18">
            <v>82</v>
          </cell>
          <cell r="I18" t="str">
            <v>Tiankoura</v>
          </cell>
        </row>
        <row r="19">
          <cell r="G19" t="str">
            <v>Association Pour les Femmes de Kouritenga (APFK)</v>
          </cell>
          <cell r="H19">
            <v>242</v>
          </cell>
          <cell r="I19" t="str">
            <v>Koupela</v>
          </cell>
        </row>
        <row r="20">
          <cell r="G20" t="str">
            <v>ASSOCIATION POUR LES FEMMES DU KOURITENGA</v>
          </cell>
          <cell r="H20">
            <v>312</v>
          </cell>
          <cell r="I20" t="str">
            <v>Koupela</v>
          </cell>
        </row>
        <row r="21">
          <cell r="G21" t="str">
            <v>association y croire</v>
          </cell>
          <cell r="H21">
            <v>210</v>
          </cell>
          <cell r="I21" t="str">
            <v>Koudougou</v>
          </cell>
        </row>
        <row r="22">
          <cell r="G22" t="str">
            <v>Associaton pour la promotion économique et sociale des femmes</v>
          </cell>
          <cell r="H22">
            <v>221</v>
          </cell>
          <cell r="I22" t="str">
            <v>Kombissiri</v>
          </cell>
        </row>
        <row r="23">
          <cell r="G23" t="str">
            <v>AZEBENE de Kpuéré</v>
          </cell>
          <cell r="H23">
            <v>177</v>
          </cell>
          <cell r="I23" t="str">
            <v>Kpueré</v>
          </cell>
        </row>
        <row r="24">
          <cell r="G24" t="str">
            <v>Azebène de Pouni</v>
          </cell>
          <cell r="H24">
            <v>172</v>
          </cell>
          <cell r="I24" t="str">
            <v>Pouni</v>
          </cell>
        </row>
        <row r="25">
          <cell r="G25" t="str">
            <v>Bakouando de Daolo</v>
          </cell>
          <cell r="H25">
            <v>113</v>
          </cell>
          <cell r="I25" t="str">
            <v>DIDYR</v>
          </cell>
        </row>
        <row r="26">
          <cell r="G26" t="str">
            <v>Bao-Manag-ré /URBAPK-COS</v>
          </cell>
          <cell r="H26">
            <v>304</v>
          </cell>
        </row>
        <row r="27">
          <cell r="G27" t="str">
            <v>Baosongré</v>
          </cell>
          <cell r="H27">
            <v>104</v>
          </cell>
          <cell r="I27" t="str">
            <v>Fada</v>
          </cell>
        </row>
        <row r="28">
          <cell r="G28" t="str">
            <v xml:space="preserve">BEIGNIN </v>
          </cell>
          <cell r="H28">
            <v>318</v>
          </cell>
          <cell r="I28" t="str">
            <v>Zambo</v>
          </cell>
        </row>
        <row r="29">
          <cell r="G29" t="str">
            <v>Ben nafa</v>
          </cell>
          <cell r="H29">
            <v>115</v>
          </cell>
          <cell r="I29" t="str">
            <v>Toma</v>
          </cell>
        </row>
        <row r="30">
          <cell r="G30" t="str">
            <v>Benéwendé de Kando</v>
          </cell>
          <cell r="H30">
            <v>238</v>
          </cell>
          <cell r="I30" t="str">
            <v>Koupéla</v>
          </cell>
        </row>
        <row r="31">
          <cell r="G31" t="str">
            <v>Benewendé de Solenzo</v>
          </cell>
          <cell r="H31">
            <v>236</v>
          </cell>
          <cell r="I31" t="str">
            <v>Solenzo</v>
          </cell>
        </row>
        <row r="32">
          <cell r="G32" t="str">
            <v>Bengnouma</v>
          </cell>
          <cell r="H32">
            <v>240</v>
          </cell>
          <cell r="I32" t="str">
            <v>Dedougou</v>
          </cell>
        </row>
        <row r="33">
          <cell r="G33" t="str">
            <v>Benibwa</v>
          </cell>
          <cell r="H33">
            <v>244</v>
          </cell>
          <cell r="I33" t="str">
            <v>Gayeri</v>
          </cell>
        </row>
        <row r="34">
          <cell r="G34" t="str">
            <v>Benkadi de Di</v>
          </cell>
          <cell r="H34">
            <v>141</v>
          </cell>
          <cell r="I34" t="str">
            <v>Tougan</v>
          </cell>
        </row>
        <row r="35">
          <cell r="G35" t="str">
            <v>benkadi de korome</v>
          </cell>
          <cell r="H35">
            <v>5</v>
          </cell>
          <cell r="I35" t="str">
            <v>Di</v>
          </cell>
        </row>
        <row r="36">
          <cell r="G36" t="str">
            <v>Benkadi de Sibi</v>
          </cell>
          <cell r="H36">
            <v>416</v>
          </cell>
          <cell r="I36" t="str">
            <v>SIBI</v>
          </cell>
        </row>
        <row r="37">
          <cell r="G37" t="str">
            <v>Benkadi de Vigué</v>
          </cell>
          <cell r="H37">
            <v>259</v>
          </cell>
          <cell r="I37" t="str">
            <v>Karankasso</v>
          </cell>
        </row>
        <row r="38">
          <cell r="G38" t="str">
            <v>Benkadi entraide</v>
          </cell>
          <cell r="H38">
            <v>14</v>
          </cell>
          <cell r="I38" t="str">
            <v>Boromo</v>
          </cell>
        </row>
        <row r="39">
          <cell r="G39" t="str">
            <v>Benkadi Nayo</v>
          </cell>
          <cell r="H39">
            <v>307</v>
          </cell>
          <cell r="I39" t="str">
            <v>Diebougou</v>
          </cell>
        </row>
        <row r="40">
          <cell r="G40" t="str">
            <v>Benkadi Shiriyi Nafa</v>
          </cell>
          <cell r="H40">
            <v>305</v>
          </cell>
          <cell r="I40" t="str">
            <v>Tougan</v>
          </cell>
        </row>
        <row r="41">
          <cell r="G41" t="str">
            <v>Benkagni</v>
          </cell>
          <cell r="H41">
            <v>16</v>
          </cell>
          <cell r="I41" t="str">
            <v>Nouna</v>
          </cell>
        </row>
        <row r="42">
          <cell r="G42" t="str">
            <v>Benkelekan</v>
          </cell>
          <cell r="H42">
            <v>128</v>
          </cell>
          <cell r="I42" t="str">
            <v>Solenzo</v>
          </cell>
        </row>
        <row r="43">
          <cell r="G43" t="str">
            <v>Benkéléma</v>
          </cell>
          <cell r="H43">
            <v>189</v>
          </cell>
          <cell r="I43" t="str">
            <v>Mossodougou</v>
          </cell>
        </row>
        <row r="44">
          <cell r="G44" t="str">
            <v>BEOGO NERE</v>
          </cell>
          <cell r="H44">
            <v>303</v>
          </cell>
          <cell r="I44" t="str">
            <v>Sakoula</v>
          </cell>
        </row>
        <row r="45">
          <cell r="G45" t="str">
            <v>Béréwé</v>
          </cell>
          <cell r="H45">
            <v>164</v>
          </cell>
          <cell r="I45" t="str">
            <v>Satiri</v>
          </cell>
        </row>
        <row r="46">
          <cell r="G46" t="str">
            <v>BGEBEWAALA</v>
          </cell>
          <cell r="H46">
            <v>182</v>
          </cell>
          <cell r="I46" t="str">
            <v>Gbomblora</v>
          </cell>
        </row>
        <row r="47">
          <cell r="G47" t="str">
            <v>Bi-Songo</v>
          </cell>
          <cell r="H47">
            <v>7</v>
          </cell>
          <cell r="I47" t="str">
            <v>Saponé</v>
          </cell>
        </row>
        <row r="48">
          <cell r="G48" t="str">
            <v xml:space="preserve">bientama </v>
          </cell>
          <cell r="H48">
            <v>58</v>
          </cell>
          <cell r="I48" t="str">
            <v>Toma</v>
          </cell>
        </row>
        <row r="49">
          <cell r="G49" t="str">
            <v>Bissongo</v>
          </cell>
          <cell r="H49">
            <v>405</v>
          </cell>
          <cell r="I49" t="str">
            <v>KOMBISSIRI</v>
          </cell>
        </row>
        <row r="50">
          <cell r="G50" t="str">
            <v>Bomafola de Gossina</v>
          </cell>
          <cell r="H50">
            <v>56</v>
          </cell>
          <cell r="I50" t="str">
            <v>Toma</v>
          </cell>
        </row>
        <row r="51">
          <cell r="G51" t="str">
            <v>bomafola de massako</v>
          </cell>
          <cell r="H51">
            <v>55</v>
          </cell>
          <cell r="I51" t="str">
            <v>Toma</v>
          </cell>
        </row>
        <row r="52">
          <cell r="G52" t="str">
            <v>bowdour de choyo</v>
          </cell>
          <cell r="H52">
            <v>86</v>
          </cell>
          <cell r="I52" t="str">
            <v>Tiankoura</v>
          </cell>
        </row>
        <row r="53">
          <cell r="G53" t="str">
            <v>Buud-yam</v>
          </cell>
          <cell r="H53">
            <v>234</v>
          </cell>
          <cell r="I53" t="str">
            <v>Kombissiri</v>
          </cell>
        </row>
        <row r="54">
          <cell r="G54" t="str">
            <v>Buudnoma</v>
          </cell>
          <cell r="H54">
            <v>270</v>
          </cell>
          <cell r="I54" t="str">
            <v>Koudougou Secteur 1</v>
          </cell>
        </row>
        <row r="55">
          <cell r="G55" t="str">
            <v>Buudnoma</v>
          </cell>
          <cell r="H55">
            <v>421</v>
          </cell>
          <cell r="I55" t="str">
            <v>KOUDOUGOU</v>
          </cell>
        </row>
        <row r="56">
          <cell r="G56" t="str">
            <v>Buuyaaba</v>
          </cell>
          <cell r="H56">
            <v>152</v>
          </cell>
          <cell r="I56" t="str">
            <v>Ouagadougou</v>
          </cell>
        </row>
        <row r="57">
          <cell r="G57" t="str">
            <v>centre alpha</v>
          </cell>
          <cell r="H57">
            <v>6</v>
          </cell>
          <cell r="I57" t="str">
            <v>Sapouy</v>
          </cell>
        </row>
        <row r="58">
          <cell r="G58" t="str">
            <v>COOPERATIVE DES PRODUCTRICES DE BEURRE DE KARITE de Manga</v>
          </cell>
          <cell r="H58">
            <v>311</v>
          </cell>
          <cell r="I58" t="str">
            <v>Manga</v>
          </cell>
        </row>
        <row r="59">
          <cell r="G59" t="str">
            <v>Coopérative simplifiée Koroto des produits non ligneux de Kwen</v>
          </cell>
          <cell r="H59">
            <v>111</v>
          </cell>
          <cell r="I59" t="str">
            <v>Didyr</v>
          </cell>
        </row>
        <row r="60">
          <cell r="G60" t="str">
            <v>CYE DWANE NYEE</v>
          </cell>
          <cell r="H60">
            <v>291</v>
          </cell>
          <cell r="I60" t="str">
            <v>Réo</v>
          </cell>
        </row>
        <row r="61">
          <cell r="G61" t="str">
            <v>Danyiwè</v>
          </cell>
          <cell r="H61">
            <v>3</v>
          </cell>
          <cell r="I61" t="str">
            <v>Po</v>
          </cell>
        </row>
        <row r="62">
          <cell r="G62" t="str">
            <v>Delwendé d'Andemtenga</v>
          </cell>
          <cell r="H62">
            <v>137</v>
          </cell>
          <cell r="I62" t="str">
            <v>Andemtenga</v>
          </cell>
        </row>
        <row r="63">
          <cell r="G63" t="str">
            <v>Delwendé de Boudry</v>
          </cell>
          <cell r="H63">
            <v>40</v>
          </cell>
          <cell r="I63" t="str">
            <v>Boudry</v>
          </cell>
        </row>
        <row r="64">
          <cell r="G64" t="str">
            <v>Delwendé de Ouargaye</v>
          </cell>
          <cell r="H64">
            <v>165</v>
          </cell>
          <cell r="I64" t="str">
            <v>Ouargaye</v>
          </cell>
        </row>
        <row r="65">
          <cell r="G65" t="str">
            <v>Delwendé de Pissila</v>
          </cell>
          <cell r="H65">
            <v>163</v>
          </cell>
          <cell r="I65" t="str">
            <v>Pissila</v>
          </cell>
        </row>
        <row r="66">
          <cell r="G66" t="str">
            <v>Delwendé de Poni</v>
          </cell>
          <cell r="H66">
            <v>97</v>
          </cell>
        </row>
        <row r="67">
          <cell r="G67" t="str">
            <v>Dioramae simplifiée Koroto des produits non ligneux de Kwen</v>
          </cell>
          <cell r="H67">
            <v>166</v>
          </cell>
          <cell r="I67" t="str">
            <v>Didyr</v>
          </cell>
        </row>
        <row r="68">
          <cell r="G68" t="str">
            <v>Dioulmale</v>
          </cell>
          <cell r="H68">
            <v>167</v>
          </cell>
          <cell r="I68" t="str">
            <v>Bogande</v>
          </cell>
        </row>
        <row r="69">
          <cell r="G69" t="str">
            <v>DJIGUIDEY</v>
          </cell>
          <cell r="H69">
            <v>309</v>
          </cell>
          <cell r="I69" t="str">
            <v>Kouka</v>
          </cell>
        </row>
        <row r="70">
          <cell r="G70" t="str">
            <v>Dollebou</v>
          </cell>
          <cell r="H70">
            <v>248</v>
          </cell>
          <cell r="I70" t="str">
            <v>Garango</v>
          </cell>
        </row>
        <row r="71">
          <cell r="G71" t="str">
            <v>Dwi-yè</v>
          </cell>
          <cell r="H71">
            <v>61</v>
          </cell>
          <cell r="I71" t="str">
            <v>TENADO</v>
          </cell>
        </row>
        <row r="72">
          <cell r="G72" t="str">
            <v>Etiono nyè de Ladiou</v>
          </cell>
          <cell r="H72">
            <v>123</v>
          </cell>
          <cell r="I72" t="str">
            <v>DIDYR</v>
          </cell>
        </row>
        <row r="73">
          <cell r="G73" t="str">
            <v>Fadefso</v>
          </cell>
          <cell r="H73">
            <v>80</v>
          </cell>
        </row>
        <row r="74">
          <cell r="G74" t="str">
            <v>FAMDIMA</v>
          </cell>
          <cell r="H74">
            <v>314</v>
          </cell>
          <cell r="I74" t="str">
            <v>Pama</v>
          </cell>
        </row>
        <row r="75">
          <cell r="G75" t="str">
            <v>Faso bara</v>
          </cell>
          <cell r="H75">
            <v>83</v>
          </cell>
          <cell r="I75" t="str">
            <v>Douroula</v>
          </cell>
        </row>
        <row r="76">
          <cell r="G76" t="str">
            <v>Fasodjigui</v>
          </cell>
          <cell r="H76">
            <v>87</v>
          </cell>
          <cell r="I76" t="str">
            <v>Loropéni</v>
          </cell>
        </row>
        <row r="77">
          <cell r="G77" t="str">
            <v>Femme 2000</v>
          </cell>
          <cell r="H77">
            <v>4</v>
          </cell>
          <cell r="I77" t="str">
            <v>Ziniaré</v>
          </cell>
        </row>
        <row r="78">
          <cell r="G78" t="str">
            <v>Femmes actives</v>
          </cell>
          <cell r="H78">
            <v>212</v>
          </cell>
          <cell r="I78" t="str">
            <v>Boussouma</v>
          </cell>
        </row>
        <row r="79">
          <cell r="G79" t="str">
            <v>Gbansoangou</v>
          </cell>
          <cell r="H79">
            <v>192</v>
          </cell>
          <cell r="I79" t="str">
            <v>Madjoari</v>
          </cell>
        </row>
        <row r="80">
          <cell r="G80" t="str">
            <v>Gnitamoussin</v>
          </cell>
          <cell r="H80">
            <v>214</v>
          </cell>
          <cell r="I80" t="str">
            <v>Dédougou</v>
          </cell>
        </row>
        <row r="81">
          <cell r="G81" t="str">
            <v>Gnoumankadi</v>
          </cell>
          <cell r="H81">
            <v>194</v>
          </cell>
          <cell r="I81" t="str">
            <v>Solenzo</v>
          </cell>
        </row>
        <row r="82">
          <cell r="G82" t="str">
            <v xml:space="preserve">GNOWKAA </v>
          </cell>
          <cell r="H82">
            <v>319</v>
          </cell>
          <cell r="I82" t="str">
            <v>Zambo</v>
          </cell>
        </row>
        <row r="83">
          <cell r="G83" t="str">
            <v>Goulou-nyē de Bouldié</v>
          </cell>
          <cell r="H83">
            <v>131</v>
          </cell>
          <cell r="I83" t="str">
            <v>DIDYR</v>
          </cell>
        </row>
        <row r="84">
          <cell r="G84" t="str">
            <v>GRÂCE ET MERVEILLES</v>
          </cell>
          <cell r="H84">
            <v>24</v>
          </cell>
          <cell r="I84" t="str">
            <v>Roumtenga</v>
          </cell>
        </row>
        <row r="85">
          <cell r="G85" t="str">
            <v>groupement de femmes productrices de noix de karité volatile de gossina</v>
          </cell>
          <cell r="H85">
            <v>52</v>
          </cell>
          <cell r="I85" t="str">
            <v>Toma</v>
          </cell>
        </row>
        <row r="86">
          <cell r="G86" t="str">
            <v>Guétawendé de Gaoua</v>
          </cell>
          <cell r="H86">
            <v>90</v>
          </cell>
          <cell r="I86" t="str">
            <v>Gaoua</v>
          </cell>
        </row>
        <row r="87">
          <cell r="G87" t="str">
            <v>Guétawendé de Koudougou</v>
          </cell>
          <cell r="H87">
            <v>157</v>
          </cell>
          <cell r="I87" t="str">
            <v>Koudougou</v>
          </cell>
        </row>
        <row r="88">
          <cell r="G88" t="str">
            <v>Hampugine</v>
          </cell>
          <cell r="H88">
            <v>89</v>
          </cell>
          <cell r="I88" t="str">
            <v>Bogande</v>
          </cell>
        </row>
        <row r="89">
          <cell r="G89" t="str">
            <v xml:space="preserve">IBELGNIN </v>
          </cell>
          <cell r="H89">
            <v>320</v>
          </cell>
          <cell r="I89" t="str">
            <v>Zambo</v>
          </cell>
        </row>
        <row r="90">
          <cell r="G90" t="str">
            <v>IGNIN de KANKAMPELE</v>
          </cell>
          <cell r="H90">
            <v>321</v>
          </cell>
          <cell r="I90" t="str">
            <v>Zambo</v>
          </cell>
        </row>
        <row r="91">
          <cell r="G91" t="str">
            <v xml:space="preserve">IGNIN DE SEGRO </v>
          </cell>
          <cell r="H91">
            <v>322</v>
          </cell>
          <cell r="I91" t="str">
            <v>Zambo</v>
          </cell>
        </row>
        <row r="92">
          <cell r="G92" t="str">
            <v xml:space="preserve">IGNIN de TAMPLA V1 </v>
          </cell>
          <cell r="H92">
            <v>323</v>
          </cell>
          <cell r="I92" t="str">
            <v>Zambo</v>
          </cell>
        </row>
        <row r="93">
          <cell r="G93" t="str">
            <v>Iridjè</v>
          </cell>
          <cell r="H93">
            <v>99</v>
          </cell>
          <cell r="I93" t="str">
            <v>Nako</v>
          </cell>
        </row>
        <row r="94">
          <cell r="G94" t="str">
            <v>Iyorou dolobane</v>
          </cell>
          <cell r="H94">
            <v>101</v>
          </cell>
          <cell r="I94" t="str">
            <v>Wolonkoto</v>
          </cell>
        </row>
        <row r="95">
          <cell r="G95" t="str">
            <v>Jintoua</v>
          </cell>
          <cell r="H95">
            <v>410</v>
          </cell>
          <cell r="I95" t="str">
            <v>TENADO</v>
          </cell>
        </row>
        <row r="96">
          <cell r="G96" t="str">
            <v>Kaan-vla</v>
          </cell>
          <cell r="H96">
            <v>84</v>
          </cell>
          <cell r="I96" t="str">
            <v>Niego</v>
          </cell>
        </row>
        <row r="97">
          <cell r="G97" t="str">
            <v>Kagnonsé Léraba</v>
          </cell>
          <cell r="H97">
            <v>193</v>
          </cell>
          <cell r="I97" t="str">
            <v>Sindou</v>
          </cell>
        </row>
        <row r="98">
          <cell r="G98" t="str">
            <v>KANTCHIOLI</v>
          </cell>
          <cell r="H98">
            <v>179</v>
          </cell>
          <cell r="I98" t="str">
            <v>Kpueré</v>
          </cell>
        </row>
        <row r="99">
          <cell r="G99" t="str">
            <v>Karibel</v>
          </cell>
          <cell r="H99">
            <v>44</v>
          </cell>
          <cell r="I99" t="str">
            <v>OUAGADOUGOU</v>
          </cell>
        </row>
        <row r="100">
          <cell r="G100" t="str">
            <v>Kayansé</v>
          </cell>
          <cell r="H100">
            <v>281</v>
          </cell>
          <cell r="I100" t="str">
            <v>Sindou</v>
          </cell>
        </row>
        <row r="101">
          <cell r="G101" t="str">
            <v>Kédoinigné de Ténado</v>
          </cell>
          <cell r="H101">
            <v>412</v>
          </cell>
          <cell r="I101" t="str">
            <v>TENADO</v>
          </cell>
        </row>
        <row r="102">
          <cell r="G102" t="str">
            <v>Kelaignien</v>
          </cell>
          <cell r="H102">
            <v>414</v>
          </cell>
          <cell r="I102" t="str">
            <v>DASSA</v>
          </cell>
        </row>
        <row r="103">
          <cell r="G103" t="str">
            <v>Kidonenye de Goumi</v>
          </cell>
          <cell r="H103">
            <v>118</v>
          </cell>
          <cell r="I103" t="str">
            <v>DIDYR</v>
          </cell>
        </row>
        <row r="104">
          <cell r="G104" t="str">
            <v>Kidonenye de Gwiwoly</v>
          </cell>
          <cell r="H104">
            <v>119</v>
          </cell>
          <cell r="I104" t="str">
            <v>DIDYR</v>
          </cell>
        </row>
        <row r="105">
          <cell r="G105" t="str">
            <v>Kidonenye de Ziladir</v>
          </cell>
          <cell r="H105">
            <v>272</v>
          </cell>
          <cell r="I105" t="str">
            <v>DIDYR</v>
          </cell>
        </row>
        <row r="106">
          <cell r="G106" t="str">
            <v>Kilounye de kwen</v>
          </cell>
          <cell r="H106">
            <v>133</v>
          </cell>
          <cell r="I106" t="str">
            <v>DIDYR</v>
          </cell>
        </row>
        <row r="107">
          <cell r="G107" t="str">
            <v>Kiswendsida de Koudougou</v>
          </cell>
          <cell r="H107">
            <v>292</v>
          </cell>
          <cell r="I107" t="str">
            <v>Koudougou</v>
          </cell>
        </row>
        <row r="108">
          <cell r="G108" t="str">
            <v>Kiswendsida de Ouaga</v>
          </cell>
          <cell r="H108">
            <v>301</v>
          </cell>
          <cell r="I108" t="str">
            <v>OUAGADOUGOU</v>
          </cell>
        </row>
        <row r="109">
          <cell r="G109" t="str">
            <v>Kiswendsida de Pabré</v>
          </cell>
          <cell r="H109">
            <v>216</v>
          </cell>
          <cell r="I109" t="str">
            <v>Pabré</v>
          </cell>
        </row>
        <row r="110">
          <cell r="G110" t="str">
            <v>Kiswendsida de Pabré</v>
          </cell>
          <cell r="H110">
            <v>219</v>
          </cell>
          <cell r="I110" t="str">
            <v>PABRÉ</v>
          </cell>
        </row>
        <row r="111">
          <cell r="G111" t="str">
            <v>Kiswendsida de Yondé</v>
          </cell>
          <cell r="H111">
            <v>139</v>
          </cell>
          <cell r="I111" t="str">
            <v>Yondé</v>
          </cell>
        </row>
        <row r="112">
          <cell r="G112" t="str">
            <v>Kiswensida de Fara</v>
          </cell>
          <cell r="H112">
            <v>217</v>
          </cell>
          <cell r="I112" t="str">
            <v>Boromo</v>
          </cell>
        </row>
        <row r="113">
          <cell r="G113" t="str">
            <v>KOANG-MAASSOUM</v>
          </cell>
          <cell r="H113">
            <v>197</v>
          </cell>
          <cell r="I113" t="str">
            <v>Bitou</v>
          </cell>
        </row>
        <row r="114">
          <cell r="G114" t="str">
            <v>Kokoubinka</v>
          </cell>
          <cell r="H114">
            <v>211</v>
          </cell>
          <cell r="I114" t="str">
            <v>Tenkodogo</v>
          </cell>
        </row>
        <row r="115">
          <cell r="G115" t="str">
            <v>KOLGUEGUESSE SOUGRINOOMA</v>
          </cell>
          <cell r="H115">
            <v>22</v>
          </cell>
          <cell r="I115" t="str">
            <v>Zorgho</v>
          </cell>
        </row>
        <row r="116">
          <cell r="G116" t="str">
            <v>kolomtaaba</v>
          </cell>
          <cell r="H116">
            <v>136</v>
          </cell>
          <cell r="I116" t="str">
            <v>Andemtenga</v>
          </cell>
        </row>
        <row r="117">
          <cell r="G117" t="str">
            <v xml:space="preserve">KONEBERE </v>
          </cell>
          <cell r="H117">
            <v>324</v>
          </cell>
          <cell r="I117" t="str">
            <v>Zambo</v>
          </cell>
        </row>
        <row r="118">
          <cell r="G118" t="str">
            <v>Koroto de Nigiolo Toumou</v>
          </cell>
          <cell r="H118">
            <v>273</v>
          </cell>
          <cell r="I118" t="str">
            <v>DIDYR</v>
          </cell>
        </row>
        <row r="119">
          <cell r="G119" t="str">
            <v>Koroto Doumpo de Ladiou</v>
          </cell>
          <cell r="H119">
            <v>114</v>
          </cell>
          <cell r="I119" t="str">
            <v>Didyr</v>
          </cell>
        </row>
        <row r="120">
          <cell r="G120" t="str">
            <v>Koroto Doumpo de Ladiou</v>
          </cell>
          <cell r="H120">
            <v>140</v>
          </cell>
          <cell r="I120" t="str">
            <v>DIDYR</v>
          </cell>
        </row>
        <row r="121">
          <cell r="G121" t="str">
            <v>Kotongnongo</v>
          </cell>
          <cell r="H121">
            <v>117</v>
          </cell>
          <cell r="I121" t="str">
            <v>Loumana</v>
          </cell>
        </row>
        <row r="122">
          <cell r="G122" t="str">
            <v>Kuumtaaba</v>
          </cell>
          <cell r="H122">
            <v>243</v>
          </cell>
          <cell r="I122" t="str">
            <v>KOUDOUGOU</v>
          </cell>
        </row>
        <row r="123">
          <cell r="G123" t="str">
            <v>Laafi karité</v>
          </cell>
          <cell r="H123">
            <v>215</v>
          </cell>
          <cell r="I123" t="str">
            <v>Tenkodogo</v>
          </cell>
        </row>
        <row r="124">
          <cell r="G124" t="str">
            <v>laafi la boumbou</v>
          </cell>
          <cell r="H124">
            <v>162</v>
          </cell>
          <cell r="I124" t="str">
            <v>Kaya</v>
          </cell>
        </row>
        <row r="125">
          <cell r="G125" t="str">
            <v>LABAN KOGNOUMA</v>
          </cell>
          <cell r="H125">
            <v>96</v>
          </cell>
        </row>
        <row r="126">
          <cell r="G126" t="str">
            <v>Lafi</v>
          </cell>
          <cell r="H126">
            <v>325</v>
          </cell>
          <cell r="I126" t="str">
            <v>Tenkodogo</v>
          </cell>
        </row>
        <row r="127">
          <cell r="G127" t="str">
            <v>Lagmtaaba</v>
          </cell>
          <cell r="H127">
            <v>63</v>
          </cell>
          <cell r="I127" t="str">
            <v>Fada</v>
          </cell>
        </row>
        <row r="128">
          <cell r="G128" t="str">
            <v>Laguem-Taaba</v>
          </cell>
          <cell r="H128">
            <v>316</v>
          </cell>
          <cell r="I128" t="str">
            <v>Fada</v>
          </cell>
        </row>
        <row r="129">
          <cell r="G129" t="str">
            <v>Laguemtaaba cooperatives</v>
          </cell>
          <cell r="H129">
            <v>94</v>
          </cell>
          <cell r="I129" t="str">
            <v>Fada</v>
          </cell>
        </row>
        <row r="130">
          <cell r="G130" t="str">
            <v>lamôgoya</v>
          </cell>
          <cell r="H130">
            <v>78</v>
          </cell>
          <cell r="I130" t="str">
            <v>Diébougou</v>
          </cell>
        </row>
        <row r="131">
          <cell r="G131" t="str">
            <v>LAMPIAGUI</v>
          </cell>
          <cell r="H131">
            <v>315</v>
          </cell>
          <cell r="I131" t="str">
            <v>Fada</v>
          </cell>
        </row>
        <row r="132">
          <cell r="G132" t="str">
            <v>Lanaya</v>
          </cell>
          <cell r="H132">
            <v>79</v>
          </cell>
          <cell r="I132" t="str">
            <v>Batié</v>
          </cell>
        </row>
        <row r="133">
          <cell r="G133" t="str">
            <v>LAW-ZI-YER DIEBOUGOU</v>
          </cell>
          <cell r="H133">
            <v>326</v>
          </cell>
          <cell r="I133" t="str">
            <v>Diebougou</v>
          </cell>
        </row>
        <row r="134">
          <cell r="G134" t="str">
            <v xml:space="preserve">Lawa-taa de Diébougou </v>
          </cell>
          <cell r="H134">
            <v>76</v>
          </cell>
          <cell r="I134" t="str">
            <v>Diébougou</v>
          </cell>
        </row>
        <row r="135">
          <cell r="G135" t="str">
            <v>Lawa-taa de Tougan</v>
          </cell>
          <cell r="H135">
            <v>20</v>
          </cell>
          <cell r="I135" t="str">
            <v>Tougan</v>
          </cell>
        </row>
        <row r="136">
          <cell r="G136" t="str">
            <v>Lolo</v>
          </cell>
          <cell r="H136">
            <v>279</v>
          </cell>
          <cell r="I136" t="str">
            <v>Dandé</v>
          </cell>
        </row>
        <row r="137">
          <cell r="G137" t="str">
            <v>Lombo</v>
          </cell>
          <cell r="H137">
            <v>284</v>
          </cell>
          <cell r="I137" t="str">
            <v>Kôti</v>
          </cell>
        </row>
        <row r="138">
          <cell r="G138" t="str">
            <v>lonkiokoè</v>
          </cell>
          <cell r="H138">
            <v>29</v>
          </cell>
          <cell r="I138" t="str">
            <v>Toma</v>
          </cell>
        </row>
        <row r="139">
          <cell r="G139" t="str">
            <v xml:space="preserve">MALIGNELE DE MOLO </v>
          </cell>
          <cell r="H139">
            <v>327</v>
          </cell>
          <cell r="I139" t="str">
            <v>Zambo</v>
          </cell>
        </row>
        <row r="140">
          <cell r="G140" t="str">
            <v>Manegre nooma</v>
          </cell>
          <cell r="H140">
            <v>38</v>
          </cell>
          <cell r="I140" t="str">
            <v>Guiba</v>
          </cell>
        </row>
        <row r="141">
          <cell r="G141" t="str">
            <v>MINGA BINKA</v>
          </cell>
          <cell r="H141">
            <v>196</v>
          </cell>
          <cell r="I141" t="str">
            <v>Bitou</v>
          </cell>
        </row>
        <row r="142">
          <cell r="G142" t="str">
            <v>Miriya Gnouma du Houet</v>
          </cell>
          <cell r="H142">
            <v>277</v>
          </cell>
          <cell r="I142" t="str">
            <v>Bobo Secteur 10</v>
          </cell>
        </row>
        <row r="143">
          <cell r="G143" t="str">
            <v>Miyamba</v>
          </cell>
          <cell r="H143">
            <v>188</v>
          </cell>
          <cell r="I143" t="str">
            <v>Tambibongo</v>
          </cell>
        </row>
        <row r="144">
          <cell r="G144" t="str">
            <v>Moabzanga</v>
          </cell>
          <cell r="H144">
            <v>198</v>
          </cell>
          <cell r="I144" t="str">
            <v>Toécé</v>
          </cell>
        </row>
        <row r="145">
          <cell r="G145" t="str">
            <v>MOUGNOU</v>
          </cell>
          <cell r="H145">
            <v>310</v>
          </cell>
          <cell r="I145" t="str">
            <v>Nouna</v>
          </cell>
        </row>
        <row r="146">
          <cell r="G146" t="str">
            <v>Mougnou de Nouna</v>
          </cell>
          <cell r="H146">
            <v>26</v>
          </cell>
          <cell r="I146" t="str">
            <v>Nouna</v>
          </cell>
        </row>
        <row r="147">
          <cell r="G147" t="str">
            <v>Mougnou de Tougan</v>
          </cell>
          <cell r="H147">
            <v>23</v>
          </cell>
          <cell r="I147" t="str">
            <v>Tougan</v>
          </cell>
        </row>
        <row r="148">
          <cell r="G148" t="str">
            <v>Mouyou</v>
          </cell>
          <cell r="H148">
            <v>105</v>
          </cell>
          <cell r="I148" t="str">
            <v>KOUDOUGOU</v>
          </cell>
        </row>
        <row r="149">
          <cell r="G149" t="str">
            <v>Nabonswendé de Gourcy</v>
          </cell>
          <cell r="H149">
            <v>146</v>
          </cell>
          <cell r="I149" t="str">
            <v>Gourcy</v>
          </cell>
        </row>
        <row r="150">
          <cell r="G150" t="str">
            <v>Nabonswendé de Ouargaye</v>
          </cell>
          <cell r="H150">
            <v>64</v>
          </cell>
          <cell r="I150" t="str">
            <v>Ouargaye</v>
          </cell>
        </row>
        <row r="151">
          <cell r="G151" t="str">
            <v>Nabonswendé de Tougan</v>
          </cell>
          <cell r="H151">
            <v>143</v>
          </cell>
          <cell r="I151" t="str">
            <v>Tougan</v>
          </cell>
        </row>
        <row r="152">
          <cell r="G152" t="str">
            <v>Nabonswendé de Zorgho</v>
          </cell>
          <cell r="H152">
            <v>148</v>
          </cell>
          <cell r="I152" t="str">
            <v>Zorgho</v>
          </cell>
        </row>
        <row r="153">
          <cell r="G153" t="str">
            <v>Nabonswendé des Veuves de Békuy</v>
          </cell>
          <cell r="H153">
            <v>341</v>
          </cell>
          <cell r="I153" t="str">
            <v>Bekuy</v>
          </cell>
        </row>
        <row r="154">
          <cell r="G154" t="str">
            <v>Nabonswendé Zoundwéogo</v>
          </cell>
          <cell r="H154">
            <v>71</v>
          </cell>
          <cell r="I154" t="str">
            <v>Yagtenga</v>
          </cell>
        </row>
        <row r="155">
          <cell r="G155" t="str">
            <v>Nabouyibzanga pour le développement intégré</v>
          </cell>
          <cell r="H155">
            <v>72</v>
          </cell>
          <cell r="I155" t="str">
            <v>Kombissiri</v>
          </cell>
        </row>
        <row r="156">
          <cell r="G156" t="str">
            <v>Nakaglezanga</v>
          </cell>
          <cell r="H156">
            <v>313</v>
          </cell>
          <cell r="I156" t="str">
            <v>Zorgho</v>
          </cell>
        </row>
        <row r="157">
          <cell r="G157" t="str">
            <v>Nam zood nooma</v>
          </cell>
          <cell r="H157">
            <v>53</v>
          </cell>
          <cell r="I157" t="str">
            <v>Gourcy</v>
          </cell>
        </row>
        <row r="158">
          <cell r="G158" t="str">
            <v>Namanegbzanga de Pouni</v>
          </cell>
          <cell r="H158">
            <v>75</v>
          </cell>
          <cell r="I158" t="str">
            <v>Pouni</v>
          </cell>
        </row>
        <row r="159">
          <cell r="G159" t="str">
            <v>NAMANEGBZANGA de TANILI</v>
          </cell>
          <cell r="H159">
            <v>32</v>
          </cell>
          <cell r="I159" t="str">
            <v>Zitenga</v>
          </cell>
        </row>
        <row r="160">
          <cell r="G160" t="str">
            <v>Nature plus</v>
          </cell>
          <cell r="H160">
            <v>33</v>
          </cell>
          <cell r="I160" t="str">
            <v>Tiankoura</v>
          </cell>
        </row>
        <row r="161">
          <cell r="G161" t="str">
            <v>Neeb-la-Taaba</v>
          </cell>
          <cell r="H161">
            <v>161</v>
          </cell>
          <cell r="I161" t="str">
            <v>Pissila</v>
          </cell>
        </row>
        <row r="162">
          <cell r="G162" t="str">
            <v>Neema</v>
          </cell>
          <cell r="H162">
            <v>159</v>
          </cell>
          <cell r="I162" t="str">
            <v>Houndé</v>
          </cell>
        </row>
        <row r="163">
          <cell r="G163" t="str">
            <v>Nevelya de Sapouy</v>
          </cell>
          <cell r="H163">
            <v>293</v>
          </cell>
          <cell r="I163" t="str">
            <v>Sapouy</v>
          </cell>
        </row>
        <row r="164">
          <cell r="G164" t="str">
            <v>New Karikis</v>
          </cell>
          <cell r="H164">
            <v>328</v>
          </cell>
          <cell r="I164" t="str">
            <v>Ouagadougou</v>
          </cell>
        </row>
        <row r="165">
          <cell r="G165" t="str">
            <v>NIONKO</v>
          </cell>
          <cell r="H165">
            <v>185</v>
          </cell>
          <cell r="I165" t="str">
            <v>Nako</v>
          </cell>
        </row>
        <row r="166">
          <cell r="G166" t="str">
            <v>NOBIEL</v>
          </cell>
          <cell r="H166">
            <v>170</v>
          </cell>
          <cell r="I166" t="str">
            <v>Périgan</v>
          </cell>
        </row>
        <row r="167">
          <cell r="G167" t="str">
            <v>Nongtaaba</v>
          </cell>
          <cell r="H167">
            <v>407</v>
          </cell>
          <cell r="I167" t="str">
            <v>KOUDOUGOU</v>
          </cell>
        </row>
        <row r="168">
          <cell r="G168" t="str">
            <v>Nongtaaba d'Andemtenga</v>
          </cell>
          <cell r="H168">
            <v>262</v>
          </cell>
          <cell r="I168" t="str">
            <v>Andemtenga</v>
          </cell>
        </row>
        <row r="169">
          <cell r="G169" t="str">
            <v>Nongtaaba de Guiba</v>
          </cell>
          <cell r="H169">
            <v>247</v>
          </cell>
          <cell r="I169" t="str">
            <v>Guiba</v>
          </cell>
        </row>
        <row r="170">
          <cell r="G170" t="str">
            <v>Nongtaaba de Iolonioro</v>
          </cell>
          <cell r="H170">
            <v>74</v>
          </cell>
          <cell r="I170" t="str">
            <v>Iolonioro</v>
          </cell>
        </row>
        <row r="171">
          <cell r="G171" t="str">
            <v>Nongtaaba de Kampouga</v>
          </cell>
          <cell r="H171">
            <v>213</v>
          </cell>
          <cell r="I171" t="str">
            <v>Kampouga</v>
          </cell>
        </row>
        <row r="172">
          <cell r="G172" t="str">
            <v>Nongtaaba de Songretenga</v>
          </cell>
          <cell r="H172">
            <v>241</v>
          </cell>
          <cell r="I172" t="str">
            <v>Songretenga</v>
          </cell>
        </row>
        <row r="173">
          <cell r="G173" t="str">
            <v>Nongtaaba de Tenkodogo</v>
          </cell>
          <cell r="H173">
            <v>110</v>
          </cell>
          <cell r="I173" t="str">
            <v>Tenkodogo</v>
          </cell>
        </row>
        <row r="174">
          <cell r="G174" t="str">
            <v>Nongtaaba de Tougan</v>
          </cell>
          <cell r="H174">
            <v>255</v>
          </cell>
          <cell r="I174" t="str">
            <v>Tougan</v>
          </cell>
        </row>
        <row r="175">
          <cell r="G175" t="str">
            <v>Nongtaaba de Zorgho 1</v>
          </cell>
          <cell r="H175">
            <v>12</v>
          </cell>
          <cell r="I175" t="str">
            <v>Zorgho</v>
          </cell>
        </row>
        <row r="176">
          <cell r="G176" t="str">
            <v>Nongtaaba de Zorgho 2</v>
          </cell>
          <cell r="H176">
            <v>107</v>
          </cell>
          <cell r="I176" t="str">
            <v>Zorgho</v>
          </cell>
        </row>
        <row r="177">
          <cell r="G177" t="str">
            <v>Nongtaaba laboumbou</v>
          </cell>
          <cell r="H177">
            <v>401</v>
          </cell>
          <cell r="I177" t="str">
            <v>KOMSILGA</v>
          </cell>
        </row>
        <row r="178">
          <cell r="G178" t="str">
            <v>Nongtaba de Niamba</v>
          </cell>
          <cell r="H178">
            <v>70</v>
          </cell>
          <cell r="I178" t="str">
            <v>Boussé</v>
          </cell>
        </row>
        <row r="179">
          <cell r="G179" t="str">
            <v>NOOBÉEN</v>
          </cell>
          <cell r="H179">
            <v>175</v>
          </cell>
        </row>
        <row r="180">
          <cell r="G180" t="str">
            <v>Noussondia</v>
          </cell>
          <cell r="H180">
            <v>15</v>
          </cell>
          <cell r="I180" t="str">
            <v>Tougan ville</v>
          </cell>
        </row>
        <row r="181">
          <cell r="G181" t="str">
            <v>Nununa</v>
          </cell>
          <cell r="H181">
            <v>294</v>
          </cell>
          <cell r="I181" t="str">
            <v>Leo</v>
          </cell>
        </row>
        <row r="182">
          <cell r="G182" t="str">
            <v>Nyi Dwii Nyé</v>
          </cell>
          <cell r="H182">
            <v>409</v>
          </cell>
          <cell r="I182" t="str">
            <v>TENADO</v>
          </cell>
        </row>
        <row r="183">
          <cell r="G183" t="str">
            <v>Nyow-kaar</v>
          </cell>
          <cell r="H183">
            <v>77</v>
          </cell>
          <cell r="I183" t="str">
            <v>Koper</v>
          </cell>
        </row>
        <row r="184">
          <cell r="G184" t="str">
            <v>Okampélé</v>
          </cell>
          <cell r="H184">
            <v>73</v>
          </cell>
          <cell r="I184" t="str">
            <v>Loropeni</v>
          </cell>
        </row>
        <row r="185">
          <cell r="G185" t="str">
            <v>Ouezena</v>
          </cell>
          <cell r="H185">
            <v>1</v>
          </cell>
          <cell r="I185" t="str">
            <v>Po</v>
          </cell>
        </row>
        <row r="186">
          <cell r="G186" t="str">
            <v>Pang be ne wendé</v>
          </cell>
          <cell r="H186">
            <v>85</v>
          </cell>
          <cell r="I186" t="str">
            <v>Mtoména</v>
          </cell>
        </row>
        <row r="187">
          <cell r="G187" t="str">
            <v>Pang be ne wendé d'Ourgou</v>
          </cell>
          <cell r="H187">
            <v>81</v>
          </cell>
          <cell r="I187" t="str">
            <v>OURGOU-MANEGA</v>
          </cell>
        </row>
        <row r="188">
          <cell r="G188" t="str">
            <v>Pébatioga</v>
          </cell>
          <cell r="H188">
            <v>100</v>
          </cell>
          <cell r="I188" t="str">
            <v>Tiebele</v>
          </cell>
        </row>
        <row r="189">
          <cell r="G189" t="str">
            <v>Pendwendé de Koudougou</v>
          </cell>
          <cell r="H189">
            <v>103</v>
          </cell>
          <cell r="I189" t="str">
            <v>KOUDOUGOU</v>
          </cell>
        </row>
        <row r="190">
          <cell r="G190" t="str">
            <v>Pengdwendé de Boulsa</v>
          </cell>
          <cell r="H190">
            <v>232</v>
          </cell>
          <cell r="I190" t="str">
            <v>Boulsa</v>
          </cell>
        </row>
        <row r="191">
          <cell r="G191" t="str">
            <v>Piakoro de Didyr</v>
          </cell>
          <cell r="H191">
            <v>290</v>
          </cell>
          <cell r="I191" t="str">
            <v>Didyr</v>
          </cell>
        </row>
        <row r="192">
          <cell r="G192" t="str">
            <v>Piakoro de Niabouri</v>
          </cell>
          <cell r="H192">
            <v>149</v>
          </cell>
          <cell r="I192" t="str">
            <v>Niabouri</v>
          </cell>
        </row>
        <row r="193">
          <cell r="G193" t="str">
            <v>POGBE FATAA</v>
          </cell>
          <cell r="H193">
            <v>331</v>
          </cell>
          <cell r="I193" t="str">
            <v>Zambo</v>
          </cell>
        </row>
        <row r="194">
          <cell r="G194" t="str">
            <v xml:space="preserve">POGBE LAONTAA </v>
          </cell>
          <cell r="H194">
            <v>330</v>
          </cell>
          <cell r="I194" t="str">
            <v>Zambo</v>
          </cell>
        </row>
        <row r="195">
          <cell r="G195" t="str">
            <v>Pougoumba</v>
          </cell>
          <cell r="H195">
            <v>237</v>
          </cell>
          <cell r="I195" t="str">
            <v>Pama</v>
          </cell>
        </row>
        <row r="196">
          <cell r="G196" t="str">
            <v>Pug-wissinga</v>
          </cell>
          <cell r="H196">
            <v>9</v>
          </cell>
          <cell r="I196" t="str">
            <v>Ouargaye</v>
          </cell>
        </row>
        <row r="197">
          <cell r="G197" t="str">
            <v>Pyacene de Nigiolo</v>
          </cell>
          <cell r="H197">
            <v>274</v>
          </cell>
          <cell r="I197" t="str">
            <v>DIDYR</v>
          </cell>
        </row>
        <row r="198">
          <cell r="G198" t="str">
            <v>Pyinèmatuin de Ladiou</v>
          </cell>
          <cell r="H198">
            <v>120</v>
          </cell>
          <cell r="I198" t="str">
            <v>DIDYR</v>
          </cell>
        </row>
        <row r="199">
          <cell r="G199" t="str">
            <v>Pyononye de Guiwoly</v>
          </cell>
          <cell r="H199">
            <v>275</v>
          </cell>
          <cell r="I199" t="str">
            <v>Dassa</v>
          </cell>
        </row>
        <row r="200">
          <cell r="G200" t="str">
            <v>Pyononye de Guiwoly</v>
          </cell>
          <cell r="H200">
            <v>420</v>
          </cell>
          <cell r="I200" t="str">
            <v>DIDYR</v>
          </cell>
        </row>
        <row r="201">
          <cell r="G201" t="str">
            <v>RAGUSSI</v>
          </cell>
          <cell r="H201">
            <v>300</v>
          </cell>
          <cell r="I201" t="str">
            <v>Tanghindassouri</v>
          </cell>
        </row>
        <row r="202">
          <cell r="G202" t="str">
            <v>Ramonwende</v>
          </cell>
          <cell r="H202">
            <v>269</v>
          </cell>
          <cell r="I202" t="str">
            <v>Tibga</v>
          </cell>
        </row>
        <row r="203">
          <cell r="G203" t="str">
            <v>Ratamalgré</v>
          </cell>
          <cell r="H203">
            <v>142</v>
          </cell>
          <cell r="I203" t="str">
            <v>Tougan</v>
          </cell>
        </row>
        <row r="204">
          <cell r="G204" t="str">
            <v>Ratamanegre</v>
          </cell>
          <cell r="H204">
            <v>138</v>
          </cell>
          <cell r="I204" t="str">
            <v>Andemtenga</v>
          </cell>
        </row>
        <row r="205">
          <cell r="G205" t="str">
            <v>Ratanéné</v>
          </cell>
          <cell r="H205">
            <v>254</v>
          </cell>
          <cell r="I205" t="str">
            <v>Tougan</v>
          </cell>
        </row>
        <row r="206">
          <cell r="G206" t="str">
            <v>Relwende de Imasgo</v>
          </cell>
          <cell r="H206">
            <v>332</v>
          </cell>
          <cell r="I206" t="str">
            <v>Imasgo</v>
          </cell>
        </row>
        <row r="207">
          <cell r="G207" t="str">
            <v>Relwende de Kaya</v>
          </cell>
          <cell r="H207">
            <v>256</v>
          </cell>
          <cell r="I207" t="str">
            <v>Kaya</v>
          </cell>
        </row>
        <row r="208">
          <cell r="G208" t="str">
            <v>Relwende de Kokologho</v>
          </cell>
          <cell r="H208">
            <v>285</v>
          </cell>
          <cell r="I208" t="str">
            <v>Kokologho</v>
          </cell>
        </row>
        <row r="209">
          <cell r="G209" t="str">
            <v>Relwendé de Loukoura</v>
          </cell>
          <cell r="H209">
            <v>257</v>
          </cell>
          <cell r="I209" t="str">
            <v>Ioronioro</v>
          </cell>
        </row>
        <row r="210">
          <cell r="G210" t="str">
            <v>Relwendé de Mané</v>
          </cell>
          <cell r="H210">
            <v>228</v>
          </cell>
          <cell r="I210" t="str">
            <v>Boulsa</v>
          </cell>
        </row>
        <row r="211">
          <cell r="G211" t="str">
            <v>Relwende de Menega-Passambiri</v>
          </cell>
          <cell r="H211">
            <v>329</v>
          </cell>
          <cell r="I211" t="str">
            <v>KOKOLOGHO</v>
          </cell>
        </row>
        <row r="212">
          <cell r="G212" t="str">
            <v xml:space="preserve">Relwendé de Nabouri </v>
          </cell>
          <cell r="H212">
            <v>202</v>
          </cell>
          <cell r="I212" t="str">
            <v>Konki Ipala</v>
          </cell>
        </row>
        <row r="213">
          <cell r="G213" t="str">
            <v>Relwendé de Pella</v>
          </cell>
          <cell r="H213">
            <v>225</v>
          </cell>
          <cell r="I213" t="str">
            <v>Pella</v>
          </cell>
        </row>
        <row r="214">
          <cell r="G214" t="str">
            <v>Rimtéreb-Som</v>
          </cell>
          <cell r="H214">
            <v>28</v>
          </cell>
          <cell r="I214" t="str">
            <v>OUAGADOUGOU</v>
          </cell>
        </row>
        <row r="215">
          <cell r="G215" t="str">
            <v>RPBHC</v>
          </cell>
          <cell r="H215">
            <v>278</v>
          </cell>
          <cell r="I215" t="str">
            <v>Bobo</v>
          </cell>
        </row>
        <row r="216">
          <cell r="G216" t="str">
            <v>Sababougnouma  de Koudougou</v>
          </cell>
          <cell r="H216">
            <v>266</v>
          </cell>
          <cell r="I216" t="str">
            <v>Koudougou</v>
          </cell>
        </row>
        <row r="217">
          <cell r="G217" t="str">
            <v>Sababougnouma de Bieha</v>
          </cell>
          <cell r="H217">
            <v>264</v>
          </cell>
          <cell r="I217" t="str">
            <v>Bieha</v>
          </cell>
        </row>
        <row r="218">
          <cell r="G218" t="str">
            <v>Sababougnouma de Sindou</v>
          </cell>
          <cell r="H218">
            <v>265</v>
          </cell>
          <cell r="I218" t="str">
            <v>Sindou</v>
          </cell>
        </row>
        <row r="219">
          <cell r="G219" t="str">
            <v>Sababougnouma de Solenzo 1</v>
          </cell>
          <cell r="H219">
            <v>126</v>
          </cell>
          <cell r="I219" t="str">
            <v>Solenzo</v>
          </cell>
        </row>
        <row r="220">
          <cell r="G220" t="str">
            <v>Sababougnouma de Solenzo 2</v>
          </cell>
          <cell r="H220">
            <v>223</v>
          </cell>
          <cell r="I220" t="str">
            <v>Solenzo</v>
          </cell>
        </row>
        <row r="221">
          <cell r="G221" t="str">
            <v>Sabari kagni de Dédougou</v>
          </cell>
          <cell r="H221">
            <v>267</v>
          </cell>
          <cell r="I221" t="str">
            <v>Dédougou</v>
          </cell>
        </row>
        <row r="222">
          <cell r="G222" t="str">
            <v>Sabari kagni de Nouna</v>
          </cell>
          <cell r="H222">
            <v>253</v>
          </cell>
          <cell r="I222" t="str">
            <v>Nouna</v>
          </cell>
        </row>
        <row r="223">
          <cell r="G223" t="str">
            <v>Sabari kagni de Peni</v>
          </cell>
          <cell r="H223">
            <v>280</v>
          </cell>
          <cell r="I223" t="str">
            <v>Peni</v>
          </cell>
        </row>
        <row r="224">
          <cell r="G224" t="str">
            <v>Sabougnouma</v>
          </cell>
          <cell r="H224">
            <v>129</v>
          </cell>
          <cell r="I224" t="str">
            <v>Solenzo</v>
          </cell>
        </row>
        <row r="225">
          <cell r="G225" t="str">
            <v>Santa Soutra</v>
          </cell>
          <cell r="H225">
            <v>59</v>
          </cell>
        </row>
        <row r="226">
          <cell r="G226" t="str">
            <v>Santjoil</v>
          </cell>
          <cell r="H226">
            <v>258</v>
          </cell>
          <cell r="I226" t="str">
            <v>Kpuéré</v>
          </cell>
        </row>
        <row r="227">
          <cell r="G227" t="str">
            <v>Senimi</v>
          </cell>
          <cell r="H227">
            <v>250</v>
          </cell>
          <cell r="I227" t="str">
            <v>Nouna</v>
          </cell>
        </row>
        <row r="228">
          <cell r="G228" t="str">
            <v>shekina-teebpidisgou</v>
          </cell>
          <cell r="H228">
            <v>155</v>
          </cell>
          <cell r="I228" t="str">
            <v>Arbolé</v>
          </cell>
        </row>
        <row r="229">
          <cell r="G229" t="str">
            <v>Shiisun gnataga</v>
          </cell>
          <cell r="H229">
            <v>130</v>
          </cell>
          <cell r="I229" t="str">
            <v>Solenzo</v>
          </cell>
        </row>
        <row r="230">
          <cell r="G230" t="str">
            <v>SIBGLOKAR</v>
          </cell>
          <cell r="H230">
            <v>171</v>
          </cell>
          <cell r="I230" t="str">
            <v>Boussera</v>
          </cell>
        </row>
        <row r="231">
          <cell r="G231" t="str">
            <v>Sidimokar</v>
          </cell>
          <cell r="H231">
            <v>173</v>
          </cell>
          <cell r="I231" t="str">
            <v>Gaoua</v>
          </cell>
        </row>
        <row r="232">
          <cell r="G232" t="str">
            <v>Sidnomwende</v>
          </cell>
          <cell r="H232">
            <v>176</v>
          </cell>
          <cell r="I232" t="str">
            <v>Kaya</v>
          </cell>
        </row>
        <row r="233">
          <cell r="G233" t="str">
            <v>SIRIYI NAFA KA BON</v>
          </cell>
          <cell r="H233">
            <v>308</v>
          </cell>
          <cell r="I233" t="str">
            <v>Solenzo</v>
          </cell>
        </row>
        <row r="234">
          <cell r="G234" t="str">
            <v>Sodoboua</v>
          </cell>
          <cell r="H234">
            <v>178</v>
          </cell>
          <cell r="I234" t="str">
            <v>Perigban</v>
          </cell>
        </row>
        <row r="235">
          <cell r="G235" t="str">
            <v>SONG ZENE</v>
          </cell>
          <cell r="H235">
            <v>93</v>
          </cell>
        </row>
        <row r="236">
          <cell r="G236" t="str">
            <v>Songdo-woaga</v>
          </cell>
          <cell r="H236">
            <v>34</v>
          </cell>
          <cell r="I236" t="str">
            <v>Ziniaré</v>
          </cell>
        </row>
        <row r="237">
          <cell r="G237" t="str">
            <v>Songo Zena</v>
          </cell>
          <cell r="H237">
            <v>296</v>
          </cell>
          <cell r="I237" t="str">
            <v>Tiebelé</v>
          </cell>
        </row>
        <row r="238">
          <cell r="G238" t="str">
            <v>Songof'too</v>
          </cell>
          <cell r="H238">
            <v>333</v>
          </cell>
          <cell r="I238" t="str">
            <v>KOUDOUGOU</v>
          </cell>
        </row>
        <row r="239">
          <cell r="G239" t="str">
            <v>Songtaaba d'Arbolé</v>
          </cell>
          <cell r="H239">
            <v>153</v>
          </cell>
          <cell r="I239" t="str">
            <v>Arbolé</v>
          </cell>
        </row>
        <row r="240">
          <cell r="G240" t="str">
            <v>Songtaaba de Bouroum-Bouroum</v>
          </cell>
          <cell r="H240">
            <v>174</v>
          </cell>
          <cell r="I240" t="str">
            <v>Bouroum-Bouroum</v>
          </cell>
        </row>
        <row r="241">
          <cell r="G241" t="str">
            <v>Songtaaba de Dourtenga</v>
          </cell>
          <cell r="H241">
            <v>10</v>
          </cell>
          <cell r="I241" t="str">
            <v>Dourtenga</v>
          </cell>
        </row>
        <row r="242">
          <cell r="G242" t="str">
            <v>Songtaaba de Gourcy</v>
          </cell>
          <cell r="H242">
            <v>66</v>
          </cell>
          <cell r="I242" t="str">
            <v>Gourcy</v>
          </cell>
        </row>
        <row r="243">
          <cell r="G243" t="str">
            <v>Songtaaba de Ouargaye</v>
          </cell>
          <cell r="H243">
            <v>65</v>
          </cell>
          <cell r="I243" t="str">
            <v>Ouargaye</v>
          </cell>
        </row>
        <row r="244">
          <cell r="G244" t="str">
            <v>Songtaaba de Po</v>
          </cell>
          <cell r="H244">
            <v>8</v>
          </cell>
          <cell r="I244" t="str">
            <v>Po</v>
          </cell>
        </row>
        <row r="245">
          <cell r="G245" t="str">
            <v>Songtaaba de Siglé</v>
          </cell>
          <cell r="H245">
            <v>35</v>
          </cell>
          <cell r="I245" t="str">
            <v>Siglé</v>
          </cell>
        </row>
        <row r="246">
          <cell r="G246" t="str">
            <v>Songtaaba de Solenzo</v>
          </cell>
          <cell r="H246">
            <v>18</v>
          </cell>
          <cell r="I246" t="str">
            <v>Solenzo</v>
          </cell>
        </row>
        <row r="247">
          <cell r="G247" t="str">
            <v>Songtaaba de Tambaga</v>
          </cell>
          <cell r="H247">
            <v>68</v>
          </cell>
          <cell r="I247" t="str">
            <v>Tambaga</v>
          </cell>
        </row>
        <row r="248">
          <cell r="G248" t="str">
            <v>Sononyé de Kyon</v>
          </cell>
          <cell r="H248">
            <v>57</v>
          </cell>
          <cell r="I248" t="str">
            <v>KYON</v>
          </cell>
        </row>
        <row r="249">
          <cell r="G249" t="str">
            <v>Sononyè de Mogueya</v>
          </cell>
          <cell r="H249">
            <v>112</v>
          </cell>
          <cell r="I249" t="str">
            <v>DIDYR</v>
          </cell>
        </row>
        <row r="250">
          <cell r="G250" t="str">
            <v>Sougr-nooma de Nandiala</v>
          </cell>
          <cell r="H250">
            <v>245</v>
          </cell>
          <cell r="I250" t="str">
            <v>KOUDOUGOU</v>
          </cell>
        </row>
        <row r="251">
          <cell r="G251" t="str">
            <v>Sougryinga</v>
          </cell>
          <cell r="H251">
            <v>31</v>
          </cell>
          <cell r="I251" t="str">
            <v>KOUDOUGOU</v>
          </cell>
        </row>
        <row r="252">
          <cell r="G252" t="str">
            <v>Soulou nye de Tonton</v>
          </cell>
          <cell r="H252">
            <v>121</v>
          </cell>
          <cell r="I252" t="str">
            <v>DIDYR</v>
          </cell>
        </row>
        <row r="253">
          <cell r="G253" t="str">
            <v>Soulou-nyē Mousseo</v>
          </cell>
          <cell r="H253">
            <v>124</v>
          </cell>
          <cell r="I253" t="str">
            <v>DIDYR</v>
          </cell>
        </row>
        <row r="254">
          <cell r="G254" t="str">
            <v>Sugrnooma de Kaya</v>
          </cell>
          <cell r="H254">
            <v>69</v>
          </cell>
          <cell r="I254" t="str">
            <v>Kaya</v>
          </cell>
        </row>
        <row r="255">
          <cell r="G255" t="str">
            <v>Sugrnooma de Ouargaye</v>
          </cell>
          <cell r="H255">
            <v>67</v>
          </cell>
          <cell r="I255" t="str">
            <v>Ouargaye</v>
          </cell>
        </row>
        <row r="256">
          <cell r="G256" t="str">
            <v>Sugrnooma de Tanglogo</v>
          </cell>
          <cell r="H256">
            <v>203</v>
          </cell>
          <cell r="I256" t="str">
            <v>Tanglogo</v>
          </cell>
        </row>
        <row r="257">
          <cell r="G257" t="str">
            <v>Tagsbeoyélé</v>
          </cell>
          <cell r="H257">
            <v>204</v>
          </cell>
          <cell r="I257" t="str">
            <v>KOUDOUGOU</v>
          </cell>
        </row>
        <row r="258">
          <cell r="G258" t="str">
            <v>Tamyaaba</v>
          </cell>
          <cell r="H258">
            <v>206</v>
          </cell>
          <cell r="I258" t="str">
            <v>Madjoari</v>
          </cell>
        </row>
        <row r="259">
          <cell r="G259" t="str">
            <v>TANGBABLOSSE</v>
          </cell>
          <cell r="H259">
            <v>95</v>
          </cell>
        </row>
        <row r="260">
          <cell r="G260" t="str">
            <v xml:space="preserve">TCHAMBIERE </v>
          </cell>
          <cell r="H260">
            <v>334</v>
          </cell>
          <cell r="I260" t="str">
            <v>Zambo</v>
          </cell>
        </row>
        <row r="261">
          <cell r="G261" t="str">
            <v>Teega Wendé</v>
          </cell>
          <cell r="H261">
            <v>160</v>
          </cell>
          <cell r="I261" t="str">
            <v>Kaya ville secteur 6</v>
          </cell>
        </row>
        <row r="262">
          <cell r="G262" t="str">
            <v>Teega Wendé de Boulsa</v>
          </cell>
          <cell r="H262">
            <v>227</v>
          </cell>
          <cell r="I262" t="str">
            <v>Boulsa</v>
          </cell>
        </row>
        <row r="263">
          <cell r="G263" t="str">
            <v>Teega Wendé de Goaga</v>
          </cell>
          <cell r="H263">
            <v>230</v>
          </cell>
          <cell r="I263" t="str">
            <v>Boulsa</v>
          </cell>
        </row>
        <row r="264">
          <cell r="G264" t="str">
            <v>Teega Wendé de Kandaaga</v>
          </cell>
          <cell r="H264">
            <v>224</v>
          </cell>
          <cell r="I264" t="str">
            <v>Pella</v>
          </cell>
        </row>
        <row r="265">
          <cell r="G265" t="str">
            <v>Teega Wendé de Kaya</v>
          </cell>
          <cell r="H265">
            <v>158</v>
          </cell>
          <cell r="I265" t="str">
            <v>Pissila</v>
          </cell>
        </row>
        <row r="266">
          <cell r="G266" t="str">
            <v>Teega Wendé de Koupela</v>
          </cell>
          <cell r="H266">
            <v>263</v>
          </cell>
          <cell r="I266" t="str">
            <v>Koupela</v>
          </cell>
        </row>
        <row r="267">
          <cell r="G267" t="str">
            <v>Teega Wendé de Pissila</v>
          </cell>
          <cell r="H267">
            <v>156</v>
          </cell>
          <cell r="I267" t="str">
            <v>Pissila</v>
          </cell>
        </row>
        <row r="268">
          <cell r="G268" t="str">
            <v>Teega Wendé de Tenkodogo</v>
          </cell>
          <cell r="H268">
            <v>226</v>
          </cell>
          <cell r="I268" t="str">
            <v>Tenkodogo</v>
          </cell>
        </row>
        <row r="269">
          <cell r="G269" t="str">
            <v>Teega Wende de Zamo</v>
          </cell>
          <cell r="H269">
            <v>239</v>
          </cell>
          <cell r="I269" t="str">
            <v>Zamo</v>
          </cell>
        </row>
        <row r="270">
          <cell r="G270" t="str">
            <v>Teega Wendé de Ziniaré</v>
          </cell>
          <cell r="H270">
            <v>36</v>
          </cell>
          <cell r="I270" t="str">
            <v>Ziniaré</v>
          </cell>
        </row>
        <row r="271">
          <cell r="G271" t="str">
            <v>Teegawendé de Pella/Tandaga</v>
          </cell>
          <cell r="H271">
            <v>418</v>
          </cell>
          <cell r="I271" t="str">
            <v>PELLA</v>
          </cell>
        </row>
        <row r="272">
          <cell r="G272" t="str">
            <v>TEEL TAABA</v>
          </cell>
          <cell r="H272">
            <v>306</v>
          </cell>
          <cell r="I272" t="str">
            <v>Koudougou</v>
          </cell>
        </row>
        <row r="273">
          <cell r="G273" t="str">
            <v>Teeli kuba de boulsa</v>
          </cell>
          <cell r="H273">
            <v>229</v>
          </cell>
          <cell r="I273" t="str">
            <v>Boulsa</v>
          </cell>
        </row>
        <row r="274">
          <cell r="G274" t="str">
            <v>Teeltaaba</v>
          </cell>
          <cell r="H274">
            <v>231</v>
          </cell>
          <cell r="I274" t="str">
            <v>Koudougou</v>
          </cell>
        </row>
        <row r="275">
          <cell r="G275" t="str">
            <v>Teeltaaba</v>
          </cell>
          <cell r="H275">
            <v>419</v>
          </cell>
          <cell r="I275" t="str">
            <v>PABRÉ</v>
          </cell>
        </row>
        <row r="276">
          <cell r="G276" t="str">
            <v>Teeltaaba de Kaya</v>
          </cell>
          <cell r="H276">
            <v>233</v>
          </cell>
          <cell r="I276" t="str">
            <v>Kaya</v>
          </cell>
        </row>
        <row r="277">
          <cell r="G277" t="str">
            <v>Teeltaaba de Komsilga</v>
          </cell>
          <cell r="H277">
            <v>402</v>
          </cell>
          <cell r="I277" t="str">
            <v>KOMSILGA</v>
          </cell>
        </row>
        <row r="278">
          <cell r="G278" t="str">
            <v>Teeltaaba de Poa</v>
          </cell>
          <cell r="H278">
            <v>406</v>
          </cell>
          <cell r="I278" t="str">
            <v>POA</v>
          </cell>
        </row>
        <row r="279">
          <cell r="G279" t="str">
            <v>Teewendé</v>
          </cell>
          <cell r="H279">
            <v>235</v>
          </cell>
          <cell r="I279" t="str">
            <v>Boussé</v>
          </cell>
        </row>
        <row r="280">
          <cell r="G280" t="str">
            <v>TI-MI-PAN-ZAWNA DISSIN</v>
          </cell>
          <cell r="H280">
            <v>337</v>
          </cell>
          <cell r="I280" t="str">
            <v>Dissin</v>
          </cell>
        </row>
        <row r="281">
          <cell r="G281" t="str">
            <v>Tiedwanenye dourega de Mouzoumou</v>
          </cell>
          <cell r="H281">
            <v>271</v>
          </cell>
          <cell r="I281" t="str">
            <v>DIDYR</v>
          </cell>
        </row>
        <row r="282">
          <cell r="G282" t="str">
            <v xml:space="preserve">TIETA </v>
          </cell>
          <cell r="H282">
            <v>335</v>
          </cell>
          <cell r="I282" t="str">
            <v>Zambo</v>
          </cell>
        </row>
        <row r="283">
          <cell r="G283" t="str">
            <v>Tiligrinooma</v>
          </cell>
          <cell r="H283">
            <v>2</v>
          </cell>
          <cell r="I283" t="str">
            <v>Yako</v>
          </cell>
        </row>
        <row r="284">
          <cell r="G284" t="str">
            <v>TIMALKAAR</v>
          </cell>
          <cell r="H284">
            <v>169</v>
          </cell>
        </row>
        <row r="285">
          <cell r="G285" t="str">
            <v>Timbuaaba</v>
          </cell>
          <cell r="H285">
            <v>336</v>
          </cell>
          <cell r="I285" t="str">
            <v>Diapangou</v>
          </cell>
        </row>
        <row r="286">
          <cell r="G286" t="str">
            <v>Tiononyé de Ladiou</v>
          </cell>
          <cell r="H286">
            <v>135</v>
          </cell>
          <cell r="I286" t="str">
            <v>DIDYR</v>
          </cell>
        </row>
        <row r="287">
          <cell r="G287" t="str">
            <v xml:space="preserve">TOAYINKAN DE LAOGNIN KANKANPELE </v>
          </cell>
          <cell r="H287">
            <v>338</v>
          </cell>
          <cell r="I287" t="str">
            <v>Zambo</v>
          </cell>
        </row>
        <row r="288">
          <cell r="G288" t="str">
            <v>Tondossin</v>
          </cell>
          <cell r="H288">
            <v>252</v>
          </cell>
          <cell r="I288" t="str">
            <v>Nouna</v>
          </cell>
        </row>
        <row r="289">
          <cell r="G289" t="str">
            <v>Toucormone</v>
          </cell>
          <cell r="H289">
            <v>11</v>
          </cell>
          <cell r="I289" t="str">
            <v>Dourtenga</v>
          </cell>
        </row>
        <row r="290">
          <cell r="G290" t="str">
            <v xml:space="preserve">transformatrice de beurre de karité </v>
          </cell>
          <cell r="H290">
            <v>260</v>
          </cell>
          <cell r="I290" t="str">
            <v>Toma</v>
          </cell>
        </row>
        <row r="291">
          <cell r="G291" t="str">
            <v>UGPPK Comoe - Kagnonsé</v>
          </cell>
          <cell r="H291">
            <v>289</v>
          </cell>
          <cell r="I291" t="str">
            <v>Banfora</v>
          </cell>
        </row>
        <row r="292">
          <cell r="G292" t="str">
            <v>UGPPK du Houet</v>
          </cell>
          <cell r="H292">
            <v>288</v>
          </cell>
          <cell r="I292" t="str">
            <v>Bobo</v>
          </cell>
        </row>
        <row r="293">
          <cell r="G293" t="str">
            <v>union communale des productrice de beurre de karité de toma</v>
          </cell>
          <cell r="H293">
            <v>261</v>
          </cell>
          <cell r="I293" t="str">
            <v>Toma</v>
          </cell>
        </row>
        <row r="294">
          <cell r="G294" t="str">
            <v>Union communale des transformatrices des produits forestiers non ligneux</v>
          </cell>
          <cell r="H294">
            <v>30</v>
          </cell>
          <cell r="I294" t="str">
            <v>Dassa</v>
          </cell>
        </row>
        <row r="295">
          <cell r="G295" t="str">
            <v>union départementale d'Orodara</v>
          </cell>
          <cell r="H295">
            <v>186</v>
          </cell>
          <cell r="I295" t="str">
            <v>Orodara</v>
          </cell>
        </row>
        <row r="296">
          <cell r="G296" t="str">
            <v>union departementale de Boni</v>
          </cell>
          <cell r="H296">
            <v>205</v>
          </cell>
          <cell r="I296" t="str">
            <v>Boni</v>
          </cell>
        </row>
        <row r="297">
          <cell r="G297" t="str">
            <v>union départementale des productrices de beurre</v>
          </cell>
          <cell r="H297">
            <v>190</v>
          </cell>
          <cell r="I297" t="str">
            <v>Pama</v>
          </cell>
        </row>
        <row r="298">
          <cell r="G298" t="str">
            <v>Union des Groupements de Productrices de Produits Karité (UGPPK) du Houet</v>
          </cell>
          <cell r="H298">
            <v>39</v>
          </cell>
        </row>
        <row r="299">
          <cell r="G299" t="str">
            <v>union des productrices de beurre</v>
          </cell>
          <cell r="H299">
            <v>41</v>
          </cell>
          <cell r="I299" t="str">
            <v>Tiébélé</v>
          </cell>
        </row>
        <row r="300">
          <cell r="G300" t="str">
            <v>Uromu</v>
          </cell>
          <cell r="H300">
            <v>43</v>
          </cell>
          <cell r="I300" t="str">
            <v>Solenzo</v>
          </cell>
        </row>
        <row r="301">
          <cell r="G301" t="str">
            <v>VENEGREWAYA</v>
          </cell>
          <cell r="H301">
            <v>302</v>
          </cell>
          <cell r="I301" t="str">
            <v>Kaya</v>
          </cell>
        </row>
        <row r="302">
          <cell r="G302" t="str">
            <v>Wamhana</v>
          </cell>
          <cell r="H302">
            <v>45</v>
          </cell>
          <cell r="I302" t="str">
            <v>Piela</v>
          </cell>
        </row>
        <row r="303">
          <cell r="G303" t="str">
            <v>Waogtaaba</v>
          </cell>
          <cell r="H303">
            <v>46</v>
          </cell>
          <cell r="I303" t="str">
            <v>Nobéré</v>
          </cell>
        </row>
        <row r="304">
          <cell r="G304" t="str">
            <v xml:space="preserve">Wematou </v>
          </cell>
          <cell r="H304">
            <v>17</v>
          </cell>
          <cell r="I304" t="str">
            <v>Po</v>
          </cell>
        </row>
        <row r="305">
          <cell r="G305" t="str">
            <v>wend benedo/ ancien Kabeela</v>
          </cell>
          <cell r="H305">
            <v>295</v>
          </cell>
          <cell r="I305" t="str">
            <v>ZINIARÉ</v>
          </cell>
        </row>
        <row r="306">
          <cell r="G306" t="str">
            <v>Wend denda de Boromo</v>
          </cell>
          <cell r="H306">
            <v>19</v>
          </cell>
          <cell r="I306" t="str">
            <v>Boromo</v>
          </cell>
        </row>
        <row r="307">
          <cell r="G307" t="str">
            <v>Wend denda de Kirsi</v>
          </cell>
          <cell r="H307">
            <v>21</v>
          </cell>
          <cell r="I307" t="str">
            <v>Kirsi</v>
          </cell>
        </row>
        <row r="308">
          <cell r="G308" t="str">
            <v>Wend gounsi</v>
          </cell>
          <cell r="H308">
            <v>207</v>
          </cell>
        </row>
        <row r="309">
          <cell r="G309" t="str">
            <v>Wend la Panga</v>
          </cell>
          <cell r="H309">
            <v>127</v>
          </cell>
          <cell r="I309" t="str">
            <v>Solenzo</v>
          </cell>
        </row>
        <row r="310">
          <cell r="G310" t="str">
            <v>Wend la Panga de Koka</v>
          </cell>
          <cell r="H310">
            <v>125</v>
          </cell>
          <cell r="I310" t="str">
            <v>Solenzo</v>
          </cell>
        </row>
        <row r="311">
          <cell r="G311" t="str">
            <v>Wend La Siida</v>
          </cell>
          <cell r="H311">
            <v>151</v>
          </cell>
          <cell r="I311" t="str">
            <v>Arbollé</v>
          </cell>
        </row>
        <row r="312">
          <cell r="G312" t="str">
            <v>Wend la teenda</v>
          </cell>
          <cell r="H312">
            <v>154</v>
          </cell>
          <cell r="I312" t="str">
            <v>Bassi</v>
          </cell>
        </row>
        <row r="313">
          <cell r="G313" t="str">
            <v>Wend lamanegda (UNPK)</v>
          </cell>
          <cell r="H313">
            <v>297</v>
          </cell>
          <cell r="I313" t="str">
            <v>Pabre</v>
          </cell>
        </row>
        <row r="314">
          <cell r="G314" t="str">
            <v>Wend Lamita</v>
          </cell>
          <cell r="H314">
            <v>144</v>
          </cell>
          <cell r="I314" t="str">
            <v>Gourcy</v>
          </cell>
        </row>
        <row r="315">
          <cell r="G315" t="str">
            <v>Wend Panga de Bouroum</v>
          </cell>
          <cell r="H315">
            <v>150</v>
          </cell>
          <cell r="I315" t="str">
            <v>Bouroum</v>
          </cell>
        </row>
        <row r="316">
          <cell r="G316" t="str">
            <v>Wend Panga de DABARÉ</v>
          </cell>
          <cell r="H316">
            <v>222</v>
          </cell>
          <cell r="I316" t="str">
            <v>Pabré</v>
          </cell>
        </row>
        <row r="317">
          <cell r="G317" t="str">
            <v>Wend Panga de Lahirasso</v>
          </cell>
          <cell r="H317">
            <v>342</v>
          </cell>
          <cell r="I317" t="str">
            <v>Padema</v>
          </cell>
        </row>
        <row r="318">
          <cell r="G318" t="str">
            <v>Wend Panga de Latodin</v>
          </cell>
          <cell r="H318">
            <v>145</v>
          </cell>
          <cell r="I318" t="str">
            <v>Latodin</v>
          </cell>
        </row>
        <row r="319">
          <cell r="G319" t="str">
            <v>Wend Panga de Tiogo</v>
          </cell>
          <cell r="H319">
            <v>50</v>
          </cell>
          <cell r="I319" t="str">
            <v>Koudougou</v>
          </cell>
        </row>
        <row r="320">
          <cell r="G320" t="str">
            <v>Wend Penga de Guy</v>
          </cell>
          <cell r="H320">
            <v>108</v>
          </cell>
          <cell r="I320" t="str">
            <v>KOUDOUGOU</v>
          </cell>
        </row>
        <row r="321">
          <cell r="G321" t="str">
            <v>Wend Raabo</v>
          </cell>
          <cell r="H321">
            <v>317</v>
          </cell>
          <cell r="I321" t="str">
            <v>KOUDOUGOU</v>
          </cell>
        </row>
        <row r="322">
          <cell r="G322" t="str">
            <v>Wend Songdo de Boura</v>
          </cell>
          <cell r="H322">
            <v>37</v>
          </cell>
          <cell r="I322" t="str">
            <v>Guiba</v>
          </cell>
        </row>
        <row r="323">
          <cell r="G323" t="str">
            <v>WEND WAOGO</v>
          </cell>
          <cell r="H323">
            <v>181</v>
          </cell>
        </row>
        <row r="324">
          <cell r="G324" t="str">
            <v>Wend-Songda de Konki Ipala</v>
          </cell>
          <cell r="H324">
            <v>168</v>
          </cell>
          <cell r="I324" t="str">
            <v>KONKIIPALA</v>
          </cell>
        </row>
        <row r="325">
          <cell r="G325" t="str">
            <v>Wend-woaga</v>
          </cell>
          <cell r="H325">
            <v>47</v>
          </cell>
          <cell r="I325" t="str">
            <v>Koudougou ville</v>
          </cell>
        </row>
        <row r="326">
          <cell r="G326" t="str">
            <v>Wendsoo</v>
          </cell>
          <cell r="H326">
            <v>109</v>
          </cell>
          <cell r="I326" t="str">
            <v>KOUDOUGOU</v>
          </cell>
        </row>
        <row r="327">
          <cell r="G327" t="str">
            <v>Wendyiida</v>
          </cell>
          <cell r="H327">
            <v>48</v>
          </cell>
          <cell r="I327" t="str">
            <v>Zorgho</v>
          </cell>
        </row>
        <row r="328">
          <cell r="G328" t="str">
            <v>Wenkieta</v>
          </cell>
          <cell r="H328">
            <v>408</v>
          </cell>
          <cell r="I328" t="str">
            <v>KOUDOUGOU</v>
          </cell>
        </row>
        <row r="329">
          <cell r="G329" t="str">
            <v>Wenpenga</v>
          </cell>
          <cell r="H329">
            <v>42</v>
          </cell>
          <cell r="I329" t="str">
            <v>Tougan</v>
          </cell>
        </row>
        <row r="330">
          <cell r="G330" t="str">
            <v>Woignon</v>
          </cell>
          <cell r="H330">
            <v>191</v>
          </cell>
          <cell r="I330" t="str">
            <v>Loumana</v>
          </cell>
        </row>
        <row r="331">
          <cell r="G331" t="str">
            <v>Wowanyon</v>
          </cell>
          <cell r="H331">
            <v>195</v>
          </cell>
          <cell r="I331" t="str">
            <v>Loumana</v>
          </cell>
        </row>
        <row r="332">
          <cell r="G332" t="str">
            <v>Wussoum'cri des femmes de zigla polacé</v>
          </cell>
          <cell r="H332">
            <v>208</v>
          </cell>
          <cell r="I332" t="str">
            <v>Garango</v>
          </cell>
        </row>
        <row r="333">
          <cell r="G333" t="str">
            <v>Yanaba</v>
          </cell>
          <cell r="H333">
            <v>134</v>
          </cell>
          <cell r="I333" t="str">
            <v>Pama</v>
          </cell>
        </row>
        <row r="334">
          <cell r="G334" t="str">
            <v>Yanta du Houet</v>
          </cell>
          <cell r="H334">
            <v>276</v>
          </cell>
          <cell r="I334" t="str">
            <v>Bobo Secteur 10</v>
          </cell>
        </row>
        <row r="335">
          <cell r="G335" t="str">
            <v>Yeleem</v>
          </cell>
          <cell r="H335">
            <v>88</v>
          </cell>
          <cell r="I335" t="str">
            <v>Diébougou</v>
          </cell>
        </row>
        <row r="336">
          <cell r="G336" t="str">
            <v>YELEEN NOUS POUR VOUS</v>
          </cell>
          <cell r="H336">
            <v>287</v>
          </cell>
          <cell r="I336" t="str">
            <v>Bobo</v>
          </cell>
        </row>
        <row r="337">
          <cell r="G337" t="str">
            <v>Yerèkorosi</v>
          </cell>
          <cell r="H337">
            <v>249</v>
          </cell>
          <cell r="I337" t="str">
            <v>Solenzo</v>
          </cell>
        </row>
        <row r="338">
          <cell r="G338" t="str">
            <v>Yérénon</v>
          </cell>
          <cell r="H338">
            <v>251</v>
          </cell>
          <cell r="I338" t="str">
            <v>Nouna</v>
          </cell>
        </row>
        <row r="339">
          <cell r="G339" t="str">
            <v>Yijan</v>
          </cell>
          <cell r="H339">
            <v>209</v>
          </cell>
          <cell r="I339" t="str">
            <v>Sapouy</v>
          </cell>
        </row>
        <row r="340">
          <cell r="G340" t="str">
            <v>Yijan</v>
          </cell>
          <cell r="H340">
            <v>411</v>
          </cell>
          <cell r="I340" t="str">
            <v>TENADO</v>
          </cell>
        </row>
        <row r="341">
          <cell r="G341" t="str">
            <v>Yijougnin de Kamedji</v>
          </cell>
          <cell r="H341">
            <v>339</v>
          </cell>
          <cell r="I341" t="str">
            <v>KOUDOUGOU</v>
          </cell>
        </row>
        <row r="342">
          <cell r="G342" t="str">
            <v>Yiriwalibaara</v>
          </cell>
          <cell r="H342">
            <v>218</v>
          </cell>
          <cell r="I342" t="str">
            <v>Boni</v>
          </cell>
        </row>
        <row r="343">
          <cell r="G343" t="str">
            <v>Yisokiené</v>
          </cell>
          <cell r="H343">
            <v>415</v>
          </cell>
          <cell r="I343" t="str">
            <v>DASSA</v>
          </cell>
        </row>
        <row r="344">
          <cell r="G344" t="str">
            <v>Yitenedjo</v>
          </cell>
          <cell r="H344">
            <v>220</v>
          </cell>
          <cell r="I344" t="str">
            <v>Niankorodougou</v>
          </cell>
        </row>
        <row r="345">
          <cell r="G345" t="str">
            <v>Yiwazhena de Kwen</v>
          </cell>
          <cell r="H345">
            <v>116</v>
          </cell>
          <cell r="I345" t="str">
            <v>DIDYR</v>
          </cell>
        </row>
        <row r="346">
          <cell r="G346" t="str">
            <v>Yiwoadjan de Gooko</v>
          </cell>
          <cell r="H346">
            <v>132</v>
          </cell>
          <cell r="I346" t="str">
            <v>DIDYR</v>
          </cell>
        </row>
        <row r="347">
          <cell r="G347" t="str">
            <v>YiwoaZhena de Yierdion</v>
          </cell>
          <cell r="H347">
            <v>122</v>
          </cell>
          <cell r="I347" t="str">
            <v>Didyr</v>
          </cell>
        </row>
        <row r="348">
          <cell r="G348" t="str">
            <v>Yoninyēn de Kordié</v>
          </cell>
          <cell r="H348">
            <v>246</v>
          </cell>
          <cell r="I348" t="str">
            <v>Kordié</v>
          </cell>
        </row>
        <row r="349">
          <cell r="G349" t="str">
            <v>ZEMSTAABA</v>
          </cell>
          <cell r="H349">
            <v>25</v>
          </cell>
        </row>
        <row r="350">
          <cell r="G350" t="str">
            <v>Zemstaaba</v>
          </cell>
          <cell r="H350">
            <v>417</v>
          </cell>
          <cell r="I350" t="str">
            <v>RAMONGO</v>
          </cell>
        </row>
        <row r="351">
          <cell r="G351" t="str">
            <v>Zemstaaba de Koudougou</v>
          </cell>
          <cell r="H351">
            <v>62</v>
          </cell>
          <cell r="I351" t="str">
            <v>Koudougou</v>
          </cell>
        </row>
        <row r="352">
          <cell r="G352" t="str">
            <v>Zemstaaba de Nagréongo</v>
          </cell>
          <cell r="H352">
            <v>422</v>
          </cell>
          <cell r="I352" t="str">
            <v>NAGREONGO</v>
          </cell>
        </row>
        <row r="353">
          <cell r="G353" t="str">
            <v>ZEMSTAABA de Nagretenga</v>
          </cell>
          <cell r="H353">
            <v>298</v>
          </cell>
          <cell r="I353" t="str">
            <v>Ziniaré</v>
          </cell>
        </row>
        <row r="354">
          <cell r="G354" t="str">
            <v>Zemstaaba de Salbissigo</v>
          </cell>
          <cell r="H354">
            <v>106</v>
          </cell>
          <cell r="I354" t="str">
            <v>Salbissigo</v>
          </cell>
        </row>
        <row r="355">
          <cell r="G355" t="str">
            <v>zemstaaba de Tambarga</v>
          </cell>
          <cell r="H355">
            <v>201</v>
          </cell>
          <cell r="I355" t="str">
            <v>Tambarga</v>
          </cell>
        </row>
        <row r="356">
          <cell r="G356" t="str">
            <v>Zemstaaba de Tenkodogo</v>
          </cell>
          <cell r="H356">
            <v>199</v>
          </cell>
          <cell r="I356" t="str">
            <v>Tenkodogo</v>
          </cell>
        </row>
        <row r="357">
          <cell r="G357" t="str">
            <v>ZEMSTAABA RELWENDE</v>
          </cell>
          <cell r="H357">
            <v>180</v>
          </cell>
          <cell r="I357" t="str">
            <v>Nako</v>
          </cell>
        </row>
        <row r="358">
          <cell r="G358" t="str">
            <v xml:space="preserve">ZEOMIN DE SEGRO </v>
          </cell>
          <cell r="H358">
            <v>340</v>
          </cell>
          <cell r="I358" t="str">
            <v>Zambo</v>
          </cell>
        </row>
        <row r="359">
          <cell r="G359" t="str">
            <v>Zink-waogtaba</v>
          </cell>
          <cell r="H359">
            <v>60</v>
          </cell>
          <cell r="I359" t="str">
            <v>Zecco</v>
          </cell>
        </row>
        <row r="360">
          <cell r="G360" t="str">
            <v>zood nooma</v>
          </cell>
          <cell r="H360">
            <v>98</v>
          </cell>
          <cell r="I360" t="str">
            <v>Manga</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ernal-logic"/>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ta"/>
      <sheetName val="Data"/>
      <sheetName val="Internal-logic"/>
    </sheetNames>
    <sheetDataSet>
      <sheetData sheetId="0"/>
      <sheetData sheetId="1"/>
      <sheetData sheetId="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ta"/>
      <sheetName val="Data"/>
      <sheetName val="Internal-logic"/>
    </sheetNames>
    <sheetDataSet>
      <sheetData sheetId="0"/>
      <sheetData sheetId="1"/>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ta"/>
      <sheetName val="Data"/>
      <sheetName val="Internal-logic"/>
    </sheetNames>
    <sheetDataSet>
      <sheetData sheetId="0"/>
      <sheetData sheetId="1"/>
      <sheetData sheetId="2">
        <row r="1">
          <cell r="G1" t="str">
            <v>Group name</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ta"/>
      <sheetName val="Data"/>
      <sheetName val="Internal-logic"/>
    </sheetNames>
    <sheetDataSet>
      <sheetData sheetId="0"/>
      <sheetData sheetId="1"/>
      <sheetData sheetId="2">
        <row r="1">
          <cell r="G1" t="str">
            <v>Group name</v>
          </cell>
          <cell r="H1" t="str">
            <v>Group number</v>
          </cell>
          <cell r="I1" t="str">
            <v>Group Commune</v>
          </cell>
        </row>
        <row r="2">
          <cell r="G2" t="str">
            <v xml:space="preserve"> Allah Dari</v>
          </cell>
          <cell r="H2">
            <v>268</v>
          </cell>
          <cell r="I2" t="str">
            <v>Orodara</v>
          </cell>
        </row>
        <row r="3">
          <cell r="G3" t="str">
            <v>AAVC de Loropeni</v>
          </cell>
          <cell r="H3">
            <v>286</v>
          </cell>
          <cell r="I3" t="str">
            <v>Loropeni</v>
          </cell>
        </row>
        <row r="4">
          <cell r="G4" t="str">
            <v>ABPJF\ UPROKA</v>
          </cell>
          <cell r="H4">
            <v>54</v>
          </cell>
          <cell r="I4" t="str">
            <v>Ouagadougou</v>
          </cell>
        </row>
        <row r="5">
          <cell r="G5" t="str">
            <v>Aditou</v>
          </cell>
          <cell r="H5">
            <v>51</v>
          </cell>
          <cell r="I5" t="str">
            <v>Boussera</v>
          </cell>
        </row>
        <row r="6">
          <cell r="G6" t="str">
            <v>ADMGA</v>
          </cell>
          <cell r="H6">
            <v>147</v>
          </cell>
          <cell r="I6" t="str">
            <v>Gourcy</v>
          </cell>
        </row>
        <row r="7">
          <cell r="G7" t="str">
            <v>ALLAH BARKA</v>
          </cell>
          <cell r="H7">
            <v>183</v>
          </cell>
          <cell r="I7" t="str">
            <v>Kpueré</v>
          </cell>
        </row>
        <row r="8">
          <cell r="G8" t="str">
            <v>Allah kabo</v>
          </cell>
          <cell r="H8">
            <v>184</v>
          </cell>
          <cell r="I8" t="str">
            <v>Houndé</v>
          </cell>
        </row>
        <row r="9">
          <cell r="G9" t="str">
            <v>Amarian yiidian</v>
          </cell>
          <cell r="H9">
            <v>187</v>
          </cell>
          <cell r="I9" t="str">
            <v>Léo</v>
          </cell>
        </row>
        <row r="10">
          <cell r="G10" t="str">
            <v>APES de Kombissiri</v>
          </cell>
          <cell r="H10">
            <v>299</v>
          </cell>
          <cell r="I10" t="str">
            <v>Kombissiri</v>
          </cell>
        </row>
        <row r="11">
          <cell r="G11" t="str">
            <v>APES de Poni</v>
          </cell>
          <cell r="H11">
            <v>91</v>
          </cell>
          <cell r="I11"/>
        </row>
        <row r="12">
          <cell r="G12" t="str">
            <v>association</v>
          </cell>
          <cell r="H12">
            <v>92</v>
          </cell>
          <cell r="I12" t="str">
            <v>Fada</v>
          </cell>
        </row>
        <row r="13">
          <cell r="G13" t="str">
            <v>association des femmes pour la solidarité et le développement de Bitou</v>
          </cell>
          <cell r="H13">
            <v>200</v>
          </cell>
          <cell r="I13" t="str">
            <v>Bitou</v>
          </cell>
        </row>
        <row r="14">
          <cell r="G14" t="str">
            <v xml:space="preserve">Association des jeunes femmes de Zecco </v>
          </cell>
          <cell r="H14">
            <v>102</v>
          </cell>
          <cell r="I14" t="str">
            <v>Po</v>
          </cell>
        </row>
        <row r="15">
          <cell r="G15" t="str">
            <v>ASSOCIATION FEMME LEVE TOI ET MARCHE DE GAOUA</v>
          </cell>
          <cell r="H15">
            <v>282</v>
          </cell>
          <cell r="I15" t="str">
            <v>Gaoua</v>
          </cell>
        </row>
        <row r="16">
          <cell r="G16" t="str">
            <v>Association Pingnooma</v>
          </cell>
          <cell r="H16">
            <v>404</v>
          </cell>
          <cell r="I16" t="str">
            <v>BOUSSÉ</v>
          </cell>
        </row>
        <row r="17">
          <cell r="G17" t="str">
            <v xml:space="preserve">association pour l'intégration socioéconomiques des filles mère en difficulté dans la région de toma </v>
          </cell>
          <cell r="H17">
            <v>27</v>
          </cell>
          <cell r="I17" t="str">
            <v>Toma</v>
          </cell>
        </row>
        <row r="18">
          <cell r="G18" t="str">
            <v>association pour la promotion sociale des personnes vulnérables</v>
          </cell>
          <cell r="H18">
            <v>82</v>
          </cell>
          <cell r="I18" t="str">
            <v>Tiankoura</v>
          </cell>
        </row>
        <row r="19">
          <cell r="G19" t="str">
            <v>Association Pour les Femmes de Kouritenga (APFK)</v>
          </cell>
          <cell r="H19">
            <v>242</v>
          </cell>
          <cell r="I19" t="str">
            <v>Koupela</v>
          </cell>
        </row>
        <row r="20">
          <cell r="G20" t="str">
            <v>ASSOCIATION POUR LES FEMMES DU KOURITENGA</v>
          </cell>
          <cell r="H20">
            <v>312</v>
          </cell>
          <cell r="I20" t="str">
            <v>Koupela</v>
          </cell>
        </row>
        <row r="21">
          <cell r="G21" t="str">
            <v>association y croire</v>
          </cell>
          <cell r="H21">
            <v>210</v>
          </cell>
          <cell r="I21" t="str">
            <v>Koudougou</v>
          </cell>
        </row>
        <row r="22">
          <cell r="G22" t="str">
            <v>Associaton pour la promotion économique et sociale des femmes</v>
          </cell>
          <cell r="H22">
            <v>221</v>
          </cell>
          <cell r="I22" t="str">
            <v>Kombissiri</v>
          </cell>
        </row>
        <row r="23">
          <cell r="G23" t="str">
            <v>AZEBENE de Kpuéré</v>
          </cell>
          <cell r="H23">
            <v>177</v>
          </cell>
          <cell r="I23" t="str">
            <v>Kpueré</v>
          </cell>
        </row>
        <row r="24">
          <cell r="G24" t="str">
            <v>Azebène de Pouni</v>
          </cell>
          <cell r="H24">
            <v>172</v>
          </cell>
          <cell r="I24" t="str">
            <v>Pouni</v>
          </cell>
        </row>
        <row r="25">
          <cell r="G25" t="str">
            <v>Bakouando de Daolo</v>
          </cell>
          <cell r="H25">
            <v>113</v>
          </cell>
          <cell r="I25" t="str">
            <v>DIDYR</v>
          </cell>
        </row>
        <row r="26">
          <cell r="G26" t="str">
            <v>Bao-Manag-ré /URBAPK-COS</v>
          </cell>
          <cell r="H26">
            <v>304</v>
          </cell>
          <cell r="I26"/>
        </row>
        <row r="27">
          <cell r="G27" t="str">
            <v>Baosongré</v>
          </cell>
          <cell r="H27">
            <v>104</v>
          </cell>
          <cell r="I27" t="str">
            <v>Fada</v>
          </cell>
        </row>
        <row r="28">
          <cell r="G28" t="str">
            <v xml:space="preserve">BEIGNIN </v>
          </cell>
          <cell r="H28">
            <v>318</v>
          </cell>
          <cell r="I28" t="str">
            <v>Zambo</v>
          </cell>
        </row>
        <row r="29">
          <cell r="G29" t="str">
            <v>Ben nafa</v>
          </cell>
          <cell r="H29">
            <v>115</v>
          </cell>
          <cell r="I29" t="str">
            <v>Toma</v>
          </cell>
        </row>
        <row r="30">
          <cell r="G30" t="str">
            <v>Benéwendé de Kando</v>
          </cell>
          <cell r="H30">
            <v>238</v>
          </cell>
          <cell r="I30" t="str">
            <v>Koupéla</v>
          </cell>
        </row>
        <row r="31">
          <cell r="G31" t="str">
            <v>Benewendé de Solenzo</v>
          </cell>
          <cell r="H31">
            <v>236</v>
          </cell>
          <cell r="I31" t="str">
            <v>Solenzo</v>
          </cell>
        </row>
        <row r="32">
          <cell r="G32" t="str">
            <v>Bengnouma</v>
          </cell>
          <cell r="H32">
            <v>240</v>
          </cell>
          <cell r="I32" t="str">
            <v>Dedougou</v>
          </cell>
        </row>
        <row r="33">
          <cell r="G33" t="str">
            <v>Benibwa</v>
          </cell>
          <cell r="H33">
            <v>244</v>
          </cell>
          <cell r="I33" t="str">
            <v>Gayeri</v>
          </cell>
        </row>
        <row r="34">
          <cell r="G34" t="str">
            <v>Benkadi de Di</v>
          </cell>
          <cell r="H34">
            <v>141</v>
          </cell>
          <cell r="I34" t="str">
            <v>Tougan</v>
          </cell>
        </row>
        <row r="35">
          <cell r="G35" t="str">
            <v>benkadi de korome</v>
          </cell>
          <cell r="H35">
            <v>5</v>
          </cell>
          <cell r="I35" t="str">
            <v>Di</v>
          </cell>
        </row>
        <row r="36">
          <cell r="G36" t="str">
            <v>Benkadi de Sibi</v>
          </cell>
          <cell r="H36">
            <v>416</v>
          </cell>
          <cell r="I36" t="str">
            <v>SIBI</v>
          </cell>
        </row>
        <row r="37">
          <cell r="G37" t="str">
            <v>Benkadi de Vigué</v>
          </cell>
          <cell r="H37">
            <v>259</v>
          </cell>
          <cell r="I37" t="str">
            <v>Karankasso</v>
          </cell>
        </row>
        <row r="38">
          <cell r="G38" t="str">
            <v>Benkadi entraide</v>
          </cell>
          <cell r="H38">
            <v>14</v>
          </cell>
          <cell r="I38" t="str">
            <v>Boromo</v>
          </cell>
        </row>
        <row r="39">
          <cell r="G39" t="str">
            <v>Benkadi Nayo</v>
          </cell>
          <cell r="H39">
            <v>307</v>
          </cell>
          <cell r="I39" t="str">
            <v>Diebougou</v>
          </cell>
        </row>
        <row r="40">
          <cell r="G40" t="str">
            <v>Benkadi Shiriyi Nafa</v>
          </cell>
          <cell r="H40">
            <v>305</v>
          </cell>
          <cell r="I40" t="str">
            <v>Tougan</v>
          </cell>
        </row>
        <row r="41">
          <cell r="G41" t="str">
            <v>Benkagni</v>
          </cell>
          <cell r="H41">
            <v>16</v>
          </cell>
          <cell r="I41" t="str">
            <v>Nouna</v>
          </cell>
        </row>
        <row r="42">
          <cell r="G42" t="str">
            <v>Benkelekan</v>
          </cell>
          <cell r="H42">
            <v>128</v>
          </cell>
          <cell r="I42" t="str">
            <v>Solenzo</v>
          </cell>
        </row>
        <row r="43">
          <cell r="G43" t="str">
            <v>Benkéléma</v>
          </cell>
          <cell r="H43">
            <v>189</v>
          </cell>
          <cell r="I43" t="str">
            <v>Mossodougou</v>
          </cell>
        </row>
        <row r="44">
          <cell r="G44" t="str">
            <v>BEOGO NERE</v>
          </cell>
          <cell r="H44">
            <v>303</v>
          </cell>
          <cell r="I44" t="str">
            <v>Sakoula</v>
          </cell>
        </row>
        <row r="45">
          <cell r="G45" t="str">
            <v>Béréwé</v>
          </cell>
          <cell r="H45">
            <v>164</v>
          </cell>
          <cell r="I45" t="str">
            <v>Satiri</v>
          </cell>
        </row>
        <row r="46">
          <cell r="G46" t="str">
            <v>BGEBEWAALA</v>
          </cell>
          <cell r="H46">
            <v>182</v>
          </cell>
          <cell r="I46" t="str">
            <v>Gbomblora</v>
          </cell>
        </row>
        <row r="47">
          <cell r="G47" t="str">
            <v>Bi-Songo</v>
          </cell>
          <cell r="H47">
            <v>7</v>
          </cell>
          <cell r="I47" t="str">
            <v>Saponé</v>
          </cell>
        </row>
        <row r="48">
          <cell r="G48" t="str">
            <v xml:space="preserve">bientama </v>
          </cell>
          <cell r="H48">
            <v>58</v>
          </cell>
          <cell r="I48" t="str">
            <v>Toma</v>
          </cell>
        </row>
        <row r="49">
          <cell r="G49" t="str">
            <v>Bissongo</v>
          </cell>
          <cell r="H49">
            <v>405</v>
          </cell>
          <cell r="I49" t="str">
            <v>KOMBISSIRI</v>
          </cell>
        </row>
        <row r="50">
          <cell r="G50" t="str">
            <v>Bomafola de Gossina</v>
          </cell>
          <cell r="H50">
            <v>56</v>
          </cell>
          <cell r="I50" t="str">
            <v>Toma</v>
          </cell>
        </row>
        <row r="51">
          <cell r="G51" t="str">
            <v>bomafola de massako</v>
          </cell>
          <cell r="H51">
            <v>55</v>
          </cell>
          <cell r="I51" t="str">
            <v>Toma</v>
          </cell>
        </row>
        <row r="52">
          <cell r="G52" t="str">
            <v>bowdour de choyo</v>
          </cell>
          <cell r="H52">
            <v>86</v>
          </cell>
          <cell r="I52" t="str">
            <v>Tiankoura</v>
          </cell>
        </row>
        <row r="53">
          <cell r="G53" t="str">
            <v>Buud-yam</v>
          </cell>
          <cell r="H53">
            <v>234</v>
          </cell>
          <cell r="I53" t="str">
            <v>Kombissiri</v>
          </cell>
        </row>
        <row r="54">
          <cell r="G54" t="str">
            <v>Buudnoma</v>
          </cell>
          <cell r="H54">
            <v>270</v>
          </cell>
          <cell r="I54" t="str">
            <v>Koudougou Secteur 1</v>
          </cell>
        </row>
        <row r="55">
          <cell r="G55" t="str">
            <v>Buudnoma</v>
          </cell>
          <cell r="H55">
            <v>421</v>
          </cell>
          <cell r="I55" t="str">
            <v>KOUDOUGOU</v>
          </cell>
        </row>
        <row r="56">
          <cell r="G56" t="str">
            <v>Buuyaaba</v>
          </cell>
          <cell r="H56">
            <v>152</v>
          </cell>
          <cell r="I56" t="str">
            <v>Ouagadougou</v>
          </cell>
        </row>
        <row r="57">
          <cell r="G57" t="str">
            <v>centre alpha</v>
          </cell>
          <cell r="H57">
            <v>6</v>
          </cell>
          <cell r="I57" t="str">
            <v>Sapouy</v>
          </cell>
        </row>
        <row r="58">
          <cell r="G58" t="str">
            <v>COOPERATIVE DES PRODUCTRICES DE BEURRE DE KARITE de Manga</v>
          </cell>
          <cell r="H58">
            <v>311</v>
          </cell>
          <cell r="I58" t="str">
            <v>Manga</v>
          </cell>
        </row>
        <row r="59">
          <cell r="G59" t="str">
            <v>Coopérative simplifiée Koroto des produits non ligneux de Kwen</v>
          </cell>
          <cell r="H59">
            <v>111</v>
          </cell>
          <cell r="I59" t="str">
            <v>Didyr</v>
          </cell>
        </row>
        <row r="60">
          <cell r="G60" t="str">
            <v>CYE DWANE NYEE</v>
          </cell>
          <cell r="H60">
            <v>291</v>
          </cell>
          <cell r="I60" t="str">
            <v>Réo</v>
          </cell>
        </row>
        <row r="61">
          <cell r="G61" t="str">
            <v>Danyiwè</v>
          </cell>
          <cell r="H61">
            <v>3</v>
          </cell>
          <cell r="I61" t="str">
            <v>Po</v>
          </cell>
        </row>
        <row r="62">
          <cell r="G62" t="str">
            <v>Delwendé d'Andemtenga</v>
          </cell>
          <cell r="H62">
            <v>137</v>
          </cell>
          <cell r="I62" t="str">
            <v>Andemtenga</v>
          </cell>
        </row>
        <row r="63">
          <cell r="G63" t="str">
            <v>Delwendé de Boudry</v>
          </cell>
          <cell r="H63">
            <v>40</v>
          </cell>
          <cell r="I63" t="str">
            <v>Boudry</v>
          </cell>
        </row>
        <row r="64">
          <cell r="G64" t="str">
            <v>Delwendé de Ouargaye</v>
          </cell>
          <cell r="H64">
            <v>165</v>
          </cell>
          <cell r="I64" t="str">
            <v>Ouargaye</v>
          </cell>
        </row>
        <row r="65">
          <cell r="G65" t="str">
            <v>Delwendé de Pissila</v>
          </cell>
          <cell r="H65">
            <v>163</v>
          </cell>
          <cell r="I65" t="str">
            <v>Pissila</v>
          </cell>
        </row>
        <row r="66">
          <cell r="G66" t="str">
            <v>Delwendé de Poni</v>
          </cell>
          <cell r="H66">
            <v>97</v>
          </cell>
          <cell r="I66"/>
        </row>
        <row r="67">
          <cell r="G67" t="str">
            <v>Dioramae simplifiée Koroto des produits non ligneux de Kwen</v>
          </cell>
          <cell r="H67">
            <v>166</v>
          </cell>
          <cell r="I67" t="str">
            <v>Didyr</v>
          </cell>
        </row>
        <row r="68">
          <cell r="G68" t="str">
            <v>Dioulmale</v>
          </cell>
          <cell r="H68">
            <v>167</v>
          </cell>
          <cell r="I68" t="str">
            <v>Bogande</v>
          </cell>
        </row>
        <row r="69">
          <cell r="G69" t="str">
            <v>DJIGUIDEY</v>
          </cell>
          <cell r="H69">
            <v>309</v>
          </cell>
          <cell r="I69" t="str">
            <v>Kouka</v>
          </cell>
        </row>
        <row r="70">
          <cell r="G70" t="str">
            <v>Dollebou</v>
          </cell>
          <cell r="H70">
            <v>248</v>
          </cell>
          <cell r="I70" t="str">
            <v>Garango</v>
          </cell>
        </row>
        <row r="71">
          <cell r="G71" t="str">
            <v>Dwi-yè</v>
          </cell>
          <cell r="H71">
            <v>61</v>
          </cell>
          <cell r="I71" t="str">
            <v>TENADO</v>
          </cell>
        </row>
        <row r="72">
          <cell r="G72" t="str">
            <v>Etiono nyè de Ladiou</v>
          </cell>
          <cell r="H72">
            <v>123</v>
          </cell>
          <cell r="I72" t="str">
            <v>DIDYR</v>
          </cell>
        </row>
        <row r="73">
          <cell r="G73" t="str">
            <v>Fadefso</v>
          </cell>
          <cell r="H73">
            <v>80</v>
          </cell>
          <cell r="I73"/>
        </row>
        <row r="74">
          <cell r="G74" t="str">
            <v>FAMDIMA</v>
          </cell>
          <cell r="H74">
            <v>314</v>
          </cell>
          <cell r="I74" t="str">
            <v>Pama</v>
          </cell>
        </row>
        <row r="75">
          <cell r="G75" t="str">
            <v>Faso bara</v>
          </cell>
          <cell r="H75">
            <v>83</v>
          </cell>
          <cell r="I75" t="str">
            <v>Douroula</v>
          </cell>
        </row>
        <row r="76">
          <cell r="G76" t="str">
            <v>Fasodjigui</v>
          </cell>
          <cell r="H76">
            <v>87</v>
          </cell>
          <cell r="I76" t="str">
            <v>Loropéni</v>
          </cell>
        </row>
        <row r="77">
          <cell r="G77" t="str">
            <v>Femme 2000</v>
          </cell>
          <cell r="H77">
            <v>4</v>
          </cell>
          <cell r="I77" t="str">
            <v>Ziniaré</v>
          </cell>
        </row>
        <row r="78">
          <cell r="G78" t="str">
            <v>Femmes actives</v>
          </cell>
          <cell r="H78">
            <v>212</v>
          </cell>
          <cell r="I78" t="str">
            <v>Boussouma</v>
          </cell>
        </row>
        <row r="79">
          <cell r="G79" t="str">
            <v>Gbansoangou</v>
          </cell>
          <cell r="H79">
            <v>192</v>
          </cell>
          <cell r="I79" t="str">
            <v>Madjoari</v>
          </cell>
        </row>
        <row r="80">
          <cell r="G80" t="str">
            <v>Gnitamoussin</v>
          </cell>
          <cell r="H80">
            <v>214</v>
          </cell>
          <cell r="I80" t="str">
            <v>Dédougou</v>
          </cell>
        </row>
        <row r="81">
          <cell r="G81" t="str">
            <v>Gnoumankadi</v>
          </cell>
          <cell r="H81">
            <v>194</v>
          </cell>
          <cell r="I81" t="str">
            <v>Solenzo</v>
          </cell>
        </row>
        <row r="82">
          <cell r="G82" t="str">
            <v xml:space="preserve">GNOWKAA </v>
          </cell>
          <cell r="H82">
            <v>319</v>
          </cell>
          <cell r="I82" t="str">
            <v>Zambo</v>
          </cell>
        </row>
        <row r="83">
          <cell r="G83" t="str">
            <v>Goulou-nyē de Bouldié</v>
          </cell>
          <cell r="H83">
            <v>131</v>
          </cell>
          <cell r="I83" t="str">
            <v>DIDYR</v>
          </cell>
        </row>
        <row r="84">
          <cell r="G84" t="str">
            <v>GRÂCE ET MERVEILLES</v>
          </cell>
          <cell r="H84">
            <v>24</v>
          </cell>
          <cell r="I84" t="str">
            <v>Roumtenga</v>
          </cell>
        </row>
        <row r="85">
          <cell r="G85" t="str">
            <v>groupement de femmes productrices de noix de karité volatile de gossina</v>
          </cell>
          <cell r="H85">
            <v>52</v>
          </cell>
          <cell r="I85" t="str">
            <v>Toma</v>
          </cell>
        </row>
        <row r="86">
          <cell r="G86" t="str">
            <v>Guétawendé de Gaoua</v>
          </cell>
          <cell r="H86">
            <v>90</v>
          </cell>
          <cell r="I86" t="str">
            <v>Gaoua</v>
          </cell>
        </row>
        <row r="87">
          <cell r="G87" t="str">
            <v>Guétawendé de Koudougou</v>
          </cell>
          <cell r="H87">
            <v>157</v>
          </cell>
          <cell r="I87" t="str">
            <v>Koudougou</v>
          </cell>
        </row>
        <row r="88">
          <cell r="G88" t="str">
            <v>Hampugine</v>
          </cell>
          <cell r="H88">
            <v>89</v>
          </cell>
          <cell r="I88" t="str">
            <v>Bogande</v>
          </cell>
        </row>
        <row r="89">
          <cell r="G89" t="str">
            <v xml:space="preserve">IBELGNIN </v>
          </cell>
          <cell r="H89">
            <v>320</v>
          </cell>
          <cell r="I89" t="str">
            <v>Zambo</v>
          </cell>
        </row>
        <row r="90">
          <cell r="G90" t="str">
            <v>IGNIN de KANKAMPELE</v>
          </cell>
          <cell r="H90">
            <v>321</v>
          </cell>
          <cell r="I90" t="str">
            <v>Zambo</v>
          </cell>
        </row>
        <row r="91">
          <cell r="G91" t="str">
            <v xml:space="preserve">IGNIN DE SEGRO </v>
          </cell>
          <cell r="H91">
            <v>322</v>
          </cell>
          <cell r="I91" t="str">
            <v>Zambo</v>
          </cell>
        </row>
        <row r="92">
          <cell r="G92" t="str">
            <v xml:space="preserve">IGNIN de TAMPLA V1 </v>
          </cell>
          <cell r="H92">
            <v>323</v>
          </cell>
          <cell r="I92" t="str">
            <v>Zambo</v>
          </cell>
        </row>
        <row r="93">
          <cell r="G93" t="str">
            <v>Iridjè</v>
          </cell>
          <cell r="H93">
            <v>99</v>
          </cell>
          <cell r="I93" t="str">
            <v>Nako</v>
          </cell>
        </row>
        <row r="94">
          <cell r="G94" t="str">
            <v>Iyorou dolobane</v>
          </cell>
          <cell r="H94">
            <v>101</v>
          </cell>
          <cell r="I94" t="str">
            <v>Wolonkoto</v>
          </cell>
        </row>
        <row r="95">
          <cell r="G95" t="str">
            <v>Jintoua</v>
          </cell>
          <cell r="H95">
            <v>410</v>
          </cell>
          <cell r="I95" t="str">
            <v>TENADO</v>
          </cell>
        </row>
        <row r="96">
          <cell r="G96" t="str">
            <v>Kaan-vla</v>
          </cell>
          <cell r="H96">
            <v>84</v>
          </cell>
          <cell r="I96" t="str">
            <v>Niego</v>
          </cell>
        </row>
        <row r="97">
          <cell r="G97" t="str">
            <v>Kagnonsé Léraba</v>
          </cell>
          <cell r="H97">
            <v>193</v>
          </cell>
          <cell r="I97" t="str">
            <v>Sindou</v>
          </cell>
        </row>
        <row r="98">
          <cell r="G98" t="str">
            <v>KANTCHIOLI</v>
          </cell>
          <cell r="H98">
            <v>179</v>
          </cell>
          <cell r="I98" t="str">
            <v>Kpueré</v>
          </cell>
        </row>
        <row r="99">
          <cell r="G99" t="str">
            <v>Karibel</v>
          </cell>
          <cell r="H99">
            <v>44</v>
          </cell>
          <cell r="I99" t="str">
            <v>OUAGADOUGOU</v>
          </cell>
        </row>
        <row r="100">
          <cell r="G100" t="str">
            <v>Kayansé</v>
          </cell>
          <cell r="H100">
            <v>281</v>
          </cell>
          <cell r="I100" t="str">
            <v>Sindou</v>
          </cell>
        </row>
        <row r="101">
          <cell r="G101" t="str">
            <v>Kédoinigné de Ténado</v>
          </cell>
          <cell r="H101">
            <v>412</v>
          </cell>
          <cell r="I101" t="str">
            <v>TENADO</v>
          </cell>
        </row>
        <row r="102">
          <cell r="G102" t="str">
            <v>Kelaignien</v>
          </cell>
          <cell r="H102">
            <v>414</v>
          </cell>
          <cell r="I102" t="str">
            <v>DASSA</v>
          </cell>
        </row>
        <row r="103">
          <cell r="G103" t="str">
            <v>Kidonenye de Goumi</v>
          </cell>
          <cell r="H103">
            <v>118</v>
          </cell>
          <cell r="I103" t="str">
            <v>DIDYR</v>
          </cell>
        </row>
        <row r="104">
          <cell r="G104" t="str">
            <v>Kidonenye de Gwiwoly</v>
          </cell>
          <cell r="H104">
            <v>119</v>
          </cell>
          <cell r="I104" t="str">
            <v>DIDYR</v>
          </cell>
        </row>
        <row r="105">
          <cell r="G105" t="str">
            <v>Kidonenye de Ziladir</v>
          </cell>
          <cell r="H105">
            <v>272</v>
          </cell>
          <cell r="I105" t="str">
            <v>DIDYR</v>
          </cell>
        </row>
        <row r="106">
          <cell r="G106" t="str">
            <v>Kilounye de kwen</v>
          </cell>
          <cell r="H106">
            <v>133</v>
          </cell>
          <cell r="I106" t="str">
            <v>DIDYR</v>
          </cell>
        </row>
        <row r="107">
          <cell r="G107" t="str">
            <v>Kiswendsida de Koudougou</v>
          </cell>
          <cell r="H107">
            <v>292</v>
          </cell>
          <cell r="I107" t="str">
            <v>Koudougou</v>
          </cell>
        </row>
        <row r="108">
          <cell r="G108" t="str">
            <v>Kiswendsida de Ouaga</v>
          </cell>
          <cell r="H108">
            <v>301</v>
          </cell>
          <cell r="I108" t="str">
            <v>OUAGADOUGOU</v>
          </cell>
        </row>
        <row r="109">
          <cell r="G109" t="str">
            <v>Kiswendsida de Pabré</v>
          </cell>
          <cell r="H109">
            <v>216</v>
          </cell>
          <cell r="I109" t="str">
            <v>Pabré</v>
          </cell>
        </row>
        <row r="110">
          <cell r="G110" t="str">
            <v>Kiswendsida de Pabré</v>
          </cell>
          <cell r="H110">
            <v>219</v>
          </cell>
          <cell r="I110" t="str">
            <v>PABRÉ</v>
          </cell>
        </row>
        <row r="111">
          <cell r="G111" t="str">
            <v>Kiswendsida de Yondé</v>
          </cell>
          <cell r="H111">
            <v>139</v>
          </cell>
          <cell r="I111" t="str">
            <v>Yondé</v>
          </cell>
        </row>
        <row r="112">
          <cell r="G112" t="str">
            <v>Kiswensida de Fara</v>
          </cell>
          <cell r="H112">
            <v>217</v>
          </cell>
          <cell r="I112" t="str">
            <v>Boromo</v>
          </cell>
        </row>
        <row r="113">
          <cell r="G113" t="str">
            <v>KOANG-MAASSOUM</v>
          </cell>
          <cell r="H113">
            <v>197</v>
          </cell>
          <cell r="I113" t="str">
            <v>Bitou</v>
          </cell>
        </row>
        <row r="114">
          <cell r="G114" t="str">
            <v>Kokoubinka</v>
          </cell>
          <cell r="H114">
            <v>211</v>
          </cell>
          <cell r="I114" t="str">
            <v>Tenkodogo</v>
          </cell>
        </row>
        <row r="115">
          <cell r="G115" t="str">
            <v>KOLGUEGUESSE SOUGRINOOMA</v>
          </cell>
          <cell r="H115">
            <v>22</v>
          </cell>
          <cell r="I115" t="str">
            <v>Zorgho</v>
          </cell>
        </row>
        <row r="116">
          <cell r="G116" t="str">
            <v>kolomtaaba</v>
          </cell>
          <cell r="H116">
            <v>136</v>
          </cell>
          <cell r="I116" t="str">
            <v>Andemtenga</v>
          </cell>
        </row>
        <row r="117">
          <cell r="G117" t="str">
            <v xml:space="preserve">KONEBERE </v>
          </cell>
          <cell r="H117">
            <v>324</v>
          </cell>
          <cell r="I117" t="str">
            <v>Zambo</v>
          </cell>
        </row>
        <row r="118">
          <cell r="G118" t="str">
            <v>Koroto de Nigiolo Toumou</v>
          </cell>
          <cell r="H118">
            <v>273</v>
          </cell>
          <cell r="I118" t="str">
            <v>DIDYR</v>
          </cell>
        </row>
        <row r="119">
          <cell r="G119" t="str">
            <v>Koroto Doumpo de Ladiou</v>
          </cell>
          <cell r="H119">
            <v>114</v>
          </cell>
          <cell r="I119" t="str">
            <v>Didyr</v>
          </cell>
        </row>
        <row r="120">
          <cell r="G120" t="str">
            <v>Koroto Doumpo de Ladiou</v>
          </cell>
          <cell r="H120">
            <v>140</v>
          </cell>
          <cell r="I120" t="str">
            <v>DIDYR</v>
          </cell>
        </row>
        <row r="121">
          <cell r="G121" t="str">
            <v>Kotongnongo</v>
          </cell>
          <cell r="H121">
            <v>117</v>
          </cell>
          <cell r="I121" t="str">
            <v>Loumana</v>
          </cell>
        </row>
        <row r="122">
          <cell r="G122" t="str">
            <v>Kuumtaaba</v>
          </cell>
          <cell r="H122">
            <v>243</v>
          </cell>
          <cell r="I122" t="str">
            <v>KOUDOUGOU</v>
          </cell>
        </row>
        <row r="123">
          <cell r="G123" t="str">
            <v>Laafi karité</v>
          </cell>
          <cell r="H123">
            <v>215</v>
          </cell>
          <cell r="I123" t="str">
            <v>Tenkodogo</v>
          </cell>
        </row>
        <row r="124">
          <cell r="G124" t="str">
            <v>laafi la boumbou</v>
          </cell>
          <cell r="H124">
            <v>162</v>
          </cell>
          <cell r="I124" t="str">
            <v>Kaya</v>
          </cell>
        </row>
        <row r="125">
          <cell r="G125" t="str">
            <v>LABAN KOGNOUMA</v>
          </cell>
          <cell r="H125">
            <v>96</v>
          </cell>
          <cell r="I125"/>
        </row>
        <row r="126">
          <cell r="G126" t="str">
            <v>Lafi</v>
          </cell>
          <cell r="H126">
            <v>325</v>
          </cell>
          <cell r="I126" t="str">
            <v>Tenkodogo</v>
          </cell>
        </row>
        <row r="127">
          <cell r="G127" t="str">
            <v>Lagmtaaba</v>
          </cell>
          <cell r="H127">
            <v>63</v>
          </cell>
          <cell r="I127" t="str">
            <v>Fada</v>
          </cell>
        </row>
        <row r="128">
          <cell r="G128" t="str">
            <v>Laguem-Taaba</v>
          </cell>
          <cell r="H128">
            <v>316</v>
          </cell>
          <cell r="I128" t="str">
            <v>Fada</v>
          </cell>
        </row>
        <row r="129">
          <cell r="G129" t="str">
            <v>Laguemtaaba cooperatives</v>
          </cell>
          <cell r="H129">
            <v>94</v>
          </cell>
          <cell r="I129" t="str">
            <v>Fada</v>
          </cell>
        </row>
        <row r="130">
          <cell r="G130" t="str">
            <v>lamôgoya</v>
          </cell>
          <cell r="H130">
            <v>78</v>
          </cell>
          <cell r="I130" t="str">
            <v>Diébougou</v>
          </cell>
        </row>
        <row r="131">
          <cell r="G131" t="str">
            <v>LAMPIAGUI</v>
          </cell>
          <cell r="H131">
            <v>315</v>
          </cell>
          <cell r="I131" t="str">
            <v>Fada</v>
          </cell>
        </row>
        <row r="132">
          <cell r="G132" t="str">
            <v>Lanaya</v>
          </cell>
          <cell r="H132">
            <v>79</v>
          </cell>
          <cell r="I132" t="str">
            <v>Batié</v>
          </cell>
        </row>
        <row r="133">
          <cell r="G133" t="str">
            <v>LAW-ZI-YER DIEBOUGOU</v>
          </cell>
          <cell r="H133">
            <v>326</v>
          </cell>
          <cell r="I133" t="str">
            <v>Diebougou</v>
          </cell>
        </row>
        <row r="134">
          <cell r="G134" t="str">
            <v xml:space="preserve">Lawa-taa de Diébougou </v>
          </cell>
          <cell r="H134">
            <v>76</v>
          </cell>
          <cell r="I134" t="str">
            <v>Diébougou</v>
          </cell>
        </row>
        <row r="135">
          <cell r="G135" t="str">
            <v>Lawa-taa de Tougan</v>
          </cell>
          <cell r="H135">
            <v>20</v>
          </cell>
          <cell r="I135" t="str">
            <v>Tougan</v>
          </cell>
        </row>
        <row r="136">
          <cell r="G136" t="str">
            <v>Lolo</v>
          </cell>
          <cell r="H136">
            <v>279</v>
          </cell>
          <cell r="I136" t="str">
            <v>Dandé</v>
          </cell>
        </row>
        <row r="137">
          <cell r="G137" t="str">
            <v>Lombo</v>
          </cell>
          <cell r="H137">
            <v>284</v>
          </cell>
          <cell r="I137" t="str">
            <v>Kôti</v>
          </cell>
        </row>
        <row r="138">
          <cell r="G138" t="str">
            <v>lonkiokoè</v>
          </cell>
          <cell r="H138">
            <v>29</v>
          </cell>
          <cell r="I138" t="str">
            <v>Toma</v>
          </cell>
        </row>
        <row r="139">
          <cell r="G139" t="str">
            <v xml:space="preserve">MALIGNELE DE MOLO </v>
          </cell>
          <cell r="H139">
            <v>327</v>
          </cell>
          <cell r="I139" t="str">
            <v>Zambo</v>
          </cell>
        </row>
        <row r="140">
          <cell r="G140" t="str">
            <v>Manegre nooma</v>
          </cell>
          <cell r="H140">
            <v>38</v>
          </cell>
          <cell r="I140" t="str">
            <v>Guiba</v>
          </cell>
        </row>
        <row r="141">
          <cell r="G141" t="str">
            <v>MINGA BINKA</v>
          </cell>
          <cell r="H141">
            <v>196</v>
          </cell>
          <cell r="I141" t="str">
            <v>Bitou</v>
          </cell>
        </row>
        <row r="142">
          <cell r="G142" t="str">
            <v>Miriya Gnouma du Houet</v>
          </cell>
          <cell r="H142">
            <v>277</v>
          </cell>
          <cell r="I142" t="str">
            <v>Bobo Secteur 10</v>
          </cell>
        </row>
        <row r="143">
          <cell r="G143" t="str">
            <v>Miyamba</v>
          </cell>
          <cell r="H143">
            <v>188</v>
          </cell>
          <cell r="I143" t="str">
            <v>Tambibongo</v>
          </cell>
        </row>
        <row r="144">
          <cell r="G144" t="str">
            <v>Moabzanga</v>
          </cell>
          <cell r="H144">
            <v>198</v>
          </cell>
          <cell r="I144" t="str">
            <v>Toécé</v>
          </cell>
        </row>
        <row r="145">
          <cell r="G145" t="str">
            <v>MOUGNOU</v>
          </cell>
          <cell r="H145">
            <v>310</v>
          </cell>
          <cell r="I145" t="str">
            <v>Nouna</v>
          </cell>
        </row>
        <row r="146">
          <cell r="G146" t="str">
            <v>Mougnou de Nouna</v>
          </cell>
          <cell r="H146">
            <v>26</v>
          </cell>
          <cell r="I146" t="str">
            <v>Nouna</v>
          </cell>
        </row>
        <row r="147">
          <cell r="G147" t="str">
            <v>Mougnou de Tougan</v>
          </cell>
          <cell r="H147">
            <v>23</v>
          </cell>
          <cell r="I147" t="str">
            <v>Tougan</v>
          </cell>
        </row>
        <row r="148">
          <cell r="G148" t="str">
            <v>Mouyou</v>
          </cell>
          <cell r="H148">
            <v>105</v>
          </cell>
          <cell r="I148" t="str">
            <v>KOUDOUGOU</v>
          </cell>
        </row>
        <row r="149">
          <cell r="G149" t="str">
            <v>Nabonswendé de Gourcy</v>
          </cell>
          <cell r="H149">
            <v>146</v>
          </cell>
          <cell r="I149" t="str">
            <v>Gourcy</v>
          </cell>
        </row>
        <row r="150">
          <cell r="G150" t="str">
            <v>Nabonswendé de Ouargaye</v>
          </cell>
          <cell r="H150">
            <v>64</v>
          </cell>
          <cell r="I150" t="str">
            <v>Ouargaye</v>
          </cell>
        </row>
        <row r="151">
          <cell r="G151" t="str">
            <v>Nabonswendé de Tougan</v>
          </cell>
          <cell r="H151">
            <v>143</v>
          </cell>
          <cell r="I151" t="str">
            <v>Tougan</v>
          </cell>
        </row>
        <row r="152">
          <cell r="G152" t="str">
            <v>Nabonswendé de Zorgho</v>
          </cell>
          <cell r="H152">
            <v>148</v>
          </cell>
          <cell r="I152" t="str">
            <v>Zorgho</v>
          </cell>
        </row>
        <row r="153">
          <cell r="G153" t="str">
            <v>Nabonswendé des Veuves de Békuy</v>
          </cell>
          <cell r="H153">
            <v>341</v>
          </cell>
          <cell r="I153" t="str">
            <v>Bekuy</v>
          </cell>
        </row>
        <row r="154">
          <cell r="G154" t="str">
            <v>Nabonswendé Zoundwéogo</v>
          </cell>
          <cell r="H154">
            <v>71</v>
          </cell>
          <cell r="I154" t="str">
            <v>Yagtenga</v>
          </cell>
        </row>
        <row r="155">
          <cell r="G155" t="str">
            <v>Nabouyibzanga pour le développement intégré</v>
          </cell>
          <cell r="H155">
            <v>72</v>
          </cell>
          <cell r="I155" t="str">
            <v>Kombissiri</v>
          </cell>
        </row>
        <row r="156">
          <cell r="G156" t="str">
            <v>Nakaglezanga</v>
          </cell>
          <cell r="H156">
            <v>313</v>
          </cell>
          <cell r="I156" t="str">
            <v>Zorgho</v>
          </cell>
        </row>
        <row r="157">
          <cell r="G157" t="str">
            <v>Nam zood nooma</v>
          </cell>
          <cell r="H157">
            <v>53</v>
          </cell>
          <cell r="I157" t="str">
            <v>Gourcy</v>
          </cell>
        </row>
        <row r="158">
          <cell r="G158" t="str">
            <v>Namanegbzanga de Pouni</v>
          </cell>
          <cell r="H158">
            <v>75</v>
          </cell>
          <cell r="I158" t="str">
            <v>Pouni</v>
          </cell>
        </row>
        <row r="159">
          <cell r="G159" t="str">
            <v>NAMANEGBZANGA de TANILI</v>
          </cell>
          <cell r="H159">
            <v>32</v>
          </cell>
          <cell r="I159" t="str">
            <v>Zitenga</v>
          </cell>
        </row>
        <row r="160">
          <cell r="G160" t="str">
            <v>Nature plus</v>
          </cell>
          <cell r="H160">
            <v>33</v>
          </cell>
          <cell r="I160" t="str">
            <v>Tiankoura</v>
          </cell>
        </row>
        <row r="161">
          <cell r="G161" t="str">
            <v>Neeb-la-Taaba</v>
          </cell>
          <cell r="H161">
            <v>161</v>
          </cell>
          <cell r="I161" t="str">
            <v>Pissila</v>
          </cell>
        </row>
        <row r="162">
          <cell r="G162" t="str">
            <v>Neema</v>
          </cell>
          <cell r="H162">
            <v>159</v>
          </cell>
          <cell r="I162" t="str">
            <v>Houndé</v>
          </cell>
        </row>
        <row r="163">
          <cell r="G163" t="str">
            <v>Nevelya de Sapouy</v>
          </cell>
          <cell r="H163">
            <v>293</v>
          </cell>
          <cell r="I163" t="str">
            <v>Sapouy</v>
          </cell>
        </row>
        <row r="164">
          <cell r="G164" t="str">
            <v>New Karikis</v>
          </cell>
          <cell r="H164">
            <v>328</v>
          </cell>
          <cell r="I164" t="str">
            <v>Ouagadougou</v>
          </cell>
        </row>
        <row r="165">
          <cell r="G165" t="str">
            <v>NIONKO</v>
          </cell>
          <cell r="H165">
            <v>185</v>
          </cell>
          <cell r="I165" t="str">
            <v>Nako</v>
          </cell>
        </row>
        <row r="166">
          <cell r="G166" t="str">
            <v>NOBIEL</v>
          </cell>
          <cell r="H166">
            <v>170</v>
          </cell>
          <cell r="I166" t="str">
            <v>Périgan</v>
          </cell>
        </row>
        <row r="167">
          <cell r="G167" t="str">
            <v>Nongtaaba</v>
          </cell>
          <cell r="H167">
            <v>407</v>
          </cell>
          <cell r="I167" t="str">
            <v>KOUDOUGOU</v>
          </cell>
        </row>
        <row r="168">
          <cell r="G168" t="str">
            <v>Nongtaaba d'Andemtenga</v>
          </cell>
          <cell r="H168">
            <v>262</v>
          </cell>
          <cell r="I168" t="str">
            <v>Andemtenga</v>
          </cell>
        </row>
        <row r="169">
          <cell r="G169" t="str">
            <v>Nongtaaba de Guiba</v>
          </cell>
          <cell r="H169">
            <v>247</v>
          </cell>
          <cell r="I169" t="str">
            <v>Guiba</v>
          </cell>
        </row>
        <row r="170">
          <cell r="G170" t="str">
            <v>Nongtaaba de Iolonioro</v>
          </cell>
          <cell r="H170">
            <v>74</v>
          </cell>
          <cell r="I170" t="str">
            <v>Iolonioro</v>
          </cell>
        </row>
        <row r="171">
          <cell r="G171" t="str">
            <v>Nongtaaba de Kampouga</v>
          </cell>
          <cell r="H171">
            <v>213</v>
          </cell>
          <cell r="I171" t="str">
            <v>Kampouga</v>
          </cell>
        </row>
        <row r="172">
          <cell r="G172" t="str">
            <v>Nongtaaba de Songretenga</v>
          </cell>
          <cell r="H172">
            <v>241</v>
          </cell>
          <cell r="I172" t="str">
            <v>Songretenga</v>
          </cell>
        </row>
        <row r="173">
          <cell r="G173" t="str">
            <v>Nongtaaba de Tenkodogo</v>
          </cell>
          <cell r="H173">
            <v>110</v>
          </cell>
          <cell r="I173" t="str">
            <v>Tenkodogo</v>
          </cell>
        </row>
        <row r="174">
          <cell r="G174" t="str">
            <v>Nongtaaba de Tougan</v>
          </cell>
          <cell r="H174">
            <v>255</v>
          </cell>
          <cell r="I174" t="str">
            <v>Tougan</v>
          </cell>
        </row>
        <row r="175">
          <cell r="G175" t="str">
            <v>Nongtaaba de Zorgho 1</v>
          </cell>
          <cell r="H175">
            <v>12</v>
          </cell>
          <cell r="I175" t="str">
            <v>Zorgho</v>
          </cell>
        </row>
        <row r="176">
          <cell r="G176" t="str">
            <v>Nongtaaba de Zorgho 2</v>
          </cell>
          <cell r="H176">
            <v>107</v>
          </cell>
          <cell r="I176" t="str">
            <v>Zorgho</v>
          </cell>
        </row>
        <row r="177">
          <cell r="G177" t="str">
            <v>Nongtaaba laboumbou</v>
          </cell>
          <cell r="H177">
            <v>401</v>
          </cell>
          <cell r="I177" t="str">
            <v>KOMSILGA</v>
          </cell>
        </row>
        <row r="178">
          <cell r="G178" t="str">
            <v>Nongtaba de Niamba</v>
          </cell>
          <cell r="H178">
            <v>70</v>
          </cell>
          <cell r="I178" t="str">
            <v>Boussé</v>
          </cell>
        </row>
        <row r="179">
          <cell r="G179" t="str">
            <v>NOOBÉEN</v>
          </cell>
          <cell r="H179">
            <v>175</v>
          </cell>
          <cell r="I179"/>
        </row>
        <row r="180">
          <cell r="G180" t="str">
            <v>Noussondia</v>
          </cell>
          <cell r="H180">
            <v>15</v>
          </cell>
          <cell r="I180" t="str">
            <v>Tougan ville</v>
          </cell>
        </row>
        <row r="181">
          <cell r="G181" t="str">
            <v>Nununa</v>
          </cell>
          <cell r="H181">
            <v>294</v>
          </cell>
          <cell r="I181" t="str">
            <v>Leo</v>
          </cell>
        </row>
        <row r="182">
          <cell r="G182" t="str">
            <v>Nyi Dwii Nyé</v>
          </cell>
          <cell r="H182">
            <v>409</v>
          </cell>
          <cell r="I182" t="str">
            <v>TENADO</v>
          </cell>
        </row>
        <row r="183">
          <cell r="G183" t="str">
            <v>Nyow-kaar</v>
          </cell>
          <cell r="H183">
            <v>77</v>
          </cell>
          <cell r="I183" t="str">
            <v>Koper</v>
          </cell>
        </row>
        <row r="184">
          <cell r="G184" t="str">
            <v>Okampélé</v>
          </cell>
          <cell r="H184">
            <v>73</v>
          </cell>
          <cell r="I184" t="str">
            <v>Loropeni</v>
          </cell>
        </row>
        <row r="185">
          <cell r="G185" t="str">
            <v>Ouezena</v>
          </cell>
          <cell r="H185">
            <v>1</v>
          </cell>
          <cell r="I185" t="str">
            <v>Po</v>
          </cell>
        </row>
        <row r="186">
          <cell r="G186" t="str">
            <v>Pang be ne wendé</v>
          </cell>
          <cell r="H186">
            <v>85</v>
          </cell>
          <cell r="I186" t="str">
            <v>Mtoména</v>
          </cell>
        </row>
        <row r="187">
          <cell r="G187" t="str">
            <v>Pang be ne wendé d'Ourgou</v>
          </cell>
          <cell r="H187">
            <v>81</v>
          </cell>
          <cell r="I187" t="str">
            <v>OURGOU-MANEGA</v>
          </cell>
        </row>
        <row r="188">
          <cell r="G188" t="str">
            <v>Pébatioga</v>
          </cell>
          <cell r="H188">
            <v>100</v>
          </cell>
          <cell r="I188" t="str">
            <v>Tiebele</v>
          </cell>
        </row>
        <row r="189">
          <cell r="G189" t="str">
            <v>Pendwendé de Koudougou</v>
          </cell>
          <cell r="H189">
            <v>103</v>
          </cell>
          <cell r="I189" t="str">
            <v>KOUDOUGOU</v>
          </cell>
        </row>
        <row r="190">
          <cell r="G190" t="str">
            <v>Pengdwendé de Boulsa</v>
          </cell>
          <cell r="H190">
            <v>232</v>
          </cell>
          <cell r="I190" t="str">
            <v>Boulsa</v>
          </cell>
        </row>
        <row r="191">
          <cell r="G191" t="str">
            <v>Piakoro de Didyr</v>
          </cell>
          <cell r="H191">
            <v>290</v>
          </cell>
          <cell r="I191" t="str">
            <v>Didyr</v>
          </cell>
        </row>
        <row r="192">
          <cell r="G192" t="str">
            <v>Piakoro de Niabouri</v>
          </cell>
          <cell r="H192">
            <v>149</v>
          </cell>
          <cell r="I192" t="str">
            <v>Niabouri</v>
          </cell>
        </row>
        <row r="193">
          <cell r="G193" t="str">
            <v>POGBE FATAA</v>
          </cell>
          <cell r="H193">
            <v>331</v>
          </cell>
          <cell r="I193" t="str">
            <v>Zambo</v>
          </cell>
        </row>
        <row r="194">
          <cell r="G194" t="str">
            <v xml:space="preserve">POGBE LAONTAA </v>
          </cell>
          <cell r="H194">
            <v>330</v>
          </cell>
          <cell r="I194" t="str">
            <v>Zambo</v>
          </cell>
        </row>
        <row r="195">
          <cell r="G195" t="str">
            <v>Pougoumba</v>
          </cell>
          <cell r="H195">
            <v>237</v>
          </cell>
          <cell r="I195" t="str">
            <v>Pama</v>
          </cell>
        </row>
        <row r="196">
          <cell r="G196" t="str">
            <v>Pug-wissinga</v>
          </cell>
          <cell r="H196">
            <v>9</v>
          </cell>
          <cell r="I196" t="str">
            <v>Ouargaye</v>
          </cell>
        </row>
        <row r="197">
          <cell r="G197" t="str">
            <v>Pyacene de Nigiolo</v>
          </cell>
          <cell r="H197">
            <v>274</v>
          </cell>
          <cell r="I197" t="str">
            <v>DIDYR</v>
          </cell>
        </row>
        <row r="198">
          <cell r="G198" t="str">
            <v>Pyinèmatuin de Ladiou</v>
          </cell>
          <cell r="H198">
            <v>120</v>
          </cell>
          <cell r="I198" t="str">
            <v>DIDYR</v>
          </cell>
        </row>
        <row r="199">
          <cell r="G199" t="str">
            <v>Pyononye de Guiwoly</v>
          </cell>
          <cell r="H199">
            <v>275</v>
          </cell>
          <cell r="I199" t="str">
            <v>Dassa</v>
          </cell>
        </row>
        <row r="200">
          <cell r="G200" t="str">
            <v>Pyononye de Guiwoly</v>
          </cell>
          <cell r="H200">
            <v>420</v>
          </cell>
          <cell r="I200" t="str">
            <v>DIDYR</v>
          </cell>
        </row>
        <row r="201">
          <cell r="G201" t="str">
            <v>RAGUSSI</v>
          </cell>
          <cell r="H201">
            <v>300</v>
          </cell>
          <cell r="I201" t="str">
            <v>Tanghindassouri</v>
          </cell>
        </row>
        <row r="202">
          <cell r="G202" t="str">
            <v>Ramonwende</v>
          </cell>
          <cell r="H202">
            <v>269</v>
          </cell>
          <cell r="I202" t="str">
            <v>Tibga</v>
          </cell>
        </row>
        <row r="203">
          <cell r="G203" t="str">
            <v>Ratamalgré</v>
          </cell>
          <cell r="H203">
            <v>142</v>
          </cell>
          <cell r="I203" t="str">
            <v>Tougan</v>
          </cell>
        </row>
        <row r="204">
          <cell r="G204" t="str">
            <v>Ratamanegre</v>
          </cell>
          <cell r="H204">
            <v>138</v>
          </cell>
          <cell r="I204" t="str">
            <v>Andemtenga</v>
          </cell>
        </row>
        <row r="205">
          <cell r="G205" t="str">
            <v>Ratanéné</v>
          </cell>
          <cell r="H205">
            <v>254</v>
          </cell>
          <cell r="I205" t="str">
            <v>Tougan</v>
          </cell>
        </row>
        <row r="206">
          <cell r="G206" t="str">
            <v>Relwende de Imasgo</v>
          </cell>
          <cell r="H206">
            <v>332</v>
          </cell>
          <cell r="I206" t="str">
            <v>Imasgo</v>
          </cell>
        </row>
        <row r="207">
          <cell r="G207" t="str">
            <v>Relwende de Kaya</v>
          </cell>
          <cell r="H207">
            <v>256</v>
          </cell>
          <cell r="I207" t="str">
            <v>Kaya</v>
          </cell>
        </row>
        <row r="208">
          <cell r="G208" t="str">
            <v>Relwende de Kokologho</v>
          </cell>
          <cell r="H208">
            <v>285</v>
          </cell>
          <cell r="I208" t="str">
            <v>Kokologho</v>
          </cell>
        </row>
        <row r="209">
          <cell r="G209" t="str">
            <v>Relwendé de Loukoura</v>
          </cell>
          <cell r="H209">
            <v>257</v>
          </cell>
          <cell r="I209" t="str">
            <v>Ioronioro</v>
          </cell>
        </row>
        <row r="210">
          <cell r="G210" t="str">
            <v>Relwendé de Mané</v>
          </cell>
          <cell r="H210">
            <v>228</v>
          </cell>
          <cell r="I210" t="str">
            <v>Boulsa</v>
          </cell>
        </row>
        <row r="211">
          <cell r="G211" t="str">
            <v>Relwende de Menega-Passambiri</v>
          </cell>
          <cell r="H211">
            <v>329</v>
          </cell>
          <cell r="I211" t="str">
            <v>KOKOLOGHO</v>
          </cell>
        </row>
        <row r="212">
          <cell r="G212" t="str">
            <v xml:space="preserve">Relwendé de Nabouri </v>
          </cell>
          <cell r="H212">
            <v>202</v>
          </cell>
          <cell r="I212" t="str">
            <v>Konki Ipala</v>
          </cell>
        </row>
        <row r="213">
          <cell r="G213" t="str">
            <v>Relwendé de Pella</v>
          </cell>
          <cell r="H213">
            <v>225</v>
          </cell>
          <cell r="I213" t="str">
            <v>Pella</v>
          </cell>
        </row>
        <row r="214">
          <cell r="G214" t="str">
            <v>Rimtéreb-Som</v>
          </cell>
          <cell r="H214">
            <v>28</v>
          </cell>
          <cell r="I214" t="str">
            <v>OUAGADOUGOU</v>
          </cell>
        </row>
        <row r="215">
          <cell r="G215" t="str">
            <v>RPBHC</v>
          </cell>
          <cell r="H215">
            <v>278</v>
          </cell>
          <cell r="I215" t="str">
            <v>Bobo</v>
          </cell>
        </row>
        <row r="216">
          <cell r="G216" t="str">
            <v>Sababougnouma  de Koudougou</v>
          </cell>
          <cell r="H216">
            <v>266</v>
          </cell>
          <cell r="I216" t="str">
            <v>Koudougou</v>
          </cell>
        </row>
        <row r="217">
          <cell r="G217" t="str">
            <v>Sababougnouma de Bieha</v>
          </cell>
          <cell r="H217">
            <v>264</v>
          </cell>
          <cell r="I217" t="str">
            <v>Bieha</v>
          </cell>
        </row>
        <row r="218">
          <cell r="G218" t="str">
            <v>Sababougnouma de Sindou</v>
          </cell>
          <cell r="H218">
            <v>265</v>
          </cell>
          <cell r="I218" t="str">
            <v>Sindou</v>
          </cell>
        </row>
        <row r="219">
          <cell r="G219" t="str">
            <v>Sababougnouma de Solenzo 1</v>
          </cell>
          <cell r="H219">
            <v>126</v>
          </cell>
          <cell r="I219" t="str">
            <v>Solenzo</v>
          </cell>
        </row>
        <row r="220">
          <cell r="G220" t="str">
            <v>Sababougnouma de Solenzo 2</v>
          </cell>
          <cell r="H220">
            <v>223</v>
          </cell>
          <cell r="I220" t="str">
            <v>Solenzo</v>
          </cell>
        </row>
        <row r="221">
          <cell r="G221" t="str">
            <v>Sabari kagni de Dédougou</v>
          </cell>
          <cell r="H221">
            <v>267</v>
          </cell>
          <cell r="I221" t="str">
            <v>Dédougou</v>
          </cell>
        </row>
        <row r="222">
          <cell r="G222" t="str">
            <v>Sabari kagni de Nouna</v>
          </cell>
          <cell r="H222">
            <v>253</v>
          </cell>
          <cell r="I222" t="str">
            <v>Nouna</v>
          </cell>
        </row>
        <row r="223">
          <cell r="G223" t="str">
            <v>Sabari kagni de Peni</v>
          </cell>
          <cell r="H223">
            <v>280</v>
          </cell>
          <cell r="I223" t="str">
            <v>Peni</v>
          </cell>
        </row>
        <row r="224">
          <cell r="G224" t="str">
            <v>Sabougnouma</v>
          </cell>
          <cell r="H224">
            <v>129</v>
          </cell>
          <cell r="I224" t="str">
            <v>Solenzo</v>
          </cell>
        </row>
        <row r="225">
          <cell r="G225" t="str">
            <v>Santa Soutra</v>
          </cell>
          <cell r="H225">
            <v>59</v>
          </cell>
          <cell r="I225"/>
        </row>
        <row r="226">
          <cell r="G226" t="str">
            <v>Santjoil</v>
          </cell>
          <cell r="H226">
            <v>258</v>
          </cell>
          <cell r="I226" t="str">
            <v>Kpuéré</v>
          </cell>
        </row>
        <row r="227">
          <cell r="G227" t="str">
            <v>Senimi</v>
          </cell>
          <cell r="H227">
            <v>250</v>
          </cell>
          <cell r="I227" t="str">
            <v>Nouna</v>
          </cell>
        </row>
        <row r="228">
          <cell r="G228" t="str">
            <v>shekina-teebpidisgou</v>
          </cell>
          <cell r="H228">
            <v>155</v>
          </cell>
          <cell r="I228" t="str">
            <v>Arbolé</v>
          </cell>
        </row>
        <row r="229">
          <cell r="G229" t="str">
            <v>Shiisun gnataga</v>
          </cell>
          <cell r="H229">
            <v>130</v>
          </cell>
          <cell r="I229" t="str">
            <v>Solenzo</v>
          </cell>
        </row>
        <row r="230">
          <cell r="G230" t="str">
            <v>SIBGLOKAR</v>
          </cell>
          <cell r="H230">
            <v>171</v>
          </cell>
          <cell r="I230" t="str">
            <v>Boussera</v>
          </cell>
        </row>
        <row r="231">
          <cell r="G231" t="str">
            <v>Sidimokar</v>
          </cell>
          <cell r="H231">
            <v>173</v>
          </cell>
          <cell r="I231" t="str">
            <v>Gaoua</v>
          </cell>
        </row>
        <row r="232">
          <cell r="G232" t="str">
            <v>Sidnomwende</v>
          </cell>
          <cell r="H232">
            <v>176</v>
          </cell>
          <cell r="I232" t="str">
            <v>Kaya</v>
          </cell>
        </row>
        <row r="233">
          <cell r="G233" t="str">
            <v>SIRIYI NAFA KA BON</v>
          </cell>
          <cell r="H233">
            <v>308</v>
          </cell>
          <cell r="I233" t="str">
            <v>Solenzo</v>
          </cell>
        </row>
        <row r="234">
          <cell r="G234" t="str">
            <v>Sodoboua</v>
          </cell>
          <cell r="H234">
            <v>178</v>
          </cell>
          <cell r="I234" t="str">
            <v>Perigban</v>
          </cell>
        </row>
        <row r="235">
          <cell r="G235" t="str">
            <v>SONG ZENE</v>
          </cell>
          <cell r="H235">
            <v>93</v>
          </cell>
          <cell r="I235"/>
        </row>
        <row r="236">
          <cell r="G236" t="str">
            <v>Songdo-woaga</v>
          </cell>
          <cell r="H236">
            <v>34</v>
          </cell>
          <cell r="I236" t="str">
            <v>Ziniaré</v>
          </cell>
        </row>
        <row r="237">
          <cell r="G237" t="str">
            <v>Songo Zena</v>
          </cell>
          <cell r="H237">
            <v>296</v>
          </cell>
          <cell r="I237" t="str">
            <v>Tiebelé</v>
          </cell>
        </row>
        <row r="238">
          <cell r="G238" t="str">
            <v>Songof'too</v>
          </cell>
          <cell r="H238">
            <v>333</v>
          </cell>
          <cell r="I238" t="str">
            <v>KOUDOUGOU</v>
          </cell>
        </row>
        <row r="239">
          <cell r="G239" t="str">
            <v>Songtaaba d'Arbolé</v>
          </cell>
          <cell r="H239">
            <v>153</v>
          </cell>
          <cell r="I239" t="str">
            <v>Arbolé</v>
          </cell>
        </row>
        <row r="240">
          <cell r="G240" t="str">
            <v>Songtaaba de Bouroum-Bouroum</v>
          </cell>
          <cell r="H240">
            <v>174</v>
          </cell>
          <cell r="I240" t="str">
            <v>Bouroum-Bouroum</v>
          </cell>
        </row>
        <row r="241">
          <cell r="G241" t="str">
            <v>Songtaaba de Dourtenga</v>
          </cell>
          <cell r="H241">
            <v>10</v>
          </cell>
          <cell r="I241" t="str">
            <v>Dourtenga</v>
          </cell>
        </row>
        <row r="242">
          <cell r="G242" t="str">
            <v>Songtaaba de Gourcy</v>
          </cell>
          <cell r="H242">
            <v>66</v>
          </cell>
          <cell r="I242" t="str">
            <v>Gourcy</v>
          </cell>
        </row>
        <row r="243">
          <cell r="G243" t="str">
            <v>Songtaaba de Ouargaye</v>
          </cell>
          <cell r="H243">
            <v>65</v>
          </cell>
          <cell r="I243" t="str">
            <v>Ouargaye</v>
          </cell>
        </row>
        <row r="244">
          <cell r="G244" t="str">
            <v>Songtaaba de Po</v>
          </cell>
          <cell r="H244">
            <v>8</v>
          </cell>
          <cell r="I244" t="str">
            <v>Po</v>
          </cell>
        </row>
        <row r="245">
          <cell r="G245" t="str">
            <v>Songtaaba de Siglé</v>
          </cell>
          <cell r="H245">
            <v>35</v>
          </cell>
          <cell r="I245" t="str">
            <v>Siglé</v>
          </cell>
        </row>
        <row r="246">
          <cell r="G246" t="str">
            <v>Songtaaba de Solenzo</v>
          </cell>
          <cell r="H246">
            <v>18</v>
          </cell>
          <cell r="I246" t="str">
            <v>Solenzo</v>
          </cell>
        </row>
        <row r="247">
          <cell r="G247" t="str">
            <v>Songtaaba de Tambaga</v>
          </cell>
          <cell r="H247">
            <v>68</v>
          </cell>
          <cell r="I247" t="str">
            <v>Tambaga</v>
          </cell>
        </row>
        <row r="248">
          <cell r="G248" t="str">
            <v>Sononyé de Kyon</v>
          </cell>
          <cell r="H248">
            <v>57</v>
          </cell>
          <cell r="I248" t="str">
            <v>KYON</v>
          </cell>
        </row>
        <row r="249">
          <cell r="G249" t="str">
            <v>Sononyè de Mogueya</v>
          </cell>
          <cell r="H249">
            <v>112</v>
          </cell>
          <cell r="I249" t="str">
            <v>DIDYR</v>
          </cell>
        </row>
        <row r="250">
          <cell r="G250" t="str">
            <v>Sougr-nooma de Nandiala</v>
          </cell>
          <cell r="H250">
            <v>245</v>
          </cell>
          <cell r="I250" t="str">
            <v>KOUDOUGOU</v>
          </cell>
        </row>
        <row r="251">
          <cell r="G251" t="str">
            <v>Sougryinga</v>
          </cell>
          <cell r="H251">
            <v>31</v>
          </cell>
          <cell r="I251" t="str">
            <v>KOUDOUGOU</v>
          </cell>
        </row>
        <row r="252">
          <cell r="G252" t="str">
            <v>Soulou nye de Tonton</v>
          </cell>
          <cell r="H252">
            <v>121</v>
          </cell>
          <cell r="I252" t="str">
            <v>DIDYR</v>
          </cell>
        </row>
        <row r="253">
          <cell r="G253" t="str">
            <v>Soulou-nyē Mousseo</v>
          </cell>
          <cell r="H253">
            <v>124</v>
          </cell>
          <cell r="I253" t="str">
            <v>DIDYR</v>
          </cell>
        </row>
        <row r="254">
          <cell r="G254" t="str">
            <v>Sugrnooma de Kaya</v>
          </cell>
          <cell r="H254">
            <v>69</v>
          </cell>
          <cell r="I254" t="str">
            <v>Kaya</v>
          </cell>
        </row>
        <row r="255">
          <cell r="G255" t="str">
            <v>Sugrnooma de Ouargaye</v>
          </cell>
          <cell r="H255">
            <v>67</v>
          </cell>
          <cell r="I255" t="str">
            <v>Ouargaye</v>
          </cell>
        </row>
        <row r="256">
          <cell r="G256" t="str">
            <v>Sugrnooma de Tanglogo</v>
          </cell>
          <cell r="H256">
            <v>203</v>
          </cell>
          <cell r="I256" t="str">
            <v>Tanglogo</v>
          </cell>
        </row>
        <row r="257">
          <cell r="G257" t="str">
            <v>Tagsbeoyélé</v>
          </cell>
          <cell r="H257">
            <v>204</v>
          </cell>
          <cell r="I257" t="str">
            <v>KOUDOUGOU</v>
          </cell>
        </row>
        <row r="258">
          <cell r="G258" t="str">
            <v>Tamyaaba</v>
          </cell>
          <cell r="H258">
            <v>206</v>
          </cell>
          <cell r="I258" t="str">
            <v>Madjoari</v>
          </cell>
        </row>
        <row r="259">
          <cell r="G259" t="str">
            <v>TANGBABLOSSE</v>
          </cell>
          <cell r="H259">
            <v>95</v>
          </cell>
          <cell r="I259"/>
        </row>
        <row r="260">
          <cell r="G260" t="str">
            <v xml:space="preserve">TCHAMBIERE </v>
          </cell>
          <cell r="H260">
            <v>334</v>
          </cell>
          <cell r="I260" t="str">
            <v>Zambo</v>
          </cell>
        </row>
        <row r="261">
          <cell r="G261" t="str">
            <v>Teega Wendé</v>
          </cell>
          <cell r="H261">
            <v>160</v>
          </cell>
          <cell r="I261" t="str">
            <v>Kaya ville secteur 6</v>
          </cell>
        </row>
        <row r="262">
          <cell r="G262" t="str">
            <v>Teega Wendé de Boulsa</v>
          </cell>
          <cell r="H262">
            <v>227</v>
          </cell>
          <cell r="I262" t="str">
            <v>Boulsa</v>
          </cell>
        </row>
        <row r="263">
          <cell r="G263" t="str">
            <v>Teega Wendé de Goaga</v>
          </cell>
          <cell r="H263">
            <v>230</v>
          </cell>
          <cell r="I263" t="str">
            <v>Boulsa</v>
          </cell>
        </row>
        <row r="264">
          <cell r="G264" t="str">
            <v>Teega Wendé de Kandaaga</v>
          </cell>
          <cell r="H264">
            <v>224</v>
          </cell>
          <cell r="I264" t="str">
            <v>Pella</v>
          </cell>
        </row>
        <row r="265">
          <cell r="G265" t="str">
            <v>Teega Wendé de Kaya</v>
          </cell>
          <cell r="H265">
            <v>158</v>
          </cell>
          <cell r="I265" t="str">
            <v>Pissila</v>
          </cell>
        </row>
        <row r="266">
          <cell r="G266" t="str">
            <v>Teega Wendé de Koupela</v>
          </cell>
          <cell r="H266">
            <v>263</v>
          </cell>
          <cell r="I266" t="str">
            <v>Koupela</v>
          </cell>
        </row>
        <row r="267">
          <cell r="G267" t="str">
            <v>Teega Wendé de Pissila</v>
          </cell>
          <cell r="H267">
            <v>156</v>
          </cell>
          <cell r="I267" t="str">
            <v>Pissila</v>
          </cell>
        </row>
        <row r="268">
          <cell r="G268" t="str">
            <v>Teega Wendé de Tenkodogo</v>
          </cell>
          <cell r="H268">
            <v>226</v>
          </cell>
          <cell r="I268" t="str">
            <v>Tenkodogo</v>
          </cell>
        </row>
        <row r="269">
          <cell r="G269" t="str">
            <v>Teega Wende de Zamo</v>
          </cell>
          <cell r="H269">
            <v>239</v>
          </cell>
          <cell r="I269" t="str">
            <v>Zamo</v>
          </cell>
        </row>
        <row r="270">
          <cell r="G270" t="str">
            <v>Teega Wendé de Ziniaré</v>
          </cell>
          <cell r="H270">
            <v>36</v>
          </cell>
          <cell r="I270" t="str">
            <v>Ziniaré</v>
          </cell>
        </row>
        <row r="271">
          <cell r="G271" t="str">
            <v>Teegawendé de Pella/Tandaga</v>
          </cell>
          <cell r="H271">
            <v>418</v>
          </cell>
          <cell r="I271" t="str">
            <v>PELLA</v>
          </cell>
        </row>
        <row r="272">
          <cell r="G272" t="str">
            <v>TEEL TAABA</v>
          </cell>
          <cell r="H272">
            <v>306</v>
          </cell>
          <cell r="I272" t="str">
            <v>Koudougou</v>
          </cell>
        </row>
        <row r="273">
          <cell r="G273" t="str">
            <v>Teeli kuba de boulsa</v>
          </cell>
          <cell r="H273">
            <v>229</v>
          </cell>
          <cell r="I273" t="str">
            <v>Boulsa</v>
          </cell>
        </row>
        <row r="274">
          <cell r="G274" t="str">
            <v>Teeltaaba</v>
          </cell>
          <cell r="H274">
            <v>231</v>
          </cell>
          <cell r="I274" t="str">
            <v>Koudougou</v>
          </cell>
        </row>
        <row r="275">
          <cell r="G275" t="str">
            <v>Teeltaaba</v>
          </cell>
          <cell r="H275">
            <v>419</v>
          </cell>
          <cell r="I275" t="str">
            <v>PABRÉ</v>
          </cell>
        </row>
        <row r="276">
          <cell r="G276" t="str">
            <v>Teeltaaba de Kaya</v>
          </cell>
          <cell r="H276">
            <v>233</v>
          </cell>
          <cell r="I276" t="str">
            <v>Kaya</v>
          </cell>
        </row>
        <row r="277">
          <cell r="G277" t="str">
            <v>Teeltaaba de Komsilga</v>
          </cell>
          <cell r="H277">
            <v>402</v>
          </cell>
          <cell r="I277" t="str">
            <v>KOMSILGA</v>
          </cell>
        </row>
        <row r="278">
          <cell r="G278" t="str">
            <v>Teeltaaba de Poa</v>
          </cell>
          <cell r="H278">
            <v>406</v>
          </cell>
          <cell r="I278" t="str">
            <v>POA</v>
          </cell>
        </row>
        <row r="279">
          <cell r="G279" t="str">
            <v>Teewendé</v>
          </cell>
          <cell r="H279">
            <v>235</v>
          </cell>
          <cell r="I279" t="str">
            <v>Boussé</v>
          </cell>
        </row>
        <row r="280">
          <cell r="G280" t="str">
            <v>TI-MI-PAN-ZAWNA DISSIN</v>
          </cell>
          <cell r="H280">
            <v>337</v>
          </cell>
          <cell r="I280" t="str">
            <v>Dissin</v>
          </cell>
        </row>
        <row r="281">
          <cell r="G281" t="str">
            <v>Tiedwanenye dourega de Mouzoumou</v>
          </cell>
          <cell r="H281">
            <v>271</v>
          </cell>
          <cell r="I281" t="str">
            <v>DIDYR</v>
          </cell>
        </row>
        <row r="282">
          <cell r="G282" t="str">
            <v xml:space="preserve">TIETA </v>
          </cell>
          <cell r="H282">
            <v>335</v>
          </cell>
          <cell r="I282" t="str">
            <v>Zambo</v>
          </cell>
        </row>
        <row r="283">
          <cell r="G283" t="str">
            <v>Tiligrinooma</v>
          </cell>
          <cell r="H283">
            <v>2</v>
          </cell>
          <cell r="I283" t="str">
            <v>Yako</v>
          </cell>
        </row>
        <row r="284">
          <cell r="G284" t="str">
            <v>TIMALKAAR</v>
          </cell>
          <cell r="H284">
            <v>169</v>
          </cell>
          <cell r="I284"/>
        </row>
        <row r="285">
          <cell r="G285" t="str">
            <v>Timbuaaba</v>
          </cell>
          <cell r="H285">
            <v>336</v>
          </cell>
          <cell r="I285" t="str">
            <v>Diapangou</v>
          </cell>
        </row>
        <row r="286">
          <cell r="G286" t="str">
            <v>Tiononyé de Ladiou</v>
          </cell>
          <cell r="H286">
            <v>135</v>
          </cell>
          <cell r="I286" t="str">
            <v>DIDYR</v>
          </cell>
        </row>
        <row r="287">
          <cell r="G287" t="str">
            <v xml:space="preserve">TOAYINKAN DE LAOGNIN KANKANPELE </v>
          </cell>
          <cell r="H287">
            <v>338</v>
          </cell>
          <cell r="I287" t="str">
            <v>Zambo</v>
          </cell>
        </row>
        <row r="288">
          <cell r="G288" t="str">
            <v>Tondossin</v>
          </cell>
          <cell r="H288">
            <v>252</v>
          </cell>
          <cell r="I288" t="str">
            <v>Nouna</v>
          </cell>
        </row>
        <row r="289">
          <cell r="G289" t="str">
            <v>Toucormone</v>
          </cell>
          <cell r="H289">
            <v>11</v>
          </cell>
          <cell r="I289" t="str">
            <v>Dourtenga</v>
          </cell>
        </row>
        <row r="290">
          <cell r="G290" t="str">
            <v xml:space="preserve">transformatrice de beurre de karité </v>
          </cell>
          <cell r="H290">
            <v>260</v>
          </cell>
          <cell r="I290" t="str">
            <v>Toma</v>
          </cell>
        </row>
        <row r="291">
          <cell r="G291" t="str">
            <v>UGPPK Comoe - Kagnonsé</v>
          </cell>
          <cell r="H291">
            <v>289</v>
          </cell>
          <cell r="I291" t="str">
            <v>Banfora</v>
          </cell>
        </row>
        <row r="292">
          <cell r="G292" t="str">
            <v>UGPPK du Houet</v>
          </cell>
          <cell r="H292">
            <v>288</v>
          </cell>
          <cell r="I292" t="str">
            <v>Bobo</v>
          </cell>
        </row>
        <row r="293">
          <cell r="G293" t="str">
            <v>union communale des productrice de beurre de karité de toma</v>
          </cell>
          <cell r="H293">
            <v>261</v>
          </cell>
          <cell r="I293" t="str">
            <v>Toma</v>
          </cell>
        </row>
        <row r="294">
          <cell r="G294" t="str">
            <v>Union communale des transformatrices des produits forestiers non ligneux</v>
          </cell>
          <cell r="H294">
            <v>30</v>
          </cell>
          <cell r="I294" t="str">
            <v>Dassa</v>
          </cell>
        </row>
        <row r="295">
          <cell r="G295" t="str">
            <v>union départementale d'Orodara</v>
          </cell>
          <cell r="H295">
            <v>186</v>
          </cell>
          <cell r="I295" t="str">
            <v>Orodara</v>
          </cell>
        </row>
        <row r="296">
          <cell r="G296" t="str">
            <v>union departementale de Boni</v>
          </cell>
          <cell r="H296">
            <v>205</v>
          </cell>
          <cell r="I296" t="str">
            <v>Boni</v>
          </cell>
        </row>
        <row r="297">
          <cell r="G297" t="str">
            <v>union départementale des productrices de beurre</v>
          </cell>
          <cell r="H297">
            <v>190</v>
          </cell>
          <cell r="I297" t="str">
            <v>Pama</v>
          </cell>
        </row>
        <row r="298">
          <cell r="G298" t="str">
            <v>Union des Groupements de Productrices de Produits Karité (UGPPK) du Houet</v>
          </cell>
          <cell r="H298">
            <v>39</v>
          </cell>
          <cell r="I298"/>
        </row>
        <row r="299">
          <cell r="G299" t="str">
            <v>union des productrices de beurre</v>
          </cell>
          <cell r="H299">
            <v>41</v>
          </cell>
          <cell r="I299" t="str">
            <v>Tiébélé</v>
          </cell>
        </row>
        <row r="300">
          <cell r="G300" t="str">
            <v>Uromu</v>
          </cell>
          <cell r="H300">
            <v>43</v>
          </cell>
          <cell r="I300" t="str">
            <v>Solenzo</v>
          </cell>
        </row>
        <row r="301">
          <cell r="G301" t="str">
            <v>VENEGREWAYA</v>
          </cell>
          <cell r="H301">
            <v>302</v>
          </cell>
          <cell r="I301" t="str">
            <v>Kaya</v>
          </cell>
        </row>
        <row r="302">
          <cell r="G302" t="str">
            <v>Wamhana</v>
          </cell>
          <cell r="H302">
            <v>45</v>
          </cell>
          <cell r="I302" t="str">
            <v>Piela</v>
          </cell>
        </row>
        <row r="303">
          <cell r="G303" t="str">
            <v>Waogtaaba</v>
          </cell>
          <cell r="H303">
            <v>46</v>
          </cell>
          <cell r="I303" t="str">
            <v>Nobéré</v>
          </cell>
        </row>
        <row r="304">
          <cell r="G304" t="str">
            <v xml:space="preserve">Wematou </v>
          </cell>
          <cell r="H304">
            <v>17</v>
          </cell>
          <cell r="I304" t="str">
            <v>Po</v>
          </cell>
        </row>
        <row r="305">
          <cell r="G305" t="str">
            <v>wend benedo/ ancien Kabeela</v>
          </cell>
          <cell r="H305">
            <v>295</v>
          </cell>
          <cell r="I305" t="str">
            <v>ZINIARÉ</v>
          </cell>
        </row>
        <row r="306">
          <cell r="G306" t="str">
            <v>Wend denda de Boromo</v>
          </cell>
          <cell r="H306">
            <v>19</v>
          </cell>
          <cell r="I306" t="str">
            <v>Boromo</v>
          </cell>
        </row>
        <row r="307">
          <cell r="G307" t="str">
            <v>Wend denda de Kirsi</v>
          </cell>
          <cell r="H307">
            <v>21</v>
          </cell>
          <cell r="I307" t="str">
            <v>Kirsi</v>
          </cell>
        </row>
        <row r="308">
          <cell r="G308" t="str">
            <v>Wend gounsi</v>
          </cell>
          <cell r="H308">
            <v>207</v>
          </cell>
          <cell r="I308"/>
        </row>
        <row r="309">
          <cell r="G309" t="str">
            <v>Wend la Panga</v>
          </cell>
          <cell r="H309">
            <v>127</v>
          </cell>
          <cell r="I309" t="str">
            <v>Solenzo</v>
          </cell>
        </row>
        <row r="310">
          <cell r="G310" t="str">
            <v>Wend la Panga de Koka</v>
          </cell>
          <cell r="H310">
            <v>125</v>
          </cell>
          <cell r="I310" t="str">
            <v>Solenzo</v>
          </cell>
        </row>
        <row r="311">
          <cell r="G311" t="str">
            <v>Wend La Siida</v>
          </cell>
          <cell r="H311">
            <v>151</v>
          </cell>
          <cell r="I311" t="str">
            <v>Arbollé</v>
          </cell>
        </row>
        <row r="312">
          <cell r="G312" t="str">
            <v>Wend la teenda</v>
          </cell>
          <cell r="H312">
            <v>154</v>
          </cell>
          <cell r="I312" t="str">
            <v>Bassi</v>
          </cell>
        </row>
        <row r="313">
          <cell r="G313" t="str">
            <v>Wend lamanegda (UNPK)</v>
          </cell>
          <cell r="H313">
            <v>297</v>
          </cell>
          <cell r="I313" t="str">
            <v>Pabre</v>
          </cell>
        </row>
        <row r="314">
          <cell r="G314" t="str">
            <v>Wend Lamita</v>
          </cell>
          <cell r="H314">
            <v>144</v>
          </cell>
          <cell r="I314" t="str">
            <v>Gourcy</v>
          </cell>
        </row>
        <row r="315">
          <cell r="G315" t="str">
            <v>Wend Panga de Bouroum</v>
          </cell>
          <cell r="H315">
            <v>150</v>
          </cell>
          <cell r="I315" t="str">
            <v>Bouroum</v>
          </cell>
        </row>
        <row r="316">
          <cell r="G316" t="str">
            <v>Wend Panga de DABARÉ</v>
          </cell>
          <cell r="H316">
            <v>222</v>
          </cell>
          <cell r="I316" t="str">
            <v>Pabré</v>
          </cell>
        </row>
        <row r="317">
          <cell r="G317" t="str">
            <v>Wend Panga de Lahirasso</v>
          </cell>
          <cell r="H317">
            <v>342</v>
          </cell>
          <cell r="I317" t="str">
            <v>Padema</v>
          </cell>
        </row>
        <row r="318">
          <cell r="G318" t="str">
            <v>Wend Panga de Latodin</v>
          </cell>
          <cell r="H318">
            <v>145</v>
          </cell>
          <cell r="I318" t="str">
            <v>Latodin</v>
          </cell>
        </row>
        <row r="319">
          <cell r="G319" t="str">
            <v>Wend Panga de Tiogo</v>
          </cell>
          <cell r="H319">
            <v>50</v>
          </cell>
          <cell r="I319" t="str">
            <v>Koudougou</v>
          </cell>
        </row>
        <row r="320">
          <cell r="G320" t="str">
            <v>Wend Penga de Guy</v>
          </cell>
          <cell r="H320">
            <v>108</v>
          </cell>
          <cell r="I320" t="str">
            <v>KOUDOUGOU</v>
          </cell>
        </row>
        <row r="321">
          <cell r="G321" t="str">
            <v>Wend Raabo</v>
          </cell>
          <cell r="H321">
            <v>317</v>
          </cell>
          <cell r="I321" t="str">
            <v>KOUDOUGOU</v>
          </cell>
        </row>
        <row r="322">
          <cell r="G322" t="str">
            <v>Wend Songdo de Boura</v>
          </cell>
          <cell r="H322">
            <v>37</v>
          </cell>
          <cell r="I322" t="str">
            <v>Guiba</v>
          </cell>
        </row>
        <row r="323">
          <cell r="G323" t="str">
            <v>WEND WAOGO</v>
          </cell>
          <cell r="H323">
            <v>181</v>
          </cell>
          <cell r="I323"/>
        </row>
        <row r="324">
          <cell r="G324" t="str">
            <v>Wend-Songda de Konki Ipala</v>
          </cell>
          <cell r="H324">
            <v>168</v>
          </cell>
          <cell r="I324" t="str">
            <v>KONKIIPALA</v>
          </cell>
        </row>
        <row r="325">
          <cell r="G325" t="str">
            <v>Wend-woaga</v>
          </cell>
          <cell r="H325">
            <v>47</v>
          </cell>
          <cell r="I325" t="str">
            <v>Koudougou ville</v>
          </cell>
        </row>
        <row r="326">
          <cell r="G326" t="str">
            <v>Wendsoo</v>
          </cell>
          <cell r="H326">
            <v>109</v>
          </cell>
          <cell r="I326" t="str">
            <v>KOUDOUGOU</v>
          </cell>
        </row>
        <row r="327">
          <cell r="G327" t="str">
            <v>Wendyiida</v>
          </cell>
          <cell r="H327">
            <v>48</v>
          </cell>
          <cell r="I327" t="str">
            <v>Zorgho</v>
          </cell>
        </row>
        <row r="328">
          <cell r="G328" t="str">
            <v>Wenkieta</v>
          </cell>
          <cell r="H328">
            <v>408</v>
          </cell>
          <cell r="I328" t="str">
            <v>KOUDOUGOU</v>
          </cell>
        </row>
        <row r="329">
          <cell r="G329" t="str">
            <v>Wenpenga</v>
          </cell>
          <cell r="H329">
            <v>42</v>
          </cell>
          <cell r="I329" t="str">
            <v>Tougan</v>
          </cell>
        </row>
        <row r="330">
          <cell r="G330" t="str">
            <v>Woignon</v>
          </cell>
          <cell r="H330">
            <v>191</v>
          </cell>
          <cell r="I330" t="str">
            <v>Loumana</v>
          </cell>
        </row>
        <row r="331">
          <cell r="G331" t="str">
            <v>Wowanyon</v>
          </cell>
          <cell r="H331">
            <v>195</v>
          </cell>
          <cell r="I331" t="str">
            <v>Loumana</v>
          </cell>
        </row>
        <row r="332">
          <cell r="G332" t="str">
            <v>Wussoum'cri des femmes de zigla polacé</v>
          </cell>
          <cell r="H332">
            <v>208</v>
          </cell>
          <cell r="I332" t="str">
            <v>Garango</v>
          </cell>
        </row>
        <row r="333">
          <cell r="G333" t="str">
            <v>Yanaba</v>
          </cell>
          <cell r="H333">
            <v>134</v>
          </cell>
          <cell r="I333" t="str">
            <v>Pama</v>
          </cell>
        </row>
        <row r="334">
          <cell r="G334" t="str">
            <v>Yanta du Houet</v>
          </cell>
          <cell r="H334">
            <v>276</v>
          </cell>
          <cell r="I334" t="str">
            <v>Bobo Secteur 10</v>
          </cell>
        </row>
        <row r="335">
          <cell r="G335" t="str">
            <v>Yeleem</v>
          </cell>
          <cell r="H335">
            <v>88</v>
          </cell>
          <cell r="I335" t="str">
            <v>Diébougou</v>
          </cell>
        </row>
        <row r="336">
          <cell r="G336" t="str">
            <v>YELEEN NOUS POUR VOUS</v>
          </cell>
          <cell r="H336">
            <v>287</v>
          </cell>
          <cell r="I336" t="str">
            <v>Bobo</v>
          </cell>
        </row>
        <row r="337">
          <cell r="G337" t="str">
            <v>Yerèkorosi</v>
          </cell>
          <cell r="H337">
            <v>249</v>
          </cell>
          <cell r="I337" t="str">
            <v>Solenzo</v>
          </cell>
        </row>
        <row r="338">
          <cell r="G338" t="str">
            <v>Yérénon</v>
          </cell>
          <cell r="H338">
            <v>251</v>
          </cell>
          <cell r="I338" t="str">
            <v>Nouna</v>
          </cell>
        </row>
        <row r="339">
          <cell r="G339" t="str">
            <v>Yijan</v>
          </cell>
          <cell r="H339">
            <v>209</v>
          </cell>
          <cell r="I339" t="str">
            <v>Sapouy</v>
          </cell>
        </row>
        <row r="340">
          <cell r="G340" t="str">
            <v>Yijan</v>
          </cell>
          <cell r="H340">
            <v>411</v>
          </cell>
          <cell r="I340" t="str">
            <v>TENADO</v>
          </cell>
        </row>
        <row r="341">
          <cell r="G341" t="str">
            <v>Yijougnin de Kamedji</v>
          </cell>
          <cell r="H341">
            <v>339</v>
          </cell>
          <cell r="I341" t="str">
            <v>KOUDOUGOU</v>
          </cell>
        </row>
        <row r="342">
          <cell r="G342" t="str">
            <v>Yiriwalibaara</v>
          </cell>
          <cell r="H342">
            <v>218</v>
          </cell>
          <cell r="I342" t="str">
            <v>Boni</v>
          </cell>
        </row>
        <row r="343">
          <cell r="G343" t="str">
            <v>Yisokiené</v>
          </cell>
          <cell r="H343">
            <v>415</v>
          </cell>
          <cell r="I343" t="str">
            <v>DASSA</v>
          </cell>
        </row>
        <row r="344">
          <cell r="G344" t="str">
            <v>Yitenedjo</v>
          </cell>
          <cell r="H344">
            <v>220</v>
          </cell>
          <cell r="I344" t="str">
            <v>Niankorodougou</v>
          </cell>
        </row>
        <row r="345">
          <cell r="G345" t="str">
            <v>Yiwazhena de Kwen</v>
          </cell>
          <cell r="H345">
            <v>116</v>
          </cell>
          <cell r="I345" t="str">
            <v>DIDYR</v>
          </cell>
        </row>
        <row r="346">
          <cell r="G346" t="str">
            <v>Yiwoadjan de Gooko</v>
          </cell>
          <cell r="H346">
            <v>132</v>
          </cell>
          <cell r="I346" t="str">
            <v>DIDYR</v>
          </cell>
        </row>
        <row r="347">
          <cell r="G347" t="str">
            <v>YiwoaZhena de Yierdion</v>
          </cell>
          <cell r="H347">
            <v>122</v>
          </cell>
          <cell r="I347" t="str">
            <v>Didyr</v>
          </cell>
        </row>
        <row r="348">
          <cell r="G348" t="str">
            <v>Yoninyēn de Kordié</v>
          </cell>
          <cell r="H348">
            <v>246</v>
          </cell>
          <cell r="I348" t="str">
            <v>Kordié</v>
          </cell>
        </row>
        <row r="349">
          <cell r="G349" t="str">
            <v>ZEMSTAABA</v>
          </cell>
          <cell r="H349">
            <v>25</v>
          </cell>
          <cell r="I349"/>
        </row>
        <row r="350">
          <cell r="G350" t="str">
            <v>Zemstaaba</v>
          </cell>
          <cell r="H350">
            <v>417</v>
          </cell>
          <cell r="I350" t="str">
            <v>RAMONGO</v>
          </cell>
        </row>
        <row r="351">
          <cell r="G351" t="str">
            <v>Zemstaaba de Koudougou</v>
          </cell>
          <cell r="H351">
            <v>62</v>
          </cell>
          <cell r="I351" t="str">
            <v>Koudougou</v>
          </cell>
        </row>
        <row r="352">
          <cell r="G352" t="str">
            <v>Zemstaaba de Nagréongo</v>
          </cell>
          <cell r="H352">
            <v>422</v>
          </cell>
          <cell r="I352" t="str">
            <v>NAGREONGO</v>
          </cell>
        </row>
        <row r="353">
          <cell r="G353" t="str">
            <v>ZEMSTAABA de Nagretenga</v>
          </cell>
          <cell r="H353">
            <v>298</v>
          </cell>
          <cell r="I353" t="str">
            <v>Ziniaré</v>
          </cell>
        </row>
        <row r="354">
          <cell r="G354" t="str">
            <v>Zemstaaba de Salbissigo</v>
          </cell>
          <cell r="H354">
            <v>106</v>
          </cell>
          <cell r="I354" t="str">
            <v>Salbissigo</v>
          </cell>
        </row>
        <row r="355">
          <cell r="G355" t="str">
            <v>zemstaaba de Tambarga</v>
          </cell>
          <cell r="H355">
            <v>201</v>
          </cell>
          <cell r="I355" t="str">
            <v>Tambarga</v>
          </cell>
        </row>
        <row r="356">
          <cell r="G356" t="str">
            <v>Zemstaaba de Tenkodogo</v>
          </cell>
          <cell r="H356">
            <v>199</v>
          </cell>
          <cell r="I356" t="str">
            <v>Tenkodogo</v>
          </cell>
        </row>
        <row r="357">
          <cell r="G357" t="str">
            <v>ZEMSTAABA RELWENDE</v>
          </cell>
          <cell r="H357">
            <v>180</v>
          </cell>
          <cell r="I357" t="str">
            <v>Nako</v>
          </cell>
        </row>
        <row r="358">
          <cell r="G358" t="str">
            <v xml:space="preserve">ZEOMIN DE SEGRO </v>
          </cell>
          <cell r="H358">
            <v>340</v>
          </cell>
          <cell r="I358" t="str">
            <v>Zambo</v>
          </cell>
        </row>
        <row r="359">
          <cell r="G359" t="str">
            <v>Zink-waogtaba</v>
          </cell>
          <cell r="H359">
            <v>60</v>
          </cell>
          <cell r="I359" t="str">
            <v>Zecco</v>
          </cell>
        </row>
        <row r="360">
          <cell r="G360" t="str">
            <v>zood nooma</v>
          </cell>
          <cell r="H360">
            <v>98</v>
          </cell>
          <cell r="I360" t="str">
            <v>Manga</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itle"/>
      <sheetName val="User Guide"/>
      <sheetName val="Settings"/>
      <sheetName val="Financial Inputs"/>
      <sheetName val="Development Inputs"/>
      <sheetName val="Calculations"/>
      <sheetName val="Workplan"/>
      <sheetName val="Fixed Assets"/>
      <sheetName val="Balance Sheet"/>
      <sheetName val="P&amp;L Statement"/>
      <sheetName val="Cash Flow"/>
      <sheetName val="Quarterly Schedule"/>
      <sheetName val="Financial KPIs"/>
      <sheetName val="Development KPIs"/>
      <sheetName val="Checks"/>
      <sheetName val="AfricaPowerModel&gt;&gt;"/>
      <sheetName val="Intro"/>
      <sheetName val="Inputs"/>
      <sheetName val="System Costs"/>
      <sheetName val="Salaries &amp; operating costs"/>
      <sheetName val="Portfolio-INFRACO"/>
      <sheetName val="Financing-INFRACO"/>
      <sheetName val="TransitionToREACT"/>
      <sheetName val="InfraCo graphs"/>
      <sheetName val="TimeLines"/>
      <sheetName val="InfraCo Financing Outputs"/>
      <sheetName val="Template"/>
    </sheetNames>
    <sheetDataSet>
      <sheetData sheetId="0" refreshError="1"/>
      <sheetData sheetId="1" refreshError="1"/>
      <sheetData sheetId="2" refreshError="1">
        <row r="13">
          <cell r="G13" t="str">
            <v>USD</v>
          </cell>
        </row>
        <row r="14">
          <cell r="G14">
            <v>1E-3</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PT outputs"/>
      <sheetName val="Outputs"/>
      <sheetName val="Outputs - Africa"/>
      <sheetName val="GII_FO Africa"/>
      <sheetName val="Version Control"/>
      <sheetName val="Input"/>
      <sheetName val="Base_FO"/>
      <sheetName val="Base_VA"/>
      <sheetName val="GII_FO"/>
      <sheetName val="GII_VA"/>
      <sheetName val="GIII_FO"/>
      <sheetName val="GII_FO_PwrImp"/>
      <sheetName val="Base_FO_mCCS"/>
      <sheetName val="Base_VA_mCCS"/>
      <sheetName val="GII_FO_mCCS"/>
      <sheetName val="GII_VA_mCCS"/>
      <sheetName val="CCS summary"/>
      <sheetName val="GII_FO-GII_FO_PwrImp"/>
      <sheetName val="Base Case FO-mCCS"/>
      <sheetName val="Base Case VA-mCCS"/>
      <sheetName val="GII_FO-mCCS"/>
      <sheetName val="GII_VA-mCCS"/>
      <sheetName val="Irbaris controls"/>
      <sheetName val="Sensitivities"/>
      <sheetName val="Assumptions"/>
      <sheetName val="Group Assumptions Carbon"/>
      <sheetName val="Group Assumptions Products"/>
      <sheetName val="Group Assumptions Macroeconomic"/>
      <sheetName val="Chemicals Prices"/>
      <sheetName val="Increment prices"/>
    </sheetNames>
    <sheetDataSet>
      <sheetData sheetId="0"/>
      <sheetData sheetId="1"/>
      <sheetData sheetId="2"/>
      <sheetData sheetId="3"/>
      <sheetData sheetId="4"/>
      <sheetData sheetId="5">
        <row r="6">
          <cell r="H6">
            <v>1</v>
          </cell>
          <cell r="I6">
            <v>2</v>
          </cell>
          <cell r="J6">
            <v>3</v>
          </cell>
          <cell r="K6">
            <v>4</v>
          </cell>
          <cell r="L6">
            <v>5</v>
          </cell>
          <cell r="M6">
            <v>6</v>
          </cell>
          <cell r="N6">
            <v>7</v>
          </cell>
          <cell r="O6">
            <v>8</v>
          </cell>
          <cell r="P6">
            <v>9</v>
          </cell>
          <cell r="Q6">
            <v>10</v>
          </cell>
          <cell r="R6">
            <v>11</v>
          </cell>
          <cell r="S6">
            <v>12</v>
          </cell>
          <cell r="T6">
            <v>13</v>
          </cell>
          <cell r="U6">
            <v>14</v>
          </cell>
          <cell r="V6">
            <v>15</v>
          </cell>
          <cell r="W6">
            <v>16</v>
          </cell>
          <cell r="X6">
            <v>17</v>
          </cell>
          <cell r="Y6">
            <v>18</v>
          </cell>
          <cell r="Z6">
            <v>19</v>
          </cell>
          <cell r="AA6">
            <v>21</v>
          </cell>
          <cell r="AB6">
            <v>25</v>
          </cell>
          <cell r="AC6">
            <v>27</v>
          </cell>
          <cell r="AD6">
            <v>28</v>
          </cell>
          <cell r="AE6">
            <v>29</v>
          </cell>
        </row>
        <row r="7">
          <cell r="H7" t="str">
            <v>2013 Ref Case 
2 phases
Fuels Only</v>
          </cell>
          <cell r="I7" t="str">
            <v>2013 Ref Case
2 phases
BO + fuels</v>
          </cell>
          <cell r="J7" t="str">
            <v>2013 Ref Case
2 phases
BO+Fuels+PEU</v>
          </cell>
          <cell r="K7" t="str">
            <v>2015 G2 Case
2 phases
Fuels</v>
          </cell>
          <cell r="L7" t="str">
            <v>2015 G2 Case
2 phases
BO + Fuels</v>
          </cell>
          <cell r="M7" t="str">
            <v>2015 G2 Case
2 phases
BO + Fuels + PEU</v>
          </cell>
          <cell r="N7" t="str">
            <v>2020 G3 Case
2 phases
Fuels</v>
          </cell>
          <cell r="O7" t="str">
            <v>2020 G3 Case
2 phases
BO + Fuels</v>
          </cell>
          <cell r="P7" t="str">
            <v>2020 G3 Case
2 phases
BO + Fuels + PEU</v>
          </cell>
          <cell r="Q7" t="str">
            <v>2013 Ref Case
1 phase
Fuels</v>
          </cell>
          <cell r="R7" t="str">
            <v>2013 Ref Case
1 phase
BO + Fuels</v>
          </cell>
          <cell r="S7" t="str">
            <v>2013 Ref Case
1 phase
BO + Fuels + PEU</v>
          </cell>
          <cell r="T7" t="str">
            <v>2013 Ref Case
2 phases
Fuels
Max CCS</v>
          </cell>
          <cell r="U7" t="str">
            <v>2013 Ref Case
2 phases
Fuels+BO
Max CCS</v>
          </cell>
          <cell r="V7" t="str">
            <v>2013 Ref Case
2 phases
Fuels+BO+PEU
Max CCS</v>
          </cell>
          <cell r="W7" t="str">
            <v>2013 Ref Case
2 phases
Fuels
500ktpa CCS</v>
          </cell>
          <cell r="X7" t="str">
            <v>2013 Ref Case
2 phases
Fuels+BO
500ktpa CCS</v>
          </cell>
          <cell r="Y7" t="str">
            <v>2013 Ref Case
2 phases
Fuels+BO+PEU
500ktpa CCS</v>
          </cell>
          <cell r="Z7" t="str">
            <v>2015 G2 Case
2 phases
Fuels
Max CCS</v>
          </cell>
          <cell r="AA7" t="str">
            <v>2015 G2 Case
2 phases
Fuels+BO+PEU
Max CCS</v>
          </cell>
          <cell r="AB7" t="str">
            <v>2020 G3 Case
2 phases
Fuels
Max CCS</v>
          </cell>
          <cell r="AC7" t="str">
            <v>2020 G3 Case
2 phases
Fuels+BO+PEU
Max CCS</v>
          </cell>
          <cell r="AD7" t="str">
            <v>GI_FO Africa</v>
          </cell>
          <cell r="AE7" t="str">
            <v>2015 G2 Case
2 phases
Fuels only Power Import</v>
          </cell>
        </row>
        <row r="8">
          <cell r="H8" t="str">
            <v>1A</v>
          </cell>
          <cell r="I8" t="str">
            <v>1B</v>
          </cell>
          <cell r="J8" t="str">
            <v>1C</v>
          </cell>
          <cell r="K8" t="str">
            <v>2A</v>
          </cell>
          <cell r="L8" t="str">
            <v>2B</v>
          </cell>
          <cell r="M8" t="str">
            <v>2C</v>
          </cell>
          <cell r="N8" t="str">
            <v>3A</v>
          </cell>
          <cell r="O8" t="str">
            <v>3B</v>
          </cell>
          <cell r="P8" t="str">
            <v>3C</v>
          </cell>
          <cell r="Q8" t="str">
            <v>1A (1 phase)</v>
          </cell>
          <cell r="R8" t="str">
            <v>1B (1 phase)</v>
          </cell>
          <cell r="S8" t="str">
            <v>1C (1 phase)</v>
          </cell>
          <cell r="T8" t="str">
            <v>1A (max CCS)</v>
          </cell>
          <cell r="U8" t="str">
            <v>1B (max CCS)</v>
          </cell>
          <cell r="V8" t="str">
            <v>1C (max CCS)</v>
          </cell>
          <cell r="W8" t="str">
            <v>1A (500ktpa CCS)</v>
          </cell>
          <cell r="X8" t="str">
            <v>1B (500ktpa CCS)</v>
          </cell>
          <cell r="Y8" t="str">
            <v>1C (500ktpa CCS)</v>
          </cell>
          <cell r="Z8" t="str">
            <v>2A (max CCS)</v>
          </cell>
          <cell r="AA8" t="str">
            <v>2C(max CCS)</v>
          </cell>
          <cell r="AB8" t="str">
            <v>3A (max CCS)</v>
          </cell>
          <cell r="AC8" t="str">
            <v>3C(max CCS)</v>
          </cell>
        </row>
        <row r="10">
          <cell r="H10">
            <v>0.93198703785535431</v>
          </cell>
          <cell r="I10">
            <v>0.93198703785535431</v>
          </cell>
          <cell r="J10">
            <v>0.93198703785535431</v>
          </cell>
          <cell r="K10">
            <v>0.93327600362992102</v>
          </cell>
          <cell r="L10">
            <v>0.93327600362992102</v>
          </cell>
          <cell r="M10">
            <v>0.93327600362992102</v>
          </cell>
          <cell r="N10">
            <v>0.93442947671991805</v>
          </cell>
          <cell r="O10">
            <v>0.93442947671991805</v>
          </cell>
          <cell r="P10">
            <v>0.93442947671991805</v>
          </cell>
          <cell r="Q10">
            <v>0.93198703785535431</v>
          </cell>
          <cell r="R10">
            <v>0.93198703785535431</v>
          </cell>
          <cell r="S10">
            <v>0.93198703785535431</v>
          </cell>
          <cell r="T10">
            <v>0.93198703785535431</v>
          </cell>
          <cell r="U10">
            <v>0.93198703785535431</v>
          </cell>
          <cell r="V10">
            <v>0.93198703785535431</v>
          </cell>
          <cell r="W10">
            <v>0.93198703785535431</v>
          </cell>
          <cell r="X10">
            <v>0.93198703785535431</v>
          </cell>
          <cell r="Y10">
            <v>0.93198703785535431</v>
          </cell>
          <cell r="Z10">
            <v>0.93327600362992102</v>
          </cell>
          <cell r="AA10">
            <v>0.93327600362992102</v>
          </cell>
          <cell r="AB10">
            <v>0.93442947671991805</v>
          </cell>
          <cell r="AC10">
            <v>0.93442947671991805</v>
          </cell>
          <cell r="AD10">
            <v>0.9</v>
          </cell>
          <cell r="AE10">
            <v>0.93327600362992102</v>
          </cell>
        </row>
        <row r="11">
          <cell r="H11">
            <v>8766.0161113557733</v>
          </cell>
          <cell r="I11">
            <v>9285.6760592608171</v>
          </cell>
          <cell r="J11">
            <v>9485.3100679626186</v>
          </cell>
          <cell r="K11">
            <v>9383.8930337414095</v>
          </cell>
          <cell r="L11">
            <v>9852.9479320666323</v>
          </cell>
          <cell r="M11">
            <v>10138.506658572847</v>
          </cell>
          <cell r="N11">
            <v>9758.7576988548153</v>
          </cell>
          <cell r="O11">
            <v>10565.520443725376</v>
          </cell>
          <cell r="P11">
            <v>10698.917553509251</v>
          </cell>
          <cell r="Q11">
            <v>4794.7601396719137</v>
          </cell>
          <cell r="R11">
            <v>5078.9992709656981</v>
          </cell>
          <cell r="S11">
            <v>5188.1933649859375</v>
          </cell>
          <cell r="T11">
            <v>9052.3575757642939</v>
          </cell>
          <cell r="U11">
            <v>9572.7019084152162</v>
          </cell>
          <cell r="V11">
            <v>9742.5008079002582</v>
          </cell>
          <cell r="W11">
            <v>8875.4458957813713</v>
          </cell>
          <cell r="X11">
            <v>9395.3469032985759</v>
          </cell>
          <cell r="Y11">
            <v>9593.9044698622238</v>
          </cell>
          <cell r="Z11">
            <v>9538.13939567329</v>
          </cell>
          <cell r="AA11">
            <v>10292.521671487601</v>
          </cell>
          <cell r="AB11">
            <v>9900.7923438055423</v>
          </cell>
          <cell r="AC11">
            <v>10821.274568858506</v>
          </cell>
          <cell r="AD11">
            <v>9383.8930337414095</v>
          </cell>
          <cell r="AE11">
            <v>9069.3139810150769</v>
          </cell>
        </row>
        <row r="12">
          <cell r="H12">
            <v>617.87692238563614</v>
          </cell>
          <cell r="I12">
            <v>567.27187280581529</v>
          </cell>
          <cell r="J12">
            <v>653.19659061022867</v>
          </cell>
        </row>
        <row r="15">
          <cell r="H15">
            <v>1103382.1344416514</v>
          </cell>
          <cell r="I15">
            <v>1107074.8387064468</v>
          </cell>
          <cell r="J15">
            <v>1107075.9832725222</v>
          </cell>
          <cell r="K15">
            <v>1126661.6383365553</v>
          </cell>
          <cell r="L15">
            <v>1131148.5319161655</v>
          </cell>
          <cell r="M15">
            <v>1133585.2217773674</v>
          </cell>
          <cell r="N15">
            <v>1193687.6485996759</v>
          </cell>
          <cell r="O15">
            <v>1203099.4127495813</v>
          </cell>
          <cell r="P15">
            <v>1203964.5821698203</v>
          </cell>
          <cell r="Q15">
            <v>552036.46011515497</v>
          </cell>
          <cell r="R15">
            <v>553883.96817873383</v>
          </cell>
          <cell r="S15">
            <v>553537.99163626111</v>
          </cell>
          <cell r="T15">
            <v>1102663.1529253623</v>
          </cell>
          <cell r="U15">
            <v>1106357.822845974</v>
          </cell>
          <cell r="V15">
            <v>1106404.9236083804</v>
          </cell>
          <cell r="W15">
            <v>1103115.37150387</v>
          </cell>
          <cell r="X15">
            <v>1106809.8310683772</v>
          </cell>
          <cell r="Y15">
            <v>1106854.5408245784</v>
          </cell>
          <cell r="Z15">
            <v>1130104.2865331289</v>
          </cell>
          <cell r="AA15">
            <v>1136028.1438305781</v>
          </cell>
          <cell r="AB15">
            <v>1196478.156277434</v>
          </cell>
          <cell r="AC15">
            <v>1206469.3077892738</v>
          </cell>
          <cell r="AD15">
            <v>1126661.6383365553</v>
          </cell>
          <cell r="AE15">
            <v>1090041.9753287919</v>
          </cell>
        </row>
        <row r="16">
          <cell r="H16">
            <v>11023.919568349274</v>
          </cell>
          <cell r="I16">
            <v>11060.938949593474</v>
          </cell>
          <cell r="J16">
            <v>11062.210128942512</v>
          </cell>
          <cell r="K16">
            <v>11253.773693179797</v>
          </cell>
          <cell r="L16">
            <v>11298.754826819251</v>
          </cell>
          <cell r="M16">
            <v>11324.656843416653</v>
          </cell>
          <cell r="N16">
            <v>11919.441291534798</v>
          </cell>
          <cell r="O16">
            <v>12013.794280634824</v>
          </cell>
          <cell r="P16">
            <v>12023.068522615582</v>
          </cell>
          <cell r="Q16">
            <v>5515.4223499035288</v>
          </cell>
          <cell r="R16">
            <v>5533.9436681540774</v>
          </cell>
          <cell r="S16">
            <v>5531.1050644712559</v>
          </cell>
          <cell r="T16">
            <v>11016.707603864959</v>
          </cell>
          <cell r="U16">
            <v>11053.746690819891</v>
          </cell>
          <cell r="V16">
            <v>11055.482973555663</v>
          </cell>
          <cell r="W16">
            <v>11021.241867632938</v>
          </cell>
          <cell r="X16">
            <v>11058.278845766727</v>
          </cell>
          <cell r="Y16">
            <v>11059.990388703707</v>
          </cell>
          <cell r="Z16">
            <v>11288.287942695999</v>
          </cell>
          <cell r="AA16">
            <v>11349.147150885856</v>
          </cell>
          <cell r="AB16">
            <v>11947.42097207167</v>
          </cell>
          <cell r="AC16">
            <v>12048.178411187664</v>
          </cell>
          <cell r="AD16">
            <v>11253.773693179797</v>
          </cell>
          <cell r="AE16">
            <v>10886.663045155132</v>
          </cell>
        </row>
        <row r="19">
          <cell r="H19">
            <v>2825.8064516129034</v>
          </cell>
          <cell r="I19">
            <v>2825.8064516129034</v>
          </cell>
          <cell r="J19">
            <v>2825.8064516129034</v>
          </cell>
          <cell r="K19">
            <v>2487.0662460567823</v>
          </cell>
          <cell r="L19">
            <v>2487.0662460567823</v>
          </cell>
          <cell r="M19">
            <v>2487.0662460567823</v>
          </cell>
          <cell r="N19">
            <v>2183.93351800554</v>
          </cell>
          <cell r="O19">
            <v>2183.93351800554</v>
          </cell>
          <cell r="P19">
            <v>2183.93351800554</v>
          </cell>
          <cell r="Q19">
            <v>1412.9032258064517</v>
          </cell>
          <cell r="R19">
            <v>1412.9032258064517</v>
          </cell>
          <cell r="S19">
            <v>1412.9032258064517</v>
          </cell>
          <cell r="T19">
            <v>2825.8064516129034</v>
          </cell>
          <cell r="U19">
            <v>2825.8064516129034</v>
          </cell>
          <cell r="V19">
            <v>2825.8064516129034</v>
          </cell>
          <cell r="W19">
            <v>2825.8064516129034</v>
          </cell>
          <cell r="X19">
            <v>2825.8064516129034</v>
          </cell>
          <cell r="Y19">
            <v>2825.8064516129034</v>
          </cell>
          <cell r="Z19">
            <v>2487.0662460567823</v>
          </cell>
          <cell r="AA19">
            <v>2487.0662460567823</v>
          </cell>
          <cell r="AB19">
            <v>2183.93351800554</v>
          </cell>
          <cell r="AC19">
            <v>2183.93351800554</v>
          </cell>
          <cell r="AD19">
            <v>2487.0662460567823</v>
          </cell>
          <cell r="AE19">
            <v>2487.0662460567823</v>
          </cell>
        </row>
        <row r="20">
          <cell r="H20">
            <v>13663.134385553463</v>
          </cell>
          <cell r="I20">
            <v>13839.66772589731</v>
          </cell>
          <cell r="J20">
            <v>13986.033431762313</v>
          </cell>
          <cell r="K20">
            <v>10765.057144293549</v>
          </cell>
          <cell r="L20">
            <v>10983.632987594698</v>
          </cell>
          <cell r="M20">
            <v>11093.639599671013</v>
          </cell>
          <cell r="N20">
            <v>9387.1044167282671</v>
          </cell>
          <cell r="O20">
            <v>9837.0430099421046</v>
          </cell>
          <cell r="P20">
            <v>9884.8754098512763</v>
          </cell>
          <cell r="Q20">
            <v>6848.0790380247445</v>
          </cell>
          <cell r="R20">
            <v>6936.5590480581241</v>
          </cell>
          <cell r="S20">
            <v>6993.0167158811564</v>
          </cell>
          <cell r="T20">
            <v>14084.468242467396</v>
          </cell>
          <cell r="U20">
            <v>14309.867383177694</v>
          </cell>
          <cell r="V20">
            <v>14504.35466333232</v>
          </cell>
          <cell r="W20">
            <v>13739.584827344952</v>
          </cell>
          <cell r="X20">
            <v>13964.971127604425</v>
          </cell>
          <cell r="Y20">
            <v>14158.436378793504</v>
          </cell>
          <cell r="Z20">
            <v>10935.530879432195</v>
          </cell>
          <cell r="AA20">
            <v>11212.644817518383</v>
          </cell>
          <cell r="AB20">
            <v>9524.0470526121444</v>
          </cell>
          <cell r="AC20">
            <v>10004.702781322263</v>
          </cell>
          <cell r="AD20">
            <v>10765.057144293549</v>
          </cell>
          <cell r="AE20">
            <v>8983.9237595587929</v>
          </cell>
        </row>
        <row r="21">
          <cell r="H21">
            <v>11311.502644909015</v>
          </cell>
          <cell r="I21">
            <v>10921.35314242178</v>
          </cell>
          <cell r="J21">
            <v>11938.238636245555</v>
          </cell>
          <cell r="K21">
            <v>11541.476267643693</v>
          </cell>
          <cell r="L21">
            <v>11146.480949834151</v>
          </cell>
          <cell r="M21">
            <v>13189.572819182975</v>
          </cell>
          <cell r="N21">
            <v>11496.508819827086</v>
          </cell>
          <cell r="O21">
            <v>10664.386325549309</v>
          </cell>
          <cell r="P21">
            <v>11420.800864184586</v>
          </cell>
          <cell r="Q21">
            <v>5163.0935426349506</v>
          </cell>
          <cell r="R21">
            <v>4985.0112453319753</v>
          </cell>
          <cell r="S21">
            <v>5903.6003247561939</v>
          </cell>
          <cell r="T21">
            <v>15547.273455849387</v>
          </cell>
          <cell r="U21">
            <v>15156.920853894339</v>
          </cell>
          <cell r="V21">
            <v>16176.76441045862</v>
          </cell>
          <cell r="W21">
            <v>12715.778959916148</v>
          </cell>
          <cell r="X21">
            <v>12325.448180837187</v>
          </cell>
          <cell r="Y21">
            <v>13345.743994532429</v>
          </cell>
          <cell r="Z21">
            <v>13580.114707394969</v>
          </cell>
          <cell r="AA21">
            <v>14088.260159399808</v>
          </cell>
          <cell r="AB21">
            <v>13276.13031824493</v>
          </cell>
          <cell r="AC21">
            <v>12771.704431943816</v>
          </cell>
          <cell r="AD21">
            <v>11541.476267643693</v>
          </cell>
          <cell r="AE21">
            <v>11548.682829824418</v>
          </cell>
        </row>
        <row r="22">
          <cell r="H22">
            <v>0</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0</v>
          </cell>
          <cell r="Y22">
            <v>0</v>
          </cell>
          <cell r="Z22">
            <v>0</v>
          </cell>
          <cell r="AA22">
            <v>0</v>
          </cell>
          <cell r="AB22">
            <v>0</v>
          </cell>
          <cell r="AC22">
            <v>0</v>
          </cell>
          <cell r="AD22">
            <v>0</v>
          </cell>
          <cell r="AE22">
            <v>0</v>
          </cell>
        </row>
        <row r="23">
          <cell r="H23">
            <v>0</v>
          </cell>
          <cell r="I23">
            <v>0</v>
          </cell>
          <cell r="J23">
            <v>0</v>
          </cell>
          <cell r="K23">
            <v>0</v>
          </cell>
          <cell r="L23">
            <v>0</v>
          </cell>
          <cell r="M23">
            <v>0</v>
          </cell>
          <cell r="N23">
            <v>0</v>
          </cell>
          <cell r="O23">
            <v>0</v>
          </cell>
          <cell r="P23">
            <v>0</v>
          </cell>
          <cell r="Q23">
            <v>0</v>
          </cell>
          <cell r="R23">
            <v>0</v>
          </cell>
          <cell r="S23">
            <v>0</v>
          </cell>
          <cell r="T23">
            <v>0</v>
          </cell>
          <cell r="U23">
            <v>0</v>
          </cell>
          <cell r="V23">
            <v>0</v>
          </cell>
          <cell r="W23">
            <v>0</v>
          </cell>
          <cell r="X23">
            <v>0</v>
          </cell>
          <cell r="Y23">
            <v>0</v>
          </cell>
          <cell r="Z23">
            <v>0</v>
          </cell>
          <cell r="AA23">
            <v>0</v>
          </cell>
          <cell r="AB23">
            <v>0</v>
          </cell>
          <cell r="AC23">
            <v>0</v>
          </cell>
          <cell r="AD23">
            <v>0</v>
          </cell>
          <cell r="AE23">
            <v>220</v>
          </cell>
        </row>
        <row r="27">
          <cell r="H27">
            <v>71694.16</v>
          </cell>
          <cell r="I27">
            <v>53872.424081910023</v>
          </cell>
          <cell r="J27">
            <v>40844.354598378835</v>
          </cell>
          <cell r="K27">
            <v>75985.018200000006</v>
          </cell>
          <cell r="L27">
            <v>58131.873427061335</v>
          </cell>
          <cell r="M27">
            <v>43273.147939555129</v>
          </cell>
          <cell r="N27">
            <v>98945.816399999996</v>
          </cell>
          <cell r="O27">
            <v>57722.593515871311</v>
          </cell>
          <cell r="P27">
            <v>52106.170506486051</v>
          </cell>
          <cell r="Q27">
            <v>35847.08</v>
          </cell>
          <cell r="R27">
            <v>26936.212040955012</v>
          </cell>
          <cell r="S27">
            <v>20422.177299189418</v>
          </cell>
          <cell r="T27">
            <v>71708.278600000005</v>
          </cell>
          <cell r="U27">
            <v>53875.894144587714</v>
          </cell>
          <cell r="V27">
            <v>40838.108652948285</v>
          </cell>
          <cell r="W27">
            <v>71706.305399999997</v>
          </cell>
          <cell r="X27">
            <v>53875.038166084953</v>
          </cell>
          <cell r="Y27">
            <v>40838.108652948285</v>
          </cell>
          <cell r="Z27">
            <v>75976.008799999996</v>
          </cell>
          <cell r="AA27">
            <v>43273.147939555129</v>
          </cell>
          <cell r="AB27">
            <v>98946.695800000001</v>
          </cell>
          <cell r="AC27">
            <v>52106.170506486051</v>
          </cell>
          <cell r="AD27">
            <v>75985.018200000006</v>
          </cell>
          <cell r="AE27">
            <v>75976.008799999996</v>
          </cell>
        </row>
        <row r="28">
          <cell r="H28">
            <v>33708.321000000004</v>
          </cell>
          <cell r="I28">
            <v>30542.874353976968</v>
          </cell>
          <cell r="J28">
            <v>31072.314446816556</v>
          </cell>
          <cell r="K28">
            <v>38224.239000000001</v>
          </cell>
          <cell r="L28">
            <v>34922.346750544464</v>
          </cell>
          <cell r="M28">
            <v>35525.2641472818</v>
          </cell>
          <cell r="N28">
            <v>28088.269</v>
          </cell>
          <cell r="O28">
            <v>22868.259171346876</v>
          </cell>
          <cell r="P28">
            <v>23120.338591907457</v>
          </cell>
          <cell r="Q28">
            <v>16854.160500000002</v>
          </cell>
          <cell r="R28">
            <v>15271.437176988484</v>
          </cell>
          <cell r="S28">
            <v>15536.157223408278</v>
          </cell>
          <cell r="T28">
            <v>33706.727400000003</v>
          </cell>
          <cell r="U28">
            <v>30540.291862178037</v>
          </cell>
          <cell r="V28">
            <v>31077.076458976037</v>
          </cell>
          <cell r="W28">
            <v>33706.481</v>
          </cell>
          <cell r="X28">
            <v>30540.164672423089</v>
          </cell>
          <cell r="Y28">
            <v>31077.076458976037</v>
          </cell>
          <cell r="Z28">
            <v>38227.019200000002</v>
          </cell>
          <cell r="AA28">
            <v>35525.2641472818</v>
          </cell>
          <cell r="AB28">
            <v>28078.6564</v>
          </cell>
          <cell r="AC28">
            <v>23120.338591907457</v>
          </cell>
          <cell r="AD28">
            <v>38224.239000000001</v>
          </cell>
          <cell r="AE28">
            <v>38227.019200000002</v>
          </cell>
        </row>
        <row r="29">
          <cell r="H29">
            <v>5432.3491800000002</v>
          </cell>
          <cell r="I29">
            <v>5942.0865730347177</v>
          </cell>
          <cell r="J29">
            <v>5823.2529426545525</v>
          </cell>
          <cell r="K29">
            <v>9181.4377199999999</v>
          </cell>
          <cell r="L29">
            <v>9646.5992404697554</v>
          </cell>
          <cell r="M29">
            <v>9607.1407947859025</v>
          </cell>
          <cell r="N29">
            <v>4725.8893399999997</v>
          </cell>
          <cell r="O29">
            <v>6635.3492930505245</v>
          </cell>
          <cell r="P29">
            <v>6508.9097844027183</v>
          </cell>
          <cell r="Q29">
            <v>2716.1745900000001</v>
          </cell>
          <cell r="R29">
            <v>2971.0432865173589</v>
          </cell>
          <cell r="S29">
            <v>2911.6264713272762</v>
          </cell>
          <cell r="T29">
            <v>5430.2476999999999</v>
          </cell>
          <cell r="U29">
            <v>5940.6032575919317</v>
          </cell>
          <cell r="V29">
            <v>5830.5204361045262</v>
          </cell>
          <cell r="W29">
            <v>5430.4786599999998</v>
          </cell>
          <cell r="X29">
            <v>5940.7747324728734</v>
          </cell>
          <cell r="Y29">
            <v>5830.5204361045262</v>
          </cell>
          <cell r="Z29">
            <v>9180.8418000000001</v>
          </cell>
          <cell r="AA29">
            <v>9607.1407947859025</v>
          </cell>
          <cell r="AB29">
            <v>4722.9078399999999</v>
          </cell>
          <cell r="AC29">
            <v>6508.9097844027183</v>
          </cell>
          <cell r="AD29">
            <v>9181.4377199999999</v>
          </cell>
          <cell r="AE29">
            <v>9180.8418000000001</v>
          </cell>
        </row>
        <row r="30">
          <cell r="H30">
            <v>0</v>
          </cell>
          <cell r="I30">
            <v>0</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row>
        <row r="31">
          <cell r="H31">
            <v>0</v>
          </cell>
          <cell r="I31">
            <v>0</v>
          </cell>
          <cell r="J31">
            <v>0</v>
          </cell>
          <cell r="K31">
            <v>0</v>
          </cell>
          <cell r="L31">
            <v>0</v>
          </cell>
          <cell r="M31">
            <v>0</v>
          </cell>
          <cell r="N31">
            <v>0</v>
          </cell>
          <cell r="O31">
            <v>0</v>
          </cell>
          <cell r="P31">
            <v>0</v>
          </cell>
          <cell r="Q31">
            <v>0</v>
          </cell>
          <cell r="R31">
            <v>0</v>
          </cell>
          <cell r="S31">
            <v>0</v>
          </cell>
          <cell r="T31">
            <v>0</v>
          </cell>
          <cell r="U31">
            <v>0</v>
          </cell>
          <cell r="V31">
            <v>0</v>
          </cell>
          <cell r="W31">
            <v>0</v>
          </cell>
          <cell r="X31">
            <v>0</v>
          </cell>
          <cell r="Y31">
            <v>0</v>
          </cell>
          <cell r="Z31">
            <v>0</v>
          </cell>
          <cell r="AA31">
            <v>0</v>
          </cell>
          <cell r="AB31">
            <v>0</v>
          </cell>
          <cell r="AC31">
            <v>0</v>
          </cell>
          <cell r="AD31">
            <v>0</v>
          </cell>
          <cell r="AE31">
            <v>0</v>
          </cell>
        </row>
        <row r="32">
          <cell r="H32">
            <v>110834.83018</v>
          </cell>
          <cell r="I32">
            <v>108748.08212606399</v>
          </cell>
          <cell r="J32">
            <v>96141.309586602918</v>
          </cell>
          <cell r="K32">
            <v>123390.69492000001</v>
          </cell>
          <cell r="L32">
            <v>121297.34918945118</v>
          </cell>
          <cell r="M32">
            <v>106993.70795557922</v>
          </cell>
          <cell r="N32">
            <v>131759.97474000001</v>
          </cell>
          <cell r="O32">
            <v>126980.04560687132</v>
          </cell>
          <cell r="P32">
            <v>121496.66785258216</v>
          </cell>
          <cell r="Q32">
            <v>55417.415090000002</v>
          </cell>
          <cell r="R32">
            <v>54374.041063031997</v>
          </cell>
          <cell r="S32">
            <v>48070.654793301459</v>
          </cell>
          <cell r="T32">
            <v>110845.2537</v>
          </cell>
          <cell r="U32">
            <v>108757.27894494229</v>
          </cell>
          <cell r="V32">
            <v>96141.361256944336</v>
          </cell>
          <cell r="W32">
            <v>110843.26505999999</v>
          </cell>
          <cell r="X32">
            <v>108755.41935267874</v>
          </cell>
          <cell r="Y32">
            <v>96141.361256944336</v>
          </cell>
          <cell r="Z32">
            <v>123383.86979999999</v>
          </cell>
          <cell r="AA32">
            <v>106993.70795557922</v>
          </cell>
          <cell r="AB32">
            <v>131748.26003999999</v>
          </cell>
          <cell r="AC32">
            <v>121496.66785258216</v>
          </cell>
          <cell r="AD32">
            <v>123390.69492000001</v>
          </cell>
          <cell r="AE32">
            <v>123383.86979999999</v>
          </cell>
        </row>
        <row r="35">
          <cell r="H35">
            <v>83.903387049840831</v>
          </cell>
          <cell r="I35">
            <v>80.53950719623262</v>
          </cell>
          <cell r="J35">
            <v>63.043031313397982</v>
          </cell>
          <cell r="K35">
            <v>0</v>
          </cell>
          <cell r="L35">
            <v>0</v>
          </cell>
          <cell r="M35">
            <v>0</v>
          </cell>
          <cell r="N35">
            <v>0</v>
          </cell>
          <cell r="O35">
            <v>0</v>
          </cell>
          <cell r="P35">
            <v>8.867724037987303E-3</v>
          </cell>
          <cell r="Q35">
            <v>41.951693524920415</v>
          </cell>
          <cell r="R35">
            <v>40.26975359811631</v>
          </cell>
          <cell r="S35">
            <v>31.521515656698991</v>
          </cell>
          <cell r="T35">
            <v>32.146215745735752</v>
          </cell>
          <cell r="U35">
            <v>28.780537412298258</v>
          </cell>
          <cell r="V35">
            <v>11.282586408642082</v>
          </cell>
          <cell r="W35">
            <v>66.753661461497956</v>
          </cell>
          <cell r="X35">
            <v>63.388175442173669</v>
          </cell>
          <cell r="Y35">
            <v>45.896351186799464</v>
          </cell>
          <cell r="Z35">
            <v>0</v>
          </cell>
          <cell r="AA35">
            <v>0</v>
          </cell>
          <cell r="AB35">
            <v>0</v>
          </cell>
          <cell r="AC35">
            <v>0</v>
          </cell>
          <cell r="AD35">
            <v>0</v>
          </cell>
          <cell r="AE35">
            <v>0</v>
          </cell>
        </row>
        <row r="38">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row>
        <row r="39">
          <cell r="H39">
            <v>0</v>
          </cell>
          <cell r="I39">
            <v>5376.6400540841942</v>
          </cell>
          <cell r="J39">
            <v>5377.7288134736682</v>
          </cell>
          <cell r="K39">
            <v>0</v>
          </cell>
          <cell r="L39">
            <v>5639.305501310334</v>
          </cell>
          <cell r="M39">
            <v>5636.9823003435431</v>
          </cell>
          <cell r="N39">
            <v>0</v>
          </cell>
          <cell r="O39">
            <v>8369.9800377636602</v>
          </cell>
          <cell r="P39">
            <v>8371.1539328756626</v>
          </cell>
          <cell r="Q39">
            <v>0</v>
          </cell>
          <cell r="R39">
            <v>2688.3200270420971</v>
          </cell>
          <cell r="S39">
            <v>2688.8644067368341</v>
          </cell>
          <cell r="T39">
            <v>0</v>
          </cell>
          <cell r="U39">
            <v>5378.1065889571255</v>
          </cell>
          <cell r="V39">
            <v>5376.7274291204703</v>
          </cell>
          <cell r="W39">
            <v>0</v>
          </cell>
          <cell r="X39">
            <v>5377.922816784735</v>
          </cell>
          <cell r="Y39">
            <v>5376.7274291204703</v>
          </cell>
          <cell r="Z39">
            <v>0</v>
          </cell>
          <cell r="AA39">
            <v>5636.9823003435431</v>
          </cell>
          <cell r="AB39">
            <v>0</v>
          </cell>
          <cell r="AC39">
            <v>8371.1539328756626</v>
          </cell>
          <cell r="AD39">
            <v>0</v>
          </cell>
          <cell r="AE39">
            <v>0</v>
          </cell>
        </row>
        <row r="40">
          <cell r="H40">
            <v>0</v>
          </cell>
          <cell r="I40">
            <v>5912.0969473099458</v>
          </cell>
          <cell r="J40">
            <v>5914.0382404673928</v>
          </cell>
          <cell r="K40">
            <v>0</v>
          </cell>
          <cell r="L40">
            <v>6126.9411420607921</v>
          </cell>
          <cell r="M40">
            <v>6124.3408337862202</v>
          </cell>
          <cell r="N40">
            <v>0</v>
          </cell>
          <cell r="O40">
            <v>10391.785764784701</v>
          </cell>
          <cell r="P40">
            <v>10393.438670947427</v>
          </cell>
          <cell r="Q40">
            <v>0</v>
          </cell>
          <cell r="R40">
            <v>2956.0484736549729</v>
          </cell>
          <cell r="S40">
            <v>2957.0191202336964</v>
          </cell>
          <cell r="T40">
            <v>0</v>
          </cell>
          <cell r="U40">
            <v>5914.2197072778399</v>
          </cell>
          <cell r="V40">
            <v>5912.6907451767947</v>
          </cell>
          <cell r="W40">
            <v>0</v>
          </cell>
          <cell r="X40">
            <v>5913.9728454521055</v>
          </cell>
          <cell r="Y40">
            <v>5912.6907451767947</v>
          </cell>
          <cell r="Z40">
            <v>0</v>
          </cell>
          <cell r="AA40">
            <v>6124.3408337862202</v>
          </cell>
          <cell r="AB40">
            <v>0</v>
          </cell>
          <cell r="AC40">
            <v>10393.438670947427</v>
          </cell>
          <cell r="AD40">
            <v>0</v>
          </cell>
          <cell r="AE40">
            <v>0</v>
          </cell>
        </row>
        <row r="41">
          <cell r="H41">
            <v>0</v>
          </cell>
          <cell r="I41">
            <v>3626.9317320966215</v>
          </cell>
          <cell r="J41">
            <v>3629.6326647050255</v>
          </cell>
          <cell r="K41">
            <v>0</v>
          </cell>
          <cell r="L41">
            <v>3608.6076641837635</v>
          </cell>
          <cell r="M41">
            <v>3606.9196155656837</v>
          </cell>
          <cell r="N41">
            <v>0</v>
          </cell>
          <cell r="O41">
            <v>8786.3910778847094</v>
          </cell>
          <cell r="P41">
            <v>8788.1399051177577</v>
          </cell>
          <cell r="Q41">
            <v>0</v>
          </cell>
          <cell r="R41">
            <v>1813.4658660483108</v>
          </cell>
          <cell r="S41">
            <v>1814.8163323525127</v>
          </cell>
          <cell r="T41">
            <v>0</v>
          </cell>
          <cell r="U41">
            <v>3629.2692790690535</v>
          </cell>
          <cell r="V41">
            <v>3628.3060275306048</v>
          </cell>
          <cell r="W41">
            <v>0</v>
          </cell>
          <cell r="X41">
            <v>3629.0269481426621</v>
          </cell>
          <cell r="Y41">
            <v>3628.3060275306048</v>
          </cell>
          <cell r="Z41">
            <v>0</v>
          </cell>
          <cell r="AA41">
            <v>3606.9196155656837</v>
          </cell>
          <cell r="AB41">
            <v>0</v>
          </cell>
          <cell r="AC41">
            <v>8788.1399051177577</v>
          </cell>
          <cell r="AD41">
            <v>0</v>
          </cell>
          <cell r="AE41">
            <v>0</v>
          </cell>
        </row>
        <row r="42">
          <cell r="H42">
            <v>0</v>
          </cell>
          <cell r="I42">
            <v>3475.0283836515264</v>
          </cell>
          <cell r="J42">
            <v>3479.9878801068858</v>
          </cell>
          <cell r="K42">
            <v>0</v>
          </cell>
          <cell r="L42">
            <v>3221.6754638207335</v>
          </cell>
          <cell r="M42">
            <v>3219.9123242609371</v>
          </cell>
          <cell r="N42">
            <v>0</v>
          </cell>
          <cell r="O42">
            <v>12205.686746169555</v>
          </cell>
          <cell r="P42">
            <v>12208.516460845105</v>
          </cell>
          <cell r="Q42">
            <v>0</v>
          </cell>
          <cell r="R42">
            <v>1737.5141918257632</v>
          </cell>
          <cell r="S42">
            <v>1739.9939400534429</v>
          </cell>
          <cell r="T42">
            <v>0</v>
          </cell>
          <cell r="U42">
            <v>3478.8941052805953</v>
          </cell>
          <cell r="V42">
            <v>3477.9315070876228</v>
          </cell>
          <cell r="W42">
            <v>0</v>
          </cell>
          <cell r="X42">
            <v>3478.5191713183358</v>
          </cell>
          <cell r="Y42">
            <v>3477.9315070876228</v>
          </cell>
          <cell r="Z42">
            <v>0</v>
          </cell>
          <cell r="AA42">
            <v>3219.9123242609371</v>
          </cell>
          <cell r="AB42">
            <v>0</v>
          </cell>
          <cell r="AC42">
            <v>12208.516460845105</v>
          </cell>
          <cell r="AD42">
            <v>0</v>
          </cell>
          <cell r="AE42">
            <v>0</v>
          </cell>
        </row>
        <row r="45">
          <cell r="H45">
            <v>0</v>
          </cell>
          <cell r="I45">
            <v>0</v>
          </cell>
          <cell r="J45">
            <v>1247.7545997759371</v>
          </cell>
          <cell r="K45">
            <v>0</v>
          </cell>
          <cell r="L45">
            <v>0</v>
          </cell>
          <cell r="M45">
            <v>1420.5308978394528</v>
          </cell>
          <cell r="N45">
            <v>0</v>
          </cell>
          <cell r="O45">
            <v>0</v>
          </cell>
          <cell r="P45">
            <v>545.75273259934829</v>
          </cell>
          <cell r="Q45">
            <v>0</v>
          </cell>
          <cell r="R45">
            <v>0</v>
          </cell>
          <cell r="S45">
            <v>623.87729988796855</v>
          </cell>
          <cell r="T45">
            <v>0</v>
          </cell>
          <cell r="U45">
            <v>0</v>
          </cell>
          <cell r="V45">
            <v>1247.9283724177214</v>
          </cell>
          <cell r="W45">
            <v>0</v>
          </cell>
          <cell r="X45">
            <v>0</v>
          </cell>
          <cell r="Y45">
            <v>1247.9283724177214</v>
          </cell>
          <cell r="Z45">
            <v>0</v>
          </cell>
          <cell r="AA45">
            <v>1420.5308978394528</v>
          </cell>
          <cell r="AB45">
            <v>0</v>
          </cell>
          <cell r="AC45">
            <v>545.75273259934829</v>
          </cell>
          <cell r="AD45">
            <v>0</v>
          </cell>
          <cell r="AE45">
            <v>0</v>
          </cell>
        </row>
        <row r="46">
          <cell r="H46">
            <v>0</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row>
        <row r="48">
          <cell r="H48">
            <v>0</v>
          </cell>
          <cell r="I48">
            <v>0</v>
          </cell>
          <cell r="J48">
            <v>0</v>
          </cell>
          <cell r="K48">
            <v>0</v>
          </cell>
          <cell r="L48">
            <v>0</v>
          </cell>
          <cell r="M48">
            <v>0</v>
          </cell>
          <cell r="N48">
            <v>0</v>
          </cell>
          <cell r="O48">
            <v>0</v>
          </cell>
          <cell r="P48">
            <v>0</v>
          </cell>
          <cell r="Q48">
            <v>0</v>
          </cell>
          <cell r="R48">
            <v>0</v>
          </cell>
          <cell r="S48">
            <v>0</v>
          </cell>
          <cell r="T48">
            <v>0</v>
          </cell>
          <cell r="U48">
            <v>0</v>
          </cell>
          <cell r="V48">
            <v>0</v>
          </cell>
          <cell r="W48">
            <v>0</v>
          </cell>
          <cell r="X48">
            <v>0</v>
          </cell>
          <cell r="Y48">
            <v>0</v>
          </cell>
          <cell r="Z48">
            <v>0</v>
          </cell>
          <cell r="AA48">
            <v>0</v>
          </cell>
          <cell r="AB48">
            <v>0</v>
          </cell>
          <cell r="AC48">
            <v>0</v>
          </cell>
          <cell r="AD48">
            <v>0</v>
          </cell>
          <cell r="AE48">
            <v>0</v>
          </cell>
        </row>
        <row r="49">
          <cell r="H49">
            <v>0</v>
          </cell>
          <cell r="I49">
            <v>0</v>
          </cell>
          <cell r="J49">
            <v>0</v>
          </cell>
          <cell r="K49">
            <v>0</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row>
        <row r="50">
          <cell r="H50">
            <v>0</v>
          </cell>
          <cell r="I50">
            <v>0</v>
          </cell>
          <cell r="J50">
            <v>0</v>
          </cell>
          <cell r="K50">
            <v>0</v>
          </cell>
          <cell r="L50">
            <v>0</v>
          </cell>
          <cell r="M50">
            <v>0</v>
          </cell>
          <cell r="N50">
            <v>0</v>
          </cell>
          <cell r="O50">
            <v>0</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row>
        <row r="51">
          <cell r="H51">
            <v>0</v>
          </cell>
          <cell r="I51">
            <v>0</v>
          </cell>
          <cell r="J51">
            <v>0</v>
          </cell>
          <cell r="K51">
            <v>0</v>
          </cell>
          <cell r="L51">
            <v>0</v>
          </cell>
          <cell r="M51">
            <v>0</v>
          </cell>
          <cell r="N51">
            <v>0</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0</v>
          </cell>
        </row>
        <row r="52">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row>
        <row r="53">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row>
        <row r="54">
          <cell r="H54">
            <v>0</v>
          </cell>
          <cell r="I54">
            <v>0</v>
          </cell>
          <cell r="J54">
            <v>303.88933462406294</v>
          </cell>
          <cell r="K54">
            <v>0</v>
          </cell>
          <cell r="L54">
            <v>0</v>
          </cell>
          <cell r="M54">
            <v>347.04011976054744</v>
          </cell>
          <cell r="N54">
            <v>0</v>
          </cell>
          <cell r="O54">
            <v>0</v>
          </cell>
          <cell r="P54">
            <v>124.33857620065169</v>
          </cell>
          <cell r="Q54">
            <v>0</v>
          </cell>
          <cell r="R54">
            <v>0</v>
          </cell>
          <cell r="S54">
            <v>151.94466731203147</v>
          </cell>
          <cell r="T54">
            <v>0</v>
          </cell>
          <cell r="U54">
            <v>0</v>
          </cell>
          <cell r="V54">
            <v>303.90978438227853</v>
          </cell>
          <cell r="W54">
            <v>0</v>
          </cell>
          <cell r="X54">
            <v>0</v>
          </cell>
          <cell r="Y54">
            <v>303.90978438227853</v>
          </cell>
          <cell r="Z54">
            <v>0</v>
          </cell>
          <cell r="AA54">
            <v>347.04011976054744</v>
          </cell>
          <cell r="AB54">
            <v>0</v>
          </cell>
          <cell r="AC54">
            <v>124.33857620065169</v>
          </cell>
          <cell r="AD54">
            <v>0</v>
          </cell>
          <cell r="AE54">
            <v>0</v>
          </cell>
        </row>
        <row r="55">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row>
        <row r="57">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row>
        <row r="59">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row>
        <row r="60">
          <cell r="H60">
            <v>0</v>
          </cell>
          <cell r="I60">
            <v>0</v>
          </cell>
          <cell r="J60">
            <v>0</v>
          </cell>
          <cell r="K60">
            <v>0</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row>
        <row r="61">
          <cell r="H61">
            <v>0</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row>
        <row r="62">
          <cell r="H62">
            <v>0</v>
          </cell>
          <cell r="I62">
            <v>0</v>
          </cell>
          <cell r="J62">
            <v>0</v>
          </cell>
          <cell r="K62">
            <v>0</v>
          </cell>
          <cell r="L62">
            <v>0</v>
          </cell>
          <cell r="M62">
            <v>0</v>
          </cell>
          <cell r="N62">
            <v>0</v>
          </cell>
          <cell r="O62">
            <v>0</v>
          </cell>
          <cell r="P62">
            <v>0</v>
          </cell>
          <cell r="Q62">
            <v>0</v>
          </cell>
          <cell r="R62">
            <v>0</v>
          </cell>
          <cell r="S62">
            <v>0</v>
          </cell>
          <cell r="T62">
            <v>0</v>
          </cell>
          <cell r="U62">
            <v>0</v>
          </cell>
          <cell r="V62">
            <v>0</v>
          </cell>
          <cell r="W62">
            <v>0</v>
          </cell>
          <cell r="X62">
            <v>0</v>
          </cell>
          <cell r="Y62">
            <v>0</v>
          </cell>
          <cell r="Z62">
            <v>0</v>
          </cell>
          <cell r="AA62">
            <v>0</v>
          </cell>
          <cell r="AB62">
            <v>0</v>
          </cell>
          <cell r="AC62">
            <v>0</v>
          </cell>
          <cell r="AD62">
            <v>0</v>
          </cell>
          <cell r="AE62">
            <v>0</v>
          </cell>
        </row>
        <row r="64">
          <cell r="H64">
            <v>0</v>
          </cell>
          <cell r="I64">
            <v>0</v>
          </cell>
          <cell r="J64">
            <v>0</v>
          </cell>
          <cell r="K64">
            <v>0</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row>
        <row r="72">
          <cell r="H72">
            <v>0.59835487499146323</v>
          </cell>
          <cell r="I72">
            <v>0.59593646966618596</v>
          </cell>
          <cell r="J72">
            <v>0.5937225971287976</v>
          </cell>
          <cell r="K72">
            <v>0.63725070680222007</v>
          </cell>
          <cell r="L72">
            <v>0.63471376714436778</v>
          </cell>
          <cell r="M72">
            <v>0.63323919095551306</v>
          </cell>
          <cell r="N72">
            <v>0.65858582455458647</v>
          </cell>
          <cell r="O72">
            <v>0.65341347519733195</v>
          </cell>
          <cell r="P72">
            <v>0.65276132950058707</v>
          </cell>
          <cell r="Q72">
            <v>0.59797318112460029</v>
          </cell>
          <cell r="R72">
            <v>0.59555631851338586</v>
          </cell>
          <cell r="S72">
            <v>0.5937225971287976</v>
          </cell>
          <cell r="T72">
            <v>0.59292055621443551</v>
          </cell>
          <cell r="U72">
            <v>0.59054478765212748</v>
          </cell>
          <cell r="V72">
            <v>0.58827174038666508</v>
          </cell>
          <cell r="W72">
            <v>0.59659025412449362</v>
          </cell>
          <cell r="X72">
            <v>0.59418513596141487</v>
          </cell>
          <cell r="Y72">
            <v>0.59189893116900671</v>
          </cell>
          <cell r="Z72">
            <v>0.63526327088210821</v>
          </cell>
          <cell r="AA72">
            <v>0.6318727250632421</v>
          </cell>
          <cell r="AB72">
            <v>0.65699303249408336</v>
          </cell>
          <cell r="AC72">
            <v>0.65139991153271037</v>
          </cell>
          <cell r="AD72">
            <v>0.63725070680222007</v>
          </cell>
          <cell r="AE72">
            <v>0.6586990606205485</v>
          </cell>
        </row>
        <row r="73">
          <cell r="H73">
            <v>0.7554738054281479</v>
          </cell>
          <cell r="I73">
            <v>0.75242036348170926</v>
          </cell>
          <cell r="J73">
            <v>0.74993956210270896</v>
          </cell>
          <cell r="K73">
            <v>0.80314502453275927</v>
          </cell>
          <cell r="L73">
            <v>0.79994764798692797</v>
          </cell>
          <cell r="M73">
            <v>0.79840617009735448</v>
          </cell>
          <cell r="N73">
            <v>0.83485015634390347</v>
          </cell>
          <cell r="O73">
            <v>0.82829347609271553</v>
          </cell>
          <cell r="P73">
            <v>0.82759139024131689</v>
          </cell>
          <cell r="Q73">
            <v>0.75499188453110222</v>
          </cell>
          <cell r="R73">
            <v>0.75194039039208105</v>
          </cell>
          <cell r="S73">
            <v>0.74993956210270896</v>
          </cell>
          <cell r="T73">
            <v>0.74861492512188477</v>
          </cell>
          <cell r="U73">
            <v>0.74561530605700643</v>
          </cell>
          <cell r="V73">
            <v>0.74305052450168863</v>
          </cell>
          <cell r="W73">
            <v>0.75324797252930242</v>
          </cell>
          <cell r="X73">
            <v>0.75021129808229647</v>
          </cell>
          <cell r="Y73">
            <v>0.74763205685868261</v>
          </cell>
          <cell r="Z73">
            <v>0.80063908131202577</v>
          </cell>
          <cell r="AA73">
            <v>0.79668329063063925</v>
          </cell>
          <cell r="AB73">
            <v>0.83283329475169865</v>
          </cell>
          <cell r="AC73">
            <v>0.82586534162627923</v>
          </cell>
          <cell r="AD73">
            <v>0.80314502453275927</v>
          </cell>
          <cell r="AE73">
            <v>0.83017582619568953</v>
          </cell>
        </row>
        <row r="74">
          <cell r="H74">
            <v>0</v>
          </cell>
          <cell r="I74">
            <v>0</v>
          </cell>
          <cell r="J74">
            <v>0</v>
          </cell>
          <cell r="K74">
            <v>0</v>
          </cell>
          <cell r="L74">
            <v>0</v>
          </cell>
          <cell r="M74">
            <v>0</v>
          </cell>
          <cell r="N74">
            <v>0</v>
          </cell>
          <cell r="O74">
            <v>0</v>
          </cell>
          <cell r="P74">
            <v>0</v>
          </cell>
          <cell r="Q74">
            <v>0</v>
          </cell>
          <cell r="R74">
            <v>0</v>
          </cell>
          <cell r="S74">
            <v>0</v>
          </cell>
          <cell r="T74">
            <v>4412.4156411278409</v>
          </cell>
          <cell r="U74">
            <v>4412.4156411278409</v>
          </cell>
          <cell r="V74">
            <v>4412.2013448472944</v>
          </cell>
          <cell r="W74">
            <v>1463.1481703683696</v>
          </cell>
          <cell r="X74">
            <v>1463.1481703683696</v>
          </cell>
          <cell r="Y74">
            <v>1463.0056097195093</v>
          </cell>
          <cell r="Z74">
            <v>2107.2868731735739</v>
          </cell>
          <cell r="AA74">
            <v>2110.6402091961331</v>
          </cell>
          <cell r="AB74">
            <v>1825.6657088074987</v>
          </cell>
          <cell r="AC74">
            <v>1825.6295535707495</v>
          </cell>
          <cell r="AD74">
            <v>0</v>
          </cell>
          <cell r="AE74">
            <v>0</v>
          </cell>
        </row>
        <row r="76">
          <cell r="H76">
            <v>126.12467810285577</v>
          </cell>
          <cell r="J76">
            <v>165.14036547812981</v>
          </cell>
          <cell r="K76">
            <v>118.71326125141633</v>
          </cell>
          <cell r="M76">
            <v>152.3430438920428</v>
          </cell>
          <cell r="N76">
            <v>105.59985551709036</v>
          </cell>
          <cell r="T76">
            <v>120.20742133036811</v>
          </cell>
          <cell r="V76">
            <v>160.52627627860784</v>
          </cell>
          <cell r="W76">
            <v>124.20960308939114</v>
          </cell>
          <cell r="Y76">
            <v>163.62746224938797</v>
          </cell>
          <cell r="Z76">
            <v>115.73257963818858</v>
          </cell>
          <cell r="AA76">
            <v>149.56453435765809</v>
          </cell>
          <cell r="AB76">
            <v>103.10743226468841</v>
          </cell>
          <cell r="AC76">
            <v>129.80760394032723</v>
          </cell>
          <cell r="AD76">
            <v>118.71326125141633</v>
          </cell>
          <cell r="AE76">
            <v>113.4340869882882</v>
          </cell>
        </row>
        <row r="85">
          <cell r="T85">
            <v>2308.4383598893678</v>
          </cell>
          <cell r="U85">
            <v>2308.4383598893678</v>
          </cell>
          <cell r="V85">
            <v>2308.4383598893678</v>
          </cell>
          <cell r="W85">
            <v>738.7</v>
          </cell>
          <cell r="X85">
            <v>738.7</v>
          </cell>
          <cell r="Y85">
            <v>738.7</v>
          </cell>
          <cell r="Z85">
            <v>2308.4383598893678</v>
          </cell>
          <cell r="AA85">
            <v>2308.4383598893678</v>
          </cell>
          <cell r="AB85">
            <v>2308.4383598893678</v>
          </cell>
          <cell r="AC85">
            <v>2308.4383598893678</v>
          </cell>
        </row>
        <row r="86">
          <cell r="T86">
            <v>115.62504307013214</v>
          </cell>
          <cell r="U86">
            <v>115.62504307013214</v>
          </cell>
          <cell r="V86">
            <v>115.62504307013214</v>
          </cell>
          <cell r="W86">
            <v>37</v>
          </cell>
          <cell r="X86">
            <v>37</v>
          </cell>
          <cell r="Y86">
            <v>37</v>
          </cell>
          <cell r="Z86">
            <v>115.62504307013214</v>
          </cell>
          <cell r="AA86">
            <v>115.62504307013214</v>
          </cell>
          <cell r="AB86">
            <v>115.62504307013214</v>
          </cell>
          <cell r="AC86">
            <v>115.62504307013214</v>
          </cell>
        </row>
        <row r="87">
          <cell r="T87">
            <v>234.37508730432191</v>
          </cell>
          <cell r="U87">
            <v>234.37508730432191</v>
          </cell>
          <cell r="V87">
            <v>234.37508730432191</v>
          </cell>
          <cell r="W87">
            <v>75</v>
          </cell>
          <cell r="X87">
            <v>75</v>
          </cell>
          <cell r="Y87">
            <v>75</v>
          </cell>
          <cell r="Z87">
            <v>234.37508730432191</v>
          </cell>
          <cell r="AA87">
            <v>234.37508730432191</v>
          </cell>
          <cell r="AB87">
            <v>234.37508730432191</v>
          </cell>
          <cell r="AC87">
            <v>234.37508730432191</v>
          </cell>
        </row>
        <row r="90">
          <cell r="T90">
            <v>0.336144560836933</v>
          </cell>
          <cell r="U90">
            <v>0.3308498440419923</v>
          </cell>
          <cell r="V90">
            <v>0.32639766242925539</v>
          </cell>
          <cell r="W90">
            <v>0.11426279064368566</v>
          </cell>
          <cell r="X90">
            <v>0.11241865739019138</v>
          </cell>
          <cell r="Y90">
            <v>0.11087173035662871</v>
          </cell>
          <cell r="Z90">
            <v>0.2064779554489142</v>
          </cell>
          <cell r="AA90">
            <v>0.2016954229146955</v>
          </cell>
          <cell r="AB90">
            <v>0.20514134383432789</v>
          </cell>
          <cell r="AC90">
            <v>0.19528187508476136</v>
          </cell>
        </row>
        <row r="96">
          <cell r="W96">
            <v>70.000026074890798</v>
          </cell>
        </row>
        <row r="97">
          <cell r="W97">
            <v>70.000026074890798</v>
          </cell>
        </row>
        <row r="98">
          <cell r="W98">
            <v>70.000026074890798</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
      <sheetName val="Inputs"/>
      <sheetName val="Company overheads"/>
      <sheetName val="SourcesAndUses"/>
      <sheetName val="Portfolio Scenarios"/>
      <sheetName val="Portfolio"/>
      <sheetName val="Tel.DG"/>
      <sheetName val="Tel.BH"/>
      <sheetName val="Tel.BHPV"/>
      <sheetName val="Tel.PV"/>
      <sheetName val="Ent Power"/>
      <sheetName val="Comm Power"/>
      <sheetName val="Domestic Power"/>
      <sheetName val="Drip Feed"/>
      <sheetName val="Printouts"/>
      <sheetName val="Cumulative"/>
      <sheetName val="HoA"/>
    </sheetNames>
    <sheetDataSet>
      <sheetData sheetId="0" refreshError="1"/>
      <sheetData sheetId="1">
        <row r="5">
          <cell r="E5">
            <v>1</v>
          </cell>
          <cell r="F5">
            <v>2</v>
          </cell>
          <cell r="G5">
            <v>3</v>
          </cell>
          <cell r="H5">
            <v>4</v>
          </cell>
          <cell r="I5">
            <v>5</v>
          </cell>
          <cell r="J5">
            <v>6</v>
          </cell>
          <cell r="K5">
            <v>7</v>
          </cell>
          <cell r="L5">
            <v>8</v>
          </cell>
        </row>
        <row r="6">
          <cell r="C6" t="str">
            <v>Power system type</v>
          </cell>
          <cell r="D6" t="str">
            <v>type</v>
          </cell>
          <cell r="E6" t="str">
            <v>Diesel
Generator
System</v>
          </cell>
          <cell r="F6" t="str">
            <v>Battery
Hybrid
System</v>
          </cell>
          <cell r="G6" t="str">
            <v>Diesel+PV+
BatteryHybrid
System</v>
          </cell>
          <cell r="H6" t="str">
            <v>PV+Battery
System</v>
          </cell>
          <cell r="I6" t="str">
            <v>Enterprise
PV
System</v>
          </cell>
          <cell r="J6" t="str">
            <v>DFI
Power
System</v>
          </cell>
          <cell r="K6" t="str">
            <v>Home
PV
Systems</v>
          </cell>
          <cell r="L6" t="str">
            <v>Community
PV
Systems</v>
          </cell>
        </row>
        <row r="8">
          <cell r="C8" t="str">
            <v>Start year</v>
          </cell>
          <cell r="D8" t="str">
            <v>year</v>
          </cell>
          <cell r="E8">
            <v>1</v>
          </cell>
          <cell r="F8">
            <v>1</v>
          </cell>
          <cell r="G8">
            <v>1</v>
          </cell>
          <cell r="H8">
            <v>1</v>
          </cell>
          <cell r="I8">
            <v>1</v>
          </cell>
          <cell r="J8">
            <v>1</v>
          </cell>
          <cell r="K8">
            <v>1</v>
          </cell>
          <cell r="L8">
            <v>1</v>
          </cell>
        </row>
        <row r="9">
          <cell r="C9" t="str">
            <v>Financial evaluation</v>
          </cell>
          <cell r="D9" t="str">
            <v>years</v>
          </cell>
          <cell r="E9">
            <v>10</v>
          </cell>
          <cell r="F9">
            <v>10</v>
          </cell>
          <cell r="G9">
            <v>10</v>
          </cell>
          <cell r="H9">
            <v>10</v>
          </cell>
          <cell r="I9">
            <v>10</v>
          </cell>
          <cell r="J9">
            <v>10</v>
          </cell>
          <cell r="K9">
            <v>10</v>
          </cell>
          <cell r="L9">
            <v>10</v>
          </cell>
        </row>
        <row r="11">
          <cell r="C11" t="str">
            <v>Discount rate</v>
          </cell>
          <cell r="D11" t="str">
            <v>%</v>
          </cell>
          <cell r="E11">
            <v>0.15</v>
          </cell>
          <cell r="F11">
            <v>0.15</v>
          </cell>
          <cell r="G11">
            <v>0.15</v>
          </cell>
          <cell r="H11">
            <v>0.15</v>
          </cell>
          <cell r="I11">
            <v>0.15</v>
          </cell>
          <cell r="J11">
            <v>0.15</v>
          </cell>
          <cell r="K11">
            <v>0.15</v>
          </cell>
          <cell r="L11">
            <v>0.15</v>
          </cell>
        </row>
        <row r="12">
          <cell r="C12" t="str">
            <v>Tax rate</v>
          </cell>
          <cell r="D12" t="str">
            <v>%</v>
          </cell>
          <cell r="E12">
            <v>0.2</v>
          </cell>
          <cell r="F12">
            <v>0.2</v>
          </cell>
          <cell r="G12">
            <v>0.2</v>
          </cell>
          <cell r="H12">
            <v>0.2</v>
          </cell>
          <cell r="I12">
            <v>0.2</v>
          </cell>
          <cell r="J12">
            <v>0.2</v>
          </cell>
          <cell r="K12">
            <v>0.2</v>
          </cell>
          <cell r="L12">
            <v>0.2</v>
          </cell>
        </row>
        <row r="14">
          <cell r="C14" t="str">
            <v>Electricity price</v>
          </cell>
          <cell r="D14" t="str">
            <v>$/kWh</v>
          </cell>
          <cell r="E14">
            <v>4.8059912206657582</v>
          </cell>
          <cell r="F14">
            <v>3.85</v>
          </cell>
          <cell r="G14">
            <v>3.08</v>
          </cell>
          <cell r="H14">
            <v>3.08</v>
          </cell>
          <cell r="I14">
            <v>4.8059912206657582</v>
          </cell>
          <cell r="J14">
            <v>4.8059912206657582</v>
          </cell>
          <cell r="K14">
            <v>4.8059912206657582</v>
          </cell>
          <cell r="L14">
            <v>4.8059912206657582</v>
          </cell>
        </row>
        <row r="15">
          <cell r="C15" t="str">
            <v>Contract renewal</v>
          </cell>
          <cell r="D15" t="str">
            <v>year</v>
          </cell>
          <cell r="E15">
            <v>6</v>
          </cell>
          <cell r="F15">
            <v>6</v>
          </cell>
          <cell r="G15">
            <v>6</v>
          </cell>
          <cell r="H15">
            <v>6</v>
          </cell>
          <cell r="I15">
            <v>6</v>
          </cell>
          <cell r="J15">
            <v>6</v>
          </cell>
          <cell r="K15">
            <v>6</v>
          </cell>
          <cell r="L15">
            <v>6</v>
          </cell>
        </row>
        <row r="16">
          <cell r="C16" t="str">
            <v xml:space="preserve">Renewed contract discount </v>
          </cell>
          <cell r="D16" t="str">
            <v>%</v>
          </cell>
          <cell r="E16">
            <v>0.2</v>
          </cell>
          <cell r="F16">
            <v>0.2</v>
          </cell>
          <cell r="G16">
            <v>0.2</v>
          </cell>
          <cell r="H16">
            <v>0.2</v>
          </cell>
          <cell r="I16">
            <v>0.2</v>
          </cell>
          <cell r="J16">
            <v>0.2</v>
          </cell>
          <cell r="K16">
            <v>0.2</v>
          </cell>
          <cell r="L16">
            <v>0.2</v>
          </cell>
        </row>
        <row r="17">
          <cell r="C17" t="str">
            <v>Cost saving pass-though</v>
          </cell>
          <cell r="D17" t="str">
            <v>%</v>
          </cell>
          <cell r="G17">
            <v>0.2</v>
          </cell>
          <cell r="H17">
            <v>0.2</v>
          </cell>
        </row>
        <row r="18">
          <cell r="C18" t="str">
            <v>Depreciation cycle</v>
          </cell>
          <cell r="D18" t="str">
            <v>years</v>
          </cell>
          <cell r="E18">
            <v>10</v>
          </cell>
          <cell r="F18">
            <v>10</v>
          </cell>
          <cell r="G18">
            <v>10</v>
          </cell>
          <cell r="H18">
            <v>10</v>
          </cell>
          <cell r="I18">
            <v>10</v>
          </cell>
          <cell r="J18">
            <v>10</v>
          </cell>
          <cell r="K18">
            <v>2</v>
          </cell>
          <cell r="L18">
            <v>10</v>
          </cell>
        </row>
        <row r="19">
          <cell r="C19" t="str">
            <v>Margin on shipping, handling, warehousing</v>
          </cell>
          <cell r="D19" t="str">
            <v>%</v>
          </cell>
          <cell r="E19">
            <v>0.15</v>
          </cell>
          <cell r="F19">
            <v>0.15</v>
          </cell>
          <cell r="G19">
            <v>0.15</v>
          </cell>
          <cell r="H19">
            <v>0.15</v>
          </cell>
          <cell r="I19">
            <v>0.15</v>
          </cell>
          <cell r="J19">
            <v>0.15</v>
          </cell>
          <cell r="K19">
            <v>0.15</v>
          </cell>
          <cell r="L19">
            <v>0.15</v>
          </cell>
        </row>
        <row r="20">
          <cell r="C20" t="str">
            <v>Margin on installation</v>
          </cell>
          <cell r="D20" t="str">
            <v>%</v>
          </cell>
          <cell r="E20">
            <v>0.2</v>
          </cell>
          <cell r="F20">
            <v>0.2</v>
          </cell>
          <cell r="G20">
            <v>0.2</v>
          </cell>
          <cell r="H20">
            <v>0.2</v>
          </cell>
          <cell r="I20">
            <v>0.2</v>
          </cell>
          <cell r="J20">
            <v>0.2</v>
          </cell>
          <cell r="K20">
            <v>0.2</v>
          </cell>
          <cell r="L20">
            <v>0.2</v>
          </cell>
        </row>
        <row r="21">
          <cell r="C21" t="str">
            <v>Margin on maintenance</v>
          </cell>
          <cell r="D21" t="str">
            <v>%</v>
          </cell>
          <cell r="E21">
            <v>0.12</v>
          </cell>
          <cell r="F21">
            <v>0.12</v>
          </cell>
          <cell r="G21">
            <v>0.12</v>
          </cell>
          <cell r="H21">
            <v>0.12</v>
          </cell>
          <cell r="I21">
            <v>0.12</v>
          </cell>
          <cell r="J21">
            <v>0.12</v>
          </cell>
          <cell r="K21">
            <v>0.12</v>
          </cell>
          <cell r="L21">
            <v>0.12</v>
          </cell>
        </row>
        <row r="23">
          <cell r="C23" t="str">
            <v>Peak power at site</v>
          </cell>
          <cell r="D23" t="str">
            <v>kW</v>
          </cell>
          <cell r="E23">
            <v>1.5</v>
          </cell>
          <cell r="F23">
            <v>1.5</v>
          </cell>
          <cell r="G23">
            <v>1.5</v>
          </cell>
          <cell r="H23">
            <v>1.5</v>
          </cell>
          <cell r="I23">
            <v>0.8</v>
          </cell>
          <cell r="J23">
            <v>1</v>
          </cell>
          <cell r="L23">
            <v>2</v>
          </cell>
        </row>
        <row r="24">
          <cell r="C24" t="str">
            <v>Diesel consumption at Idle</v>
          </cell>
          <cell r="D24" t="str">
            <v>litre/hours</v>
          </cell>
          <cell r="E24">
            <v>1.9</v>
          </cell>
          <cell r="F24">
            <v>1.9</v>
          </cell>
          <cell r="G24">
            <v>1.9</v>
          </cell>
        </row>
        <row r="25">
          <cell r="C25" t="str">
            <v>Diesel consumption at 6kW AC / 5kW DC</v>
          </cell>
          <cell r="D25" t="str">
            <v>litre/hours</v>
          </cell>
          <cell r="E25">
            <v>3.3</v>
          </cell>
          <cell r="F25">
            <v>3.3</v>
          </cell>
          <cell r="G25">
            <v>3.3</v>
          </cell>
        </row>
        <row r="26">
          <cell r="C26" t="str">
            <v>Fuel theft</v>
          </cell>
          <cell r="D26" t="str">
            <v>%</v>
          </cell>
          <cell r="E26">
            <v>0.18</v>
          </cell>
          <cell r="F26">
            <v>0.18</v>
          </cell>
          <cell r="G26">
            <v>0.18</v>
          </cell>
        </row>
        <row r="27">
          <cell r="C27" t="str">
            <v>PV power output</v>
          </cell>
          <cell r="D27" t="str">
            <v>%</v>
          </cell>
          <cell r="E27">
            <v>0</v>
          </cell>
          <cell r="F27">
            <v>0</v>
          </cell>
          <cell r="G27">
            <v>0.5</v>
          </cell>
          <cell r="H27">
            <v>1</v>
          </cell>
          <cell r="I27">
            <v>1</v>
          </cell>
          <cell r="J27">
            <v>1</v>
          </cell>
          <cell r="K27">
            <v>1</v>
          </cell>
          <cell r="L27">
            <v>1</v>
          </cell>
        </row>
        <row r="30">
          <cell r="C30" t="str">
            <v>DG</v>
          </cell>
          <cell r="D30" t="str">
            <v>USD</v>
          </cell>
          <cell r="E30">
            <v>9000</v>
          </cell>
          <cell r="F30">
            <v>9000</v>
          </cell>
          <cell r="G30">
            <v>9000</v>
          </cell>
        </row>
        <row r="31">
          <cell r="C31" t="str">
            <v>Cost of  Rectifier Unit (outdoor ATS panel + accessories &amp; cable)</v>
          </cell>
          <cell r="D31" t="str">
            <v>USD</v>
          </cell>
          <cell r="E31">
            <v>5000</v>
          </cell>
          <cell r="F31">
            <v>5000</v>
          </cell>
          <cell r="G31">
            <v>5000</v>
          </cell>
        </row>
        <row r="32">
          <cell r="C32" t="str">
            <v>PV panel unit cost</v>
          </cell>
          <cell r="D32" t="str">
            <v>USD</v>
          </cell>
          <cell r="G32">
            <v>198.44</v>
          </cell>
          <cell r="H32">
            <v>198.44</v>
          </cell>
          <cell r="I32">
            <v>198.44</v>
          </cell>
          <cell r="J32">
            <v>198.44</v>
          </cell>
          <cell r="L32">
            <v>198.44</v>
          </cell>
        </row>
        <row r="33">
          <cell r="C33" t="str">
            <v>PV panels</v>
          </cell>
          <cell r="D33" t="str">
            <v>#</v>
          </cell>
          <cell r="G33">
            <v>24</v>
          </cell>
          <cell r="H33">
            <v>48</v>
          </cell>
          <cell r="I33">
            <v>6.4</v>
          </cell>
          <cell r="J33">
            <v>32</v>
          </cell>
          <cell r="L33">
            <v>12.8</v>
          </cell>
        </row>
        <row r="34">
          <cell r="C34" t="str">
            <v>Assumed sunshine hours at site</v>
          </cell>
          <cell r="D34" t="str">
            <v>hours</v>
          </cell>
          <cell r="G34">
            <v>3</v>
          </cell>
          <cell r="H34">
            <v>3</v>
          </cell>
          <cell r="I34">
            <v>5</v>
          </cell>
          <cell r="J34">
            <v>3</v>
          </cell>
          <cell r="L34">
            <v>5</v>
          </cell>
        </row>
        <row r="35">
          <cell r="C35" t="str">
            <v>PV panels total</v>
          </cell>
          <cell r="D35" t="str">
            <v xml:space="preserve">USD </v>
          </cell>
          <cell r="G35">
            <v>4762.5599999999995</v>
          </cell>
          <cell r="H35">
            <v>9525.119999999999</v>
          </cell>
          <cell r="I35">
            <v>1270.0160000000001</v>
          </cell>
          <cell r="J35">
            <v>6350.08</v>
          </cell>
          <cell r="L35">
            <v>2540.0320000000002</v>
          </cell>
        </row>
        <row r="36">
          <cell r="C36" t="str">
            <v>PV mounting</v>
          </cell>
          <cell r="D36" t="str">
            <v>USD/m2</v>
          </cell>
          <cell r="G36">
            <v>180</v>
          </cell>
          <cell r="H36">
            <v>180</v>
          </cell>
          <cell r="I36">
            <v>180</v>
          </cell>
          <cell r="J36">
            <v>180</v>
          </cell>
          <cell r="L36">
            <v>180</v>
          </cell>
        </row>
        <row r="37">
          <cell r="C37" t="str">
            <v>PV mounting area</v>
          </cell>
          <cell r="D37" t="str">
            <v>m2</v>
          </cell>
          <cell r="G37">
            <v>38.400000000000006</v>
          </cell>
          <cell r="H37">
            <v>76.800000000000011</v>
          </cell>
          <cell r="I37">
            <v>10.240000000000002</v>
          </cell>
          <cell r="J37">
            <v>51.2</v>
          </cell>
          <cell r="L37">
            <v>20.480000000000004</v>
          </cell>
        </row>
        <row r="38">
          <cell r="C38" t="str">
            <v>PV mounting security</v>
          </cell>
          <cell r="D38" t="str">
            <v>USD/kW</v>
          </cell>
          <cell r="G38">
            <v>1500</v>
          </cell>
          <cell r="H38">
            <v>1500</v>
          </cell>
          <cell r="J38">
            <v>1500</v>
          </cell>
        </row>
        <row r="39">
          <cell r="C39" t="str">
            <v>PV mounting total</v>
          </cell>
          <cell r="D39" t="str">
            <v>USD</v>
          </cell>
          <cell r="G39">
            <v>1750</v>
          </cell>
          <cell r="H39">
            <v>3500</v>
          </cell>
          <cell r="I39">
            <v>466.66666666666669</v>
          </cell>
          <cell r="J39">
            <v>2333.333333333333</v>
          </cell>
          <cell r="L39">
            <v>933.33333333333337</v>
          </cell>
        </row>
        <row r="40">
          <cell r="C40" t="str">
            <v>PV control unit cost</v>
          </cell>
          <cell r="D40" t="str">
            <v>USD per 250W</v>
          </cell>
          <cell r="G40">
            <v>547</v>
          </cell>
          <cell r="H40">
            <v>285</v>
          </cell>
          <cell r="I40">
            <v>100</v>
          </cell>
          <cell r="J40">
            <v>100</v>
          </cell>
          <cell r="L40">
            <v>100</v>
          </cell>
        </row>
        <row r="41">
          <cell r="C41" t="str">
            <v>PV control unit total</v>
          </cell>
          <cell r="D41" t="str">
            <v>USD</v>
          </cell>
          <cell r="G41">
            <v>1140</v>
          </cell>
          <cell r="H41">
            <v>2280</v>
          </cell>
          <cell r="I41">
            <v>304</v>
          </cell>
          <cell r="J41">
            <v>0</v>
          </cell>
          <cell r="L41">
            <v>608</v>
          </cell>
        </row>
        <row r="42">
          <cell r="C42" t="str">
            <v>Power control unit</v>
          </cell>
          <cell r="D42" t="str">
            <v>USD</v>
          </cell>
          <cell r="F42">
            <v>2500</v>
          </cell>
          <cell r="G42">
            <v>2500</v>
          </cell>
          <cell r="H42">
            <v>3763</v>
          </cell>
          <cell r="I42">
            <v>500</v>
          </cell>
          <cell r="J42">
            <v>3763</v>
          </cell>
          <cell r="L42">
            <v>500</v>
          </cell>
        </row>
        <row r="43">
          <cell r="C43" t="str">
            <v>Battery automation</v>
          </cell>
          <cell r="D43" t="str">
            <v>hours</v>
          </cell>
          <cell r="E43">
            <v>12</v>
          </cell>
          <cell r="F43">
            <v>18</v>
          </cell>
          <cell r="G43">
            <v>24</v>
          </cell>
          <cell r="H43">
            <v>60</v>
          </cell>
          <cell r="I43">
            <v>12</v>
          </cell>
          <cell r="L43">
            <v>8</v>
          </cell>
        </row>
        <row r="44">
          <cell r="C44" t="str">
            <v>Battery unit price</v>
          </cell>
          <cell r="D44" t="str">
            <v>USD/kWh</v>
          </cell>
          <cell r="E44">
            <v>275</v>
          </cell>
          <cell r="F44">
            <v>275</v>
          </cell>
          <cell r="G44">
            <v>275</v>
          </cell>
          <cell r="H44">
            <v>150</v>
          </cell>
          <cell r="I44">
            <v>150</v>
          </cell>
          <cell r="L44">
            <v>150</v>
          </cell>
        </row>
        <row r="45">
          <cell r="C45" t="str">
            <v>Battery system</v>
          </cell>
          <cell r="D45" t="str">
            <v>USD</v>
          </cell>
          <cell r="E45">
            <v>4950</v>
          </cell>
          <cell r="F45">
            <v>7425</v>
          </cell>
          <cell r="G45">
            <v>9900</v>
          </cell>
          <cell r="H45">
            <v>13500</v>
          </cell>
          <cell r="I45">
            <v>1440.0000000000002</v>
          </cell>
          <cell r="L45">
            <v>2400</v>
          </cell>
        </row>
        <row r="46">
          <cell r="C46" t="str">
            <v>Cabinets</v>
          </cell>
          <cell r="D46" t="str">
            <v>USD</v>
          </cell>
          <cell r="E46">
            <v>2800</v>
          </cell>
          <cell r="F46">
            <v>2800</v>
          </cell>
          <cell r="G46">
            <v>5600</v>
          </cell>
          <cell r="H46">
            <v>5000</v>
          </cell>
          <cell r="I46">
            <v>0</v>
          </cell>
          <cell r="L46">
            <v>0</v>
          </cell>
        </row>
        <row r="47">
          <cell r="C47" t="str">
            <v>Cabling</v>
          </cell>
          <cell r="D47" t="str">
            <v>USD</v>
          </cell>
          <cell r="E47">
            <v>300</v>
          </cell>
          <cell r="F47">
            <v>500</v>
          </cell>
          <cell r="G47">
            <v>500</v>
          </cell>
          <cell r="H47">
            <v>500</v>
          </cell>
          <cell r="I47">
            <v>0</v>
          </cell>
          <cell r="L47">
            <v>0</v>
          </cell>
        </row>
        <row r="48">
          <cell r="C48" t="str">
            <v>Cost of fuel tank, fuel monitor, pipes, valves, etc</v>
          </cell>
          <cell r="D48" t="str">
            <v>USD</v>
          </cell>
          <cell r="E48">
            <v>3200</v>
          </cell>
          <cell r="F48">
            <v>3200</v>
          </cell>
          <cell r="G48">
            <v>3200</v>
          </cell>
        </row>
        <row r="49">
          <cell r="C49" t="str">
            <v>Civils</v>
          </cell>
          <cell r="D49" t="str">
            <v>USD</v>
          </cell>
          <cell r="E49">
            <v>3000</v>
          </cell>
          <cell r="F49">
            <v>3000</v>
          </cell>
          <cell r="G49">
            <v>9000</v>
          </cell>
          <cell r="H49">
            <v>12000</v>
          </cell>
          <cell r="I49">
            <v>0</v>
          </cell>
          <cell r="L49">
            <v>-3749</v>
          </cell>
        </row>
        <row r="50">
          <cell r="C50" t="str">
            <v>Community power system integration</v>
          </cell>
          <cell r="D50" t="str">
            <v>USD</v>
          </cell>
          <cell r="L50">
            <v>4429</v>
          </cell>
        </row>
        <row r="52">
          <cell r="C52" t="str">
            <v>Installation project management</v>
          </cell>
          <cell r="D52" t="str">
            <v>USD</v>
          </cell>
          <cell r="E52">
            <v>2000</v>
          </cell>
          <cell r="F52">
            <v>2000</v>
          </cell>
          <cell r="G52">
            <v>2000</v>
          </cell>
          <cell r="H52">
            <v>2000</v>
          </cell>
          <cell r="I52">
            <v>100</v>
          </cell>
          <cell r="J52">
            <v>50</v>
          </cell>
          <cell r="L52">
            <v>200</v>
          </cell>
        </row>
        <row r="53">
          <cell r="C53" t="str">
            <v>Installation logistics &amp; warehousing</v>
          </cell>
          <cell r="D53" t="str">
            <v>USD</v>
          </cell>
          <cell r="E53">
            <v>500</v>
          </cell>
          <cell r="F53">
            <v>500</v>
          </cell>
          <cell r="G53">
            <v>500</v>
          </cell>
          <cell r="H53">
            <v>500</v>
          </cell>
          <cell r="I53">
            <v>0</v>
          </cell>
          <cell r="J53">
            <v>0</v>
          </cell>
          <cell r="L53">
            <v>0</v>
          </cell>
        </row>
        <row r="54">
          <cell r="C54" t="str">
            <v>Installation civils</v>
          </cell>
          <cell r="D54" t="str">
            <v>USD</v>
          </cell>
          <cell r="E54">
            <v>600</v>
          </cell>
          <cell r="F54">
            <v>600</v>
          </cell>
          <cell r="G54">
            <v>1000</v>
          </cell>
          <cell r="H54">
            <v>1000</v>
          </cell>
          <cell r="I54">
            <v>0</v>
          </cell>
          <cell r="J54">
            <v>0</v>
          </cell>
          <cell r="L54">
            <v>0</v>
          </cell>
        </row>
        <row r="55">
          <cell r="C55" t="str">
            <v>Installation mechanical</v>
          </cell>
          <cell r="D55" t="str">
            <v>USD</v>
          </cell>
          <cell r="E55">
            <v>1000</v>
          </cell>
          <cell r="F55">
            <v>1000</v>
          </cell>
          <cell r="G55">
            <v>400</v>
          </cell>
          <cell r="H55">
            <v>400</v>
          </cell>
          <cell r="I55">
            <v>100</v>
          </cell>
          <cell r="J55">
            <v>50</v>
          </cell>
          <cell r="L55">
            <v>200</v>
          </cell>
        </row>
        <row r="56">
          <cell r="C56" t="str">
            <v>Installation electrical</v>
          </cell>
          <cell r="D56" t="str">
            <v>USD</v>
          </cell>
          <cell r="E56">
            <v>400</v>
          </cell>
          <cell r="F56">
            <v>600</v>
          </cell>
          <cell r="G56">
            <v>600</v>
          </cell>
          <cell r="H56">
            <v>600</v>
          </cell>
          <cell r="I56">
            <v>100</v>
          </cell>
          <cell r="J56">
            <v>50</v>
          </cell>
          <cell r="L56">
            <v>200</v>
          </cell>
        </row>
        <row r="57">
          <cell r="C57" t="str">
            <v>Installation certification &amp; safety</v>
          </cell>
          <cell r="D57" t="str">
            <v>USD</v>
          </cell>
          <cell r="E57">
            <v>1500</v>
          </cell>
          <cell r="F57">
            <v>1500</v>
          </cell>
          <cell r="G57">
            <v>1125</v>
          </cell>
          <cell r="H57">
            <v>750</v>
          </cell>
          <cell r="I57">
            <v>0</v>
          </cell>
          <cell r="J57">
            <v>0</v>
          </cell>
          <cell r="L57">
            <v>0</v>
          </cell>
        </row>
        <row r="58">
          <cell r="C58" t="str">
            <v>Installation commissioning - electrical</v>
          </cell>
          <cell r="D58" t="str">
            <v>USD</v>
          </cell>
          <cell r="E58">
            <v>400</v>
          </cell>
          <cell r="F58">
            <v>400</v>
          </cell>
          <cell r="G58">
            <v>400</v>
          </cell>
          <cell r="H58">
            <v>400</v>
          </cell>
          <cell r="I58">
            <v>0</v>
          </cell>
          <cell r="J58">
            <v>0</v>
          </cell>
          <cell r="L58">
            <v>0</v>
          </cell>
        </row>
        <row r="59">
          <cell r="C59" t="str">
            <v>Installation commissioning - RF</v>
          </cell>
          <cell r="D59" t="str">
            <v>USD</v>
          </cell>
          <cell r="E59">
            <v>0</v>
          </cell>
          <cell r="F59">
            <v>0</v>
          </cell>
          <cell r="G59">
            <v>0</v>
          </cell>
          <cell r="H59">
            <v>0</v>
          </cell>
          <cell r="I59">
            <v>0</v>
          </cell>
          <cell r="J59">
            <v>0</v>
          </cell>
          <cell r="L59">
            <v>0</v>
          </cell>
        </row>
        <row r="60">
          <cell r="E60" t="str">
            <v>----------------</v>
          </cell>
          <cell r="F60" t="str">
            <v>----------------</v>
          </cell>
          <cell r="G60" t="str">
            <v>----------------</v>
          </cell>
          <cell r="H60" t="str">
            <v>----------------</v>
          </cell>
          <cell r="I60" t="str">
            <v>----------------</v>
          </cell>
          <cell r="J60" t="str">
            <v>----------------</v>
          </cell>
          <cell r="K60" t="str">
            <v>----------------</v>
          </cell>
          <cell r="L60" t="str">
            <v>----------------</v>
          </cell>
        </row>
        <row r="61">
          <cell r="C61" t="str">
            <v>Power system capex</v>
          </cell>
          <cell r="D61" t="str">
            <v>USD</v>
          </cell>
          <cell r="E61">
            <v>39717.5</v>
          </cell>
          <cell r="F61">
            <v>45908.75</v>
          </cell>
          <cell r="G61">
            <v>66085.443999999989</v>
          </cell>
          <cell r="H61">
            <v>62558.337999999989</v>
          </cell>
          <cell r="I61">
            <v>4937.7850666666664</v>
          </cell>
          <cell r="J61">
            <v>14493.375333333333</v>
          </cell>
          <cell r="K61">
            <v>0</v>
          </cell>
          <cell r="L61">
            <v>4999.5701333333327</v>
          </cell>
        </row>
        <row r="63">
          <cell r="C63" t="str">
            <v>Battery replacement interval</v>
          </cell>
          <cell r="D63" t="str">
            <v>years</v>
          </cell>
          <cell r="E63">
            <v>5</v>
          </cell>
          <cell r="F63">
            <v>5</v>
          </cell>
          <cell r="G63">
            <v>5</v>
          </cell>
          <cell r="H63">
            <v>5</v>
          </cell>
        </row>
        <row r="64">
          <cell r="C64" t="str">
            <v>Battery replacement cost</v>
          </cell>
          <cell r="D64" t="str">
            <v>USD</v>
          </cell>
          <cell r="E64">
            <v>5692.5</v>
          </cell>
          <cell r="F64">
            <v>8538.75</v>
          </cell>
          <cell r="G64">
            <v>11385</v>
          </cell>
          <cell r="H64">
            <v>15524.999999999998</v>
          </cell>
        </row>
        <row r="65">
          <cell r="C65" t="str">
            <v>Battery replacement installation cost</v>
          </cell>
          <cell r="D65" t="str">
            <v>USD</v>
          </cell>
          <cell r="E65">
            <v>480</v>
          </cell>
          <cell r="F65">
            <v>480</v>
          </cell>
          <cell r="G65">
            <v>720</v>
          </cell>
          <cell r="H65">
            <v>960</v>
          </cell>
        </row>
        <row r="67">
          <cell r="C67" t="str">
            <v>DG replacement interval</v>
          </cell>
          <cell r="D67" t="str">
            <v>years</v>
          </cell>
          <cell r="E67">
            <v>2</v>
          </cell>
          <cell r="F67">
            <v>6</v>
          </cell>
          <cell r="G67">
            <v>6</v>
          </cell>
        </row>
        <row r="68">
          <cell r="C68" t="str">
            <v>Diesel generator</v>
          </cell>
          <cell r="D68" t="str">
            <v>USD</v>
          </cell>
          <cell r="E68">
            <v>10350</v>
          </cell>
          <cell r="F68">
            <v>10350</v>
          </cell>
          <cell r="G68">
            <v>10350</v>
          </cell>
        </row>
        <row r="69">
          <cell r="C69" t="str">
            <v>Mechanicals</v>
          </cell>
          <cell r="D69" t="str">
            <v>USD</v>
          </cell>
          <cell r="E69">
            <v>1200</v>
          </cell>
          <cell r="F69">
            <v>1200</v>
          </cell>
          <cell r="G69">
            <v>480</v>
          </cell>
        </row>
        <row r="70">
          <cell r="C70" t="str">
            <v>Electricals &amp; test</v>
          </cell>
          <cell r="D70" t="str">
            <v>USD</v>
          </cell>
          <cell r="E70">
            <v>480</v>
          </cell>
          <cell r="F70">
            <v>720</v>
          </cell>
          <cell r="G70">
            <v>720</v>
          </cell>
        </row>
        <row r="72">
          <cell r="C72" t="str">
            <v>Generator oil change interval</v>
          </cell>
          <cell r="D72" t="str">
            <v>hours</v>
          </cell>
          <cell r="E72">
            <v>730</v>
          </cell>
          <cell r="F72">
            <v>730</v>
          </cell>
          <cell r="G72">
            <v>730</v>
          </cell>
        </row>
        <row r="73">
          <cell r="C73" t="str">
            <v>Generator oil change</v>
          </cell>
          <cell r="D73" t="str">
            <v>USD</v>
          </cell>
          <cell r="E73">
            <v>250</v>
          </cell>
          <cell r="F73">
            <v>250</v>
          </cell>
          <cell r="G73">
            <v>250</v>
          </cell>
        </row>
        <row r="74">
          <cell r="C74" t="str">
            <v>Generator filter change interval</v>
          </cell>
          <cell r="D74" t="str">
            <v>hours</v>
          </cell>
          <cell r="E74">
            <v>2190</v>
          </cell>
          <cell r="F74">
            <v>2190</v>
          </cell>
          <cell r="G74">
            <v>2190</v>
          </cell>
        </row>
        <row r="75">
          <cell r="C75" t="str">
            <v>Generator filter change</v>
          </cell>
          <cell r="D75" t="str">
            <v>USD</v>
          </cell>
          <cell r="E75">
            <v>500</v>
          </cell>
          <cell r="F75">
            <v>500</v>
          </cell>
          <cell r="G75">
            <v>500</v>
          </cell>
        </row>
        <row r="76">
          <cell r="C76" t="str">
            <v>Battery maintenance interval</v>
          </cell>
          <cell r="D76" t="str">
            <v>hours</v>
          </cell>
          <cell r="E76">
            <v>2190</v>
          </cell>
          <cell r="F76">
            <v>2190</v>
          </cell>
          <cell r="G76">
            <v>2190</v>
          </cell>
          <cell r="H76">
            <v>2190</v>
          </cell>
          <cell r="I76">
            <v>2190</v>
          </cell>
          <cell r="L76">
            <v>2190</v>
          </cell>
        </row>
        <row r="77">
          <cell r="C77" t="str">
            <v>Battery maintenance</v>
          </cell>
          <cell r="D77" t="str">
            <v>USD</v>
          </cell>
          <cell r="E77">
            <v>100</v>
          </cell>
          <cell r="F77">
            <v>150</v>
          </cell>
          <cell r="G77">
            <v>200</v>
          </cell>
          <cell r="H77">
            <v>300</v>
          </cell>
          <cell r="I77">
            <v>50</v>
          </cell>
          <cell r="L77">
            <v>100</v>
          </cell>
        </row>
        <row r="78">
          <cell r="C78" t="str">
            <v>PV maintenance interval</v>
          </cell>
          <cell r="D78" t="str">
            <v>hours</v>
          </cell>
          <cell r="G78">
            <v>2190</v>
          </cell>
          <cell r="H78">
            <v>2190</v>
          </cell>
          <cell r="I78">
            <v>2190</v>
          </cell>
          <cell r="L78">
            <v>2190</v>
          </cell>
        </row>
        <row r="79">
          <cell r="C79" t="str">
            <v>PV maintenance</v>
          </cell>
          <cell r="D79" t="str">
            <v>USD</v>
          </cell>
          <cell r="G79">
            <v>200</v>
          </cell>
          <cell r="H79">
            <v>200</v>
          </cell>
          <cell r="I79">
            <v>50</v>
          </cell>
          <cell r="L79">
            <v>100</v>
          </cell>
        </row>
        <row r="80">
          <cell r="C80" t="str">
            <v>Tower inspection &amp; maintenance interval</v>
          </cell>
          <cell r="D80" t="str">
            <v>hours</v>
          </cell>
        </row>
        <row r="81">
          <cell r="C81" t="str">
            <v>Tower inspection &amp; maintenance</v>
          </cell>
          <cell r="D81" t="str">
            <v>USD</v>
          </cell>
        </row>
        <row r="82">
          <cell r="C82" t="str">
            <v>Air conditioning maintenance interval</v>
          </cell>
          <cell r="D82" t="str">
            <v>hours</v>
          </cell>
          <cell r="E82">
            <v>4380</v>
          </cell>
          <cell r="F82">
            <v>4380</v>
          </cell>
          <cell r="G82">
            <v>4380</v>
          </cell>
        </row>
        <row r="83">
          <cell r="C83" t="str">
            <v xml:space="preserve">Air conditioning maintenance </v>
          </cell>
          <cell r="D83" t="str">
            <v>USD</v>
          </cell>
          <cell r="E83">
            <v>225</v>
          </cell>
          <cell r="F83">
            <v>225</v>
          </cell>
          <cell r="G83">
            <v>225</v>
          </cell>
        </row>
        <row r="84">
          <cell r="C84" t="str">
            <v>Antenna &amp; feeder maintenance interval</v>
          </cell>
          <cell r="D84" t="str">
            <v>hours</v>
          </cell>
        </row>
        <row r="85">
          <cell r="C85" t="str">
            <v>Antenna &amp; feeder maintenance</v>
          </cell>
          <cell r="D85" t="str">
            <v>USD</v>
          </cell>
        </row>
        <row r="86">
          <cell r="C86" t="str">
            <v>Fire suppression maintenance &amp; test interval</v>
          </cell>
          <cell r="D86" t="str">
            <v>hours</v>
          </cell>
        </row>
        <row r="87">
          <cell r="C87" t="str">
            <v>Fire suppression maintenance &amp; test</v>
          </cell>
          <cell r="D87" t="str">
            <v>USD</v>
          </cell>
        </row>
        <row r="88">
          <cell r="C88" t="str">
            <v>Shelter and environment cleaning interval</v>
          </cell>
          <cell r="D88" t="str">
            <v>hours</v>
          </cell>
        </row>
        <row r="89">
          <cell r="C89" t="str">
            <v>Shelter and environment cleaning</v>
          </cell>
          <cell r="D89" t="str">
            <v>USD</v>
          </cell>
        </row>
        <row r="90">
          <cell r="C90" t="str">
            <v>Earthing inspection interval</v>
          </cell>
          <cell r="D90" t="str">
            <v>hours</v>
          </cell>
          <cell r="E90">
            <v>2190</v>
          </cell>
          <cell r="F90">
            <v>2190</v>
          </cell>
          <cell r="G90">
            <v>2190</v>
          </cell>
          <cell r="H90">
            <v>2190</v>
          </cell>
        </row>
        <row r="91">
          <cell r="C91" t="str">
            <v>Earthing inspection</v>
          </cell>
          <cell r="D91" t="str">
            <v>USD</v>
          </cell>
          <cell r="E91">
            <v>100</v>
          </cell>
          <cell r="F91">
            <v>100</v>
          </cell>
          <cell r="G91">
            <v>100</v>
          </cell>
          <cell r="H91">
            <v>100</v>
          </cell>
        </row>
        <row r="92">
          <cell r="C92" t="str">
            <v>Replacement of consumables interval</v>
          </cell>
          <cell r="D92" t="str">
            <v>hours</v>
          </cell>
          <cell r="E92">
            <v>2190</v>
          </cell>
          <cell r="F92">
            <v>2190</v>
          </cell>
          <cell r="G92">
            <v>2190</v>
          </cell>
          <cell r="H92">
            <v>2190</v>
          </cell>
        </row>
        <row r="93">
          <cell r="C93" t="str">
            <v>Replacement of consumables</v>
          </cell>
          <cell r="D93" t="str">
            <v>USD</v>
          </cell>
          <cell r="E93">
            <v>200</v>
          </cell>
          <cell r="F93">
            <v>200</v>
          </cell>
          <cell r="G93">
            <v>150</v>
          </cell>
          <cell r="H93">
            <v>100</v>
          </cell>
        </row>
        <row r="94">
          <cell r="C94" t="str">
            <v>Generator annual service</v>
          </cell>
          <cell r="D94" t="str">
            <v>USD</v>
          </cell>
          <cell r="E94">
            <v>2000</v>
          </cell>
          <cell r="F94">
            <v>2000</v>
          </cell>
          <cell r="G94">
            <v>2000</v>
          </cell>
        </row>
        <row r="95">
          <cell r="C95" t="str">
            <v>Site security day rate</v>
          </cell>
          <cell r="D95" t="str">
            <v>USD</v>
          </cell>
          <cell r="E95">
            <v>50</v>
          </cell>
          <cell r="F95">
            <v>50</v>
          </cell>
          <cell r="G95">
            <v>50</v>
          </cell>
          <cell r="H95">
            <v>50</v>
          </cell>
        </row>
        <row r="96">
          <cell r="C96" t="str">
            <v>Annual site security (24/7)</v>
          </cell>
          <cell r="D96" t="str">
            <v>USD</v>
          </cell>
        </row>
        <row r="97">
          <cell r="C97" t="str">
            <v>Annual PSM logistic resources (drivers, vehicles etc)</v>
          </cell>
          <cell r="D97" t="str">
            <v>USD</v>
          </cell>
          <cell r="E97">
            <v>4000</v>
          </cell>
          <cell r="F97">
            <v>1500</v>
          </cell>
          <cell r="G97">
            <v>1000</v>
          </cell>
          <cell r="H97">
            <v>500</v>
          </cell>
        </row>
        <row r="99">
          <cell r="C99" t="str">
            <v xml:space="preserve">Annual insurance/contingency </v>
          </cell>
          <cell r="D99" t="str">
            <v>USD</v>
          </cell>
          <cell r="E99">
            <v>4830</v>
          </cell>
          <cell r="F99">
            <v>4830</v>
          </cell>
          <cell r="G99">
            <v>4830</v>
          </cell>
          <cell r="H99">
            <v>4830</v>
          </cell>
        </row>
        <row r="100">
          <cell r="C100" t="str">
            <v>Annual opex costs</v>
          </cell>
          <cell r="D100" t="str">
            <v>USD</v>
          </cell>
          <cell r="E100">
            <v>7308.0000000000009</v>
          </cell>
          <cell r="F100">
            <v>12040.000000000002</v>
          </cell>
          <cell r="G100">
            <v>11480.000000000002</v>
          </cell>
          <cell r="H100">
            <v>3300</v>
          </cell>
          <cell r="I100">
            <v>400</v>
          </cell>
          <cell r="L100">
            <v>800</v>
          </cell>
        </row>
        <row r="101">
          <cell r="C101" t="str">
            <v>Fuel - combustion</v>
          </cell>
          <cell r="D101" t="str">
            <v>litres</v>
          </cell>
          <cell r="E101">
            <v>20323.199999999997</v>
          </cell>
          <cell r="F101">
            <v>10803.999999999998</v>
          </cell>
          <cell r="G101">
            <v>5401.9999999999991</v>
          </cell>
          <cell r="I101">
            <v>0</v>
          </cell>
          <cell r="L101">
            <v>0</v>
          </cell>
        </row>
        <row r="102">
          <cell r="C102" t="str">
            <v>Fuel - theft</v>
          </cell>
          <cell r="D102" t="str">
            <v>litres</v>
          </cell>
          <cell r="E102">
            <v>3658.1759999999995</v>
          </cell>
          <cell r="F102">
            <v>1944.7199999999996</v>
          </cell>
          <cell r="G102">
            <v>972.35999999999979</v>
          </cell>
          <cell r="I102">
            <v>0</v>
          </cell>
          <cell r="L102">
            <v>0</v>
          </cell>
        </row>
        <row r="104">
          <cell r="C104" t="str">
            <v>Power demand</v>
          </cell>
          <cell r="D104" t="str">
            <v>kW</v>
          </cell>
          <cell r="E104">
            <v>1.5</v>
          </cell>
          <cell r="F104">
            <v>1.5</v>
          </cell>
          <cell r="G104">
            <v>1.5</v>
          </cell>
          <cell r="H104">
            <v>1.5</v>
          </cell>
        </row>
        <row r="107">
          <cell r="C107" t="str">
            <v>Drip irrigation load</v>
          </cell>
          <cell r="D107" t="str">
            <v>kW</v>
          </cell>
          <cell r="J107">
            <v>0.5</v>
          </cell>
        </row>
        <row r="108">
          <cell r="C108" t="str">
            <v>PV compatible pump</v>
          </cell>
          <cell r="D108" t="str">
            <v>USD</v>
          </cell>
          <cell r="J108">
            <v>1000</v>
          </cell>
        </row>
        <row r="109">
          <cell r="C109" t="str">
            <v>Tank</v>
          </cell>
          <cell r="D109" t="str">
            <v>USD</v>
          </cell>
          <cell r="J109">
            <v>500</v>
          </cell>
        </row>
        <row r="110">
          <cell r="C110" t="str">
            <v>Lines and pipes</v>
          </cell>
          <cell r="D110" t="str">
            <v>USD</v>
          </cell>
          <cell r="J110">
            <v>1000</v>
          </cell>
        </row>
        <row r="111">
          <cell r="C111" t="str">
            <v>Annual maintainence costs</v>
          </cell>
          <cell r="D111" t="str">
            <v>USD</v>
          </cell>
          <cell r="J111">
            <v>1000</v>
          </cell>
        </row>
        <row r="112">
          <cell r="C112" t="str">
            <v>Cropping cycle</v>
          </cell>
          <cell r="D112" t="str">
            <v>#/year</v>
          </cell>
          <cell r="J112">
            <v>2</v>
          </cell>
        </row>
        <row r="113">
          <cell r="C113" t="str">
            <v>Agricultural yield pre irrigation</v>
          </cell>
          <cell r="D113" t="str">
            <v>tonne/ha-cropping cycle</v>
          </cell>
          <cell r="J113">
            <v>1.5</v>
          </cell>
        </row>
        <row r="114">
          <cell r="C114" t="str">
            <v>Yield improvement benefit</v>
          </cell>
          <cell r="D114" t="str">
            <v>%</v>
          </cell>
          <cell r="J114">
            <v>0.5</v>
          </cell>
        </row>
        <row r="115">
          <cell r="C115" t="str">
            <v>Yield improvement benefit apportioning to AP</v>
          </cell>
          <cell r="D115" t="str">
            <v>%</v>
          </cell>
          <cell r="J115">
            <v>0.35</v>
          </cell>
        </row>
        <row r="118">
          <cell r="C118" t="str">
            <v>Business Uptake Rate</v>
          </cell>
          <cell r="D118" t="str">
            <v>%/year</v>
          </cell>
          <cell r="I118">
            <v>0.33</v>
          </cell>
        </row>
        <row r="119">
          <cell r="C119" t="str">
            <v>Power Requirement</v>
          </cell>
          <cell r="D119" t="str">
            <v>kWh per Day</v>
          </cell>
          <cell r="I119">
            <v>4</v>
          </cell>
        </row>
        <row r="120">
          <cell r="C120" t="str">
            <v>Businesses per village</v>
          </cell>
          <cell r="D120" t="str">
            <v>#</v>
          </cell>
          <cell r="I120">
            <v>9</v>
          </cell>
        </row>
        <row r="121">
          <cell r="C121" t="str">
            <v>Cost of LE equipment</v>
          </cell>
          <cell r="D121" t="str">
            <v>USD</v>
          </cell>
          <cell r="I121">
            <v>650</v>
          </cell>
        </row>
        <row r="122">
          <cell r="C122" t="str">
            <v>Max affordable electricity price</v>
          </cell>
          <cell r="D122" t="str">
            <v>USD/kWh</v>
          </cell>
          <cell r="I122">
            <v>1.5</v>
          </cell>
        </row>
        <row r="123">
          <cell r="C123" t="str">
            <v>Revenue collection fee</v>
          </cell>
          <cell r="D123" t="str">
            <v>USD/Customer/Year</v>
          </cell>
          <cell r="I123">
            <v>10</v>
          </cell>
        </row>
        <row r="124">
          <cell r="C124" t="str">
            <v>Enterprise default rate</v>
          </cell>
          <cell r="D124" t="str">
            <v>%</v>
          </cell>
          <cell r="I124">
            <v>0.08</v>
          </cell>
        </row>
        <row r="127">
          <cell r="C127" t="str">
            <v>Capital cost per system</v>
          </cell>
          <cell r="D127" t="str">
            <v>USD</v>
          </cell>
          <cell r="K127">
            <v>70</v>
          </cell>
          <cell r="L127" t="str">
            <v>See above</v>
          </cell>
        </row>
        <row r="128">
          <cell r="C128" t="str">
            <v>Capital recovery</v>
          </cell>
          <cell r="D128" t="str">
            <v>USD</v>
          </cell>
          <cell r="K128" t="str">
            <v>n/a</v>
          </cell>
          <cell r="L128">
            <v>0</v>
          </cell>
        </row>
        <row r="129">
          <cell r="C129" t="str">
            <v>Maintenance cost</v>
          </cell>
          <cell r="D129" t="str">
            <v>USD</v>
          </cell>
          <cell r="K129">
            <v>5</v>
          </cell>
          <cell r="L129" t="str">
            <v>See above</v>
          </cell>
        </row>
        <row r="130">
          <cell r="C130" t="str">
            <v>System failure replacement rate</v>
          </cell>
          <cell r="D130" t="str">
            <v>%/year</v>
          </cell>
          <cell r="K130">
            <v>0.05</v>
          </cell>
          <cell r="L130">
            <v>0.04</v>
          </cell>
        </row>
        <row r="131">
          <cell r="C131" t="str">
            <v>Weekly service fee</v>
          </cell>
          <cell r="D131" t="str">
            <v>USD</v>
          </cell>
          <cell r="K131">
            <v>1.35</v>
          </cell>
          <cell r="L131">
            <v>10</v>
          </cell>
        </row>
        <row r="132">
          <cell r="C132" t="str">
            <v>Default rate</v>
          </cell>
          <cell r="D132" t="str">
            <v>%/year</v>
          </cell>
          <cell r="K132">
            <v>0.08</v>
          </cell>
          <cell r="L132">
            <v>0.08</v>
          </cell>
        </row>
        <row r="133">
          <cell r="C133" t="str">
            <v>Contract length</v>
          </cell>
          <cell r="D133" t="str">
            <v>years</v>
          </cell>
          <cell r="K133">
            <v>2</v>
          </cell>
          <cell r="L133">
            <v>100</v>
          </cell>
        </row>
        <row r="134">
          <cell r="C134" t="str">
            <v>Connections per settlement</v>
          </cell>
          <cell r="D134" t="str">
            <v>#</v>
          </cell>
          <cell r="K134">
            <v>300</v>
          </cell>
          <cell r="L134">
            <v>4</v>
          </cell>
        </row>
        <row r="135">
          <cell r="C135" t="str">
            <v>Collection charge</v>
          </cell>
          <cell r="D135" t="str">
            <v>USD/Subscriber/week</v>
          </cell>
          <cell r="K135">
            <v>0.15</v>
          </cell>
        </row>
        <row r="136">
          <cell r="C136" t="str">
            <v>Initial Uptake Rate</v>
          </cell>
          <cell r="D136" t="str">
            <v>%/year</v>
          </cell>
          <cell r="K136">
            <v>0.5</v>
          </cell>
          <cell r="L136">
            <v>1</v>
          </cell>
        </row>
        <row r="137">
          <cell r="C137" t="str">
            <v>Upgrade rate</v>
          </cell>
          <cell r="D137" t="str">
            <v>% Customers / year</v>
          </cell>
          <cell r="K137">
            <v>0.1</v>
          </cell>
        </row>
      </sheetData>
      <sheetData sheetId="2" refreshError="1"/>
      <sheetData sheetId="3" refreshError="1"/>
      <sheetData sheetId="4">
        <row r="3">
          <cell r="D3" t="str">
            <v>Base Case</v>
          </cell>
        </row>
      </sheetData>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Summary"/>
      <sheetName val="Serious Shea Partner Database"/>
      <sheetName val="Additional Data (Not Used)"/>
    </sheetNames>
    <sheetDataSet>
      <sheetData sheetId="0"/>
      <sheetData sheetId="1"/>
      <sheetData sheetId="2"/>
      <sheetData sheetId="3"/>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odel Description"/>
      <sheetName val="Assumptions"/>
      <sheetName val="Summary"/>
      <sheetName val="Summary Table"/>
      <sheetName val="P&amp;L"/>
      <sheetName val="Cash Flow"/>
      <sheetName val="Income"/>
      <sheetName val="Costs"/>
      <sheetName val="Capex &amp; loans"/>
      <sheetName val="Capex"/>
      <sheetName val="Depreciation"/>
      <sheetName val="Profiles"/>
      <sheetName val="Company Costs"/>
      <sheetName val="Sheet1"/>
      <sheetName val="DG Only"/>
      <sheetName val="DG Batt Hybrid"/>
      <sheetName val="DG Batt Solar"/>
      <sheetName val="Pure PV"/>
      <sheetName val="1 system cash"/>
      <sheetName val="Pre-pay"/>
      <sheetName val="Drip-feed"/>
      <sheetName val="CO2"/>
      <sheetName val="Finance Graph"/>
      <sheetName val="Phase 1 FG"/>
      <sheetName val="Irr"/>
      <sheetName val="Graph"/>
      <sheetName val="Roadmap"/>
    </sheetNames>
    <sheetDataSet>
      <sheetData sheetId="0" refreshError="1"/>
      <sheetData sheetId="1">
        <row r="52">
          <cell r="C52">
            <v>0.2</v>
          </cell>
        </row>
        <row r="54">
          <cell r="C54">
            <v>0.12</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PT outputs"/>
      <sheetName val="Outputs"/>
      <sheetName val="Outputs - Africa"/>
      <sheetName val="GII_FO Africa"/>
      <sheetName val="Version Control"/>
      <sheetName val="Input"/>
      <sheetName val="Base_FO"/>
      <sheetName val="Base_VA"/>
      <sheetName val="GII_FO"/>
      <sheetName val="GII_VA"/>
      <sheetName val="GIII_FO"/>
      <sheetName val="GIII_VA"/>
      <sheetName val="GII_FO_PwrImp"/>
      <sheetName val="Base_VA_BOLinkage"/>
      <sheetName val="GII_VA_BOLinkage"/>
      <sheetName val="Base_FO_mCCS"/>
      <sheetName val="Base_VA_mCCS"/>
      <sheetName val="GII_FO_mCCS"/>
      <sheetName val="GII_VA_mCCS"/>
      <sheetName val="CCS summary"/>
      <sheetName val="GII_FO-GII_FO_PwrImp"/>
      <sheetName val="Base Case FO-mCCS"/>
      <sheetName val="Base Case VA-mCCS"/>
      <sheetName val="GII_FO-mCCS"/>
      <sheetName val="GII_VA-mCCS"/>
      <sheetName val="ATR GT-HRSG"/>
      <sheetName val="ATR-preinvest GT-HRSG"/>
      <sheetName val="GT-HRSG"/>
      <sheetName val="GT-HRSG Retrofit"/>
      <sheetName val="GT-HRSG Retrofit_vol_eff"/>
      <sheetName val="HTER outputs"/>
      <sheetName val="Irbaris controls"/>
      <sheetName val="Sensitivities"/>
      <sheetName val="Assumptions"/>
      <sheetName val="Group Assumptions Carbon"/>
      <sheetName val="Group Assumptions Products"/>
      <sheetName val="Group Assumptions Macroeconomic"/>
      <sheetName val="Chemicals Prices"/>
      <sheetName val="Increment pric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ow r="17">
          <cell r="C17">
            <v>0.39</v>
          </cell>
        </row>
      </sheetData>
      <sheetData sheetId="34"/>
      <sheetData sheetId="35"/>
      <sheetData sheetId="36"/>
      <sheetData sheetId="37"/>
      <sheetData sheetId="3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jon.white@impactagri.com" TargetMode="External"/><Relationship Id="rId1" Type="http://schemas.openxmlformats.org/officeDocument/2006/relationships/hyperlink" Target="mailto:alastair.woods@impactagri.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17" Type="http://schemas.openxmlformats.org/officeDocument/2006/relationships/hyperlink" Target="http://maps.google.com/maps?q=12.44477,-2.688158" TargetMode="External"/><Relationship Id="rId299" Type="http://schemas.openxmlformats.org/officeDocument/2006/relationships/hyperlink" Target="http://maps.google.com/maps?q=11.58333,-3.38333" TargetMode="External"/><Relationship Id="rId303" Type="http://schemas.openxmlformats.org/officeDocument/2006/relationships/hyperlink" Target="http://maps.google.com/maps?q=12.1846407,-4.0848789" TargetMode="External"/><Relationship Id="rId21" Type="http://schemas.openxmlformats.org/officeDocument/2006/relationships/hyperlink" Target="http://maps.google.com/maps?q=12.2483626,-0.6251541" TargetMode="External"/><Relationship Id="rId42" Type="http://schemas.openxmlformats.org/officeDocument/2006/relationships/hyperlink" Target="http://maps.google.com/maps?q=12.1846407,-4.0848789" TargetMode="External"/><Relationship Id="rId63" Type="http://schemas.openxmlformats.org/officeDocument/2006/relationships/hyperlink" Target="http://maps.google.com/maps?q=11.5077529,0.0513246" TargetMode="External"/><Relationship Id="rId84" Type="http://schemas.openxmlformats.org/officeDocument/2006/relationships/hyperlink" Target="http://maps.google.com/maps?q=10.8722646,-3.3388917" TargetMode="External"/><Relationship Id="rId138" Type="http://schemas.openxmlformats.org/officeDocument/2006/relationships/hyperlink" Target="http://maps.google.com/maps?q=12.1501861,-2.6983868" TargetMode="External"/><Relationship Id="rId159" Type="http://schemas.openxmlformats.org/officeDocument/2006/relationships/hyperlink" Target="http://maps.google.com/maps?q=13.1630887,-0.8271646" TargetMode="External"/><Relationship Id="rId324" Type="http://schemas.openxmlformats.org/officeDocument/2006/relationships/hyperlink" Target="http://maps.google.com/maps?q=12.26667,-2.2" TargetMode="External"/><Relationship Id="rId170" Type="http://schemas.openxmlformats.org/officeDocument/2006/relationships/hyperlink" Target="http://maps.google.com/maps?q=11.9597069,-2.5467546" TargetMode="External"/><Relationship Id="rId191" Type="http://schemas.openxmlformats.org/officeDocument/2006/relationships/hyperlink" Target="http://maps.google.com/maps?q=10.6503878,-5.1692752" TargetMode="External"/><Relationship Id="rId205" Type="http://schemas.openxmlformats.org/officeDocument/2006/relationships/hyperlink" Target="http://maps.google.com/maps?q=," TargetMode="External"/><Relationship Id="rId226" Type="http://schemas.openxmlformats.org/officeDocument/2006/relationships/hyperlink" Target="http://maps.google.com/maps?q=12.6612116,-0.5683399" TargetMode="External"/><Relationship Id="rId247" Type="http://schemas.openxmlformats.org/officeDocument/2006/relationships/hyperlink" Target="http://maps.google.com/maps?q=12.7430244,-3.8553507" TargetMode="External"/><Relationship Id="rId107" Type="http://schemas.openxmlformats.org/officeDocument/2006/relationships/hyperlink" Target="http://maps.google.com/maps?q=12.2562183,-2.3517526" TargetMode="External"/><Relationship Id="rId268" Type="http://schemas.openxmlformats.org/officeDocument/2006/relationships/hyperlink" Target="http://maps.google.com/maps?q=12.3802333,-2.5492903" TargetMode="External"/><Relationship Id="rId289" Type="http://schemas.openxmlformats.org/officeDocument/2006/relationships/hyperlink" Target="http://maps.google.com/maps?q=11.0978809,-2.0959429" TargetMode="External"/><Relationship Id="rId11" Type="http://schemas.openxmlformats.org/officeDocument/2006/relationships/hyperlink" Target="http://maps.google.com/maps?q=12.2483626,-0.6251541" TargetMode="External"/><Relationship Id="rId32" Type="http://schemas.openxmlformats.org/officeDocument/2006/relationships/hyperlink" Target="http://maps.google.com/maps?q=10.7632686,-3.2558482" TargetMode="External"/><Relationship Id="rId53" Type="http://schemas.openxmlformats.org/officeDocument/2006/relationships/hyperlink" Target="http://maps.google.com/maps?q=12.3714277,-1.5196603" TargetMode="External"/><Relationship Id="rId74" Type="http://schemas.openxmlformats.org/officeDocument/2006/relationships/hyperlink" Target="http://maps.google.com/maps?q=11.9597069,-2.5467546" TargetMode="External"/><Relationship Id="rId128" Type="http://schemas.openxmlformats.org/officeDocument/2006/relationships/hyperlink" Target="http://maps.google.com/maps?q=12.1846407,-4.0848789" TargetMode="External"/><Relationship Id="rId149" Type="http://schemas.openxmlformats.org/officeDocument/2006/relationships/hyperlink" Target="http://maps.google.com/maps?q=12.8443447,-2.0384863" TargetMode="External"/><Relationship Id="rId314" Type="http://schemas.openxmlformats.org/officeDocument/2006/relationships/hyperlink" Target="http://maps.google.com/maps?q=10.940716,-3.1315471" TargetMode="External"/><Relationship Id="rId5" Type="http://schemas.openxmlformats.org/officeDocument/2006/relationships/hyperlink" Target="http://maps.google.com/maps?q=11.5478704,-1.768487" TargetMode="External"/><Relationship Id="rId95" Type="http://schemas.openxmlformats.org/officeDocument/2006/relationships/hyperlink" Target="http://maps.google.com/maps?q=10.4231493,-3.2583626" TargetMode="External"/><Relationship Id="rId160" Type="http://schemas.openxmlformats.org/officeDocument/2006/relationships/hyperlink" Target="http://maps.google.com/maps?q=13.0910405,-1.0873551" TargetMode="External"/><Relationship Id="rId181" Type="http://schemas.openxmlformats.org/officeDocument/2006/relationships/hyperlink" Target="http://maps.google.com/maps?q=9.8440946,-2.9775558" TargetMode="External"/><Relationship Id="rId216" Type="http://schemas.openxmlformats.org/officeDocument/2006/relationships/hyperlink" Target="http://maps.google.com/maps?q=12.3425897,-1.443469" TargetMode="External"/><Relationship Id="rId237" Type="http://schemas.openxmlformats.org/officeDocument/2006/relationships/hyperlink" Target="http://maps.google.com/maps?q=12.4503003,-3.4700327" TargetMode="External"/><Relationship Id="rId258" Type="http://schemas.openxmlformats.org/officeDocument/2006/relationships/hyperlink" Target="http://maps.google.com/maps?q=12.1631813,-0.2244662" TargetMode="External"/><Relationship Id="rId279" Type="http://schemas.openxmlformats.org/officeDocument/2006/relationships/hyperlink" Target="http://maps.google.com/maps?q=10.3231036,-3.1679257" TargetMode="External"/><Relationship Id="rId22" Type="http://schemas.openxmlformats.org/officeDocument/2006/relationships/hyperlink" Target="http://maps.google.com/maps?q=13.0695031,-3.0626284" TargetMode="External"/><Relationship Id="rId43" Type="http://schemas.openxmlformats.org/officeDocument/2006/relationships/hyperlink" Target="http://maps.google.com/maps?q=12.3714277,-1.5196603" TargetMode="External"/><Relationship Id="rId64" Type="http://schemas.openxmlformats.org/officeDocument/2006/relationships/hyperlink" Target="http://maps.google.com/maps?q=11.5077529,0.0513246" TargetMode="External"/><Relationship Id="rId118" Type="http://schemas.openxmlformats.org/officeDocument/2006/relationships/hyperlink" Target="http://maps.google.com/maps?q=12.1501861,-2.6983868" TargetMode="External"/><Relationship Id="rId139" Type="http://schemas.openxmlformats.org/officeDocument/2006/relationships/hyperlink" Target="http://maps.google.com/maps?q=13.0695031,-3.0626284" TargetMode="External"/><Relationship Id="rId290" Type="http://schemas.openxmlformats.org/officeDocument/2006/relationships/hyperlink" Target="http://maps.google.com/maps?q=12.5930608,-1.3009307" TargetMode="External"/><Relationship Id="rId304" Type="http://schemas.openxmlformats.org/officeDocument/2006/relationships/hyperlink" Target="http://maps.google.com/maps?q=11.8992612,-4.3385829" TargetMode="External"/><Relationship Id="rId325" Type="http://schemas.openxmlformats.org/officeDocument/2006/relationships/hyperlink" Target="http://maps.google.com/maps?q=12.1787974,-2.6934166" TargetMode="External"/><Relationship Id="rId85" Type="http://schemas.openxmlformats.org/officeDocument/2006/relationships/hyperlink" Target="http://maps.google.com/maps?q=10.7632686,-3.2558482" TargetMode="External"/><Relationship Id="rId150" Type="http://schemas.openxmlformats.org/officeDocument/2006/relationships/hyperlink" Target="http://maps.google.com/maps?q=12.3714277,-1.5196603" TargetMode="External"/><Relationship Id="rId171" Type="http://schemas.openxmlformats.org/officeDocument/2006/relationships/hyperlink" Target="http://maps.google.com/maps?q=10.3231036,-3.1679257" TargetMode="External"/><Relationship Id="rId192" Type="http://schemas.openxmlformats.org/officeDocument/2006/relationships/hyperlink" Target="http://maps.google.com/maps?q=12.1846407,-4.0848789" TargetMode="External"/><Relationship Id="rId206" Type="http://schemas.openxmlformats.org/officeDocument/2006/relationships/hyperlink" Target="http://maps.google.com/maps?q=11.7528516,-0.5872288" TargetMode="External"/><Relationship Id="rId227" Type="http://schemas.openxmlformats.org/officeDocument/2006/relationships/hyperlink" Target="http://maps.google.com/maps?q=12.683333,-0.4500001" TargetMode="External"/><Relationship Id="rId248" Type="http://schemas.openxmlformats.org/officeDocument/2006/relationships/hyperlink" Target="http://maps.google.com/maps?q=12.7430244,-3.8553507" TargetMode="External"/><Relationship Id="rId269" Type="http://schemas.openxmlformats.org/officeDocument/2006/relationships/hyperlink" Target="http://maps.google.com/maps?q=12.3802333,-2.5492903" TargetMode="External"/><Relationship Id="rId12" Type="http://schemas.openxmlformats.org/officeDocument/2006/relationships/hyperlink" Target="http://maps.google.com/maps?q=13.1749923,-3.4044963" TargetMode="External"/><Relationship Id="rId33" Type="http://schemas.openxmlformats.org/officeDocument/2006/relationships/hyperlink" Target="http://maps.google.com/maps?q=12.5840501,-1.2987349" TargetMode="External"/><Relationship Id="rId108" Type="http://schemas.openxmlformats.org/officeDocument/2006/relationships/hyperlink" Target="http://maps.google.com/maps?q=12.2562183,-2.3517526" TargetMode="External"/><Relationship Id="rId129" Type="http://schemas.openxmlformats.org/officeDocument/2006/relationships/hyperlink" Target="http://maps.google.com/maps?q=12.1501861,-2.6983868" TargetMode="External"/><Relationship Id="rId280" Type="http://schemas.openxmlformats.org/officeDocument/2006/relationships/hyperlink" Target="http://maps.google.com/maps?q=11.438007,-3.006048" TargetMode="External"/><Relationship Id="rId315" Type="http://schemas.openxmlformats.org/officeDocument/2006/relationships/hyperlink" Target="http://maps.google.com/maps?q=10.940716,-3.1315471" TargetMode="External"/><Relationship Id="rId54" Type="http://schemas.openxmlformats.org/officeDocument/2006/relationships/hyperlink" Target="http://maps.google.com/maps?q=12.7653641,-2.9000652" TargetMode="External"/><Relationship Id="rId75" Type="http://schemas.openxmlformats.org/officeDocument/2006/relationships/hyperlink" Target="http://maps.google.com/maps?q=10.9578957,-3.2432781" TargetMode="External"/><Relationship Id="rId96" Type="http://schemas.openxmlformats.org/officeDocument/2006/relationships/hyperlink" Target="http://maps.google.com/maps?q=10.3325996,-3.3388917" TargetMode="External"/><Relationship Id="rId140" Type="http://schemas.openxmlformats.org/officeDocument/2006/relationships/hyperlink" Target="http://maps.google.com/maps?q=13.0695031,-3.0626284" TargetMode="External"/><Relationship Id="rId161" Type="http://schemas.openxmlformats.org/officeDocument/2006/relationships/hyperlink" Target="http://maps.google.com/maps?q=13.1630887,-0.8271646" TargetMode="External"/><Relationship Id="rId182" Type="http://schemas.openxmlformats.org/officeDocument/2006/relationships/hyperlink" Target="http://maps.google.com/maps?q=11.4894238,-3.523092" TargetMode="External"/><Relationship Id="rId217" Type="http://schemas.openxmlformats.org/officeDocument/2006/relationships/hyperlink" Target="http://maps.google.com/maps?q=10.457233,-5.2949907" TargetMode="External"/><Relationship Id="rId6" Type="http://schemas.openxmlformats.org/officeDocument/2006/relationships/hyperlink" Target="http://maps.google.com/maps?q=12.0748899,-1.5441291" TargetMode="External"/><Relationship Id="rId238" Type="http://schemas.openxmlformats.org/officeDocument/2006/relationships/hyperlink" Target="http://maps.google.com/maps?q=12.1631813,-0.2244662" TargetMode="External"/><Relationship Id="rId259" Type="http://schemas.openxmlformats.org/officeDocument/2006/relationships/hyperlink" Target="http://maps.google.com/maps?q=12.180204,-0.3513021" TargetMode="External"/><Relationship Id="rId23" Type="http://schemas.openxmlformats.org/officeDocument/2006/relationships/hyperlink" Target="http://maps.google.com/maps?q=12.3714277,-1.5196603" TargetMode="External"/><Relationship Id="rId119" Type="http://schemas.openxmlformats.org/officeDocument/2006/relationships/hyperlink" Target="http://maps.google.com/maps?q=12.3802333,-2.5492903" TargetMode="External"/><Relationship Id="rId270" Type="http://schemas.openxmlformats.org/officeDocument/2006/relationships/hyperlink" Target="http://maps.google.com/maps?q=12.3802333,-2.5492903" TargetMode="External"/><Relationship Id="rId291" Type="http://schemas.openxmlformats.org/officeDocument/2006/relationships/hyperlink" Target="http://maps.google.com/maps?q=11.0966798,-0.9649688" TargetMode="External"/><Relationship Id="rId305" Type="http://schemas.openxmlformats.org/officeDocument/2006/relationships/hyperlink" Target="http://maps.google.com/maps?q=11.66503,-1.0634024" TargetMode="External"/><Relationship Id="rId326" Type="http://schemas.openxmlformats.org/officeDocument/2006/relationships/hyperlink" Target="http://maps.google.com/maps?q=10.940716,-3.1315471" TargetMode="External"/><Relationship Id="rId44" Type="http://schemas.openxmlformats.org/officeDocument/2006/relationships/hyperlink" Target="http://maps.google.com/maps?q=12.7192233,-0.1354586" TargetMode="External"/><Relationship Id="rId65" Type="http://schemas.openxmlformats.org/officeDocument/2006/relationships/hyperlink" Target="http://maps.google.com/maps?q=13.2036283,-2.3566861" TargetMode="External"/><Relationship Id="rId86" Type="http://schemas.openxmlformats.org/officeDocument/2006/relationships/hyperlink" Target="http://maps.google.com/maps?q=10.2927366,-3.5319407" TargetMode="External"/><Relationship Id="rId130" Type="http://schemas.openxmlformats.org/officeDocument/2006/relationships/hyperlink" Target="http://maps.google.com/maps?q=12.3802333,-2.5492903" TargetMode="External"/><Relationship Id="rId151" Type="http://schemas.openxmlformats.org/officeDocument/2006/relationships/hyperlink" Target="http://maps.google.com/maps?q=12.8881221,-2.2236667" TargetMode="External"/><Relationship Id="rId172" Type="http://schemas.openxmlformats.org/officeDocument/2006/relationships/hyperlink" Target="http://maps.google.com/maps?q=10.5384775,-3.2357376" TargetMode="External"/><Relationship Id="rId193" Type="http://schemas.openxmlformats.org/officeDocument/2006/relationships/hyperlink" Target="http://maps.google.com/maps?q=10.5776211,-5.3556617" TargetMode="External"/><Relationship Id="rId207" Type="http://schemas.openxmlformats.org/officeDocument/2006/relationships/hyperlink" Target="http://maps.google.com/maps?q=11.5478704,-1.768487" TargetMode="External"/><Relationship Id="rId228" Type="http://schemas.openxmlformats.org/officeDocument/2006/relationships/hyperlink" Target="http://maps.google.com/maps?q=12.2562183,-2.3517526" TargetMode="External"/><Relationship Id="rId249" Type="http://schemas.openxmlformats.org/officeDocument/2006/relationships/hyperlink" Target="http://maps.google.com/maps?q=12.7430244,-3.8553507" TargetMode="External"/><Relationship Id="rId13" Type="http://schemas.openxmlformats.org/officeDocument/2006/relationships/hyperlink" Target="http://maps.google.com/maps?q=11.7459813,-2.930081" TargetMode="External"/><Relationship Id="rId109" Type="http://schemas.openxmlformats.org/officeDocument/2006/relationships/hyperlink" Target="http://maps.google.com/maps?q=11.7863324,-0.3654204" TargetMode="External"/><Relationship Id="rId260" Type="http://schemas.openxmlformats.org/officeDocument/2006/relationships/hyperlink" Target="http://maps.google.com/maps?q=11.0403265,-2.5020943" TargetMode="External"/><Relationship Id="rId281" Type="http://schemas.openxmlformats.org/officeDocument/2006/relationships/hyperlink" Target="http://maps.google.com/maps?q=12.1941174,-1.8733017" TargetMode="External"/><Relationship Id="rId316" Type="http://schemas.openxmlformats.org/officeDocument/2006/relationships/hyperlink" Target="http://maps.google.com/maps?q=10.940716,-3.1315471" TargetMode="External"/><Relationship Id="rId34" Type="http://schemas.openxmlformats.org/officeDocument/2006/relationships/hyperlink" Target="http://maps.google.com/maps?q=12.5561698,-1.8879868" TargetMode="External"/><Relationship Id="rId55" Type="http://schemas.openxmlformats.org/officeDocument/2006/relationships/hyperlink" Target="http://maps.google.com/maps?q=12.5235683,-2.8741985" TargetMode="External"/><Relationship Id="rId76" Type="http://schemas.openxmlformats.org/officeDocument/2006/relationships/hyperlink" Target="http://maps.google.com/maps?q=11.0562034,-3.0175712" TargetMode="External"/><Relationship Id="rId97" Type="http://schemas.openxmlformats.org/officeDocument/2006/relationships/hyperlink" Target="http://maps.google.com/maps?q=11.66503,-1.0634024" TargetMode="External"/><Relationship Id="rId120" Type="http://schemas.openxmlformats.org/officeDocument/2006/relationships/hyperlink" Target="http://maps.google.com/maps?q=12.3802333,-2.5492903" TargetMode="External"/><Relationship Id="rId141" Type="http://schemas.openxmlformats.org/officeDocument/2006/relationships/hyperlink" Target="http://maps.google.com/maps?q=13.0695031,-3.0626284" TargetMode="External"/><Relationship Id="rId7" Type="http://schemas.openxmlformats.org/officeDocument/2006/relationships/hyperlink" Target="http://maps.google.com/maps?q=11.1652432,-1.1400998" TargetMode="External"/><Relationship Id="rId162" Type="http://schemas.openxmlformats.org/officeDocument/2006/relationships/hyperlink" Target="http://maps.google.com/maps?q=11.4356118,-4.0380841" TargetMode="External"/><Relationship Id="rId183" Type="http://schemas.openxmlformats.org/officeDocument/2006/relationships/hyperlink" Target="http://maps.google.com/maps?q=10.6302115,-3.0551159" TargetMode="External"/><Relationship Id="rId218" Type="http://schemas.openxmlformats.org/officeDocument/2006/relationships/hyperlink" Target="http://maps.google.com/maps?q=12.074325,-1.3421032" TargetMode="External"/><Relationship Id="rId239" Type="http://schemas.openxmlformats.org/officeDocument/2006/relationships/hyperlink" Target="http://maps.google.com/maps?q=12.2562183,-2.3517526" TargetMode="External"/><Relationship Id="rId250" Type="http://schemas.openxmlformats.org/officeDocument/2006/relationships/hyperlink" Target="http://maps.google.com/maps?q=13.0695031,-3.0626284" TargetMode="External"/><Relationship Id="rId271" Type="http://schemas.openxmlformats.org/officeDocument/2006/relationships/hyperlink" Target="http://maps.google.com/maps?q=12.44477,-2.688158" TargetMode="External"/><Relationship Id="rId292" Type="http://schemas.openxmlformats.org/officeDocument/2006/relationships/hyperlink" Target="http://maps.google.com/maps?q=12.514587,-1.577821" TargetMode="External"/><Relationship Id="rId306" Type="http://schemas.openxmlformats.org/officeDocument/2006/relationships/hyperlink" Target="http://maps.google.com/maps?q=12.180204,-0.3513021" TargetMode="External"/><Relationship Id="rId24" Type="http://schemas.openxmlformats.org/officeDocument/2006/relationships/hyperlink" Target="http://maps.google.com/maps?q=12.2537648,-0.7532809" TargetMode="External"/><Relationship Id="rId45" Type="http://schemas.openxmlformats.org/officeDocument/2006/relationships/hyperlink" Target="http://maps.google.com/maps?q=11.5567756,-1.201775" TargetMode="External"/><Relationship Id="rId66" Type="http://schemas.openxmlformats.org/officeDocument/2006/relationships/hyperlink" Target="http://maps.google.com/maps?q=11.5077529,0.0513246" TargetMode="External"/><Relationship Id="rId87" Type="http://schemas.openxmlformats.org/officeDocument/2006/relationships/hyperlink" Target="http://maps.google.com/maps?q=10.9578957,-3.2432781" TargetMode="External"/><Relationship Id="rId110" Type="http://schemas.openxmlformats.org/officeDocument/2006/relationships/hyperlink" Target="http://maps.google.com/maps?q=12.632202,-2.6750102" TargetMode="External"/><Relationship Id="rId131" Type="http://schemas.openxmlformats.org/officeDocument/2006/relationships/hyperlink" Target="http://maps.google.com/maps?q=12.632202,-2.6750102" TargetMode="External"/><Relationship Id="rId327" Type="http://schemas.openxmlformats.org/officeDocument/2006/relationships/hyperlink" Target="http://maps.google.com/maps?q=10.940716,-3.1315471" TargetMode="External"/><Relationship Id="rId152" Type="http://schemas.openxmlformats.org/officeDocument/2006/relationships/hyperlink" Target="http://maps.google.com/maps?q=13.1165926,-2.4208713" TargetMode="External"/><Relationship Id="rId173" Type="http://schemas.openxmlformats.org/officeDocument/2006/relationships/hyperlink" Target="http://maps.google.com/maps?q=10.3325996,-3.3388917" TargetMode="External"/><Relationship Id="rId194" Type="http://schemas.openxmlformats.org/officeDocument/2006/relationships/hyperlink" Target="http://maps.google.com/maps?q=11.2578925,-0.3042778" TargetMode="External"/><Relationship Id="rId208" Type="http://schemas.openxmlformats.org/officeDocument/2006/relationships/hyperlink" Target="http://maps.google.com/maps?q=12.2562183,-2.3517526" TargetMode="External"/><Relationship Id="rId229" Type="http://schemas.openxmlformats.org/officeDocument/2006/relationships/hyperlink" Target="http://maps.google.com/maps?q=12.6612116,-0.5683399" TargetMode="External"/><Relationship Id="rId240" Type="http://schemas.openxmlformats.org/officeDocument/2006/relationships/hyperlink" Target="http://maps.google.com/maps?q=12.6513142,0.4915329" TargetMode="External"/><Relationship Id="rId261" Type="http://schemas.openxmlformats.org/officeDocument/2006/relationships/hyperlink" Target="http://maps.google.com/maps?q=10.6503878,-5.1692752" TargetMode="External"/><Relationship Id="rId14" Type="http://schemas.openxmlformats.org/officeDocument/2006/relationships/hyperlink" Target="http://maps.google.com/maps?q=13.0695031,-3.0626284" TargetMode="External"/><Relationship Id="rId35" Type="http://schemas.openxmlformats.org/officeDocument/2006/relationships/hyperlink" Target="http://maps.google.com/maps?q=12.5840501,-1.2987349" TargetMode="External"/><Relationship Id="rId56" Type="http://schemas.openxmlformats.org/officeDocument/2006/relationships/hyperlink" Target="http://maps.google.com/maps?q=12.1501861,-2.6983868" TargetMode="External"/><Relationship Id="rId77" Type="http://schemas.openxmlformats.org/officeDocument/2006/relationships/hyperlink" Target="http://maps.google.com/maps?q=10.9578957,-3.2432781" TargetMode="External"/><Relationship Id="rId100" Type="http://schemas.openxmlformats.org/officeDocument/2006/relationships/hyperlink" Target="http://maps.google.com/maps?q=10.67632,-4.97215" TargetMode="External"/><Relationship Id="rId282" Type="http://schemas.openxmlformats.org/officeDocument/2006/relationships/hyperlink" Target="http://maps.google.com/maps?q=10.2927366,-3.5319407" TargetMode="External"/><Relationship Id="rId317" Type="http://schemas.openxmlformats.org/officeDocument/2006/relationships/hyperlink" Target="http://maps.google.com/maps?q=10.940716,-3.1315471" TargetMode="External"/><Relationship Id="rId8" Type="http://schemas.openxmlformats.org/officeDocument/2006/relationships/hyperlink" Target="http://maps.google.com/maps?q=11.5077529,0.0513246" TargetMode="External"/><Relationship Id="rId51" Type="http://schemas.openxmlformats.org/officeDocument/2006/relationships/hyperlink" Target="http://maps.google.com/maps?q=12.5235683,-2.8741985" TargetMode="External"/><Relationship Id="rId72" Type="http://schemas.openxmlformats.org/officeDocument/2006/relationships/hyperlink" Target="http://maps.google.com/maps?q=10.2927366,-3.5319407" TargetMode="External"/><Relationship Id="rId93" Type="http://schemas.openxmlformats.org/officeDocument/2006/relationships/hyperlink" Target="http://maps.google.com/maps?q=12.0601649,0.3654204" TargetMode="External"/><Relationship Id="rId98" Type="http://schemas.openxmlformats.org/officeDocument/2006/relationships/hyperlink" Target="http://maps.google.com/maps?q=10.6302115,-3.0551159" TargetMode="External"/><Relationship Id="rId121" Type="http://schemas.openxmlformats.org/officeDocument/2006/relationships/hyperlink" Target="http://maps.google.com/maps?q=12.1501861,-2.6983868" TargetMode="External"/><Relationship Id="rId142" Type="http://schemas.openxmlformats.org/officeDocument/2006/relationships/hyperlink" Target="http://maps.google.com/maps?q=13.2036283,-2.3566861" TargetMode="External"/><Relationship Id="rId163" Type="http://schemas.openxmlformats.org/officeDocument/2006/relationships/hyperlink" Target="http://maps.google.com/maps?q=11.5077529,0.0513246" TargetMode="External"/><Relationship Id="rId184" Type="http://schemas.openxmlformats.org/officeDocument/2006/relationships/hyperlink" Target="http://maps.google.com/maps?q=10.9808313,-4.9091329" TargetMode="External"/><Relationship Id="rId189" Type="http://schemas.openxmlformats.org/officeDocument/2006/relationships/hyperlink" Target="http://maps.google.com/maps?q=10.5776211,-5.3556617" TargetMode="External"/><Relationship Id="rId219" Type="http://schemas.openxmlformats.org/officeDocument/2006/relationships/hyperlink" Target="http://maps.google.com/maps?q=12.5101611,-1.5771523" TargetMode="External"/><Relationship Id="rId3" Type="http://schemas.openxmlformats.org/officeDocument/2006/relationships/hyperlink" Target="http://maps.google.com/maps?q=11.1652432,-1.1400998" TargetMode="External"/><Relationship Id="rId214" Type="http://schemas.openxmlformats.org/officeDocument/2006/relationships/hyperlink" Target="http://maps.google.com/maps?q=11.5308634,-2.764243" TargetMode="External"/><Relationship Id="rId230" Type="http://schemas.openxmlformats.org/officeDocument/2006/relationships/hyperlink" Target="http://maps.google.com/maps?q=13.0910405,-1.0873551" TargetMode="External"/><Relationship Id="rId235" Type="http://schemas.openxmlformats.org/officeDocument/2006/relationships/hyperlink" Target="http://maps.google.com/maps?q=12.3446813,-0.4970705" TargetMode="External"/><Relationship Id="rId251" Type="http://schemas.openxmlformats.org/officeDocument/2006/relationships/hyperlink" Target="http://maps.google.com/maps?q=13.0695031,-3.0626284" TargetMode="External"/><Relationship Id="rId256" Type="http://schemas.openxmlformats.org/officeDocument/2006/relationships/hyperlink" Target="http://maps.google.com/maps?q=12.7653641,-2.9000652" TargetMode="External"/><Relationship Id="rId277" Type="http://schemas.openxmlformats.org/officeDocument/2006/relationships/hyperlink" Target="http://maps.google.com/maps?q=10.9508936,-4.4722512" TargetMode="External"/><Relationship Id="rId298" Type="http://schemas.openxmlformats.org/officeDocument/2006/relationships/hyperlink" Target="http://maps.google.com/maps?q=12.466667,-1.516667" TargetMode="External"/><Relationship Id="rId25" Type="http://schemas.openxmlformats.org/officeDocument/2006/relationships/hyperlink" Target="http://maps.google.com/maps?q=12.7430244,-3.8553507" TargetMode="External"/><Relationship Id="rId46" Type="http://schemas.openxmlformats.org/officeDocument/2006/relationships/hyperlink" Target="http://maps.google.com/maps?q=12.2562183,-2.3517526" TargetMode="External"/><Relationship Id="rId67" Type="http://schemas.openxmlformats.org/officeDocument/2006/relationships/hyperlink" Target="http://maps.google.com/maps?q=12.7126527,0.6773046" TargetMode="External"/><Relationship Id="rId116" Type="http://schemas.openxmlformats.org/officeDocument/2006/relationships/hyperlink" Target="http://maps.google.com/maps?q=12.51667,-2.65" TargetMode="External"/><Relationship Id="rId137" Type="http://schemas.openxmlformats.org/officeDocument/2006/relationships/hyperlink" Target="http://maps.google.com/maps?q=11.5247674,0.1494988" TargetMode="External"/><Relationship Id="rId158" Type="http://schemas.openxmlformats.org/officeDocument/2006/relationships/hyperlink" Target="http://maps.google.com/maps?q=13.0910405,-1.0873551" TargetMode="External"/><Relationship Id="rId272" Type="http://schemas.openxmlformats.org/officeDocument/2006/relationships/hyperlink" Target="http://maps.google.com/maps?q=11.2013941,-4.3231241" TargetMode="External"/><Relationship Id="rId293" Type="http://schemas.openxmlformats.org/officeDocument/2006/relationships/hyperlink" Target="http://maps.google.com/maps?q=12.5840501,-1.2987349" TargetMode="External"/><Relationship Id="rId302" Type="http://schemas.openxmlformats.org/officeDocument/2006/relationships/hyperlink" Target="http://maps.google.com/maps?q=10.9578957,-3.2432781" TargetMode="External"/><Relationship Id="rId307" Type="http://schemas.openxmlformats.org/officeDocument/2006/relationships/hyperlink" Target="http://maps.google.com/maps?q=12.2483626,-0.6251541" TargetMode="External"/><Relationship Id="rId323" Type="http://schemas.openxmlformats.org/officeDocument/2006/relationships/hyperlink" Target="http://maps.google.com/maps?q=10.940716,-3.1315471" TargetMode="External"/><Relationship Id="rId328" Type="http://schemas.openxmlformats.org/officeDocument/2006/relationships/hyperlink" Target="http://maps.google.com/maps?q=12.1624473,0.6773046" TargetMode="External"/><Relationship Id="rId20" Type="http://schemas.openxmlformats.org/officeDocument/2006/relationships/hyperlink" Target="http://maps.google.com/maps?q=13.0373891,-1.9370871" TargetMode="External"/><Relationship Id="rId41" Type="http://schemas.openxmlformats.org/officeDocument/2006/relationships/hyperlink" Target="http://maps.google.com/maps?q=13.0695031,-3.0626284" TargetMode="External"/><Relationship Id="rId62" Type="http://schemas.openxmlformats.org/officeDocument/2006/relationships/hyperlink" Target="http://maps.google.com/maps?q=12.0601649,0.3654204" TargetMode="External"/><Relationship Id="rId83" Type="http://schemas.openxmlformats.org/officeDocument/2006/relationships/hyperlink" Target="http://maps.google.com/maps?q=11.0562034,-3.0175712" TargetMode="External"/><Relationship Id="rId88" Type="http://schemas.openxmlformats.org/officeDocument/2006/relationships/hyperlink" Target="http://maps.google.com/maps?q=12.9780605,-0.1401381" TargetMode="External"/><Relationship Id="rId111" Type="http://schemas.openxmlformats.org/officeDocument/2006/relationships/hyperlink" Target="http://maps.google.com/maps?q=12.3802333,-2.5492903" TargetMode="External"/><Relationship Id="rId132" Type="http://schemas.openxmlformats.org/officeDocument/2006/relationships/hyperlink" Target="http://maps.google.com/maps?q=11.2489523,0.7049925" TargetMode="External"/><Relationship Id="rId153" Type="http://schemas.openxmlformats.org/officeDocument/2006/relationships/hyperlink" Target="http://maps.google.com/maps?q=12.8881221,-2.2236667" TargetMode="External"/><Relationship Id="rId174" Type="http://schemas.openxmlformats.org/officeDocument/2006/relationships/hyperlink" Target="http://maps.google.com/maps?q=12.9082552,-1.0765746" TargetMode="External"/><Relationship Id="rId179" Type="http://schemas.openxmlformats.org/officeDocument/2006/relationships/hyperlink" Target="http://maps.google.com/maps?q=9.8440946,-2.9775558" TargetMode="External"/><Relationship Id="rId195" Type="http://schemas.openxmlformats.org/officeDocument/2006/relationships/hyperlink" Target="http://maps.google.com/maps?q=11.2578925,-0.3042778" TargetMode="External"/><Relationship Id="rId209" Type="http://schemas.openxmlformats.org/officeDocument/2006/relationships/hyperlink" Target="http://maps.google.com/maps?q=11.7863324,-0.3654204" TargetMode="External"/><Relationship Id="rId190" Type="http://schemas.openxmlformats.org/officeDocument/2006/relationships/hyperlink" Target="http://maps.google.com/maps?q=11.4772766,1.2453219" TargetMode="External"/><Relationship Id="rId204" Type="http://schemas.openxmlformats.org/officeDocument/2006/relationships/hyperlink" Target="http://maps.google.com/maps?q=11.4772766,1.2453219" TargetMode="External"/><Relationship Id="rId220" Type="http://schemas.openxmlformats.org/officeDocument/2006/relationships/hyperlink" Target="http://maps.google.com/maps?q=12.1846407,-4.0848789" TargetMode="External"/><Relationship Id="rId225" Type="http://schemas.openxmlformats.org/officeDocument/2006/relationships/hyperlink" Target="http://maps.google.com/maps?q=12.9873879,-1.3451348" TargetMode="External"/><Relationship Id="rId241" Type="http://schemas.openxmlformats.org/officeDocument/2006/relationships/hyperlink" Target="http://maps.google.com/maps?q=12.2562183,-2.3517526" TargetMode="External"/><Relationship Id="rId246" Type="http://schemas.openxmlformats.org/officeDocument/2006/relationships/hyperlink" Target="http://maps.google.com/maps?q=12.7430244,-3.8553507" TargetMode="External"/><Relationship Id="rId267" Type="http://schemas.openxmlformats.org/officeDocument/2006/relationships/hyperlink" Target="http://maps.google.com/maps?q=12.5646792,-2.5693451" TargetMode="External"/><Relationship Id="rId288" Type="http://schemas.openxmlformats.org/officeDocument/2006/relationships/hyperlink" Target="http://maps.google.com/maps?q=11.5478704,-1.768487" TargetMode="External"/><Relationship Id="rId15" Type="http://schemas.openxmlformats.org/officeDocument/2006/relationships/hyperlink" Target="http://maps.google.com/maps?q=12.7430244,-3.8553507" TargetMode="External"/><Relationship Id="rId36" Type="http://schemas.openxmlformats.org/officeDocument/2006/relationships/hyperlink" Target="http://maps.google.com/maps?q=11.68333,-1.16667" TargetMode="External"/><Relationship Id="rId57" Type="http://schemas.openxmlformats.org/officeDocument/2006/relationships/hyperlink" Target="http://maps.google.com/maps?q=12.7653641,-2.9000652" TargetMode="External"/><Relationship Id="rId106" Type="http://schemas.openxmlformats.org/officeDocument/2006/relationships/hyperlink" Target="http://maps.google.com/maps?q=12.2483626,-0.6251541" TargetMode="External"/><Relationship Id="rId127" Type="http://schemas.openxmlformats.org/officeDocument/2006/relationships/hyperlink" Target="http://maps.google.com/maps?q=12.1846407,-4.0848789" TargetMode="External"/><Relationship Id="rId262" Type="http://schemas.openxmlformats.org/officeDocument/2006/relationships/hyperlink" Target="http://maps.google.com/maps?q=12.2562183,-2.3517526" TargetMode="External"/><Relationship Id="rId283" Type="http://schemas.openxmlformats.org/officeDocument/2006/relationships/hyperlink" Target="http://maps.google.com/maps?q=11.1649219,-4.3051542" TargetMode="External"/><Relationship Id="rId313" Type="http://schemas.openxmlformats.org/officeDocument/2006/relationships/hyperlink" Target="http://maps.google.com/maps?q=10.940716,-3.1315471" TargetMode="External"/><Relationship Id="rId318" Type="http://schemas.openxmlformats.org/officeDocument/2006/relationships/hyperlink" Target="http://maps.google.com/maps?q=10.9578957,-3.2432781" TargetMode="External"/><Relationship Id="rId10" Type="http://schemas.openxmlformats.org/officeDocument/2006/relationships/hyperlink" Target="http://maps.google.com/maps?q=11.1768855,0.1610502" TargetMode="External"/><Relationship Id="rId31" Type="http://schemas.openxmlformats.org/officeDocument/2006/relationships/hyperlink" Target="http://maps.google.com/maps?q=13.4044387,-2.1552453" TargetMode="External"/><Relationship Id="rId52" Type="http://schemas.openxmlformats.org/officeDocument/2006/relationships/hyperlink" Target="http://maps.google.com/maps?q=13.2036283,-2.3566861" TargetMode="External"/><Relationship Id="rId73" Type="http://schemas.openxmlformats.org/officeDocument/2006/relationships/hyperlink" Target="http://maps.google.com/maps?q=10.8722646,-3.3388917" TargetMode="External"/><Relationship Id="rId78" Type="http://schemas.openxmlformats.org/officeDocument/2006/relationships/hyperlink" Target="http://maps.google.com/maps?q=9.8738597,-2.9213408" TargetMode="External"/><Relationship Id="rId94" Type="http://schemas.openxmlformats.org/officeDocument/2006/relationships/hyperlink" Target="http://maps.google.com/maps?q=10.3325996,-3.3388917" TargetMode="External"/><Relationship Id="rId99" Type="http://schemas.openxmlformats.org/officeDocument/2006/relationships/hyperlink" Target="http://maps.google.com/maps?q=11.0966798,-0.9649688" TargetMode="External"/><Relationship Id="rId101" Type="http://schemas.openxmlformats.org/officeDocument/2006/relationships/hyperlink" Target="http://maps.google.com/maps?q=11.1652432,-1.1400998" TargetMode="External"/><Relationship Id="rId122" Type="http://schemas.openxmlformats.org/officeDocument/2006/relationships/hyperlink" Target="http://maps.google.com/maps?q=12.1501861,-2.6983868" TargetMode="External"/><Relationship Id="rId143" Type="http://schemas.openxmlformats.org/officeDocument/2006/relationships/hyperlink" Target="http://maps.google.com/maps?q=12.9003223,-2.4678327" TargetMode="External"/><Relationship Id="rId148" Type="http://schemas.openxmlformats.org/officeDocument/2006/relationships/hyperlink" Target="http://maps.google.com/maps?q=13.6087964,-0.6486514" TargetMode="External"/><Relationship Id="rId164" Type="http://schemas.openxmlformats.org/officeDocument/2006/relationships/hyperlink" Target="http://maps.google.com/maps?q=12.632202,-2.6750102" TargetMode="External"/><Relationship Id="rId169" Type="http://schemas.openxmlformats.org/officeDocument/2006/relationships/hyperlink" Target="http://maps.google.com/maps?q=10.3325996,-3.3388917" TargetMode="External"/><Relationship Id="rId185" Type="http://schemas.openxmlformats.org/officeDocument/2006/relationships/hyperlink" Target="http://maps.google.com/maps?q=11.0978809,-2.0959429" TargetMode="External"/><Relationship Id="rId334" Type="http://schemas.openxmlformats.org/officeDocument/2006/relationships/hyperlink" Target="http://maps.google.com/maps?q=11.8529365,-4.0708047" TargetMode="External"/><Relationship Id="rId4" Type="http://schemas.openxmlformats.org/officeDocument/2006/relationships/hyperlink" Target="http://maps.google.com/maps?q=12.5840501,-1.2987349" TargetMode="External"/><Relationship Id="rId9" Type="http://schemas.openxmlformats.org/officeDocument/2006/relationships/hyperlink" Target="http://maps.google.com/maps?q=11.5887615,-0.0104926" TargetMode="External"/><Relationship Id="rId180" Type="http://schemas.openxmlformats.org/officeDocument/2006/relationships/hyperlink" Target="http://maps.google.com/maps?q=10.3325996,-3.3388917" TargetMode="External"/><Relationship Id="rId210" Type="http://schemas.openxmlformats.org/officeDocument/2006/relationships/hyperlink" Target="http://maps.google.com/maps?q=11.6986047,-0.7021767" TargetMode="External"/><Relationship Id="rId215" Type="http://schemas.openxmlformats.org/officeDocument/2006/relationships/hyperlink" Target="http://maps.google.com/maps?q=11.5029004,-3.5812692" TargetMode="External"/><Relationship Id="rId236" Type="http://schemas.openxmlformats.org/officeDocument/2006/relationships/hyperlink" Target="http://maps.google.com/maps?q=12.0187493,-2.7133005" TargetMode="External"/><Relationship Id="rId257" Type="http://schemas.openxmlformats.org/officeDocument/2006/relationships/hyperlink" Target="http://maps.google.com/maps?q=12.7653641,-2.9000652" TargetMode="External"/><Relationship Id="rId278" Type="http://schemas.openxmlformats.org/officeDocument/2006/relationships/hyperlink" Target="http://maps.google.com/maps?q=10.76667,-5.15" TargetMode="External"/><Relationship Id="rId26" Type="http://schemas.openxmlformats.org/officeDocument/2006/relationships/hyperlink" Target="http://maps.google.com/maps?q=12.7653641,-2.9000652" TargetMode="External"/><Relationship Id="rId231" Type="http://schemas.openxmlformats.org/officeDocument/2006/relationships/hyperlink" Target="http://maps.google.com/maps?q=12.074325,-1.3421032" TargetMode="External"/><Relationship Id="rId252" Type="http://schemas.openxmlformats.org/officeDocument/2006/relationships/hyperlink" Target="http://maps.google.com/maps?q=12.9082552,-1.0765746" TargetMode="External"/><Relationship Id="rId273" Type="http://schemas.openxmlformats.org/officeDocument/2006/relationships/hyperlink" Target="http://maps.google.com/maps?q=11.2013941,-4.3231241" TargetMode="External"/><Relationship Id="rId294" Type="http://schemas.openxmlformats.org/officeDocument/2006/relationships/hyperlink" Target="http://maps.google.com/maps?q=12.074325,-1.3421032" TargetMode="External"/><Relationship Id="rId308" Type="http://schemas.openxmlformats.org/officeDocument/2006/relationships/hyperlink" Target="http://maps.google.com/maps?q=11.2489523,0.7049925" TargetMode="External"/><Relationship Id="rId329" Type="http://schemas.openxmlformats.org/officeDocument/2006/relationships/hyperlink" Target="http://maps.google.com/maps?q=10.9426244,-2.9203463" TargetMode="External"/><Relationship Id="rId47" Type="http://schemas.openxmlformats.org/officeDocument/2006/relationships/hyperlink" Target="http://maps.google.com/maps?q=12.2483626,-0.6251541" TargetMode="External"/><Relationship Id="rId68" Type="http://schemas.openxmlformats.org/officeDocument/2006/relationships/hyperlink" Target="http://maps.google.com/maps?q=13.0910405,-1.0873551" TargetMode="External"/><Relationship Id="rId89" Type="http://schemas.openxmlformats.org/officeDocument/2006/relationships/hyperlink" Target="http://maps.google.com/maps?q=10.3231036,-3.1679257" TargetMode="External"/><Relationship Id="rId112" Type="http://schemas.openxmlformats.org/officeDocument/2006/relationships/hyperlink" Target="http://maps.google.com/maps?q=12.3802333,-2.5492903" TargetMode="External"/><Relationship Id="rId133" Type="http://schemas.openxmlformats.org/officeDocument/2006/relationships/hyperlink" Target="http://maps.google.com/maps?q=12.1501861,-2.6983868" TargetMode="External"/><Relationship Id="rId154" Type="http://schemas.openxmlformats.org/officeDocument/2006/relationships/hyperlink" Target="http://maps.google.com/maps?q=13.1630887,-0.8271646" TargetMode="External"/><Relationship Id="rId175" Type="http://schemas.openxmlformats.org/officeDocument/2006/relationships/hyperlink" Target="http://maps.google.com/maps?q=9.8440946,-2.9775558" TargetMode="External"/><Relationship Id="rId196" Type="http://schemas.openxmlformats.org/officeDocument/2006/relationships/hyperlink" Target="http://maps.google.com/maps?q=11.9767692,-1.443469" TargetMode="External"/><Relationship Id="rId200" Type="http://schemas.openxmlformats.org/officeDocument/2006/relationships/hyperlink" Target="http://maps.google.com/maps?q=12.3425897,-1.443469" TargetMode="External"/><Relationship Id="rId16" Type="http://schemas.openxmlformats.org/officeDocument/2006/relationships/hyperlink" Target="http://maps.google.com/maps?q=11.1652432,-1.1400998" TargetMode="External"/><Relationship Id="rId221" Type="http://schemas.openxmlformats.org/officeDocument/2006/relationships/hyperlink" Target="http://maps.google.com/maps?q=12.58333,-2.03333" TargetMode="External"/><Relationship Id="rId242" Type="http://schemas.openxmlformats.org/officeDocument/2006/relationships/hyperlink" Target="http://maps.google.com/maps?q=12.596882,-2.3640875" TargetMode="External"/><Relationship Id="rId263" Type="http://schemas.openxmlformats.org/officeDocument/2006/relationships/hyperlink" Target="http://maps.google.com/maps?q=12.4503003,-3.4700327" TargetMode="External"/><Relationship Id="rId284" Type="http://schemas.openxmlformats.org/officeDocument/2006/relationships/hyperlink" Target="http://maps.google.com/maps?q=10.6400163,-4.7588042" TargetMode="External"/><Relationship Id="rId319" Type="http://schemas.openxmlformats.org/officeDocument/2006/relationships/hyperlink" Target="http://maps.google.com/maps?q=10.940716,-3.1315471" TargetMode="External"/><Relationship Id="rId37" Type="http://schemas.openxmlformats.org/officeDocument/2006/relationships/hyperlink" Target="http://maps.google.com/maps?q=11.68333,-1.16667" TargetMode="External"/><Relationship Id="rId58" Type="http://schemas.openxmlformats.org/officeDocument/2006/relationships/hyperlink" Target="http://maps.google.com/maps?q=11.1320447,-4.2333355" TargetMode="External"/><Relationship Id="rId79" Type="http://schemas.openxmlformats.org/officeDocument/2006/relationships/hyperlink" Target="http://maps.google.com/maps?q=10.8722646,-3.3388917" TargetMode="External"/><Relationship Id="rId102" Type="http://schemas.openxmlformats.org/officeDocument/2006/relationships/hyperlink" Target="http://maps.google.com/maps?q=12.2562183,-2.3517526" TargetMode="External"/><Relationship Id="rId123" Type="http://schemas.openxmlformats.org/officeDocument/2006/relationships/hyperlink" Target="http://maps.google.com/maps?q=11.8992612,-4.3385829" TargetMode="External"/><Relationship Id="rId144" Type="http://schemas.openxmlformats.org/officeDocument/2006/relationships/hyperlink" Target="http://maps.google.com/maps?q=13.2036283,-2.3566861" TargetMode="External"/><Relationship Id="rId330" Type="http://schemas.openxmlformats.org/officeDocument/2006/relationships/hyperlink" Target="http://maps.google.com/maps?q=10.940716,-3.1315471" TargetMode="External"/><Relationship Id="rId90" Type="http://schemas.openxmlformats.org/officeDocument/2006/relationships/hyperlink" Target="http://maps.google.com/maps?q=10.3325996,-3.3388917" TargetMode="External"/><Relationship Id="rId165" Type="http://schemas.openxmlformats.org/officeDocument/2006/relationships/hyperlink" Target="http://maps.google.com/maps?q=12.9780605,-0.1401381" TargetMode="External"/><Relationship Id="rId186" Type="http://schemas.openxmlformats.org/officeDocument/2006/relationships/hyperlink" Target="http://maps.google.com/maps?q=11.5238362,0.7532809" TargetMode="External"/><Relationship Id="rId211" Type="http://schemas.openxmlformats.org/officeDocument/2006/relationships/hyperlink" Target="http://maps.google.com/maps?q=11.4336766,-0.3748354" TargetMode="External"/><Relationship Id="rId232" Type="http://schemas.openxmlformats.org/officeDocument/2006/relationships/hyperlink" Target="http://maps.google.com/maps?q=12.6528861,-1.8862693" TargetMode="External"/><Relationship Id="rId253" Type="http://schemas.openxmlformats.org/officeDocument/2006/relationships/hyperlink" Target="http://maps.google.com/maps?q=10.7531338,-3.40071" TargetMode="External"/><Relationship Id="rId274" Type="http://schemas.openxmlformats.org/officeDocument/2006/relationships/hyperlink" Target="https://docs.google.com/spreadsheets/d/13i-71-8pT4rpMALB54lkxj9iElQQKs5WTj19r-X2hm4/edit" TargetMode="External"/><Relationship Id="rId295" Type="http://schemas.openxmlformats.org/officeDocument/2006/relationships/hyperlink" Target="http://maps.google.com/maps?q=12.4022622,-1.5281253" TargetMode="External"/><Relationship Id="rId309" Type="http://schemas.openxmlformats.org/officeDocument/2006/relationships/hyperlink" Target="http://maps.google.com/maps?q=12.0601649,0.3654204" TargetMode="External"/><Relationship Id="rId27" Type="http://schemas.openxmlformats.org/officeDocument/2006/relationships/hyperlink" Target="http://maps.google.com/maps?q=12.3714277,-1.5196603" TargetMode="External"/><Relationship Id="rId48" Type="http://schemas.openxmlformats.org/officeDocument/2006/relationships/hyperlink" Target="http://maps.google.com/maps?q=11.0403265,-2.5020943" TargetMode="External"/><Relationship Id="rId69" Type="http://schemas.openxmlformats.org/officeDocument/2006/relationships/hyperlink" Target="http://maps.google.com/maps?q=12.6528861,-1.8862693" TargetMode="External"/><Relationship Id="rId113" Type="http://schemas.openxmlformats.org/officeDocument/2006/relationships/hyperlink" Target="http://maps.google.com/maps?q=12.7653641,-2.9000652" TargetMode="External"/><Relationship Id="rId134" Type="http://schemas.openxmlformats.org/officeDocument/2006/relationships/hyperlink" Target="http://maps.google.com/maps?q=12.1631813,-0.2244662" TargetMode="External"/><Relationship Id="rId320" Type="http://schemas.openxmlformats.org/officeDocument/2006/relationships/hyperlink" Target="http://maps.google.com/maps?q=12.3714277,-1.5196603" TargetMode="External"/><Relationship Id="rId80" Type="http://schemas.openxmlformats.org/officeDocument/2006/relationships/hyperlink" Target="http://maps.google.com/maps?q=12.7096087,-1.443469" TargetMode="External"/><Relationship Id="rId155" Type="http://schemas.openxmlformats.org/officeDocument/2006/relationships/hyperlink" Target="http://maps.google.com/maps?q=12.2562183,-2.3517526" TargetMode="External"/><Relationship Id="rId176" Type="http://schemas.openxmlformats.org/officeDocument/2006/relationships/hyperlink" Target="http://maps.google.com/maps?q=10.3325996,-3.3388917" TargetMode="External"/><Relationship Id="rId197" Type="http://schemas.openxmlformats.org/officeDocument/2006/relationships/hyperlink" Target="http://maps.google.com/maps?q=11.7863324,-0.3654204" TargetMode="External"/><Relationship Id="rId201" Type="http://schemas.openxmlformats.org/officeDocument/2006/relationships/hyperlink" Target="http://maps.google.com/maps?q=12.3425897,-1.443469" TargetMode="External"/><Relationship Id="rId222" Type="http://schemas.openxmlformats.org/officeDocument/2006/relationships/hyperlink" Target="http://maps.google.com/maps?q=12.5883785,-2.0914677" TargetMode="External"/><Relationship Id="rId243" Type="http://schemas.openxmlformats.org/officeDocument/2006/relationships/hyperlink" Target="http://maps.google.com/maps?q=11.68333,-1.16667" TargetMode="External"/><Relationship Id="rId264" Type="http://schemas.openxmlformats.org/officeDocument/2006/relationships/hyperlink" Target="http://maps.google.com/maps?q=10.9808313,-4.9091329" TargetMode="External"/><Relationship Id="rId285" Type="http://schemas.openxmlformats.org/officeDocument/2006/relationships/hyperlink" Target="http://maps.google.com/maps?q=12.3802333,-2.5492903" TargetMode="External"/><Relationship Id="rId17" Type="http://schemas.openxmlformats.org/officeDocument/2006/relationships/hyperlink" Target="http://maps.google.com/maps?q=12.1846407,-4.0848789" TargetMode="External"/><Relationship Id="rId38" Type="http://schemas.openxmlformats.org/officeDocument/2006/relationships/hyperlink" Target="http://maps.google.com/maps?q=11.1320447,-4.2333355" TargetMode="External"/><Relationship Id="rId59" Type="http://schemas.openxmlformats.org/officeDocument/2006/relationships/hyperlink" Target="http://maps.google.com/maps?q=11.2502267,-1.135302" TargetMode="External"/><Relationship Id="rId103" Type="http://schemas.openxmlformats.org/officeDocument/2006/relationships/hyperlink" Target="http://maps.google.com/maps?q=12.0601649,0.3654204" TargetMode="External"/><Relationship Id="rId124" Type="http://schemas.openxmlformats.org/officeDocument/2006/relationships/hyperlink" Target="http://maps.google.com/maps?q=12.1846407,-4.0848789" TargetMode="External"/><Relationship Id="rId310" Type="http://schemas.openxmlformats.org/officeDocument/2006/relationships/hyperlink" Target="http://maps.google.com/maps?q=12.2562183,-2.3517526" TargetMode="External"/><Relationship Id="rId70" Type="http://schemas.openxmlformats.org/officeDocument/2006/relationships/hyperlink" Target="http://maps.google.com/maps?q=11.6141174,-0.9820668" TargetMode="External"/><Relationship Id="rId91" Type="http://schemas.openxmlformats.org/officeDocument/2006/relationships/hyperlink" Target="http://maps.google.com/maps?q=12.0601649,0.3654204" TargetMode="External"/><Relationship Id="rId145" Type="http://schemas.openxmlformats.org/officeDocument/2006/relationships/hyperlink" Target="http://maps.google.com/maps?q=13.2036283,-2.3566861" TargetMode="External"/><Relationship Id="rId166" Type="http://schemas.openxmlformats.org/officeDocument/2006/relationships/hyperlink" Target="http://maps.google.com/maps?q=12.3425897,-1.443469" TargetMode="External"/><Relationship Id="rId187" Type="http://schemas.openxmlformats.org/officeDocument/2006/relationships/hyperlink" Target="http://maps.google.com/maps?q=10.8319446,-4.9365729" TargetMode="External"/><Relationship Id="rId331" Type="http://schemas.openxmlformats.org/officeDocument/2006/relationships/hyperlink" Target="http://maps.google.com/maps?q=12.58333,-2.03333" TargetMode="External"/><Relationship Id="rId1" Type="http://schemas.openxmlformats.org/officeDocument/2006/relationships/hyperlink" Target="http://maps.google.com/maps?q=11.1652432,-1.1400998" TargetMode="External"/><Relationship Id="rId212" Type="http://schemas.openxmlformats.org/officeDocument/2006/relationships/hyperlink" Target="http://maps.google.com/maps?q=12.4503003,-3.4700327" TargetMode="External"/><Relationship Id="rId233" Type="http://schemas.openxmlformats.org/officeDocument/2006/relationships/hyperlink" Target="http://maps.google.com/maps?q=12.1846407,-4.0848789" TargetMode="External"/><Relationship Id="rId254" Type="http://schemas.openxmlformats.org/officeDocument/2006/relationships/hyperlink" Target="http://maps.google.com/maps?q=9.8440946,-2.9775558" TargetMode="External"/><Relationship Id="rId28" Type="http://schemas.openxmlformats.org/officeDocument/2006/relationships/hyperlink" Target="http://maps.google.com/maps?q=12.7653641,-2.9000652" TargetMode="External"/><Relationship Id="rId49" Type="http://schemas.openxmlformats.org/officeDocument/2006/relationships/hyperlink" Target="http://maps.google.com/maps?q=12.1787974,-2.6934166" TargetMode="External"/><Relationship Id="rId114" Type="http://schemas.openxmlformats.org/officeDocument/2006/relationships/hyperlink" Target="http://maps.google.com/maps?q=12.632202,-2.6750102" TargetMode="External"/><Relationship Id="rId275" Type="http://schemas.openxmlformats.org/officeDocument/2006/relationships/hyperlink" Target="http://maps.google.com/maps?q=11.1649219,-4.3051542" TargetMode="External"/><Relationship Id="rId296" Type="http://schemas.openxmlformats.org/officeDocument/2006/relationships/hyperlink" Target="http://maps.google.com/maps?q=12.3714277,-1.5196603" TargetMode="External"/><Relationship Id="rId300" Type="http://schemas.openxmlformats.org/officeDocument/2006/relationships/hyperlink" Target="http://maps.google.com/maps?q=13.0695031,-3.0626284" TargetMode="External"/><Relationship Id="rId60" Type="http://schemas.openxmlformats.org/officeDocument/2006/relationships/hyperlink" Target="http://maps.google.com/maps?q=12.1853173,-2.6090043" TargetMode="External"/><Relationship Id="rId81" Type="http://schemas.openxmlformats.org/officeDocument/2006/relationships/hyperlink" Target="http://maps.google.com/maps?q=10.7632686,-3.2558482" TargetMode="External"/><Relationship Id="rId135" Type="http://schemas.openxmlformats.org/officeDocument/2006/relationships/hyperlink" Target="http://maps.google.com/maps?q=12.1631813,-0.2244662" TargetMode="External"/><Relationship Id="rId156" Type="http://schemas.openxmlformats.org/officeDocument/2006/relationships/hyperlink" Target="http://maps.google.com/maps?q=13.0910405,-1.0873551" TargetMode="External"/><Relationship Id="rId177" Type="http://schemas.openxmlformats.org/officeDocument/2006/relationships/hyperlink" Target="http://maps.google.com/maps?q=9.8440946,-2.9775558" TargetMode="External"/><Relationship Id="rId198" Type="http://schemas.openxmlformats.org/officeDocument/2006/relationships/hyperlink" Target="http://maps.google.com/maps?q=11.2578925,-0.3042778" TargetMode="External"/><Relationship Id="rId321" Type="http://schemas.openxmlformats.org/officeDocument/2006/relationships/hyperlink" Target="http://maps.google.com/maps?q=12.1941174,-1.8733017" TargetMode="External"/><Relationship Id="rId202" Type="http://schemas.openxmlformats.org/officeDocument/2006/relationships/hyperlink" Target="http://maps.google.com/maps?q=12.2562183,-2.3517526" TargetMode="External"/><Relationship Id="rId223" Type="http://schemas.openxmlformats.org/officeDocument/2006/relationships/hyperlink" Target="http://maps.google.com/maps?q=11.7863324,-0.3654204" TargetMode="External"/><Relationship Id="rId244" Type="http://schemas.openxmlformats.org/officeDocument/2006/relationships/hyperlink" Target="http://maps.google.com/maps?q=11.8088575,-0.5352356" TargetMode="External"/><Relationship Id="rId18" Type="http://schemas.openxmlformats.org/officeDocument/2006/relationships/hyperlink" Target="http://maps.google.com/maps?q=11.7459813,-2.930081" TargetMode="External"/><Relationship Id="rId39" Type="http://schemas.openxmlformats.org/officeDocument/2006/relationships/hyperlink" Target="http://maps.google.com/maps?q=12.7348022,-1.3711017" TargetMode="External"/><Relationship Id="rId265" Type="http://schemas.openxmlformats.org/officeDocument/2006/relationships/hyperlink" Target="http://maps.google.com/maps?q=12.1624473,0.6773046" TargetMode="External"/><Relationship Id="rId286" Type="http://schemas.openxmlformats.org/officeDocument/2006/relationships/hyperlink" Target="http://maps.google.com/maps?q=12.3181444,-2.4653598" TargetMode="External"/><Relationship Id="rId50" Type="http://schemas.openxmlformats.org/officeDocument/2006/relationships/hyperlink" Target="http://maps.google.com/maps?q=10.3325996,-3.3388917" TargetMode="External"/><Relationship Id="rId104" Type="http://schemas.openxmlformats.org/officeDocument/2006/relationships/hyperlink" Target="http://maps.google.com/maps?q=12.2562183,-2.3517526" TargetMode="External"/><Relationship Id="rId125" Type="http://schemas.openxmlformats.org/officeDocument/2006/relationships/hyperlink" Target="http://maps.google.com/maps?q=12.1846407,-4.0848789" TargetMode="External"/><Relationship Id="rId146" Type="http://schemas.openxmlformats.org/officeDocument/2006/relationships/hyperlink" Target="http://maps.google.com/maps?q=12.2483626,-0.6251541" TargetMode="External"/><Relationship Id="rId167" Type="http://schemas.openxmlformats.org/officeDocument/2006/relationships/hyperlink" Target="http://maps.google.com/maps?q=9.8440946,-2.9775558" TargetMode="External"/><Relationship Id="rId188" Type="http://schemas.openxmlformats.org/officeDocument/2006/relationships/hyperlink" Target="http://maps.google.com/maps?q=11.2489523,0.7049925" TargetMode="External"/><Relationship Id="rId311" Type="http://schemas.openxmlformats.org/officeDocument/2006/relationships/hyperlink" Target="http://maps.google.com/maps?q=10.940716,-3.1315471" TargetMode="External"/><Relationship Id="rId332" Type="http://schemas.openxmlformats.org/officeDocument/2006/relationships/hyperlink" Target="http://maps.google.com/maps?q=10.940716,-3.1315471" TargetMode="External"/><Relationship Id="rId71" Type="http://schemas.openxmlformats.org/officeDocument/2006/relationships/hyperlink" Target="http://maps.google.com/maps?q=12.074325,-1.3421032" TargetMode="External"/><Relationship Id="rId92" Type="http://schemas.openxmlformats.org/officeDocument/2006/relationships/hyperlink" Target="http://maps.google.com/maps?q=10.3325996,-3.3388917" TargetMode="External"/><Relationship Id="rId213" Type="http://schemas.openxmlformats.org/officeDocument/2006/relationships/hyperlink" Target="http://maps.google.com/maps?q=11.7863324,-0.3654204" TargetMode="External"/><Relationship Id="rId234" Type="http://schemas.openxmlformats.org/officeDocument/2006/relationships/hyperlink" Target="http://maps.google.com/maps?q=11.2489523,0.7049925" TargetMode="External"/><Relationship Id="rId2" Type="http://schemas.openxmlformats.org/officeDocument/2006/relationships/hyperlink" Target="http://maps.google.com/maps?q=12.9626069,-2.2581158" TargetMode="External"/><Relationship Id="rId29" Type="http://schemas.openxmlformats.org/officeDocument/2006/relationships/hyperlink" Target="http://maps.google.com/maps?q=12.44477,-2.688158" TargetMode="External"/><Relationship Id="rId255" Type="http://schemas.openxmlformats.org/officeDocument/2006/relationships/hyperlink" Target="http://maps.google.com/maps?q=10.8798266,-3.9365372" TargetMode="External"/><Relationship Id="rId276" Type="http://schemas.openxmlformats.org/officeDocument/2006/relationships/hyperlink" Target="http://maps.google.com/maps?q=11.1320447,-4.2333355" TargetMode="External"/><Relationship Id="rId297" Type="http://schemas.openxmlformats.org/officeDocument/2006/relationships/hyperlink" Target="http://maps.google.com/maps?q=13.083896,-1.1165669" TargetMode="External"/><Relationship Id="rId40" Type="http://schemas.openxmlformats.org/officeDocument/2006/relationships/hyperlink" Target="http://maps.google.com/maps?q=11.0966798,-0.9649688" TargetMode="External"/><Relationship Id="rId115" Type="http://schemas.openxmlformats.org/officeDocument/2006/relationships/hyperlink" Target="http://maps.google.com/maps?q=10.5776211,-5.3556617" TargetMode="External"/><Relationship Id="rId136" Type="http://schemas.openxmlformats.org/officeDocument/2006/relationships/hyperlink" Target="http://maps.google.com/maps?q=12.1631813,-0.2244662" TargetMode="External"/><Relationship Id="rId157" Type="http://schemas.openxmlformats.org/officeDocument/2006/relationships/hyperlink" Target="http://maps.google.com/maps?q=11.4894238,-3.523092" TargetMode="External"/><Relationship Id="rId178" Type="http://schemas.openxmlformats.org/officeDocument/2006/relationships/hyperlink" Target="http://maps.google.com/maps?q=10.6302115,-3.0551159" TargetMode="External"/><Relationship Id="rId301" Type="http://schemas.openxmlformats.org/officeDocument/2006/relationships/hyperlink" Target="http://maps.google.com/maps?q=12.03333,-2.18333" TargetMode="External"/><Relationship Id="rId322" Type="http://schemas.openxmlformats.org/officeDocument/2006/relationships/hyperlink" Target="http://maps.google.com/maps?q=10.940716,-3.1315471" TargetMode="External"/><Relationship Id="rId61" Type="http://schemas.openxmlformats.org/officeDocument/2006/relationships/hyperlink" Target="http://maps.google.com/maps?q=12.2562183,-2.3517526" TargetMode="External"/><Relationship Id="rId82" Type="http://schemas.openxmlformats.org/officeDocument/2006/relationships/hyperlink" Target="http://maps.google.com/maps?q=12.5857007,-3.3000445" TargetMode="External"/><Relationship Id="rId199" Type="http://schemas.openxmlformats.org/officeDocument/2006/relationships/hyperlink" Target="http://maps.google.com/maps?q=12.2497072,1.6760691" TargetMode="External"/><Relationship Id="rId203" Type="http://schemas.openxmlformats.org/officeDocument/2006/relationships/hyperlink" Target="http://maps.google.com/maps?q=11.5029004,-3.5812692" TargetMode="External"/><Relationship Id="rId19" Type="http://schemas.openxmlformats.org/officeDocument/2006/relationships/hyperlink" Target="http://maps.google.com/maps?q=13.0695031,-3.0626284" TargetMode="External"/><Relationship Id="rId224" Type="http://schemas.openxmlformats.org/officeDocument/2006/relationships/hyperlink" Target="http://maps.google.com/maps?q=12.6612116,-0.5683399" TargetMode="External"/><Relationship Id="rId245" Type="http://schemas.openxmlformats.org/officeDocument/2006/relationships/hyperlink" Target="http://maps.google.com/maps?q=12.1846407,-4.0848789" TargetMode="External"/><Relationship Id="rId266" Type="http://schemas.openxmlformats.org/officeDocument/2006/relationships/hyperlink" Target="http://maps.google.com/maps?q=12.2562183,-2.3517526" TargetMode="External"/><Relationship Id="rId287" Type="http://schemas.openxmlformats.org/officeDocument/2006/relationships/hyperlink" Target="http://maps.google.com/maps?q=12.2562183,-2.3517526" TargetMode="External"/><Relationship Id="rId30" Type="http://schemas.openxmlformats.org/officeDocument/2006/relationships/hyperlink" Target="http://maps.google.com/maps?q=12.0601301,-2.2261265" TargetMode="External"/><Relationship Id="rId105" Type="http://schemas.openxmlformats.org/officeDocument/2006/relationships/hyperlink" Target="http://maps.google.com/maps?q=12.2063032,-2.3203136" TargetMode="External"/><Relationship Id="rId126" Type="http://schemas.openxmlformats.org/officeDocument/2006/relationships/hyperlink" Target="http://maps.google.com/maps?q=11.3919395,-4.976654" TargetMode="External"/><Relationship Id="rId147" Type="http://schemas.openxmlformats.org/officeDocument/2006/relationships/hyperlink" Target="http://maps.google.com/maps?q=11.267662,-2.6375385" TargetMode="External"/><Relationship Id="rId168" Type="http://schemas.openxmlformats.org/officeDocument/2006/relationships/hyperlink" Target="http://maps.google.com/maps?q=10.8722646,-3.3388917" TargetMode="External"/><Relationship Id="rId312" Type="http://schemas.openxmlformats.org/officeDocument/2006/relationships/hyperlink" Target="http://maps.google.com/maps?q=10.940716,-3.1315471" TargetMode="External"/><Relationship Id="rId333" Type="http://schemas.openxmlformats.org/officeDocument/2006/relationships/hyperlink" Target="http://maps.google.com/maps?q=11.6360692,-3.8913988" TargetMode="External"/></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C6626-1C0F-4A8A-AD1C-56756B6001BC}">
  <sheetPr>
    <tabColor theme="5" tint="0.39997558519241921"/>
  </sheetPr>
  <dimension ref="A1:N16"/>
  <sheetViews>
    <sheetView showGridLines="0" showRowColHeaders="0" tabSelected="1" zoomScale="80" zoomScaleNormal="80" workbookViewId="0"/>
  </sheetViews>
  <sheetFormatPr defaultRowHeight="13.5"/>
  <cols>
    <col min="1" max="1" width="2.59765625" style="151" customWidth="1"/>
    <col min="2" max="2" width="17.59765625" style="151" customWidth="1"/>
    <col min="3" max="3" width="49.53125" style="151" customWidth="1"/>
    <col min="4" max="4" width="62.3984375" style="151" customWidth="1"/>
    <col min="5" max="5" width="15" style="151" customWidth="1"/>
    <col min="6" max="6" width="26.6640625" style="150" customWidth="1"/>
    <col min="7" max="7" width="3.3984375" style="150" customWidth="1"/>
    <col min="8" max="8" width="0.1328125" style="150" customWidth="1"/>
    <col min="9" max="14" width="12.59765625" style="150" customWidth="1"/>
    <col min="15" max="16384" width="9.06640625" style="151"/>
  </cols>
  <sheetData>
    <row r="1" spans="1:14" ht="21.75" customHeight="1">
      <c r="A1" s="148"/>
      <c r="B1" s="148"/>
      <c r="C1" s="148"/>
      <c r="D1" s="148"/>
      <c r="E1" s="148"/>
      <c r="F1" s="149"/>
      <c r="G1" s="149"/>
      <c r="H1" s="149"/>
    </row>
    <row r="2" spans="1:14" ht="13.9">
      <c r="A2" s="148"/>
      <c r="B2" s="148"/>
      <c r="C2" s="148"/>
      <c r="D2" s="148"/>
      <c r="E2" s="152"/>
      <c r="F2" s="152"/>
      <c r="G2" s="152"/>
      <c r="H2" s="152"/>
      <c r="I2" s="153"/>
      <c r="J2" s="153"/>
    </row>
    <row r="3" spans="1:14" ht="32.25" customHeight="1">
      <c r="A3" s="148"/>
      <c r="B3" s="148"/>
      <c r="C3" s="148"/>
      <c r="D3" s="148"/>
      <c r="E3" s="148"/>
      <c r="F3" s="149"/>
      <c r="G3" s="149"/>
      <c r="H3" s="149"/>
    </row>
    <row r="4" spans="1:14" ht="20.25" customHeight="1">
      <c r="A4" s="148"/>
      <c r="B4" s="154" t="s">
        <v>7546</v>
      </c>
      <c r="C4" s="154" t="s">
        <v>7547</v>
      </c>
      <c r="D4" s="155"/>
      <c r="E4" s="155"/>
      <c r="F4" s="156"/>
      <c r="G4" s="149"/>
      <c r="H4" s="149"/>
    </row>
    <row r="5" spans="1:14" ht="32.65" customHeight="1">
      <c r="A5" s="148"/>
      <c r="B5" s="157" t="s">
        <v>7548</v>
      </c>
      <c r="C5" s="158" t="s">
        <v>7702</v>
      </c>
      <c r="D5" s="158"/>
      <c r="E5" s="158"/>
      <c r="F5" s="158"/>
      <c r="G5" s="158"/>
      <c r="H5" s="158"/>
    </row>
    <row r="6" spans="1:14" ht="21.4" customHeight="1">
      <c r="A6" s="148"/>
      <c r="B6" s="157"/>
      <c r="C6" s="160" t="s">
        <v>7549</v>
      </c>
      <c r="D6" s="160"/>
      <c r="E6" s="160"/>
      <c r="F6" s="160"/>
      <c r="G6" s="160"/>
      <c r="H6" s="159"/>
    </row>
    <row r="7" spans="1:14" ht="13.9">
      <c r="A7" s="148"/>
      <c r="B7" s="161" t="s">
        <v>7550</v>
      </c>
      <c r="C7" s="162" t="s">
        <v>7551</v>
      </c>
      <c r="D7" s="155"/>
      <c r="E7" s="155"/>
      <c r="F7" s="156"/>
      <c r="G7" s="155"/>
      <c r="H7" s="149"/>
    </row>
    <row r="8" spans="1:14" ht="21" customHeight="1">
      <c r="A8" s="148"/>
      <c r="B8" s="161" t="s">
        <v>7552</v>
      </c>
      <c r="C8" s="163">
        <v>3</v>
      </c>
      <c r="D8" s="155"/>
      <c r="E8" s="155"/>
      <c r="F8" s="156"/>
      <c r="G8" s="155"/>
      <c r="H8" s="149"/>
    </row>
    <row r="9" spans="1:14" ht="21.75" customHeight="1">
      <c r="A9" s="148"/>
      <c r="B9" s="161" t="s">
        <v>7553</v>
      </c>
      <c r="C9" s="155" t="s">
        <v>7554</v>
      </c>
      <c r="D9" s="164" t="s">
        <v>7555</v>
      </c>
      <c r="E9" s="164"/>
      <c r="F9" s="156"/>
      <c r="G9" s="155"/>
      <c r="H9" s="149"/>
    </row>
    <row r="10" spans="1:14">
      <c r="A10" s="148"/>
      <c r="B10" s="155"/>
      <c r="C10" s="155" t="s">
        <v>7556</v>
      </c>
      <c r="D10" s="164" t="s">
        <v>7557</v>
      </c>
      <c r="E10" s="164"/>
      <c r="F10" s="156"/>
      <c r="G10" s="155"/>
      <c r="H10" s="149"/>
      <c r="I10" s="165" t="s">
        <v>1345</v>
      </c>
    </row>
    <row r="11" spans="1:14">
      <c r="A11" s="148"/>
      <c r="B11" s="148"/>
      <c r="C11" s="155"/>
      <c r="D11" s="148"/>
      <c r="E11" s="155"/>
      <c r="F11" s="156"/>
      <c r="G11" s="155"/>
      <c r="H11" s="149"/>
      <c r="I11" s="165" t="s">
        <v>1349</v>
      </c>
    </row>
    <row r="12" spans="1:14">
      <c r="A12" s="148"/>
      <c r="B12" s="148"/>
      <c r="C12" s="148"/>
      <c r="D12" s="149"/>
      <c r="E12" s="149"/>
      <c r="F12" s="149"/>
      <c r="G12" s="149"/>
      <c r="H12" s="149"/>
      <c r="M12" s="151"/>
      <c r="N12" s="151"/>
    </row>
    <row r="13" spans="1:14" ht="13.9" hidden="1">
      <c r="B13" s="153" t="s">
        <v>7558</v>
      </c>
      <c r="C13" s="166" t="s">
        <v>1349</v>
      </c>
      <c r="D13" s="151" t="s">
        <v>7559</v>
      </c>
    </row>
    <row r="15" spans="1:14" ht="13.9">
      <c r="B15" s="153"/>
      <c r="D15" s="167"/>
    </row>
    <row r="16" spans="1:14" ht="13.9">
      <c r="D16" s="168"/>
    </row>
  </sheetData>
  <sheetProtection formatCells="0" formatColumns="0" formatRows="0" insertColumns="0" insertRows="0" insertHyperlinks="0" deleteColumns="0" deleteRows="0" sort="0" autoFilter="0" pivotTables="0"/>
  <mergeCells count="2">
    <mergeCell ref="C5:H5"/>
    <mergeCell ref="C6:G6"/>
  </mergeCells>
  <conditionalFormatting sqref="G7:G11">
    <cfRule type="expression" dxfId="2" priority="1">
      <formula>_xlfn.ISFORMULA(INDIRECT("rc",FALSE))</formula>
    </cfRule>
  </conditionalFormatting>
  <dataValidations count="1">
    <dataValidation type="list" allowBlank="1" showInputMessage="1" showErrorMessage="1" sqref="C13" xr:uid="{CB41BC07-7301-41D0-8332-806A94B00D7E}">
      <formula1>$I$10:$I$11</formula1>
    </dataValidation>
  </dataValidations>
  <hyperlinks>
    <hyperlink ref="D9" r:id="rId1" xr:uid="{5D65936F-4BDA-42F1-9361-C1E00B6D9D1E}"/>
    <hyperlink ref="D10" r:id="rId2" xr:uid="{9B5994CC-1C70-49C8-AAEA-E65B2EE0B4E3}"/>
  </hyperlinks>
  <pageMargins left="0.7" right="0.7" top="0.75" bottom="0.75" header="0.3" footer="0.3"/>
  <pageSetup paperSize="9"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5457B2-C1EC-49B2-8A5C-4DAF0D3A3E4E}">
  <sheetPr>
    <tabColor theme="5" tint="0.79998168889431442"/>
  </sheetPr>
  <dimension ref="A1:K6"/>
  <sheetViews>
    <sheetView showGridLines="0" showRowColHeaders="0" zoomScale="80" zoomScaleNormal="80" workbookViewId="0">
      <pane ySplit="3" topLeftCell="A4" activePane="bottomLeft" state="frozen"/>
      <selection activeCell="C36" sqref="C36"/>
      <selection pane="bottomLeft" activeCell="F1" sqref="F1:F3"/>
    </sheetView>
  </sheetViews>
  <sheetFormatPr defaultRowHeight="13.5"/>
  <cols>
    <col min="1" max="1" width="9.53125" style="151" bestFit="1" customWidth="1"/>
    <col min="2" max="2" width="36.3984375" style="151" customWidth="1"/>
    <col min="3" max="3" width="16.265625" style="186" customWidth="1"/>
    <col min="4" max="5" width="16.265625" style="151" customWidth="1"/>
    <col min="6" max="6" width="13" style="186" customWidth="1"/>
    <col min="7" max="7" width="9.06640625" style="186"/>
    <col min="8" max="10" width="9.06640625" style="151"/>
    <col min="11" max="11" width="41.06640625" style="151" customWidth="1"/>
    <col min="12" max="16384" width="9.06640625" style="151"/>
  </cols>
  <sheetData>
    <row r="1" spans="1:11" ht="13.9">
      <c r="A1" s="169" t="s">
        <v>7560</v>
      </c>
      <c r="B1" s="170"/>
      <c r="C1" s="171" t="s">
        <v>7561</v>
      </c>
      <c r="D1" s="172"/>
      <c r="E1" s="173"/>
      <c r="F1" s="174" t="s">
        <v>7562</v>
      </c>
      <c r="G1" s="175"/>
      <c r="H1" s="176"/>
      <c r="I1" s="176"/>
      <c r="J1" s="176"/>
      <c r="K1" s="176"/>
    </row>
    <row r="2" spans="1:11" ht="13.9">
      <c r="A2" s="169"/>
      <c r="B2" s="170"/>
      <c r="C2" s="177">
        <v>2017</v>
      </c>
      <c r="D2" s="178">
        <v>2018</v>
      </c>
      <c r="E2" s="179">
        <v>2019</v>
      </c>
      <c r="F2" s="174"/>
      <c r="G2" s="175"/>
      <c r="H2" s="176"/>
      <c r="I2" s="176"/>
      <c r="J2" s="176"/>
      <c r="K2" s="176"/>
    </row>
    <row r="3" spans="1:11">
      <c r="A3" s="169"/>
      <c r="B3" s="170"/>
      <c r="C3" s="180" t="s">
        <v>7563</v>
      </c>
      <c r="D3" s="181"/>
      <c r="E3" s="181"/>
      <c r="F3" s="174"/>
      <c r="G3" s="175"/>
      <c r="H3" s="176"/>
      <c r="I3" s="176"/>
      <c r="J3" s="176"/>
      <c r="K3" s="176"/>
    </row>
    <row r="4" spans="1:11">
      <c r="A4" s="182" t="s">
        <v>7564</v>
      </c>
      <c r="B4" s="182"/>
      <c r="C4" s="183">
        <f>'Serious Shea Partner Database'!J134</f>
        <v>998680</v>
      </c>
      <c r="D4" s="184">
        <f>'Serious Shea Partner Database'!K134</f>
        <v>990500</v>
      </c>
      <c r="E4" s="184">
        <f>'Serious Shea Partner Database'!L134</f>
        <v>1919420</v>
      </c>
      <c r="F4" s="185"/>
    </row>
    <row r="5" spans="1:11" s="192" customFormat="1">
      <c r="A5" s="187" t="s">
        <v>7565</v>
      </c>
      <c r="B5" s="187"/>
      <c r="C5" s="188">
        <f>'Serious Shea Partner Database'!M134</f>
        <v>450532.5</v>
      </c>
      <c r="D5" s="189">
        <f>'Serious Shea Partner Database'!N134</f>
        <v>1071588.75</v>
      </c>
      <c r="E5" s="189">
        <f>'Serious Shea Partner Database'!O134</f>
        <v>5802341.25</v>
      </c>
      <c r="F5" s="190"/>
      <c r="G5" s="191"/>
    </row>
    <row r="6" spans="1:11" ht="13.9">
      <c r="A6" s="193" t="s">
        <v>7566</v>
      </c>
      <c r="B6" s="194"/>
      <c r="C6" s="195">
        <f>SUM(C4:C5)</f>
        <v>1449212.5</v>
      </c>
      <c r="D6" s="196">
        <f t="shared" ref="D6:E6" si="0">SUM(D4:D5)</f>
        <v>2062088.75</v>
      </c>
      <c r="E6" s="197">
        <f t="shared" si="0"/>
        <v>7721761.25</v>
      </c>
      <c r="F6" s="198">
        <f>'Serious Shea Partner Database'!I134</f>
        <v>4841</v>
      </c>
    </row>
  </sheetData>
  <mergeCells count="5">
    <mergeCell ref="A1:B3"/>
    <mergeCell ref="C1:E1"/>
    <mergeCell ref="F1:F3"/>
    <mergeCell ref="G1:K3"/>
    <mergeCell ref="C3:E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6D8E7-2049-426E-8B62-40039F056BE9}">
  <sheetPr>
    <tabColor theme="6" tint="0.59999389629810485"/>
  </sheetPr>
  <dimension ref="A1:P134"/>
  <sheetViews>
    <sheetView showGridLines="0" showRowColHeaders="0" zoomScale="80" zoomScaleNormal="80" workbookViewId="0">
      <pane ySplit="3" topLeftCell="A4" activePane="bottomLeft" state="frozen"/>
      <selection activeCell="C36" sqref="C36"/>
      <selection pane="bottomLeft" activeCell="C36" sqref="C36"/>
    </sheetView>
  </sheetViews>
  <sheetFormatPr defaultRowHeight="13.5"/>
  <cols>
    <col min="1" max="1" width="25.19921875" style="151" bestFit="1" customWidth="1"/>
    <col min="2" max="2" width="12.1328125" style="151" bestFit="1" customWidth="1"/>
    <col min="3" max="3" width="15.265625" style="151" bestFit="1" customWidth="1"/>
    <col min="4" max="4" width="16.9296875" style="151" bestFit="1" customWidth="1"/>
    <col min="5" max="5" width="10" style="151" bestFit="1" customWidth="1"/>
    <col min="6" max="6" width="9.6640625" style="151" bestFit="1" customWidth="1"/>
    <col min="7" max="7" width="18.06640625" style="151" bestFit="1" customWidth="1"/>
    <col min="8" max="8" width="14.33203125" style="151" bestFit="1" customWidth="1"/>
    <col min="9" max="9" width="16.59765625" style="151" bestFit="1" customWidth="1"/>
    <col min="10" max="10" width="23.796875" style="186" customWidth="1"/>
    <col min="11" max="12" width="23.796875" style="151" customWidth="1"/>
    <col min="13" max="13" width="23.796875" style="186" customWidth="1"/>
    <col min="14" max="15" width="23.796875" style="151" customWidth="1"/>
    <col min="16" max="16" width="9.06640625" style="186"/>
    <col min="17" max="16384" width="9.06640625" style="151"/>
  </cols>
  <sheetData>
    <row r="1" spans="1:15" ht="13.9">
      <c r="A1" s="169" t="s">
        <v>7567</v>
      </c>
      <c r="B1" s="169" t="s">
        <v>7568</v>
      </c>
      <c r="C1" s="169" t="s">
        <v>7569</v>
      </c>
      <c r="D1" s="169" t="s">
        <v>1177</v>
      </c>
      <c r="E1" s="169" t="s">
        <v>1178</v>
      </c>
      <c r="F1" s="169" t="s">
        <v>2706</v>
      </c>
      <c r="G1" s="169" t="s">
        <v>1180</v>
      </c>
      <c r="H1" s="169" t="s">
        <v>7570</v>
      </c>
      <c r="I1" s="199" t="s">
        <v>7562</v>
      </c>
      <c r="J1" s="171" t="s">
        <v>7571</v>
      </c>
      <c r="K1" s="172"/>
      <c r="L1" s="173"/>
      <c r="M1" s="171" t="s">
        <v>7572</v>
      </c>
      <c r="N1" s="172"/>
      <c r="O1" s="173"/>
    </row>
    <row r="2" spans="1:15" ht="13.9">
      <c r="A2" s="169"/>
      <c r="B2" s="169"/>
      <c r="C2" s="169"/>
      <c r="D2" s="169"/>
      <c r="E2" s="169"/>
      <c r="F2" s="169"/>
      <c r="G2" s="169"/>
      <c r="H2" s="169"/>
      <c r="I2" s="199"/>
      <c r="J2" s="177">
        <v>2017</v>
      </c>
      <c r="K2" s="178">
        <v>2018</v>
      </c>
      <c r="L2" s="178">
        <v>2019</v>
      </c>
      <c r="M2" s="177">
        <v>2017</v>
      </c>
      <c r="N2" s="178">
        <v>2018</v>
      </c>
      <c r="O2" s="178">
        <v>2019</v>
      </c>
    </row>
    <row r="3" spans="1:15">
      <c r="A3" s="169"/>
      <c r="B3" s="169"/>
      <c r="C3" s="169"/>
      <c r="D3" s="169"/>
      <c r="E3" s="169"/>
      <c r="F3" s="169"/>
      <c r="G3" s="169"/>
      <c r="H3" s="169"/>
      <c r="I3" s="199"/>
      <c r="J3" s="180" t="s">
        <v>7563</v>
      </c>
      <c r="K3" s="181"/>
      <c r="L3" s="181"/>
      <c r="M3" s="180" t="s">
        <v>7563</v>
      </c>
      <c r="N3" s="181"/>
      <c r="O3" s="181"/>
    </row>
    <row r="4" spans="1:15" ht="15" customHeight="1">
      <c r="A4" s="149" t="s">
        <v>2636</v>
      </c>
      <c r="B4" s="149" t="s">
        <v>705</v>
      </c>
      <c r="C4" s="149" t="s">
        <v>2638</v>
      </c>
      <c r="D4" s="149" t="s">
        <v>1086</v>
      </c>
      <c r="E4" s="149" t="s">
        <v>1065</v>
      </c>
      <c r="F4" s="149" t="s">
        <v>184</v>
      </c>
      <c r="G4" s="149" t="s">
        <v>1106</v>
      </c>
      <c r="H4" s="149" t="s">
        <v>1541</v>
      </c>
      <c r="I4" s="200">
        <v>30</v>
      </c>
      <c r="J4" s="201">
        <v>600</v>
      </c>
      <c r="K4" s="202">
        <v>360</v>
      </c>
      <c r="L4" s="203">
        <v>240</v>
      </c>
      <c r="M4" s="201">
        <v>75</v>
      </c>
      <c r="N4" s="202">
        <v>37.5</v>
      </c>
      <c r="O4" s="203">
        <v>15</v>
      </c>
    </row>
    <row r="5" spans="1:15">
      <c r="A5" s="149" t="s">
        <v>7573</v>
      </c>
      <c r="B5" s="149" t="s">
        <v>6540</v>
      </c>
      <c r="C5" s="149" t="s">
        <v>748</v>
      </c>
      <c r="D5" s="149" t="s">
        <v>1086</v>
      </c>
      <c r="E5" s="149" t="s">
        <v>1065</v>
      </c>
      <c r="F5" s="149" t="s">
        <v>184</v>
      </c>
      <c r="G5" s="149" t="s">
        <v>2671</v>
      </c>
      <c r="H5" s="149" t="s">
        <v>1541</v>
      </c>
      <c r="I5" s="200">
        <v>55</v>
      </c>
      <c r="J5" s="201">
        <v>1200</v>
      </c>
      <c r="K5" s="202">
        <v>600</v>
      </c>
      <c r="L5" s="203">
        <v>360</v>
      </c>
      <c r="M5" s="201">
        <v>93.75</v>
      </c>
      <c r="N5" s="202">
        <v>37.5</v>
      </c>
      <c r="O5" s="203">
        <v>15</v>
      </c>
    </row>
    <row r="6" spans="1:15">
      <c r="A6" s="149" t="s">
        <v>7574</v>
      </c>
      <c r="B6" s="149" t="s">
        <v>719</v>
      </c>
      <c r="C6" s="149" t="s">
        <v>7575</v>
      </c>
      <c r="D6" s="149" t="s">
        <v>1086</v>
      </c>
      <c r="E6" s="149" t="s">
        <v>1065</v>
      </c>
      <c r="F6" s="149" t="s">
        <v>184</v>
      </c>
      <c r="G6" s="149" t="s">
        <v>184</v>
      </c>
      <c r="H6" s="149" t="s">
        <v>1541</v>
      </c>
      <c r="I6" s="200">
        <v>31</v>
      </c>
      <c r="J6" s="201">
        <v>4200</v>
      </c>
      <c r="K6" s="202">
        <v>3000</v>
      </c>
      <c r="L6" s="203">
        <v>1440</v>
      </c>
      <c r="M6" s="201">
        <v>150</v>
      </c>
      <c r="N6" s="202">
        <v>75</v>
      </c>
      <c r="O6" s="203">
        <v>30</v>
      </c>
    </row>
    <row r="7" spans="1:15">
      <c r="A7" s="149" t="s">
        <v>7576</v>
      </c>
      <c r="B7" s="149" t="s">
        <v>7577</v>
      </c>
      <c r="C7" s="149" t="s">
        <v>940</v>
      </c>
      <c r="D7" s="149" t="s">
        <v>1086</v>
      </c>
      <c r="E7" s="149" t="s">
        <v>1065</v>
      </c>
      <c r="F7" s="149" t="s">
        <v>184</v>
      </c>
      <c r="G7" s="149" t="s">
        <v>2695</v>
      </c>
      <c r="H7" s="149" t="s">
        <v>7578</v>
      </c>
      <c r="I7" s="200">
        <v>53</v>
      </c>
      <c r="J7" s="201">
        <v>9000</v>
      </c>
      <c r="K7" s="202">
        <v>7200</v>
      </c>
      <c r="L7" s="203">
        <v>3600</v>
      </c>
      <c r="M7" s="201">
        <v>187.5</v>
      </c>
      <c r="N7" s="202">
        <v>112.5</v>
      </c>
      <c r="O7" s="203">
        <v>56.25</v>
      </c>
    </row>
    <row r="8" spans="1:15">
      <c r="A8" s="149" t="s">
        <v>2774</v>
      </c>
      <c r="B8" s="149" t="s">
        <v>7579</v>
      </c>
      <c r="C8" s="149" t="s">
        <v>7580</v>
      </c>
      <c r="D8" s="149" t="s">
        <v>1086</v>
      </c>
      <c r="E8" s="149" t="s">
        <v>1065</v>
      </c>
      <c r="F8" s="149" t="s">
        <v>184</v>
      </c>
      <c r="G8" s="149" t="s">
        <v>1108</v>
      </c>
      <c r="H8" s="149" t="s">
        <v>7578</v>
      </c>
      <c r="I8" s="200">
        <v>36</v>
      </c>
      <c r="J8" s="201">
        <v>600</v>
      </c>
      <c r="K8" s="202">
        <v>360</v>
      </c>
      <c r="L8" s="203">
        <v>1200</v>
      </c>
      <c r="M8" s="201">
        <v>22.5</v>
      </c>
      <c r="N8" s="202">
        <v>15</v>
      </c>
      <c r="O8" s="203">
        <v>30</v>
      </c>
    </row>
    <row r="9" spans="1:15">
      <c r="A9" s="149" t="s">
        <v>2711</v>
      </c>
      <c r="B9" s="149" t="s">
        <v>7581</v>
      </c>
      <c r="C9" s="149" t="s">
        <v>718</v>
      </c>
      <c r="D9" s="149" t="s">
        <v>1086</v>
      </c>
      <c r="E9" s="149" t="s">
        <v>1065</v>
      </c>
      <c r="F9" s="149" t="s">
        <v>184</v>
      </c>
      <c r="G9" s="149" t="s">
        <v>2712</v>
      </c>
      <c r="H9" s="149" t="s">
        <v>7578</v>
      </c>
      <c r="I9" s="200">
        <v>54</v>
      </c>
      <c r="J9" s="201">
        <v>9000</v>
      </c>
      <c r="K9" s="202">
        <v>9000</v>
      </c>
      <c r="L9" s="203">
        <v>6000</v>
      </c>
      <c r="M9" s="201">
        <v>150</v>
      </c>
      <c r="N9" s="202">
        <v>123.75</v>
      </c>
      <c r="O9" s="203">
        <v>112.5</v>
      </c>
    </row>
    <row r="10" spans="1:15">
      <c r="A10" s="149" t="s">
        <v>7582</v>
      </c>
      <c r="B10" s="149" t="s">
        <v>733</v>
      </c>
      <c r="C10" s="149" t="s">
        <v>2723</v>
      </c>
      <c r="D10" s="149" t="s">
        <v>1086</v>
      </c>
      <c r="E10" s="149" t="s">
        <v>1065</v>
      </c>
      <c r="F10" s="149" t="s">
        <v>184</v>
      </c>
      <c r="G10" s="149" t="s">
        <v>7583</v>
      </c>
      <c r="H10" s="149" t="s">
        <v>1541</v>
      </c>
      <c r="I10" s="200">
        <v>38</v>
      </c>
      <c r="J10" s="201">
        <v>720</v>
      </c>
      <c r="K10" s="202">
        <v>480</v>
      </c>
      <c r="L10" s="203">
        <v>960</v>
      </c>
      <c r="M10" s="201">
        <v>375</v>
      </c>
      <c r="N10" s="202">
        <v>112.5</v>
      </c>
      <c r="O10" s="203">
        <v>93.75</v>
      </c>
    </row>
    <row r="11" spans="1:15">
      <c r="A11" s="149" t="s">
        <v>7584</v>
      </c>
      <c r="B11" s="149" t="s">
        <v>6540</v>
      </c>
      <c r="C11" s="149" t="s">
        <v>716</v>
      </c>
      <c r="D11" s="149" t="s">
        <v>1086</v>
      </c>
      <c r="E11" s="149" t="s">
        <v>1065</v>
      </c>
      <c r="F11" s="149" t="s">
        <v>184</v>
      </c>
      <c r="G11" s="149" t="s">
        <v>1104</v>
      </c>
      <c r="H11" s="149" t="s">
        <v>1541</v>
      </c>
      <c r="I11" s="200">
        <v>20</v>
      </c>
      <c r="J11" s="201">
        <v>12000</v>
      </c>
      <c r="K11" s="202">
        <v>7200</v>
      </c>
      <c r="L11" s="203">
        <v>9600</v>
      </c>
      <c r="M11" s="201">
        <v>225</v>
      </c>
      <c r="N11" s="202">
        <v>150</v>
      </c>
      <c r="O11" s="203">
        <v>187.5</v>
      </c>
    </row>
    <row r="12" spans="1:15">
      <c r="A12" s="149" t="s">
        <v>7585</v>
      </c>
      <c r="B12" s="149" t="s">
        <v>7586</v>
      </c>
      <c r="C12" s="149" t="s">
        <v>552</v>
      </c>
      <c r="D12" s="149" t="s">
        <v>1086</v>
      </c>
      <c r="E12" s="149" t="s">
        <v>1065</v>
      </c>
      <c r="F12" s="149" t="s">
        <v>184</v>
      </c>
      <c r="G12" s="149" t="s">
        <v>2742</v>
      </c>
      <c r="H12" s="149" t="s">
        <v>1541</v>
      </c>
      <c r="I12" s="200">
        <v>32</v>
      </c>
      <c r="J12" s="201">
        <v>3960</v>
      </c>
      <c r="K12" s="202">
        <v>2400</v>
      </c>
      <c r="L12" s="203">
        <v>3000</v>
      </c>
      <c r="M12" s="201">
        <v>112.5</v>
      </c>
      <c r="N12" s="202">
        <v>75</v>
      </c>
      <c r="O12" s="203">
        <v>93.75</v>
      </c>
    </row>
    <row r="13" spans="1:15">
      <c r="A13" s="149" t="s">
        <v>3439</v>
      </c>
      <c r="B13" s="149" t="s">
        <v>725</v>
      </c>
      <c r="C13" s="149" t="s">
        <v>2749</v>
      </c>
      <c r="D13" s="149" t="s">
        <v>1086</v>
      </c>
      <c r="E13" s="149" t="s">
        <v>1065</v>
      </c>
      <c r="F13" s="149" t="s">
        <v>184</v>
      </c>
      <c r="G13" s="149" t="s">
        <v>1111</v>
      </c>
      <c r="H13" s="149" t="s">
        <v>1541</v>
      </c>
      <c r="I13" s="200">
        <v>26</v>
      </c>
      <c r="J13" s="201">
        <v>2400</v>
      </c>
      <c r="K13" s="202">
        <v>1800</v>
      </c>
      <c r="L13" s="203">
        <v>960</v>
      </c>
      <c r="M13" s="201">
        <v>112.5</v>
      </c>
      <c r="N13" s="202">
        <v>45</v>
      </c>
      <c r="O13" s="203">
        <v>75</v>
      </c>
    </row>
    <row r="14" spans="1:15">
      <c r="A14" s="204" t="s">
        <v>2756</v>
      </c>
      <c r="B14" s="204" t="s">
        <v>719</v>
      </c>
      <c r="C14" s="204" t="s">
        <v>2758</v>
      </c>
      <c r="D14" s="204" t="s">
        <v>1086</v>
      </c>
      <c r="E14" s="204" t="s">
        <v>1065</v>
      </c>
      <c r="F14" s="204" t="s">
        <v>184</v>
      </c>
      <c r="G14" s="204" t="s">
        <v>2757</v>
      </c>
      <c r="H14" s="204" t="s">
        <v>1541</v>
      </c>
      <c r="I14" s="205">
        <v>15</v>
      </c>
      <c r="J14" s="201">
        <v>4560</v>
      </c>
      <c r="K14" s="202">
        <v>5040</v>
      </c>
      <c r="L14" s="203">
        <v>6000</v>
      </c>
      <c r="M14" s="201">
        <v>187.5</v>
      </c>
      <c r="N14" s="202">
        <v>150</v>
      </c>
      <c r="O14" s="203">
        <v>187.5</v>
      </c>
    </row>
    <row r="15" spans="1:15">
      <c r="A15" s="204" t="s">
        <v>2774</v>
      </c>
      <c r="B15" s="204" t="s">
        <v>7577</v>
      </c>
      <c r="C15" s="204" t="s">
        <v>2776</v>
      </c>
      <c r="D15" s="204" t="s">
        <v>1086</v>
      </c>
      <c r="E15" s="204" t="s">
        <v>1065</v>
      </c>
      <c r="F15" s="204" t="s">
        <v>184</v>
      </c>
      <c r="G15" s="204" t="s">
        <v>2775</v>
      </c>
      <c r="H15" s="204" t="s">
        <v>1541</v>
      </c>
      <c r="I15" s="205">
        <v>33</v>
      </c>
      <c r="J15" s="201">
        <v>1800</v>
      </c>
      <c r="K15" s="202">
        <v>2280</v>
      </c>
      <c r="L15" s="203">
        <v>360</v>
      </c>
      <c r="M15" s="201">
        <v>37.5</v>
      </c>
      <c r="N15" s="202">
        <v>0</v>
      </c>
      <c r="O15" s="203">
        <v>37.5</v>
      </c>
    </row>
    <row r="16" spans="1:15">
      <c r="A16" s="204" t="s">
        <v>2783</v>
      </c>
      <c r="B16" s="204" t="s">
        <v>733</v>
      </c>
      <c r="C16" s="204" t="s">
        <v>2786</v>
      </c>
      <c r="D16" s="204" t="s">
        <v>1086</v>
      </c>
      <c r="E16" s="204" t="s">
        <v>1065</v>
      </c>
      <c r="F16" s="204" t="s">
        <v>2784</v>
      </c>
      <c r="G16" s="204" t="s">
        <v>2785</v>
      </c>
      <c r="H16" s="204" t="s">
        <v>1541</v>
      </c>
      <c r="I16" s="205">
        <v>34</v>
      </c>
      <c r="J16" s="201">
        <v>8400</v>
      </c>
      <c r="K16" s="202">
        <v>8400</v>
      </c>
      <c r="L16" s="203">
        <v>10800</v>
      </c>
      <c r="M16" s="201">
        <v>300</v>
      </c>
      <c r="N16" s="202">
        <v>168.75</v>
      </c>
      <c r="O16" s="203">
        <v>300</v>
      </c>
    </row>
    <row r="17" spans="1:15">
      <c r="A17" s="204" t="s">
        <v>7587</v>
      </c>
      <c r="B17" s="204" t="s">
        <v>3420</v>
      </c>
      <c r="C17" s="204" t="s">
        <v>2803</v>
      </c>
      <c r="D17" s="204" t="s">
        <v>1086</v>
      </c>
      <c r="E17" s="204" t="s">
        <v>1065</v>
      </c>
      <c r="F17" s="204" t="s">
        <v>2784</v>
      </c>
      <c r="G17" s="204" t="s">
        <v>2784</v>
      </c>
      <c r="H17" s="204" t="s">
        <v>1541</v>
      </c>
      <c r="I17" s="205">
        <v>41</v>
      </c>
      <c r="J17" s="201">
        <v>4080</v>
      </c>
      <c r="K17" s="202">
        <v>6600</v>
      </c>
      <c r="L17" s="203">
        <v>6600</v>
      </c>
      <c r="M17" s="201">
        <v>112.5</v>
      </c>
      <c r="N17" s="202">
        <v>168.75</v>
      </c>
      <c r="O17" s="203">
        <v>112.5</v>
      </c>
    </row>
    <row r="18" spans="1:15">
      <c r="A18" s="204" t="s">
        <v>2807</v>
      </c>
      <c r="B18" s="204" t="s">
        <v>7588</v>
      </c>
      <c r="C18" s="204" t="s">
        <v>2811</v>
      </c>
      <c r="D18" s="204" t="s">
        <v>1086</v>
      </c>
      <c r="E18" s="204" t="s">
        <v>1065</v>
      </c>
      <c r="F18" s="204" t="s">
        <v>2784</v>
      </c>
      <c r="G18" s="204" t="s">
        <v>2808</v>
      </c>
      <c r="H18" s="204" t="s">
        <v>1541</v>
      </c>
      <c r="I18" s="205">
        <v>24</v>
      </c>
      <c r="J18" s="201">
        <v>3120</v>
      </c>
      <c r="K18" s="202">
        <v>3120</v>
      </c>
      <c r="L18" s="203">
        <v>4200</v>
      </c>
      <c r="M18" s="201">
        <v>150</v>
      </c>
      <c r="N18" s="202">
        <v>0</v>
      </c>
      <c r="O18" s="203">
        <v>150</v>
      </c>
    </row>
    <row r="19" spans="1:15">
      <c r="A19" s="204" t="s">
        <v>2814</v>
      </c>
      <c r="B19" s="204" t="s">
        <v>725</v>
      </c>
      <c r="C19" s="204" t="s">
        <v>2816</v>
      </c>
      <c r="D19" s="204" t="s">
        <v>1086</v>
      </c>
      <c r="E19" s="204" t="s">
        <v>1065</v>
      </c>
      <c r="F19" s="204" t="s">
        <v>2784</v>
      </c>
      <c r="G19" s="204" t="s">
        <v>2815</v>
      </c>
      <c r="H19" s="204" t="s">
        <v>1541</v>
      </c>
      <c r="I19" s="205">
        <v>36</v>
      </c>
      <c r="J19" s="201">
        <v>2760</v>
      </c>
      <c r="K19" s="202">
        <v>3720</v>
      </c>
      <c r="L19" s="203">
        <v>3720</v>
      </c>
      <c r="M19" s="201">
        <v>131.25</v>
      </c>
      <c r="N19" s="202">
        <v>75</v>
      </c>
      <c r="O19" s="203">
        <v>131.25</v>
      </c>
    </row>
    <row r="20" spans="1:15">
      <c r="A20" s="204" t="s">
        <v>7589</v>
      </c>
      <c r="B20" s="204" t="s">
        <v>7577</v>
      </c>
      <c r="C20" s="204" t="s">
        <v>2820</v>
      </c>
      <c r="D20" s="204" t="s">
        <v>1086</v>
      </c>
      <c r="E20" s="204" t="s">
        <v>1065</v>
      </c>
      <c r="F20" s="204" t="s">
        <v>2784</v>
      </c>
      <c r="G20" s="204" t="s">
        <v>2819</v>
      </c>
      <c r="H20" s="204" t="s">
        <v>1541</v>
      </c>
      <c r="I20" s="205">
        <v>27</v>
      </c>
      <c r="J20" s="201">
        <v>2280</v>
      </c>
      <c r="K20" s="202">
        <v>1440</v>
      </c>
      <c r="L20" s="203">
        <v>2400</v>
      </c>
      <c r="M20" s="201">
        <v>225</v>
      </c>
      <c r="N20" s="202">
        <v>150</v>
      </c>
      <c r="O20" s="203">
        <v>225</v>
      </c>
    </row>
    <row r="21" spans="1:15">
      <c r="A21" s="204" t="s">
        <v>2822</v>
      </c>
      <c r="B21" s="204" t="s">
        <v>7590</v>
      </c>
      <c r="C21" s="204" t="s">
        <v>566</v>
      </c>
      <c r="D21" s="204" t="s">
        <v>1086</v>
      </c>
      <c r="E21" s="204" t="s">
        <v>1065</v>
      </c>
      <c r="F21" s="204" t="s">
        <v>184</v>
      </c>
      <c r="G21" s="204" t="s">
        <v>2823</v>
      </c>
      <c r="H21" s="204" t="s">
        <v>1541</v>
      </c>
      <c r="I21" s="205">
        <v>48</v>
      </c>
      <c r="J21" s="201">
        <v>9600</v>
      </c>
      <c r="K21" s="202">
        <v>11040</v>
      </c>
      <c r="L21" s="203">
        <v>11040</v>
      </c>
      <c r="M21" s="201">
        <v>225</v>
      </c>
      <c r="N21" s="202">
        <v>225</v>
      </c>
      <c r="O21" s="203">
        <v>225</v>
      </c>
    </row>
    <row r="22" spans="1:15">
      <c r="A22" s="204" t="s">
        <v>2832</v>
      </c>
      <c r="B22" s="204" t="s">
        <v>733</v>
      </c>
      <c r="C22" s="204" t="s">
        <v>2835</v>
      </c>
      <c r="D22" s="204" t="s">
        <v>1086</v>
      </c>
      <c r="E22" s="204" t="s">
        <v>1065</v>
      </c>
      <c r="F22" s="204" t="s">
        <v>2833</v>
      </c>
      <c r="G22" s="204" t="s">
        <v>367</v>
      </c>
      <c r="H22" s="204" t="s">
        <v>1541</v>
      </c>
      <c r="I22" s="205">
        <v>35</v>
      </c>
      <c r="J22" s="201">
        <v>8400</v>
      </c>
      <c r="K22" s="202">
        <v>8400</v>
      </c>
      <c r="L22" s="203">
        <v>9600</v>
      </c>
      <c r="M22" s="201">
        <v>168.75</v>
      </c>
      <c r="N22" s="202">
        <v>168.75</v>
      </c>
      <c r="O22" s="203">
        <v>112.5</v>
      </c>
    </row>
    <row r="23" spans="1:15">
      <c r="A23" s="204" t="s">
        <v>2844</v>
      </c>
      <c r="B23" s="204" t="s">
        <v>7591</v>
      </c>
      <c r="C23" s="204" t="s">
        <v>2846</v>
      </c>
      <c r="D23" s="204" t="s">
        <v>1086</v>
      </c>
      <c r="E23" s="204" t="s">
        <v>1065</v>
      </c>
      <c r="F23" s="204" t="s">
        <v>2833</v>
      </c>
      <c r="G23" s="204" t="s">
        <v>367</v>
      </c>
      <c r="H23" s="204" t="s">
        <v>1541</v>
      </c>
      <c r="I23" s="205">
        <v>47</v>
      </c>
      <c r="J23" s="201">
        <v>11280</v>
      </c>
      <c r="K23" s="202">
        <v>11280</v>
      </c>
      <c r="L23" s="203">
        <v>11280</v>
      </c>
      <c r="M23" s="201">
        <v>112.5</v>
      </c>
      <c r="N23" s="202">
        <v>112.5</v>
      </c>
      <c r="O23" s="203">
        <v>187.5</v>
      </c>
    </row>
    <row r="24" spans="1:15">
      <c r="A24" s="204" t="s">
        <v>2849</v>
      </c>
      <c r="B24" s="204" t="s">
        <v>7591</v>
      </c>
      <c r="C24" s="204" t="s">
        <v>2850</v>
      </c>
      <c r="D24" s="204" t="s">
        <v>1086</v>
      </c>
      <c r="E24" s="204" t="s">
        <v>1065</v>
      </c>
      <c r="F24" s="204" t="s">
        <v>2833</v>
      </c>
      <c r="G24" s="204" t="s">
        <v>367</v>
      </c>
      <c r="H24" s="204" t="s">
        <v>1541</v>
      </c>
      <c r="I24" s="205">
        <v>42</v>
      </c>
      <c r="J24" s="201">
        <v>10080</v>
      </c>
      <c r="K24" s="202">
        <v>7200</v>
      </c>
      <c r="L24" s="203">
        <v>12000</v>
      </c>
      <c r="M24" s="201">
        <v>300</v>
      </c>
      <c r="N24" s="202">
        <v>150</v>
      </c>
      <c r="O24" s="203">
        <v>300</v>
      </c>
    </row>
    <row r="25" spans="1:15">
      <c r="A25" s="204" t="s">
        <v>2854</v>
      </c>
      <c r="B25" s="204" t="s">
        <v>733</v>
      </c>
      <c r="C25" s="204" t="s">
        <v>2855</v>
      </c>
      <c r="D25" s="204" t="s">
        <v>1086</v>
      </c>
      <c r="E25" s="204" t="s">
        <v>1065</v>
      </c>
      <c r="F25" s="204" t="s">
        <v>2833</v>
      </c>
      <c r="G25" s="204" t="s">
        <v>367</v>
      </c>
      <c r="H25" s="204" t="s">
        <v>1541</v>
      </c>
      <c r="I25" s="205">
        <v>55</v>
      </c>
      <c r="J25" s="201">
        <v>26400</v>
      </c>
      <c r="K25" s="202">
        <v>22320</v>
      </c>
      <c r="L25" s="203">
        <v>28800</v>
      </c>
      <c r="M25" s="201">
        <v>112.5</v>
      </c>
      <c r="N25" s="202">
        <v>75</v>
      </c>
      <c r="O25" s="203">
        <v>112.5</v>
      </c>
    </row>
    <row r="26" spans="1:15">
      <c r="A26" s="204" t="s">
        <v>2857</v>
      </c>
      <c r="B26" s="204" t="s">
        <v>7592</v>
      </c>
      <c r="C26" s="204" t="s">
        <v>2859</v>
      </c>
      <c r="D26" s="204" t="s">
        <v>1086</v>
      </c>
      <c r="E26" s="204" t="s">
        <v>1065</v>
      </c>
      <c r="F26" s="204" t="s">
        <v>2833</v>
      </c>
      <c r="G26" s="204" t="s">
        <v>367</v>
      </c>
      <c r="H26" s="204" t="s">
        <v>1541</v>
      </c>
      <c r="I26" s="205">
        <v>60</v>
      </c>
      <c r="J26" s="201">
        <v>21600</v>
      </c>
      <c r="K26" s="202">
        <v>9840</v>
      </c>
      <c r="L26" s="203">
        <v>31200</v>
      </c>
      <c r="M26" s="201">
        <v>168.75</v>
      </c>
      <c r="N26" s="202">
        <v>168.75</v>
      </c>
      <c r="O26" s="203">
        <v>168.75</v>
      </c>
    </row>
    <row r="27" spans="1:15">
      <c r="A27" s="204" t="s">
        <v>2814</v>
      </c>
      <c r="B27" s="204" t="s">
        <v>7593</v>
      </c>
      <c r="C27" s="204" t="s">
        <v>582</v>
      </c>
      <c r="D27" s="204" t="s">
        <v>1086</v>
      </c>
      <c r="E27" s="204" t="s">
        <v>1065</v>
      </c>
      <c r="F27" s="204" t="s">
        <v>2833</v>
      </c>
      <c r="G27" s="204" t="s">
        <v>367</v>
      </c>
      <c r="H27" s="204" t="s">
        <v>1541</v>
      </c>
      <c r="I27" s="205">
        <v>36</v>
      </c>
      <c r="J27" s="201">
        <v>8400</v>
      </c>
      <c r="K27" s="202">
        <v>6000</v>
      </c>
      <c r="L27" s="203">
        <v>10800</v>
      </c>
      <c r="M27" s="201">
        <v>150</v>
      </c>
      <c r="N27" s="202">
        <v>150</v>
      </c>
      <c r="O27" s="203">
        <v>150</v>
      </c>
    </row>
    <row r="28" spans="1:15">
      <c r="A28" s="204" t="s">
        <v>2867</v>
      </c>
      <c r="B28" s="204" t="s">
        <v>7594</v>
      </c>
      <c r="C28" s="204" t="s">
        <v>2869</v>
      </c>
      <c r="D28" s="204" t="s">
        <v>1086</v>
      </c>
      <c r="E28" s="204" t="s">
        <v>1065</v>
      </c>
      <c r="F28" s="204" t="s">
        <v>2833</v>
      </c>
      <c r="G28" s="204" t="s">
        <v>367</v>
      </c>
      <c r="H28" s="204" t="s">
        <v>1541</v>
      </c>
      <c r="I28" s="205">
        <v>15</v>
      </c>
      <c r="J28" s="201">
        <v>3600</v>
      </c>
      <c r="K28" s="202">
        <v>4800</v>
      </c>
      <c r="L28" s="203">
        <v>3600</v>
      </c>
      <c r="M28" s="201">
        <v>112.5</v>
      </c>
      <c r="N28" s="202">
        <v>112.5</v>
      </c>
      <c r="O28" s="203">
        <v>112.5</v>
      </c>
    </row>
    <row r="29" spans="1:15">
      <c r="A29" s="204" t="s">
        <v>7595</v>
      </c>
      <c r="B29" s="204" t="s">
        <v>7591</v>
      </c>
      <c r="C29" s="204" t="s">
        <v>2873</v>
      </c>
      <c r="D29" s="204" t="s">
        <v>1086</v>
      </c>
      <c r="E29" s="204" t="s">
        <v>1065</v>
      </c>
      <c r="F29" s="204" t="s">
        <v>2833</v>
      </c>
      <c r="G29" s="204" t="s">
        <v>367</v>
      </c>
      <c r="H29" s="204" t="s">
        <v>1541</v>
      </c>
      <c r="I29" s="205">
        <v>43</v>
      </c>
      <c r="J29" s="201">
        <v>10320</v>
      </c>
      <c r="K29" s="202">
        <v>7440</v>
      </c>
      <c r="L29" s="203">
        <v>14640</v>
      </c>
      <c r="M29" s="201">
        <v>225</v>
      </c>
      <c r="N29" s="202">
        <v>112.5</v>
      </c>
      <c r="O29" s="203">
        <v>225</v>
      </c>
    </row>
    <row r="30" spans="1:15">
      <c r="A30" s="204" t="s">
        <v>2844</v>
      </c>
      <c r="B30" s="204" t="s">
        <v>6195</v>
      </c>
      <c r="C30" s="204" t="s">
        <v>2876</v>
      </c>
      <c r="D30" s="204" t="s">
        <v>1086</v>
      </c>
      <c r="E30" s="204" t="s">
        <v>1065</v>
      </c>
      <c r="F30" s="204" t="s">
        <v>2833</v>
      </c>
      <c r="G30" s="204" t="s">
        <v>367</v>
      </c>
      <c r="H30" s="204" t="s">
        <v>1541</v>
      </c>
      <c r="I30" s="205">
        <v>33</v>
      </c>
      <c r="J30" s="201">
        <v>7920</v>
      </c>
      <c r="K30" s="202">
        <v>6240</v>
      </c>
      <c r="L30" s="203">
        <v>10080</v>
      </c>
      <c r="M30" s="201">
        <v>150</v>
      </c>
      <c r="N30" s="202">
        <v>150</v>
      </c>
      <c r="O30" s="203">
        <v>150</v>
      </c>
    </row>
    <row r="31" spans="1:15">
      <c r="A31" s="204" t="s">
        <v>2879</v>
      </c>
      <c r="B31" s="204" t="s">
        <v>7596</v>
      </c>
      <c r="C31" s="204" t="s">
        <v>2882</v>
      </c>
      <c r="D31" s="204" t="s">
        <v>1086</v>
      </c>
      <c r="E31" s="204" t="s">
        <v>1065</v>
      </c>
      <c r="F31" s="204" t="s">
        <v>2833</v>
      </c>
      <c r="G31" s="204" t="s">
        <v>2880</v>
      </c>
      <c r="H31" s="204" t="s">
        <v>1541</v>
      </c>
      <c r="I31" s="205">
        <v>55</v>
      </c>
      <c r="J31" s="201">
        <v>19800</v>
      </c>
      <c r="K31" s="202">
        <v>20400</v>
      </c>
      <c r="L31" s="203">
        <v>24000</v>
      </c>
      <c r="M31" s="201">
        <v>225</v>
      </c>
      <c r="N31" s="202">
        <v>150</v>
      </c>
      <c r="O31" s="203">
        <v>225</v>
      </c>
    </row>
    <row r="32" spans="1:15">
      <c r="A32" s="204" t="s">
        <v>7597</v>
      </c>
      <c r="B32" s="204" t="s">
        <v>7598</v>
      </c>
      <c r="C32" s="204" t="s">
        <v>2889</v>
      </c>
      <c r="D32" s="204" t="s">
        <v>1086</v>
      </c>
      <c r="E32" s="204" t="s">
        <v>1065</v>
      </c>
      <c r="F32" s="204" t="s">
        <v>2833</v>
      </c>
      <c r="G32" s="204" t="s">
        <v>2890</v>
      </c>
      <c r="H32" s="204" t="s">
        <v>1541</v>
      </c>
      <c r="I32" s="205">
        <v>55</v>
      </c>
      <c r="J32" s="201">
        <v>19800</v>
      </c>
      <c r="K32" s="202">
        <v>16800</v>
      </c>
      <c r="L32" s="203">
        <v>22800</v>
      </c>
      <c r="M32" s="201">
        <v>300</v>
      </c>
      <c r="N32" s="202">
        <v>150</v>
      </c>
      <c r="O32" s="203">
        <v>300</v>
      </c>
    </row>
    <row r="33" spans="1:15">
      <c r="A33" s="204" t="s">
        <v>7599</v>
      </c>
      <c r="B33" s="204" t="s">
        <v>725</v>
      </c>
      <c r="C33" s="204" t="s">
        <v>726</v>
      </c>
      <c r="D33" s="204" t="s">
        <v>1086</v>
      </c>
      <c r="E33" s="204" t="s">
        <v>1065</v>
      </c>
      <c r="F33" s="204" t="s">
        <v>184</v>
      </c>
      <c r="G33" s="204" t="s">
        <v>1106</v>
      </c>
      <c r="H33" s="204" t="s">
        <v>1541</v>
      </c>
      <c r="I33" s="205">
        <v>23</v>
      </c>
      <c r="J33" s="206">
        <v>600</v>
      </c>
      <c r="K33" s="207">
        <v>360</v>
      </c>
      <c r="L33" s="208">
        <v>240</v>
      </c>
      <c r="M33" s="201">
        <v>93.75</v>
      </c>
      <c r="N33" s="202">
        <v>93.75</v>
      </c>
      <c r="O33" s="203">
        <v>18.75</v>
      </c>
    </row>
    <row r="34" spans="1:15">
      <c r="A34" s="204" t="s">
        <v>7600</v>
      </c>
      <c r="B34" s="204" t="s">
        <v>7601</v>
      </c>
      <c r="C34" s="204" t="s">
        <v>7602</v>
      </c>
      <c r="D34" s="204" t="s">
        <v>1086</v>
      </c>
      <c r="E34" s="204" t="s">
        <v>1065</v>
      </c>
      <c r="F34" s="204" t="s">
        <v>184</v>
      </c>
      <c r="G34" s="204" t="s">
        <v>1104</v>
      </c>
      <c r="H34" s="204" t="s">
        <v>1541</v>
      </c>
      <c r="I34" s="205">
        <v>30</v>
      </c>
      <c r="J34" s="206">
        <v>960</v>
      </c>
      <c r="K34" s="207">
        <v>600</v>
      </c>
      <c r="L34" s="208">
        <v>1080</v>
      </c>
      <c r="M34" s="201">
        <v>75</v>
      </c>
      <c r="N34" s="202">
        <v>45</v>
      </c>
      <c r="O34" s="203">
        <v>75</v>
      </c>
    </row>
    <row r="35" spans="1:15">
      <c r="A35" s="204" t="s">
        <v>7603</v>
      </c>
      <c r="B35" s="204" t="s">
        <v>7601</v>
      </c>
      <c r="C35" s="204" t="s">
        <v>732</v>
      </c>
      <c r="D35" s="204" t="s">
        <v>1086</v>
      </c>
      <c r="E35" s="204" t="s">
        <v>1065</v>
      </c>
      <c r="F35" s="204" t="s">
        <v>184</v>
      </c>
      <c r="G35" s="204" t="s">
        <v>2932</v>
      </c>
      <c r="H35" s="204" t="s">
        <v>2282</v>
      </c>
      <c r="I35" s="205">
        <v>30</v>
      </c>
      <c r="J35" s="201">
        <v>12000</v>
      </c>
      <c r="K35" s="202">
        <v>7200</v>
      </c>
      <c r="L35" s="203">
        <v>14400</v>
      </c>
      <c r="M35" s="201">
        <v>7500</v>
      </c>
      <c r="N35" s="202">
        <v>3750</v>
      </c>
      <c r="O35" s="203">
        <v>5625</v>
      </c>
    </row>
    <row r="36" spans="1:15">
      <c r="A36" s="204" t="s">
        <v>7604</v>
      </c>
      <c r="B36" s="204" t="s">
        <v>719</v>
      </c>
      <c r="C36" s="204" t="s">
        <v>943</v>
      </c>
      <c r="D36" s="204" t="s">
        <v>1086</v>
      </c>
      <c r="E36" s="204" t="s">
        <v>1065</v>
      </c>
      <c r="F36" s="204" t="s">
        <v>184</v>
      </c>
      <c r="G36" s="204" t="s">
        <v>7605</v>
      </c>
      <c r="H36" s="204" t="s">
        <v>1541</v>
      </c>
      <c r="I36" s="205">
        <v>32</v>
      </c>
      <c r="J36" s="201">
        <v>840</v>
      </c>
      <c r="K36" s="202">
        <v>600</v>
      </c>
      <c r="L36" s="203">
        <v>1200</v>
      </c>
      <c r="M36" s="201">
        <v>150</v>
      </c>
      <c r="N36" s="202">
        <v>75</v>
      </c>
      <c r="O36" s="203">
        <v>131.25</v>
      </c>
    </row>
    <row r="37" spans="1:15">
      <c r="A37" s="204" t="s">
        <v>7606</v>
      </c>
      <c r="B37" s="204" t="s">
        <v>7607</v>
      </c>
      <c r="C37" s="204" t="s">
        <v>7608</v>
      </c>
      <c r="D37" s="204" t="s">
        <v>1086</v>
      </c>
      <c r="E37" s="204" t="s">
        <v>1065</v>
      </c>
      <c r="F37" s="204" t="s">
        <v>184</v>
      </c>
      <c r="G37" s="204" t="s">
        <v>131</v>
      </c>
      <c r="H37" s="204" t="s">
        <v>1541</v>
      </c>
      <c r="I37" s="205">
        <v>60</v>
      </c>
      <c r="J37" s="206">
        <v>0</v>
      </c>
      <c r="K37" s="207">
        <v>1440</v>
      </c>
      <c r="L37" s="208">
        <v>1800</v>
      </c>
      <c r="M37" s="201">
        <v>0</v>
      </c>
      <c r="N37" s="202">
        <v>0</v>
      </c>
      <c r="O37" s="203">
        <v>0</v>
      </c>
    </row>
    <row r="38" spans="1:15">
      <c r="A38" s="204" t="s">
        <v>7609</v>
      </c>
      <c r="B38" s="204" t="s">
        <v>705</v>
      </c>
      <c r="C38" s="204" t="s">
        <v>2835</v>
      </c>
      <c r="D38" s="204" t="s">
        <v>1086</v>
      </c>
      <c r="E38" s="204" t="s">
        <v>1065</v>
      </c>
      <c r="F38" s="204" t="s">
        <v>184</v>
      </c>
      <c r="G38" s="204" t="s">
        <v>1109</v>
      </c>
      <c r="H38" s="204" t="s">
        <v>1541</v>
      </c>
      <c r="I38" s="205">
        <v>33</v>
      </c>
      <c r="J38" s="206">
        <v>1080</v>
      </c>
      <c r="K38" s="207">
        <v>960</v>
      </c>
      <c r="L38" s="208">
        <v>1200</v>
      </c>
      <c r="M38" s="201">
        <v>225</v>
      </c>
      <c r="N38" s="202">
        <v>112.5</v>
      </c>
      <c r="O38" s="203">
        <v>300</v>
      </c>
    </row>
    <row r="39" spans="1:15">
      <c r="A39" s="204" t="s">
        <v>2982</v>
      </c>
      <c r="B39" s="204" t="s">
        <v>3420</v>
      </c>
      <c r="C39" s="204" t="s">
        <v>937</v>
      </c>
      <c r="D39" s="204" t="s">
        <v>1086</v>
      </c>
      <c r="E39" s="204" t="s">
        <v>1065</v>
      </c>
      <c r="F39" s="204" t="s">
        <v>184</v>
      </c>
      <c r="G39" s="204" t="s">
        <v>2983</v>
      </c>
      <c r="H39" s="204" t="s">
        <v>1541</v>
      </c>
      <c r="I39" s="205">
        <v>86</v>
      </c>
      <c r="J39" s="201">
        <v>1200</v>
      </c>
      <c r="K39" s="202">
        <v>600</v>
      </c>
      <c r="L39" s="203">
        <v>960</v>
      </c>
      <c r="M39" s="201">
        <v>75</v>
      </c>
      <c r="N39" s="202">
        <v>45</v>
      </c>
      <c r="O39" s="203">
        <v>45</v>
      </c>
    </row>
    <row r="40" spans="1:15">
      <c r="A40" s="204" t="s">
        <v>3005</v>
      </c>
      <c r="B40" s="204" t="s">
        <v>733</v>
      </c>
      <c r="C40" s="204" t="s">
        <v>3006</v>
      </c>
      <c r="D40" s="204" t="s">
        <v>1086</v>
      </c>
      <c r="E40" s="204" t="s">
        <v>1065</v>
      </c>
      <c r="F40" s="204" t="s">
        <v>184</v>
      </c>
      <c r="G40" s="204" t="s">
        <v>1104</v>
      </c>
      <c r="H40" s="204" t="s">
        <v>1541</v>
      </c>
      <c r="I40" s="205">
        <v>29</v>
      </c>
      <c r="J40" s="201">
        <v>600</v>
      </c>
      <c r="K40" s="202">
        <v>240</v>
      </c>
      <c r="L40" s="203">
        <v>600</v>
      </c>
      <c r="M40" s="201">
        <v>0</v>
      </c>
      <c r="N40" s="202">
        <v>0</v>
      </c>
      <c r="O40" s="203">
        <v>0</v>
      </c>
    </row>
    <row r="41" spans="1:15">
      <c r="A41" s="204" t="s">
        <v>7610</v>
      </c>
      <c r="B41" s="209" t="s">
        <v>7611</v>
      </c>
      <c r="C41" s="209" t="s">
        <v>7612</v>
      </c>
      <c r="D41" s="204" t="s">
        <v>1086</v>
      </c>
      <c r="E41" s="204" t="s">
        <v>1065</v>
      </c>
      <c r="F41" s="204" t="s">
        <v>184</v>
      </c>
      <c r="G41" s="204" t="s">
        <v>6483</v>
      </c>
      <c r="H41" s="204" t="s">
        <v>1541</v>
      </c>
      <c r="I41" s="205">
        <v>30</v>
      </c>
      <c r="J41" s="206">
        <v>0</v>
      </c>
      <c r="K41" s="207">
        <v>1680</v>
      </c>
      <c r="L41" s="208">
        <v>2640</v>
      </c>
      <c r="M41" s="201">
        <v>562.5</v>
      </c>
      <c r="N41" s="202">
        <v>375</v>
      </c>
      <c r="O41" s="203">
        <v>750</v>
      </c>
    </row>
    <row r="42" spans="1:15">
      <c r="A42" s="204" t="s">
        <v>7613</v>
      </c>
      <c r="B42" s="204" t="s">
        <v>6540</v>
      </c>
      <c r="C42" s="204" t="s">
        <v>7614</v>
      </c>
      <c r="D42" s="204" t="s">
        <v>1086</v>
      </c>
      <c r="E42" s="204" t="s">
        <v>1065</v>
      </c>
      <c r="F42" s="204" t="s">
        <v>184</v>
      </c>
      <c r="G42" s="204" t="s">
        <v>6483</v>
      </c>
      <c r="H42" s="204" t="s">
        <v>1541</v>
      </c>
      <c r="I42" s="205">
        <v>34</v>
      </c>
      <c r="J42" s="206">
        <v>1800</v>
      </c>
      <c r="K42" s="207">
        <v>1200</v>
      </c>
      <c r="L42" s="208">
        <v>2160</v>
      </c>
      <c r="M42" s="201">
        <v>112.5</v>
      </c>
      <c r="N42" s="202">
        <v>168.75</v>
      </c>
      <c r="O42" s="203">
        <v>187.5</v>
      </c>
    </row>
    <row r="43" spans="1:15">
      <c r="A43" s="204" t="s">
        <v>7615</v>
      </c>
      <c r="B43" s="204" t="s">
        <v>7616</v>
      </c>
      <c r="C43" s="204" t="s">
        <v>7617</v>
      </c>
      <c r="D43" s="204" t="s">
        <v>1086</v>
      </c>
      <c r="E43" s="204" t="s">
        <v>1065</v>
      </c>
      <c r="F43" s="204" t="s">
        <v>184</v>
      </c>
      <c r="G43" s="209" t="s">
        <v>6483</v>
      </c>
      <c r="H43" s="204" t="s">
        <v>1541</v>
      </c>
      <c r="I43" s="205">
        <v>36</v>
      </c>
      <c r="J43" s="206">
        <v>2160</v>
      </c>
      <c r="K43" s="207">
        <v>1560</v>
      </c>
      <c r="L43" s="208">
        <v>2400</v>
      </c>
      <c r="M43" s="201">
        <v>60</v>
      </c>
      <c r="N43" s="202">
        <v>37.5</v>
      </c>
      <c r="O43" s="203">
        <v>93.75</v>
      </c>
    </row>
    <row r="44" spans="1:15">
      <c r="A44" s="204" t="s">
        <v>7618</v>
      </c>
      <c r="B44" s="204" t="s">
        <v>3513</v>
      </c>
      <c r="C44" s="204" t="s">
        <v>631</v>
      </c>
      <c r="D44" s="204" t="s">
        <v>1086</v>
      </c>
      <c r="E44" s="204" t="s">
        <v>1065</v>
      </c>
      <c r="F44" s="204" t="s">
        <v>184</v>
      </c>
      <c r="G44" s="204" t="s">
        <v>6483</v>
      </c>
      <c r="H44" s="204" t="s">
        <v>1541</v>
      </c>
      <c r="I44" s="205">
        <v>30</v>
      </c>
      <c r="J44" s="206">
        <v>960</v>
      </c>
      <c r="K44" s="207">
        <v>840</v>
      </c>
      <c r="L44" s="208">
        <v>1800</v>
      </c>
      <c r="M44" s="201">
        <v>75</v>
      </c>
      <c r="N44" s="202">
        <v>60</v>
      </c>
      <c r="O44" s="203">
        <v>75</v>
      </c>
    </row>
    <row r="45" spans="1:15">
      <c r="A45" s="204" t="s">
        <v>7619</v>
      </c>
      <c r="B45" s="209" t="s">
        <v>7616</v>
      </c>
      <c r="C45" s="209" t="s">
        <v>7575</v>
      </c>
      <c r="D45" s="204" t="s">
        <v>1086</v>
      </c>
      <c r="E45" s="204" t="s">
        <v>1065</v>
      </c>
      <c r="F45" s="204" t="s">
        <v>184</v>
      </c>
      <c r="G45" s="204" t="s">
        <v>184</v>
      </c>
      <c r="H45" s="204" t="s">
        <v>1541</v>
      </c>
      <c r="I45" s="205">
        <v>50</v>
      </c>
      <c r="J45" s="206">
        <v>3000</v>
      </c>
      <c r="K45" s="207">
        <v>2400</v>
      </c>
      <c r="L45" s="208">
        <v>3120</v>
      </c>
      <c r="M45" s="201">
        <v>225</v>
      </c>
      <c r="N45" s="202">
        <v>281.25</v>
      </c>
      <c r="O45" s="203">
        <v>375</v>
      </c>
    </row>
    <row r="46" spans="1:15">
      <c r="A46" s="204" t="s">
        <v>495</v>
      </c>
      <c r="B46" s="204" t="s">
        <v>3522</v>
      </c>
      <c r="C46" s="204" t="s">
        <v>7620</v>
      </c>
      <c r="D46" s="204" t="s">
        <v>1086</v>
      </c>
      <c r="E46" s="204" t="s">
        <v>1065</v>
      </c>
      <c r="F46" s="204" t="s">
        <v>56</v>
      </c>
      <c r="G46" s="204" t="s">
        <v>7621</v>
      </c>
      <c r="H46" s="204" t="s">
        <v>1541</v>
      </c>
      <c r="I46" s="205">
        <v>47</v>
      </c>
      <c r="J46" s="206">
        <v>1440</v>
      </c>
      <c r="K46" s="207">
        <v>1920</v>
      </c>
      <c r="L46" s="208">
        <v>3600</v>
      </c>
      <c r="M46" s="201">
        <v>0</v>
      </c>
      <c r="N46" s="202">
        <v>198.75</v>
      </c>
      <c r="O46" s="203">
        <v>225</v>
      </c>
    </row>
    <row r="47" spans="1:15">
      <c r="A47" s="204" t="s">
        <v>7622</v>
      </c>
      <c r="B47" s="204" t="s">
        <v>7588</v>
      </c>
      <c r="C47" s="204" t="s">
        <v>7614</v>
      </c>
      <c r="D47" s="204" t="s">
        <v>1086</v>
      </c>
      <c r="E47" s="204" t="s">
        <v>1065</v>
      </c>
      <c r="F47" s="204" t="s">
        <v>184</v>
      </c>
      <c r="G47" s="204" t="s">
        <v>131</v>
      </c>
      <c r="H47" s="204" t="s">
        <v>1180</v>
      </c>
      <c r="I47" s="205">
        <v>30</v>
      </c>
      <c r="J47" s="206">
        <v>10800</v>
      </c>
      <c r="K47" s="207">
        <v>12000</v>
      </c>
      <c r="L47" s="208">
        <v>14400</v>
      </c>
      <c r="M47" s="201">
        <v>262.5</v>
      </c>
      <c r="N47" s="202">
        <v>375</v>
      </c>
      <c r="O47" s="203">
        <v>375</v>
      </c>
    </row>
    <row r="48" spans="1:15">
      <c r="A48" s="204" t="s">
        <v>7623</v>
      </c>
      <c r="B48" s="204" t="s">
        <v>7577</v>
      </c>
      <c r="C48" s="204" t="s">
        <v>7624</v>
      </c>
      <c r="D48" s="204" t="s">
        <v>1086</v>
      </c>
      <c r="E48" s="204" t="s">
        <v>1065</v>
      </c>
      <c r="F48" s="204" t="s">
        <v>184</v>
      </c>
      <c r="G48" s="204" t="s">
        <v>131</v>
      </c>
      <c r="H48" s="204" t="s">
        <v>1180</v>
      </c>
      <c r="I48" s="205">
        <v>45</v>
      </c>
      <c r="J48" s="206">
        <v>3600</v>
      </c>
      <c r="K48" s="207">
        <v>3000</v>
      </c>
      <c r="L48" s="208">
        <v>5520</v>
      </c>
      <c r="M48" s="201">
        <v>0</v>
      </c>
      <c r="N48" s="202">
        <v>0</v>
      </c>
      <c r="O48" s="203">
        <v>0</v>
      </c>
    </row>
    <row r="49" spans="1:15">
      <c r="A49" s="204" t="s">
        <v>7625</v>
      </c>
      <c r="B49" s="204" t="s">
        <v>733</v>
      </c>
      <c r="C49" s="204" t="s">
        <v>7626</v>
      </c>
      <c r="D49" s="204" t="s">
        <v>1086</v>
      </c>
      <c r="E49" s="204" t="s">
        <v>1065</v>
      </c>
      <c r="F49" s="204" t="s">
        <v>184</v>
      </c>
      <c r="G49" s="204" t="s">
        <v>131</v>
      </c>
      <c r="H49" s="204" t="s">
        <v>1180</v>
      </c>
      <c r="I49" s="205">
        <v>35</v>
      </c>
      <c r="J49" s="206">
        <v>4200</v>
      </c>
      <c r="K49" s="207">
        <v>3960</v>
      </c>
      <c r="L49" s="208">
        <v>6000</v>
      </c>
      <c r="M49" s="201">
        <v>0</v>
      </c>
      <c r="N49" s="202">
        <v>0</v>
      </c>
      <c r="O49" s="203">
        <v>0</v>
      </c>
    </row>
    <row r="50" spans="1:15">
      <c r="A50" s="204" t="s">
        <v>7627</v>
      </c>
      <c r="B50" s="204" t="s">
        <v>719</v>
      </c>
      <c r="C50" s="204" t="s">
        <v>712</v>
      </c>
      <c r="D50" s="204" t="s">
        <v>1086</v>
      </c>
      <c r="E50" s="204" t="s">
        <v>1065</v>
      </c>
      <c r="F50" s="204" t="s">
        <v>56</v>
      </c>
      <c r="G50" s="204" t="s">
        <v>7628</v>
      </c>
      <c r="H50" s="204" t="s">
        <v>1541</v>
      </c>
      <c r="I50" s="205">
        <v>45</v>
      </c>
      <c r="J50" s="206">
        <v>14400</v>
      </c>
      <c r="K50" s="207">
        <v>12000</v>
      </c>
      <c r="L50" s="208">
        <v>16800</v>
      </c>
      <c r="M50" s="201">
        <v>0</v>
      </c>
      <c r="N50" s="202">
        <v>0</v>
      </c>
      <c r="O50" s="203">
        <v>0</v>
      </c>
    </row>
    <row r="51" spans="1:15">
      <c r="A51" s="204" t="s">
        <v>7629</v>
      </c>
      <c r="B51" s="204" t="s">
        <v>719</v>
      </c>
      <c r="C51" s="204" t="s">
        <v>6222</v>
      </c>
      <c r="D51" s="204" t="s">
        <v>1086</v>
      </c>
      <c r="E51" s="204" t="s">
        <v>1065</v>
      </c>
      <c r="F51" s="204" t="s">
        <v>56</v>
      </c>
      <c r="G51" s="204" t="s">
        <v>7628</v>
      </c>
      <c r="H51" s="204" t="s">
        <v>1541</v>
      </c>
      <c r="I51" s="205">
        <v>31</v>
      </c>
      <c r="J51" s="206">
        <v>4200</v>
      </c>
      <c r="K51" s="207">
        <v>5160</v>
      </c>
      <c r="L51" s="208">
        <v>7800</v>
      </c>
      <c r="M51" s="201">
        <v>0</v>
      </c>
      <c r="N51" s="202">
        <v>0</v>
      </c>
      <c r="O51" s="203">
        <v>0</v>
      </c>
    </row>
    <row r="52" spans="1:15">
      <c r="A52" s="204" t="s">
        <v>7630</v>
      </c>
      <c r="B52" s="204" t="s">
        <v>719</v>
      </c>
      <c r="C52" s="204" t="s">
        <v>609</v>
      </c>
      <c r="D52" s="204" t="s">
        <v>1086</v>
      </c>
      <c r="E52" s="204" t="s">
        <v>1065</v>
      </c>
      <c r="F52" s="204" t="s">
        <v>56</v>
      </c>
      <c r="G52" s="204" t="s">
        <v>7631</v>
      </c>
      <c r="H52" s="204" t="s">
        <v>1541</v>
      </c>
      <c r="I52" s="205">
        <v>30</v>
      </c>
      <c r="J52" s="206">
        <v>16000</v>
      </c>
      <c r="K52" s="207">
        <v>2160</v>
      </c>
      <c r="L52" s="208">
        <v>2760</v>
      </c>
      <c r="M52" s="201">
        <v>0</v>
      </c>
      <c r="N52" s="202">
        <v>0</v>
      </c>
      <c r="O52" s="203">
        <v>0</v>
      </c>
    </row>
    <row r="53" spans="1:15">
      <c r="A53" s="204" t="s">
        <v>7632</v>
      </c>
      <c r="B53" s="204" t="s">
        <v>3522</v>
      </c>
      <c r="C53" s="204" t="s">
        <v>7633</v>
      </c>
      <c r="D53" s="204" t="s">
        <v>1086</v>
      </c>
      <c r="E53" s="204" t="s">
        <v>1065</v>
      </c>
      <c r="F53" s="204" t="s">
        <v>56</v>
      </c>
      <c r="G53" s="204" t="s">
        <v>56</v>
      </c>
      <c r="H53" s="204" t="s">
        <v>1541</v>
      </c>
      <c r="I53" s="205">
        <v>25</v>
      </c>
      <c r="J53" s="206">
        <v>3600</v>
      </c>
      <c r="K53" s="207">
        <v>3240</v>
      </c>
      <c r="L53" s="208">
        <v>6000</v>
      </c>
      <c r="M53" s="201">
        <v>0</v>
      </c>
      <c r="N53" s="202">
        <v>75</v>
      </c>
      <c r="O53" s="203">
        <v>131.25</v>
      </c>
    </row>
    <row r="54" spans="1:15">
      <c r="A54" s="209" t="s">
        <v>7634</v>
      </c>
      <c r="B54" s="209" t="s">
        <v>3522</v>
      </c>
      <c r="C54" s="209" t="s">
        <v>566</v>
      </c>
      <c r="D54" s="209" t="s">
        <v>1086</v>
      </c>
      <c r="E54" s="209" t="s">
        <v>1065</v>
      </c>
      <c r="F54" s="209" t="s">
        <v>56</v>
      </c>
      <c r="G54" s="209" t="s">
        <v>7635</v>
      </c>
      <c r="H54" s="209" t="s">
        <v>1541</v>
      </c>
      <c r="I54" s="210">
        <v>35</v>
      </c>
      <c r="J54" s="206">
        <v>1800</v>
      </c>
      <c r="K54" s="207">
        <v>1440</v>
      </c>
      <c r="L54" s="208">
        <v>1800</v>
      </c>
      <c r="M54" s="201">
        <v>0</v>
      </c>
      <c r="N54" s="202">
        <v>0</v>
      </c>
      <c r="O54" s="203">
        <v>0</v>
      </c>
    </row>
    <row r="55" spans="1:15">
      <c r="A55" s="209" t="s">
        <v>7636</v>
      </c>
      <c r="B55" s="209" t="s">
        <v>6195</v>
      </c>
      <c r="C55" s="209" t="s">
        <v>5399</v>
      </c>
      <c r="D55" s="209" t="s">
        <v>1086</v>
      </c>
      <c r="E55" s="209" t="s">
        <v>1065</v>
      </c>
      <c r="F55" s="209" t="s">
        <v>56</v>
      </c>
      <c r="G55" s="209" t="s">
        <v>56</v>
      </c>
      <c r="H55" s="209" t="s">
        <v>1541</v>
      </c>
      <c r="I55" s="210">
        <v>20</v>
      </c>
      <c r="J55" s="206">
        <v>2400</v>
      </c>
      <c r="K55" s="207">
        <v>1920</v>
      </c>
      <c r="L55" s="208">
        <v>2400</v>
      </c>
      <c r="M55" s="201">
        <v>0</v>
      </c>
      <c r="N55" s="202">
        <v>0</v>
      </c>
      <c r="O55" s="203">
        <v>0</v>
      </c>
    </row>
    <row r="56" spans="1:15">
      <c r="A56" s="204" t="s">
        <v>7637</v>
      </c>
      <c r="B56" s="204" t="s">
        <v>7638</v>
      </c>
      <c r="C56" s="204" t="s">
        <v>628</v>
      </c>
      <c r="D56" s="204" t="s">
        <v>1086</v>
      </c>
      <c r="E56" s="204" t="s">
        <v>1065</v>
      </c>
      <c r="F56" s="204" t="s">
        <v>507</v>
      </c>
      <c r="G56" s="204" t="s">
        <v>507</v>
      </c>
      <c r="H56" s="204" t="s">
        <v>1541</v>
      </c>
      <c r="I56" s="205">
        <v>45</v>
      </c>
      <c r="J56" s="206">
        <v>1200</v>
      </c>
      <c r="K56" s="207">
        <v>1000</v>
      </c>
      <c r="L56" s="208">
        <v>2000</v>
      </c>
      <c r="M56" s="201">
        <v>375</v>
      </c>
      <c r="N56" s="202">
        <v>450</v>
      </c>
      <c r="O56" s="203">
        <v>0</v>
      </c>
    </row>
    <row r="57" spans="1:15">
      <c r="A57" s="204" t="s">
        <v>3229</v>
      </c>
      <c r="B57" s="204" t="s">
        <v>733</v>
      </c>
      <c r="C57" s="204" t="s">
        <v>3232</v>
      </c>
      <c r="D57" s="204" t="s">
        <v>1086</v>
      </c>
      <c r="E57" s="204" t="s">
        <v>1065</v>
      </c>
      <c r="F57" s="204" t="s">
        <v>507</v>
      </c>
      <c r="G57" s="204" t="s">
        <v>3230</v>
      </c>
      <c r="H57" s="204" t="s">
        <v>1541</v>
      </c>
      <c r="I57" s="205">
        <v>35</v>
      </c>
      <c r="J57" s="206">
        <v>3000</v>
      </c>
      <c r="K57" s="207">
        <v>6400</v>
      </c>
      <c r="L57" s="208">
        <v>8300</v>
      </c>
      <c r="M57" s="201">
        <v>562.5</v>
      </c>
      <c r="N57" s="202">
        <v>468.75</v>
      </c>
      <c r="O57" s="203">
        <v>1125</v>
      </c>
    </row>
    <row r="58" spans="1:15">
      <c r="A58" s="204" t="s">
        <v>3245</v>
      </c>
      <c r="B58" s="204" t="s">
        <v>7639</v>
      </c>
      <c r="C58" s="204" t="s">
        <v>3248</v>
      </c>
      <c r="D58" s="204" t="s">
        <v>1086</v>
      </c>
      <c r="E58" s="204" t="s">
        <v>1065</v>
      </c>
      <c r="F58" s="204" t="s">
        <v>507</v>
      </c>
      <c r="G58" s="204" t="s">
        <v>1080</v>
      </c>
      <c r="H58" s="204" t="s">
        <v>1541</v>
      </c>
      <c r="I58" s="205">
        <v>34</v>
      </c>
      <c r="J58" s="206">
        <v>3200</v>
      </c>
      <c r="K58" s="207">
        <v>17000</v>
      </c>
      <c r="L58" s="208">
        <v>20000</v>
      </c>
      <c r="M58" s="201">
        <v>375</v>
      </c>
      <c r="N58" s="202">
        <v>750</v>
      </c>
      <c r="O58" s="203">
        <v>1125</v>
      </c>
    </row>
    <row r="59" spans="1:15">
      <c r="A59" s="204" t="s">
        <v>3256</v>
      </c>
      <c r="B59" s="204" t="s">
        <v>7640</v>
      </c>
      <c r="C59" s="204" t="s">
        <v>3259</v>
      </c>
      <c r="D59" s="204" t="s">
        <v>1086</v>
      </c>
      <c r="E59" s="204" t="s">
        <v>1065</v>
      </c>
      <c r="F59" s="204" t="s">
        <v>507</v>
      </c>
      <c r="G59" s="204" t="s">
        <v>3257</v>
      </c>
      <c r="H59" s="204" t="s">
        <v>1541</v>
      </c>
      <c r="I59" s="205">
        <v>45</v>
      </c>
      <c r="J59" s="206">
        <v>15000</v>
      </c>
      <c r="K59" s="207">
        <v>10500</v>
      </c>
      <c r="L59" s="208">
        <v>10000</v>
      </c>
      <c r="M59" s="201">
        <v>0</v>
      </c>
      <c r="N59" s="202">
        <v>0</v>
      </c>
      <c r="O59" s="203">
        <v>0</v>
      </c>
    </row>
    <row r="60" spans="1:15">
      <c r="A60" s="204" t="s">
        <v>3273</v>
      </c>
      <c r="B60" s="204" t="s">
        <v>7641</v>
      </c>
      <c r="C60" s="204" t="s">
        <v>566</v>
      </c>
      <c r="D60" s="204" t="s">
        <v>1086</v>
      </c>
      <c r="E60" s="204" t="s">
        <v>1065</v>
      </c>
      <c r="F60" s="204" t="s">
        <v>507</v>
      </c>
      <c r="G60" s="204" t="s">
        <v>1080</v>
      </c>
      <c r="H60" s="204" t="s">
        <v>1541</v>
      </c>
      <c r="I60" s="205">
        <v>40</v>
      </c>
      <c r="J60" s="206">
        <v>4000</v>
      </c>
      <c r="K60" s="207">
        <v>8000</v>
      </c>
      <c r="L60" s="208">
        <v>6800</v>
      </c>
      <c r="M60" s="201">
        <v>0</v>
      </c>
      <c r="N60" s="202">
        <v>375</v>
      </c>
      <c r="O60" s="203">
        <v>562.5</v>
      </c>
    </row>
    <row r="61" spans="1:15">
      <c r="A61" s="204" t="s">
        <v>7642</v>
      </c>
      <c r="B61" s="204" t="s">
        <v>6195</v>
      </c>
      <c r="C61" s="204" t="s">
        <v>3283</v>
      </c>
      <c r="D61" s="204" t="s">
        <v>1086</v>
      </c>
      <c r="E61" s="204" t="s">
        <v>1065</v>
      </c>
      <c r="F61" s="204" t="s">
        <v>507</v>
      </c>
      <c r="G61" s="204" t="s">
        <v>507</v>
      </c>
      <c r="H61" s="204" t="s">
        <v>1541</v>
      </c>
      <c r="I61" s="205">
        <v>68</v>
      </c>
      <c r="J61" s="206">
        <v>15000</v>
      </c>
      <c r="K61" s="207">
        <v>10500</v>
      </c>
      <c r="L61" s="208">
        <v>20000</v>
      </c>
      <c r="M61" s="201">
        <v>0</v>
      </c>
      <c r="N61" s="202">
        <v>0</v>
      </c>
      <c r="O61" s="203">
        <v>0</v>
      </c>
    </row>
    <row r="62" spans="1:15">
      <c r="A62" s="204" t="s">
        <v>3290</v>
      </c>
      <c r="B62" s="204" t="s">
        <v>959</v>
      </c>
      <c r="C62" s="204" t="s">
        <v>940</v>
      </c>
      <c r="D62" s="204" t="s">
        <v>3292</v>
      </c>
      <c r="E62" s="204" t="s">
        <v>3293</v>
      </c>
      <c r="F62" s="204" t="s">
        <v>3291</v>
      </c>
      <c r="G62" s="204" t="s">
        <v>3291</v>
      </c>
      <c r="H62" s="204" t="s">
        <v>1541</v>
      </c>
      <c r="I62" s="205">
        <v>20</v>
      </c>
      <c r="J62" s="201">
        <v>360</v>
      </c>
      <c r="K62" s="202">
        <v>600</v>
      </c>
      <c r="L62" s="203" t="s">
        <v>1904</v>
      </c>
      <c r="M62" s="201" t="s">
        <v>3309</v>
      </c>
      <c r="N62" s="202" t="s">
        <v>3309</v>
      </c>
      <c r="O62" s="203" t="s">
        <v>3309</v>
      </c>
    </row>
    <row r="63" spans="1:15">
      <c r="A63" s="204" t="s">
        <v>3339</v>
      </c>
      <c r="B63" s="204" t="s">
        <v>959</v>
      </c>
      <c r="C63" s="204" t="s">
        <v>3341</v>
      </c>
      <c r="D63" s="204" t="s">
        <v>3292</v>
      </c>
      <c r="E63" s="204" t="s">
        <v>3293</v>
      </c>
      <c r="F63" s="204" t="s">
        <v>3291</v>
      </c>
      <c r="G63" s="204" t="s">
        <v>1097</v>
      </c>
      <c r="H63" s="204" t="s">
        <v>1541</v>
      </c>
      <c r="I63" s="205">
        <v>45</v>
      </c>
      <c r="J63" s="201">
        <v>3600</v>
      </c>
      <c r="K63" s="202">
        <v>2400</v>
      </c>
      <c r="L63" s="203">
        <v>5520</v>
      </c>
      <c r="M63" s="201">
        <v>112.5</v>
      </c>
      <c r="N63" s="202">
        <v>75</v>
      </c>
      <c r="O63" s="203" t="s">
        <v>3309</v>
      </c>
    </row>
    <row r="64" spans="1:15">
      <c r="A64" s="204" t="s">
        <v>3358</v>
      </c>
      <c r="B64" s="204" t="s">
        <v>3361</v>
      </c>
      <c r="C64" s="209" t="s">
        <v>3362</v>
      </c>
      <c r="D64" s="204" t="s">
        <v>3292</v>
      </c>
      <c r="E64" s="204" t="s">
        <v>3293</v>
      </c>
      <c r="F64" s="204" t="s">
        <v>3291</v>
      </c>
      <c r="G64" s="204" t="s">
        <v>3359</v>
      </c>
      <c r="H64" s="204" t="s">
        <v>1541</v>
      </c>
      <c r="I64" s="205">
        <v>30</v>
      </c>
      <c r="J64" s="201">
        <v>1200</v>
      </c>
      <c r="K64" s="202">
        <v>960</v>
      </c>
      <c r="L64" s="203">
        <v>1440</v>
      </c>
      <c r="M64" s="201" t="s">
        <v>3370</v>
      </c>
      <c r="N64" s="202">
        <v>0</v>
      </c>
      <c r="O64" s="203">
        <v>0</v>
      </c>
    </row>
    <row r="65" spans="1:15">
      <c r="A65" s="204" t="s">
        <v>174</v>
      </c>
      <c r="B65" s="204" t="s">
        <v>7643</v>
      </c>
      <c r="C65" s="204" t="s">
        <v>861</v>
      </c>
      <c r="D65" s="204" t="s">
        <v>3292</v>
      </c>
      <c r="E65" s="204" t="s">
        <v>3293</v>
      </c>
      <c r="F65" s="204" t="s">
        <v>3291</v>
      </c>
      <c r="G65" s="204" t="s">
        <v>3347</v>
      </c>
      <c r="H65" s="204" t="s">
        <v>1541</v>
      </c>
      <c r="I65" s="205">
        <v>50</v>
      </c>
      <c r="J65" s="201">
        <v>0</v>
      </c>
      <c r="K65" s="207">
        <v>1200</v>
      </c>
      <c r="L65" s="203">
        <v>2400</v>
      </c>
      <c r="M65" s="201" t="s">
        <v>3383</v>
      </c>
      <c r="N65" s="202">
        <v>0</v>
      </c>
      <c r="O65" s="203">
        <v>0</v>
      </c>
    </row>
    <row r="66" spans="1:15">
      <c r="A66" s="204" t="s">
        <v>7644</v>
      </c>
      <c r="B66" s="204" t="s">
        <v>7645</v>
      </c>
      <c r="C66" s="204" t="s">
        <v>3396</v>
      </c>
      <c r="D66" s="204" t="s">
        <v>3292</v>
      </c>
      <c r="E66" s="204" t="s">
        <v>3293</v>
      </c>
      <c r="F66" s="204" t="s">
        <v>3291</v>
      </c>
      <c r="G66" s="204" t="s">
        <v>1104</v>
      </c>
      <c r="H66" s="204" t="s">
        <v>1541</v>
      </c>
      <c r="I66" s="205">
        <v>30</v>
      </c>
      <c r="J66" s="201" t="s">
        <v>1904</v>
      </c>
      <c r="K66" s="202">
        <v>1200</v>
      </c>
      <c r="L66" s="203">
        <v>5000</v>
      </c>
      <c r="M66" s="201" t="s">
        <v>1904</v>
      </c>
      <c r="N66" s="202">
        <v>93.75</v>
      </c>
      <c r="O66" s="203">
        <v>262.5</v>
      </c>
    </row>
    <row r="67" spans="1:15">
      <c r="A67" s="204" t="s">
        <v>3417</v>
      </c>
      <c r="B67" s="204" t="s">
        <v>3420</v>
      </c>
      <c r="C67" s="204" t="s">
        <v>615</v>
      </c>
      <c r="D67" s="204" t="s">
        <v>3292</v>
      </c>
      <c r="E67" s="204" t="s">
        <v>3293</v>
      </c>
      <c r="F67" s="204" t="s">
        <v>3291</v>
      </c>
      <c r="G67" s="204" t="s">
        <v>3418</v>
      </c>
      <c r="H67" s="204" t="s">
        <v>1541</v>
      </c>
      <c r="I67" s="205">
        <v>33</v>
      </c>
      <c r="J67" s="201" t="s">
        <v>1904</v>
      </c>
      <c r="K67" s="202">
        <v>1200</v>
      </c>
      <c r="L67" s="203">
        <v>3000</v>
      </c>
      <c r="M67" s="201">
        <v>0</v>
      </c>
      <c r="N67" s="202">
        <v>75</v>
      </c>
      <c r="O67" s="203">
        <v>112.5</v>
      </c>
    </row>
    <row r="68" spans="1:15">
      <c r="A68" s="204" t="s">
        <v>3439</v>
      </c>
      <c r="B68" s="204" t="s">
        <v>733</v>
      </c>
      <c r="C68" s="204" t="s">
        <v>3442</v>
      </c>
      <c r="D68" s="204" t="s">
        <v>3292</v>
      </c>
      <c r="E68" s="204" t="s">
        <v>3293</v>
      </c>
      <c r="F68" s="204" t="s">
        <v>3291</v>
      </c>
      <c r="G68" s="204" t="s">
        <v>3440</v>
      </c>
      <c r="H68" s="204" t="s">
        <v>1541</v>
      </c>
      <c r="I68" s="205">
        <v>65</v>
      </c>
      <c r="J68" s="201">
        <v>600</v>
      </c>
      <c r="K68" s="202">
        <v>1000</v>
      </c>
      <c r="L68" s="203">
        <v>2000</v>
      </c>
      <c r="M68" s="201" t="s">
        <v>3450</v>
      </c>
      <c r="N68" s="202" t="s">
        <v>3450</v>
      </c>
      <c r="O68" s="203" t="s">
        <v>3450</v>
      </c>
    </row>
    <row r="69" spans="1:15">
      <c r="A69" s="204" t="s">
        <v>7087</v>
      </c>
      <c r="B69" s="204" t="s">
        <v>3469</v>
      </c>
      <c r="C69" s="204" t="s">
        <v>574</v>
      </c>
      <c r="D69" s="204" t="s">
        <v>3292</v>
      </c>
      <c r="E69" s="204" t="s">
        <v>3293</v>
      </c>
      <c r="F69" s="204" t="s">
        <v>56</v>
      </c>
      <c r="G69" s="204" t="s">
        <v>7100</v>
      </c>
      <c r="H69" s="204" t="s">
        <v>1541</v>
      </c>
      <c r="I69" s="205">
        <v>25</v>
      </c>
      <c r="J69" s="201">
        <v>1200</v>
      </c>
      <c r="K69" s="202">
        <v>2000</v>
      </c>
      <c r="L69" s="203" t="s">
        <v>3480</v>
      </c>
      <c r="M69" s="201">
        <v>1293.75</v>
      </c>
      <c r="N69" s="202">
        <v>787.5</v>
      </c>
      <c r="O69" s="203" t="s">
        <v>3309</v>
      </c>
    </row>
    <row r="70" spans="1:15">
      <c r="A70" s="204" t="s">
        <v>3511</v>
      </c>
      <c r="B70" s="204" t="s">
        <v>3513</v>
      </c>
      <c r="C70" s="204" t="s">
        <v>7646</v>
      </c>
      <c r="D70" s="204" t="s">
        <v>3292</v>
      </c>
      <c r="E70" s="204" t="s">
        <v>3293</v>
      </c>
      <c r="F70" s="204" t="s">
        <v>3291</v>
      </c>
      <c r="G70" s="204" t="s">
        <v>3512</v>
      </c>
      <c r="H70" s="204" t="s">
        <v>1541</v>
      </c>
      <c r="I70" s="205">
        <v>86</v>
      </c>
      <c r="J70" s="201" t="s">
        <v>3514</v>
      </c>
      <c r="K70" s="207" t="s">
        <v>3515</v>
      </c>
      <c r="L70" s="208" t="s">
        <v>1904</v>
      </c>
      <c r="M70" s="201">
        <v>0</v>
      </c>
      <c r="N70" s="202">
        <v>0</v>
      </c>
      <c r="O70" s="203">
        <v>0</v>
      </c>
    </row>
    <row r="71" spans="1:15">
      <c r="A71" s="204" t="s">
        <v>3520</v>
      </c>
      <c r="B71" s="204" t="s">
        <v>3522</v>
      </c>
      <c r="C71" s="204" t="s">
        <v>3523</v>
      </c>
      <c r="D71" s="204" t="s">
        <v>3292</v>
      </c>
      <c r="E71" s="204" t="s">
        <v>3293</v>
      </c>
      <c r="F71" s="204" t="s">
        <v>56</v>
      </c>
      <c r="G71" s="204" t="s">
        <v>3521</v>
      </c>
      <c r="H71" s="204" t="s">
        <v>1541</v>
      </c>
      <c r="I71" s="205">
        <v>25</v>
      </c>
      <c r="J71" s="201">
        <v>1000</v>
      </c>
      <c r="K71" s="202">
        <v>1800</v>
      </c>
      <c r="L71" s="203" t="s">
        <v>3528</v>
      </c>
      <c r="M71" s="201">
        <v>937.5</v>
      </c>
      <c r="N71" s="202">
        <v>750</v>
      </c>
      <c r="O71" s="203" t="s">
        <v>3309</v>
      </c>
    </row>
    <row r="72" spans="1:15">
      <c r="A72" s="204" t="s">
        <v>3534</v>
      </c>
      <c r="B72" s="204" t="s">
        <v>3535</v>
      </c>
      <c r="C72" s="204" t="s">
        <v>3536</v>
      </c>
      <c r="D72" s="204" t="s">
        <v>3292</v>
      </c>
      <c r="E72" s="204" t="s">
        <v>3293</v>
      </c>
      <c r="F72" s="204" t="s">
        <v>56</v>
      </c>
      <c r="G72" s="204" t="s">
        <v>1107</v>
      </c>
      <c r="H72" s="204" t="s">
        <v>1541</v>
      </c>
      <c r="I72" s="205">
        <v>25</v>
      </c>
      <c r="J72" s="201">
        <v>900</v>
      </c>
      <c r="K72" s="202">
        <v>1600</v>
      </c>
      <c r="L72" s="203" t="s">
        <v>3528</v>
      </c>
      <c r="M72" s="201">
        <v>750</v>
      </c>
      <c r="N72" s="202">
        <v>675</v>
      </c>
      <c r="O72" s="203" t="s">
        <v>3309</v>
      </c>
    </row>
    <row r="73" spans="1:15">
      <c r="A73" s="211" t="s">
        <v>3537</v>
      </c>
      <c r="B73" s="211" t="s">
        <v>3540</v>
      </c>
      <c r="C73" s="211" t="s">
        <v>552</v>
      </c>
      <c r="D73" s="211" t="s">
        <v>3292</v>
      </c>
      <c r="E73" s="211" t="s">
        <v>3293</v>
      </c>
      <c r="F73" s="211" t="s">
        <v>56</v>
      </c>
      <c r="G73" s="211" t="s">
        <v>7647</v>
      </c>
      <c r="H73" s="211" t="s">
        <v>1541</v>
      </c>
      <c r="I73" s="212">
        <v>25</v>
      </c>
      <c r="J73" s="213">
        <v>1100</v>
      </c>
      <c r="K73" s="214">
        <v>1900</v>
      </c>
      <c r="L73" s="215" t="s">
        <v>1489</v>
      </c>
      <c r="M73" s="201">
        <v>562.5</v>
      </c>
      <c r="N73" s="202">
        <v>450</v>
      </c>
      <c r="O73" s="203" t="s">
        <v>3309</v>
      </c>
    </row>
    <row r="74" spans="1:15">
      <c r="A74" s="211" t="s">
        <v>1080</v>
      </c>
      <c r="B74" s="211" t="s">
        <v>3556</v>
      </c>
      <c r="C74" s="211" t="s">
        <v>3557</v>
      </c>
      <c r="D74" s="211" t="s">
        <v>3292</v>
      </c>
      <c r="E74" s="211" t="s">
        <v>3293</v>
      </c>
      <c r="F74" s="211" t="s">
        <v>507</v>
      </c>
      <c r="G74" s="211" t="s">
        <v>3555</v>
      </c>
      <c r="H74" s="211" t="s">
        <v>1541</v>
      </c>
      <c r="I74" s="212">
        <v>55</v>
      </c>
      <c r="J74" s="213" t="s">
        <v>3566</v>
      </c>
      <c r="K74" s="214"/>
      <c r="L74" s="215"/>
      <c r="M74" s="201" t="s">
        <v>3567</v>
      </c>
      <c r="N74" s="202">
        <v>0</v>
      </c>
      <c r="O74" s="203">
        <v>0</v>
      </c>
    </row>
    <row r="75" spans="1:15">
      <c r="A75" s="211" t="s">
        <v>3591</v>
      </c>
      <c r="B75" s="211" t="s">
        <v>3592</v>
      </c>
      <c r="C75" s="211" t="s">
        <v>2723</v>
      </c>
      <c r="D75" s="211" t="s">
        <v>3292</v>
      </c>
      <c r="E75" s="211" t="s">
        <v>3293</v>
      </c>
      <c r="F75" s="211" t="s">
        <v>507</v>
      </c>
      <c r="G75" s="211" t="s">
        <v>507</v>
      </c>
      <c r="H75" s="211" t="s">
        <v>1541</v>
      </c>
      <c r="I75" s="212">
        <v>30</v>
      </c>
      <c r="J75" s="213" t="s">
        <v>1904</v>
      </c>
      <c r="K75" s="214">
        <v>2000</v>
      </c>
      <c r="L75" s="215">
        <v>3000</v>
      </c>
      <c r="M75" s="201" t="s">
        <v>3602</v>
      </c>
      <c r="N75" s="202">
        <v>0</v>
      </c>
      <c r="O75" s="203">
        <v>0</v>
      </c>
    </row>
    <row r="76" spans="1:15">
      <c r="A76" s="211" t="s">
        <v>7648</v>
      </c>
      <c r="B76" s="211" t="s">
        <v>7649</v>
      </c>
      <c r="C76" s="211" t="s">
        <v>3617</v>
      </c>
      <c r="D76" s="211" t="s">
        <v>3292</v>
      </c>
      <c r="E76" s="211" t="s">
        <v>3293</v>
      </c>
      <c r="F76" s="211" t="s">
        <v>507</v>
      </c>
      <c r="G76" s="211" t="s">
        <v>3555</v>
      </c>
      <c r="H76" s="211" t="s">
        <v>1541</v>
      </c>
      <c r="I76" s="212">
        <v>32</v>
      </c>
      <c r="J76" s="213">
        <v>2800</v>
      </c>
      <c r="K76" s="214">
        <v>3300</v>
      </c>
      <c r="L76" s="215">
        <v>9000</v>
      </c>
      <c r="M76" s="201" t="s">
        <v>1935</v>
      </c>
      <c r="N76" s="202" t="s">
        <v>1935</v>
      </c>
      <c r="O76" s="203" t="s">
        <v>1935</v>
      </c>
    </row>
    <row r="77" spans="1:15">
      <c r="A77" s="211" t="s">
        <v>3628</v>
      </c>
      <c r="B77" s="211" t="s">
        <v>725</v>
      </c>
      <c r="C77" s="211" t="s">
        <v>3630</v>
      </c>
      <c r="D77" s="211" t="s">
        <v>3292</v>
      </c>
      <c r="E77" s="211" t="s">
        <v>3293</v>
      </c>
      <c r="F77" s="211" t="s">
        <v>507</v>
      </c>
      <c r="G77" s="211" t="s">
        <v>3629</v>
      </c>
      <c r="H77" s="211" t="s">
        <v>1541</v>
      </c>
      <c r="I77" s="212">
        <v>27</v>
      </c>
      <c r="J77" s="213" t="s">
        <v>3515</v>
      </c>
      <c r="K77" s="214" t="s">
        <v>3515</v>
      </c>
      <c r="L77" s="215" t="s">
        <v>3515</v>
      </c>
      <c r="M77" s="201">
        <v>0</v>
      </c>
      <c r="N77" s="202">
        <v>0</v>
      </c>
      <c r="O77" s="203">
        <v>0</v>
      </c>
    </row>
    <row r="78" spans="1:15">
      <c r="A78" s="211" t="s">
        <v>7650</v>
      </c>
      <c r="B78" s="211" t="s">
        <v>7651</v>
      </c>
      <c r="C78" s="211" t="s">
        <v>7652</v>
      </c>
      <c r="D78" s="211" t="s">
        <v>3292</v>
      </c>
      <c r="E78" s="211" t="s">
        <v>3293</v>
      </c>
      <c r="F78" s="211" t="s">
        <v>507</v>
      </c>
      <c r="G78" s="211" t="s">
        <v>3555</v>
      </c>
      <c r="H78" s="211" t="s">
        <v>1541</v>
      </c>
      <c r="I78" s="212">
        <v>42</v>
      </c>
      <c r="J78" s="213" t="s">
        <v>3515</v>
      </c>
      <c r="K78" s="214">
        <v>3500</v>
      </c>
      <c r="L78" s="215">
        <v>8000</v>
      </c>
      <c r="M78" s="201" t="s">
        <v>1935</v>
      </c>
      <c r="N78" s="202" t="s">
        <v>1935</v>
      </c>
      <c r="O78" s="203" t="s">
        <v>1935</v>
      </c>
    </row>
    <row r="79" spans="1:15">
      <c r="A79" s="211" t="s">
        <v>3655</v>
      </c>
      <c r="B79" s="211" t="s">
        <v>3656</v>
      </c>
      <c r="C79" s="211" t="s">
        <v>3657</v>
      </c>
      <c r="D79" s="211" t="s">
        <v>3292</v>
      </c>
      <c r="E79" s="211" t="s">
        <v>3293</v>
      </c>
      <c r="F79" s="211" t="s">
        <v>507</v>
      </c>
      <c r="G79" s="211" t="s">
        <v>3555</v>
      </c>
      <c r="H79" s="211" t="s">
        <v>1541</v>
      </c>
      <c r="I79" s="212">
        <v>40</v>
      </c>
      <c r="J79" s="213" t="s">
        <v>3515</v>
      </c>
      <c r="K79" s="214">
        <v>4800</v>
      </c>
      <c r="L79" s="215">
        <v>8000</v>
      </c>
      <c r="M79" s="201" t="s">
        <v>1935</v>
      </c>
      <c r="N79" s="202" t="s">
        <v>1935</v>
      </c>
      <c r="O79" s="203" t="s">
        <v>1935</v>
      </c>
    </row>
    <row r="80" spans="1:15">
      <c r="A80" s="211" t="s">
        <v>3668</v>
      </c>
      <c r="B80" s="211" t="s">
        <v>725</v>
      </c>
      <c r="C80" s="211" t="s">
        <v>3670</v>
      </c>
      <c r="D80" s="211" t="s">
        <v>3292</v>
      </c>
      <c r="E80" s="211" t="s">
        <v>3293</v>
      </c>
      <c r="F80" s="211" t="s">
        <v>507</v>
      </c>
      <c r="G80" s="211" t="s">
        <v>3669</v>
      </c>
      <c r="H80" s="211" t="s">
        <v>1541</v>
      </c>
      <c r="I80" s="212">
        <v>35</v>
      </c>
      <c r="J80" s="213" t="s">
        <v>3515</v>
      </c>
      <c r="K80" s="214">
        <v>2400</v>
      </c>
      <c r="L80" s="215">
        <v>3200</v>
      </c>
      <c r="M80" s="201" t="s">
        <v>1935</v>
      </c>
      <c r="N80" s="202" t="s">
        <v>1935</v>
      </c>
      <c r="O80" s="203" t="s">
        <v>1935</v>
      </c>
    </row>
    <row r="81" spans="1:15">
      <c r="A81" s="211" t="s">
        <v>3678</v>
      </c>
      <c r="B81" s="211" t="s">
        <v>705</v>
      </c>
      <c r="C81" s="211" t="s">
        <v>3679</v>
      </c>
      <c r="D81" s="211" t="s">
        <v>3292</v>
      </c>
      <c r="E81" s="211" t="s">
        <v>3293</v>
      </c>
      <c r="F81" s="211" t="s">
        <v>507</v>
      </c>
      <c r="G81" s="211" t="s">
        <v>3555</v>
      </c>
      <c r="H81" s="211" t="s">
        <v>1541</v>
      </c>
      <c r="I81" s="212">
        <v>30</v>
      </c>
      <c r="J81" s="213" t="s">
        <v>1489</v>
      </c>
      <c r="K81" s="214">
        <v>5000</v>
      </c>
      <c r="L81" s="215">
        <v>5800</v>
      </c>
      <c r="M81" s="201" t="s">
        <v>1935</v>
      </c>
      <c r="N81" s="202" t="s">
        <v>1935</v>
      </c>
      <c r="O81" s="203" t="s">
        <v>1935</v>
      </c>
    </row>
    <row r="82" spans="1:15">
      <c r="A82" s="211" t="s">
        <v>3439</v>
      </c>
      <c r="B82" s="211" t="s">
        <v>3556</v>
      </c>
      <c r="C82" s="211" t="s">
        <v>3686</v>
      </c>
      <c r="D82" s="211" t="s">
        <v>3292</v>
      </c>
      <c r="E82" s="211" t="s">
        <v>3293</v>
      </c>
      <c r="F82" s="211" t="s">
        <v>507</v>
      </c>
      <c r="G82" s="211" t="s">
        <v>507</v>
      </c>
      <c r="H82" s="211" t="s">
        <v>1541</v>
      </c>
      <c r="I82" s="212">
        <v>30</v>
      </c>
      <c r="J82" s="213" t="s">
        <v>1904</v>
      </c>
      <c r="K82" s="214">
        <v>4500</v>
      </c>
      <c r="L82" s="215">
        <v>6000</v>
      </c>
      <c r="M82" s="201">
        <v>0</v>
      </c>
      <c r="N82" s="202">
        <v>225</v>
      </c>
      <c r="O82" s="203">
        <v>375</v>
      </c>
    </row>
    <row r="83" spans="1:15">
      <c r="A83" s="216" t="s">
        <v>7653</v>
      </c>
      <c r="B83" s="217" t="s">
        <v>3705</v>
      </c>
      <c r="C83" s="217" t="s">
        <v>528</v>
      </c>
      <c r="D83" s="216" t="s">
        <v>3292</v>
      </c>
      <c r="E83" s="216" t="s">
        <v>3293</v>
      </c>
      <c r="F83" s="216" t="s">
        <v>507</v>
      </c>
      <c r="G83" s="216" t="s">
        <v>3555</v>
      </c>
      <c r="H83" s="217" t="s">
        <v>1541</v>
      </c>
      <c r="I83" s="218">
        <v>45</v>
      </c>
      <c r="J83" s="219" t="s">
        <v>1904</v>
      </c>
      <c r="K83" s="220" t="s">
        <v>3712</v>
      </c>
      <c r="L83" s="221"/>
      <c r="M83" s="201">
        <v>0</v>
      </c>
      <c r="N83" s="202">
        <v>0</v>
      </c>
      <c r="O83" s="203">
        <v>0</v>
      </c>
    </row>
    <row r="84" spans="1:15">
      <c r="A84" s="216" t="s">
        <v>3725</v>
      </c>
      <c r="B84" s="217" t="s">
        <v>3726</v>
      </c>
      <c r="C84" s="217" t="s">
        <v>3727</v>
      </c>
      <c r="D84" s="216" t="s">
        <v>3292</v>
      </c>
      <c r="E84" s="216" t="s">
        <v>3293</v>
      </c>
      <c r="F84" s="216" t="s">
        <v>507</v>
      </c>
      <c r="G84" s="216" t="s">
        <v>507</v>
      </c>
      <c r="H84" s="217" t="s">
        <v>1541</v>
      </c>
      <c r="I84" s="218">
        <v>40</v>
      </c>
      <c r="J84" s="219" t="s">
        <v>1904</v>
      </c>
      <c r="K84" s="220">
        <v>3000</v>
      </c>
      <c r="L84" s="221">
        <v>4000</v>
      </c>
      <c r="M84" s="201" t="s">
        <v>3384</v>
      </c>
      <c r="N84" s="202">
        <v>0</v>
      </c>
      <c r="O84" s="203">
        <v>0</v>
      </c>
    </row>
    <row r="85" spans="1:15">
      <c r="A85" s="216" t="s">
        <v>3741</v>
      </c>
      <c r="B85" s="217" t="s">
        <v>725</v>
      </c>
      <c r="C85" s="217" t="s">
        <v>3742</v>
      </c>
      <c r="D85" s="216" t="s">
        <v>3292</v>
      </c>
      <c r="E85" s="216" t="s">
        <v>3293</v>
      </c>
      <c r="F85" s="216" t="s">
        <v>507</v>
      </c>
      <c r="G85" s="216" t="s">
        <v>507</v>
      </c>
      <c r="H85" s="217" t="s">
        <v>1541</v>
      </c>
      <c r="I85" s="218">
        <v>30</v>
      </c>
      <c r="J85" s="219" t="s">
        <v>1489</v>
      </c>
      <c r="K85" s="222">
        <v>2000</v>
      </c>
      <c r="L85" s="223">
        <v>3000</v>
      </c>
      <c r="M85" s="201" t="s">
        <v>3384</v>
      </c>
      <c r="N85" s="224">
        <v>0</v>
      </c>
      <c r="O85" s="225">
        <v>0</v>
      </c>
    </row>
    <row r="86" spans="1:15">
      <c r="A86" s="149" t="s">
        <v>7654</v>
      </c>
      <c r="B86" s="149" t="s">
        <v>753</v>
      </c>
      <c r="C86" s="149" t="s">
        <v>712</v>
      </c>
      <c r="D86" s="216" t="s">
        <v>3292</v>
      </c>
      <c r="E86" s="149" t="s">
        <v>1065</v>
      </c>
      <c r="F86" s="149" t="s">
        <v>184</v>
      </c>
      <c r="G86" s="149" t="s">
        <v>1108</v>
      </c>
      <c r="H86" s="217" t="s">
        <v>1541</v>
      </c>
      <c r="I86" s="200">
        <v>35</v>
      </c>
      <c r="J86" s="201">
        <v>0</v>
      </c>
      <c r="K86" s="202">
        <v>0</v>
      </c>
      <c r="L86" s="203">
        <v>0</v>
      </c>
      <c r="M86" s="201">
        <v>0</v>
      </c>
      <c r="N86" s="202">
        <v>0</v>
      </c>
      <c r="O86" s="203">
        <v>0</v>
      </c>
    </row>
    <row r="87" spans="1:15">
      <c r="A87" s="149" t="s">
        <v>316</v>
      </c>
      <c r="B87" s="149" t="s">
        <v>6168</v>
      </c>
      <c r="C87" s="149" t="s">
        <v>611</v>
      </c>
      <c r="D87" s="216" t="s">
        <v>3292</v>
      </c>
      <c r="E87" s="149" t="s">
        <v>1065</v>
      </c>
      <c r="F87" s="149" t="s">
        <v>507</v>
      </c>
      <c r="G87" s="149" t="s">
        <v>1080</v>
      </c>
      <c r="H87" s="217" t="s">
        <v>1541</v>
      </c>
      <c r="I87" s="200">
        <v>80</v>
      </c>
      <c r="J87" s="201">
        <v>1000</v>
      </c>
      <c r="K87" s="202">
        <v>2000</v>
      </c>
      <c r="L87" s="203">
        <v>0</v>
      </c>
      <c r="M87" s="201">
        <v>0</v>
      </c>
      <c r="N87" s="202">
        <v>3750</v>
      </c>
      <c r="O87" s="203">
        <v>0</v>
      </c>
    </row>
    <row r="88" spans="1:15">
      <c r="A88" s="149" t="s">
        <v>7655</v>
      </c>
      <c r="B88" s="149" t="s">
        <v>6156</v>
      </c>
      <c r="C88" s="149" t="s">
        <v>6157</v>
      </c>
      <c r="D88" s="216" t="s">
        <v>3292</v>
      </c>
      <c r="E88" s="149" t="s">
        <v>1065</v>
      </c>
      <c r="F88" s="149" t="s">
        <v>507</v>
      </c>
      <c r="G88" s="149" t="s">
        <v>7656</v>
      </c>
      <c r="H88" s="217" t="s">
        <v>1541</v>
      </c>
      <c r="I88" s="200">
        <v>93</v>
      </c>
      <c r="J88" s="201">
        <v>8000</v>
      </c>
      <c r="K88" s="202">
        <v>8000</v>
      </c>
      <c r="L88" s="203">
        <v>20000</v>
      </c>
      <c r="M88" s="201">
        <v>0</v>
      </c>
      <c r="N88" s="202">
        <v>0</v>
      </c>
      <c r="O88" s="203">
        <v>0</v>
      </c>
    </row>
    <row r="89" spans="1:15">
      <c r="A89" s="149" t="s">
        <v>7048</v>
      </c>
      <c r="B89" s="149" t="s">
        <v>529</v>
      </c>
      <c r="C89" s="149" t="s">
        <v>7657</v>
      </c>
      <c r="D89" s="216" t="s">
        <v>3292</v>
      </c>
      <c r="E89" s="149" t="s">
        <v>1070</v>
      </c>
      <c r="F89" s="149" t="s">
        <v>89</v>
      </c>
      <c r="G89" s="149" t="s">
        <v>1122</v>
      </c>
      <c r="H89" s="217" t="s">
        <v>1541</v>
      </c>
      <c r="I89" s="200">
        <v>15</v>
      </c>
      <c r="J89" s="201">
        <v>10000</v>
      </c>
      <c r="K89" s="202">
        <v>10000</v>
      </c>
      <c r="L89" s="203">
        <v>25000</v>
      </c>
      <c r="M89" s="201">
        <v>0</v>
      </c>
      <c r="N89" s="202">
        <v>7500</v>
      </c>
      <c r="O89" s="203">
        <v>187500</v>
      </c>
    </row>
    <row r="90" spans="1:15">
      <c r="A90" s="149" t="s">
        <v>180</v>
      </c>
      <c r="B90" s="149" t="s">
        <v>7127</v>
      </c>
      <c r="C90" s="149" t="s">
        <v>712</v>
      </c>
      <c r="D90" s="216" t="s">
        <v>3292</v>
      </c>
      <c r="E90" s="149" t="s">
        <v>1070</v>
      </c>
      <c r="F90" s="149" t="s">
        <v>89</v>
      </c>
      <c r="G90" s="149" t="s">
        <v>7658</v>
      </c>
      <c r="H90" s="217" t="s">
        <v>1541</v>
      </c>
      <c r="I90" s="200">
        <v>23</v>
      </c>
      <c r="J90" s="201">
        <v>3000</v>
      </c>
      <c r="K90" s="202">
        <v>5000</v>
      </c>
      <c r="L90" s="203">
        <v>50000</v>
      </c>
      <c r="M90" s="201">
        <v>0</v>
      </c>
      <c r="N90" s="202">
        <v>15000</v>
      </c>
      <c r="O90" s="203">
        <v>131250</v>
      </c>
    </row>
    <row r="91" spans="1:15">
      <c r="A91" s="149" t="s">
        <v>6904</v>
      </c>
      <c r="B91" s="149" t="s">
        <v>7659</v>
      </c>
      <c r="C91" s="149" t="s">
        <v>716</v>
      </c>
      <c r="D91" s="216" t="s">
        <v>3292</v>
      </c>
      <c r="E91" s="149" t="s">
        <v>1070</v>
      </c>
      <c r="F91" s="149" t="s">
        <v>89</v>
      </c>
      <c r="G91" s="149" t="s">
        <v>7660</v>
      </c>
      <c r="H91" s="217" t="s">
        <v>1541</v>
      </c>
      <c r="I91" s="200">
        <v>23</v>
      </c>
      <c r="J91" s="201">
        <v>4000</v>
      </c>
      <c r="K91" s="202">
        <v>4000</v>
      </c>
      <c r="L91" s="203">
        <v>20000</v>
      </c>
      <c r="M91" s="201">
        <v>0</v>
      </c>
      <c r="N91" s="202">
        <v>0</v>
      </c>
      <c r="O91" s="203">
        <v>15000</v>
      </c>
    </row>
    <row r="92" spans="1:15">
      <c r="A92" s="149" t="s">
        <v>517</v>
      </c>
      <c r="B92" s="149" t="s">
        <v>1025</v>
      </c>
      <c r="C92" s="149" t="s">
        <v>712</v>
      </c>
      <c r="D92" s="216" t="s">
        <v>3292</v>
      </c>
      <c r="E92" s="149" t="s">
        <v>1070</v>
      </c>
      <c r="F92" s="149" t="s">
        <v>89</v>
      </c>
      <c r="G92" s="149" t="s">
        <v>7661</v>
      </c>
      <c r="H92" s="217" t="s">
        <v>1541</v>
      </c>
      <c r="I92" s="200">
        <v>38</v>
      </c>
      <c r="J92" s="201">
        <v>4000</v>
      </c>
      <c r="K92" s="202">
        <v>4000</v>
      </c>
      <c r="L92" s="203">
        <v>17000</v>
      </c>
      <c r="M92" s="201" t="s">
        <v>6026</v>
      </c>
      <c r="N92" s="202">
        <v>26250</v>
      </c>
      <c r="O92" s="203">
        <v>37500</v>
      </c>
    </row>
    <row r="93" spans="1:15">
      <c r="A93" s="149" t="s">
        <v>7662</v>
      </c>
      <c r="B93" s="149" t="s">
        <v>856</v>
      </c>
      <c r="C93" s="149" t="s">
        <v>6240</v>
      </c>
      <c r="D93" s="216" t="s">
        <v>3292</v>
      </c>
      <c r="E93" s="149" t="s">
        <v>1070</v>
      </c>
      <c r="F93" s="149" t="s">
        <v>7663</v>
      </c>
      <c r="G93" s="149" t="s">
        <v>6241</v>
      </c>
      <c r="H93" s="217" t="s">
        <v>1541</v>
      </c>
      <c r="I93" s="200">
        <v>105</v>
      </c>
      <c r="J93" s="201">
        <v>15000</v>
      </c>
      <c r="K93" s="202">
        <v>9000</v>
      </c>
      <c r="L93" s="203">
        <v>80000</v>
      </c>
      <c r="M93" s="201">
        <v>0</v>
      </c>
      <c r="N93" s="202" t="s">
        <v>6026</v>
      </c>
      <c r="O93" s="203" t="s">
        <v>6026</v>
      </c>
    </row>
    <row r="94" spans="1:15">
      <c r="A94" s="149" t="s">
        <v>6347</v>
      </c>
      <c r="B94" s="149" t="s">
        <v>653</v>
      </c>
      <c r="C94" s="149" t="s">
        <v>1019</v>
      </c>
      <c r="D94" s="216" t="s">
        <v>3292</v>
      </c>
      <c r="E94" s="149" t="s">
        <v>1070</v>
      </c>
      <c r="F94" s="149" t="s">
        <v>413</v>
      </c>
      <c r="G94" s="149" t="s">
        <v>514</v>
      </c>
      <c r="H94" s="217" t="s">
        <v>1541</v>
      </c>
      <c r="I94" s="200">
        <v>170</v>
      </c>
      <c r="J94" s="201">
        <v>0</v>
      </c>
      <c r="K94" s="202">
        <v>0</v>
      </c>
      <c r="L94" s="203">
        <v>10000</v>
      </c>
      <c r="M94" s="201">
        <v>0</v>
      </c>
      <c r="N94" s="202" t="s">
        <v>6026</v>
      </c>
      <c r="O94" s="203">
        <v>11250</v>
      </c>
    </row>
    <row r="95" spans="1:15">
      <c r="A95" s="149" t="s">
        <v>7664</v>
      </c>
      <c r="B95" s="149" t="s">
        <v>941</v>
      </c>
      <c r="C95" s="149" t="s">
        <v>942</v>
      </c>
      <c r="D95" s="216" t="s">
        <v>3292</v>
      </c>
      <c r="E95" s="149" t="s">
        <v>1065</v>
      </c>
      <c r="F95" s="149" t="s">
        <v>184</v>
      </c>
      <c r="G95" s="149" t="s">
        <v>1141</v>
      </c>
      <c r="H95" s="217" t="s">
        <v>1541</v>
      </c>
      <c r="I95" s="200">
        <v>53</v>
      </c>
      <c r="J95" s="201">
        <v>3000</v>
      </c>
      <c r="K95" s="202">
        <v>500</v>
      </c>
      <c r="L95" s="203">
        <v>100000</v>
      </c>
      <c r="M95" s="201">
        <v>0</v>
      </c>
      <c r="N95" s="202" t="s">
        <v>6026</v>
      </c>
      <c r="O95" s="203" t="s">
        <v>6026</v>
      </c>
    </row>
    <row r="96" spans="1:15">
      <c r="A96" s="149" t="s">
        <v>7665</v>
      </c>
      <c r="B96" s="149" t="s">
        <v>725</v>
      </c>
      <c r="C96" s="149" t="s">
        <v>628</v>
      </c>
      <c r="D96" s="216" t="s">
        <v>3292</v>
      </c>
      <c r="E96" s="149" t="s">
        <v>1065</v>
      </c>
      <c r="F96" s="149" t="s">
        <v>507</v>
      </c>
      <c r="G96" s="149" t="s">
        <v>507</v>
      </c>
      <c r="H96" s="217" t="s">
        <v>1541</v>
      </c>
      <c r="I96" s="200">
        <v>17</v>
      </c>
      <c r="J96" s="201">
        <v>15000</v>
      </c>
      <c r="K96" s="202">
        <v>5000</v>
      </c>
      <c r="L96" s="203">
        <v>10000</v>
      </c>
      <c r="M96" s="201">
        <v>0</v>
      </c>
      <c r="N96" s="202">
        <v>0</v>
      </c>
      <c r="O96" s="203">
        <v>0</v>
      </c>
    </row>
    <row r="97" spans="1:15">
      <c r="A97" s="149" t="s">
        <v>175</v>
      </c>
      <c r="B97" s="149" t="s">
        <v>705</v>
      </c>
      <c r="C97" s="149" t="s">
        <v>572</v>
      </c>
      <c r="D97" s="216" t="s">
        <v>3292</v>
      </c>
      <c r="E97" s="149" t="s">
        <v>1070</v>
      </c>
      <c r="F97" s="149" t="s">
        <v>89</v>
      </c>
      <c r="G97" s="149" t="s">
        <v>7035</v>
      </c>
      <c r="H97" s="217" t="s">
        <v>1541</v>
      </c>
      <c r="I97" s="200">
        <v>14</v>
      </c>
      <c r="J97" s="201">
        <v>5000</v>
      </c>
      <c r="K97" s="202">
        <v>2000</v>
      </c>
      <c r="L97" s="203">
        <v>10000</v>
      </c>
      <c r="M97" s="201">
        <v>0</v>
      </c>
      <c r="N97" s="202">
        <v>7500</v>
      </c>
      <c r="O97" s="203">
        <v>18750</v>
      </c>
    </row>
    <row r="98" spans="1:15">
      <c r="A98" s="149" t="s">
        <v>7666</v>
      </c>
      <c r="B98" s="149" t="s">
        <v>705</v>
      </c>
      <c r="C98" s="149" t="s">
        <v>749</v>
      </c>
      <c r="D98" s="216" t="s">
        <v>3292</v>
      </c>
      <c r="E98" s="149" t="s">
        <v>1065</v>
      </c>
      <c r="F98" s="149" t="s">
        <v>184</v>
      </c>
      <c r="G98" s="149" t="s">
        <v>1115</v>
      </c>
      <c r="H98" s="217" t="s">
        <v>1541</v>
      </c>
      <c r="I98" s="200">
        <v>32</v>
      </c>
      <c r="J98" s="201">
        <v>400000</v>
      </c>
      <c r="K98" s="202">
        <v>500000</v>
      </c>
      <c r="L98" s="203">
        <v>700000</v>
      </c>
      <c r="M98" s="201" t="s">
        <v>6026</v>
      </c>
      <c r="N98" s="202">
        <v>243750</v>
      </c>
      <c r="O98" s="203">
        <v>1125000</v>
      </c>
    </row>
    <row r="99" spans="1:15">
      <c r="A99" s="149" t="s">
        <v>7667</v>
      </c>
      <c r="B99" s="149" t="s">
        <v>733</v>
      </c>
      <c r="C99" s="149" t="s">
        <v>6578</v>
      </c>
      <c r="D99" s="216" t="s">
        <v>3292</v>
      </c>
      <c r="E99" s="149" t="s">
        <v>1065</v>
      </c>
      <c r="F99" s="149" t="s">
        <v>184</v>
      </c>
      <c r="G99" s="149" t="s">
        <v>1108</v>
      </c>
      <c r="H99" s="217" t="s">
        <v>1541</v>
      </c>
      <c r="I99" s="200">
        <v>61</v>
      </c>
      <c r="J99" s="201">
        <v>0</v>
      </c>
      <c r="K99" s="202">
        <v>0</v>
      </c>
      <c r="L99" s="203">
        <v>2000</v>
      </c>
      <c r="M99" s="201" t="s">
        <v>6026</v>
      </c>
      <c r="N99" s="202">
        <v>0</v>
      </c>
      <c r="O99" s="203">
        <v>0</v>
      </c>
    </row>
    <row r="100" spans="1:15">
      <c r="A100" s="149" t="s">
        <v>7599</v>
      </c>
      <c r="B100" s="149" t="s">
        <v>733</v>
      </c>
      <c r="C100" s="149" t="s">
        <v>6625</v>
      </c>
      <c r="D100" s="216" t="s">
        <v>3292</v>
      </c>
      <c r="E100" s="149" t="s">
        <v>1065</v>
      </c>
      <c r="F100" s="149" t="s">
        <v>184</v>
      </c>
      <c r="G100" s="149" t="s">
        <v>1106</v>
      </c>
      <c r="H100" s="217" t="s">
        <v>1541</v>
      </c>
      <c r="I100" s="200">
        <v>45</v>
      </c>
      <c r="J100" s="201">
        <v>0</v>
      </c>
      <c r="K100" s="202">
        <v>0</v>
      </c>
      <c r="L100" s="203">
        <v>2000</v>
      </c>
      <c r="M100" s="201" t="s">
        <v>6026</v>
      </c>
      <c r="N100" s="202">
        <v>0</v>
      </c>
      <c r="O100" s="203">
        <v>0</v>
      </c>
    </row>
    <row r="101" spans="1:15">
      <c r="A101" s="149" t="s">
        <v>7668</v>
      </c>
      <c r="B101" s="149" t="s">
        <v>733</v>
      </c>
      <c r="C101" s="149" t="s">
        <v>648</v>
      </c>
      <c r="D101" s="216" t="s">
        <v>3292</v>
      </c>
      <c r="E101" s="149" t="s">
        <v>1065</v>
      </c>
      <c r="F101" s="149" t="s">
        <v>184</v>
      </c>
      <c r="G101" s="149" t="s">
        <v>1104</v>
      </c>
      <c r="H101" s="217" t="s">
        <v>1541</v>
      </c>
      <c r="I101" s="200">
        <v>72</v>
      </c>
      <c r="J101" s="201">
        <v>0</v>
      </c>
      <c r="K101" s="202">
        <v>0</v>
      </c>
      <c r="L101" s="203">
        <v>0</v>
      </c>
      <c r="M101" s="201">
        <v>0</v>
      </c>
      <c r="N101" s="202">
        <v>0</v>
      </c>
      <c r="O101" s="203">
        <v>0</v>
      </c>
    </row>
    <row r="102" spans="1:15">
      <c r="A102" s="149" t="s">
        <v>7668</v>
      </c>
      <c r="B102" s="149" t="s">
        <v>733</v>
      </c>
      <c r="C102" s="149" t="s">
        <v>648</v>
      </c>
      <c r="D102" s="216" t="s">
        <v>3292</v>
      </c>
      <c r="E102" s="149" t="s">
        <v>1065</v>
      </c>
      <c r="F102" s="149" t="s">
        <v>184</v>
      </c>
      <c r="G102" s="149" t="s">
        <v>1104</v>
      </c>
      <c r="H102" s="217" t="s">
        <v>1541</v>
      </c>
      <c r="I102" s="200">
        <v>72</v>
      </c>
      <c r="J102" s="201">
        <v>0</v>
      </c>
      <c r="K102" s="202">
        <v>0</v>
      </c>
      <c r="L102" s="203">
        <v>0</v>
      </c>
      <c r="M102" s="201" t="s">
        <v>6026</v>
      </c>
      <c r="N102" s="202">
        <v>0</v>
      </c>
      <c r="O102" s="203">
        <v>0</v>
      </c>
    </row>
    <row r="103" spans="1:15">
      <c r="A103" s="149" t="s">
        <v>7669</v>
      </c>
      <c r="B103" s="149" t="s">
        <v>719</v>
      </c>
      <c r="C103" s="149" t="s">
        <v>2723</v>
      </c>
      <c r="D103" s="216" t="s">
        <v>3292</v>
      </c>
      <c r="E103" s="149" t="s">
        <v>1065</v>
      </c>
      <c r="F103" s="149" t="s">
        <v>184</v>
      </c>
      <c r="G103" s="149" t="s">
        <v>3291</v>
      </c>
      <c r="H103" s="217" t="s">
        <v>1541</v>
      </c>
      <c r="I103" s="200">
        <v>39</v>
      </c>
      <c r="J103" s="201">
        <v>0</v>
      </c>
      <c r="K103" s="202">
        <v>0</v>
      </c>
      <c r="L103" s="203">
        <v>0</v>
      </c>
      <c r="M103" s="201">
        <v>0</v>
      </c>
      <c r="N103" s="202">
        <v>0</v>
      </c>
      <c r="O103" s="203">
        <v>375000</v>
      </c>
    </row>
    <row r="104" spans="1:15">
      <c r="A104" s="149" t="s">
        <v>7670</v>
      </c>
      <c r="B104" s="149" t="s">
        <v>719</v>
      </c>
      <c r="C104" s="149" t="s">
        <v>566</v>
      </c>
      <c r="D104" s="216" t="s">
        <v>3292</v>
      </c>
      <c r="E104" s="149" t="s">
        <v>1065</v>
      </c>
      <c r="F104" s="149" t="s">
        <v>184</v>
      </c>
      <c r="G104" s="149" t="s">
        <v>1108</v>
      </c>
      <c r="H104" s="217" t="s">
        <v>1541</v>
      </c>
      <c r="I104" s="200">
        <v>86</v>
      </c>
      <c r="J104" s="201">
        <v>0</v>
      </c>
      <c r="K104" s="202">
        <v>0</v>
      </c>
      <c r="L104" s="203">
        <v>4000</v>
      </c>
      <c r="M104" s="201">
        <v>0</v>
      </c>
      <c r="N104" s="202">
        <v>0</v>
      </c>
      <c r="O104" s="203">
        <v>0</v>
      </c>
    </row>
    <row r="105" spans="1:15">
      <c r="A105" s="149" t="s">
        <v>7600</v>
      </c>
      <c r="B105" s="149" t="s">
        <v>7135</v>
      </c>
      <c r="C105" s="149" t="s">
        <v>6977</v>
      </c>
      <c r="D105" s="216" t="s">
        <v>3292</v>
      </c>
      <c r="E105" s="149" t="s">
        <v>1065</v>
      </c>
      <c r="F105" s="149" t="s">
        <v>184</v>
      </c>
      <c r="G105" s="149" t="s">
        <v>1104</v>
      </c>
      <c r="H105" s="217" t="s">
        <v>1541</v>
      </c>
      <c r="I105" s="200">
        <v>33</v>
      </c>
      <c r="J105" s="201">
        <v>0</v>
      </c>
      <c r="K105" s="202">
        <v>0</v>
      </c>
      <c r="L105" s="203">
        <v>0</v>
      </c>
      <c r="M105" s="201">
        <v>0</v>
      </c>
      <c r="N105" s="202">
        <v>0</v>
      </c>
      <c r="O105" s="203">
        <v>0</v>
      </c>
    </row>
    <row r="106" spans="1:15">
      <c r="A106" s="149" t="s">
        <v>7671</v>
      </c>
      <c r="B106" s="149" t="s">
        <v>7601</v>
      </c>
      <c r="C106" s="149" t="s">
        <v>785</v>
      </c>
      <c r="D106" s="216" t="s">
        <v>3292</v>
      </c>
      <c r="E106" s="149" t="s">
        <v>1065</v>
      </c>
      <c r="F106" s="149" t="s">
        <v>184</v>
      </c>
      <c r="G106" s="149" t="s">
        <v>1139</v>
      </c>
      <c r="H106" s="217" t="s">
        <v>1541</v>
      </c>
      <c r="I106" s="200">
        <v>57</v>
      </c>
      <c r="J106" s="201">
        <v>2000</v>
      </c>
      <c r="K106" s="202">
        <v>1000</v>
      </c>
      <c r="L106" s="203">
        <v>7000</v>
      </c>
      <c r="M106" s="201">
        <v>45000</v>
      </c>
      <c r="N106" s="202" t="s">
        <v>6026</v>
      </c>
      <c r="O106" s="203" t="s">
        <v>6026</v>
      </c>
    </row>
    <row r="107" spans="1:15">
      <c r="A107" s="149" t="s">
        <v>7672</v>
      </c>
      <c r="B107" s="149" t="s">
        <v>620</v>
      </c>
      <c r="C107" s="149" t="s">
        <v>621</v>
      </c>
      <c r="D107" s="216" t="s">
        <v>3292</v>
      </c>
      <c r="E107" s="149" t="s">
        <v>1065</v>
      </c>
      <c r="F107" s="149" t="s">
        <v>518</v>
      </c>
      <c r="G107" s="149" t="s">
        <v>518</v>
      </c>
      <c r="H107" s="217" t="s">
        <v>1541</v>
      </c>
      <c r="I107" s="200">
        <v>42</v>
      </c>
      <c r="J107" s="201">
        <v>0</v>
      </c>
      <c r="K107" s="202">
        <v>0</v>
      </c>
      <c r="L107" s="203">
        <v>7000</v>
      </c>
      <c r="M107" s="201" t="s">
        <v>6026</v>
      </c>
      <c r="N107" s="202">
        <v>11250</v>
      </c>
      <c r="O107" s="203">
        <v>0</v>
      </c>
    </row>
    <row r="108" spans="1:15">
      <c r="A108" s="149" t="s">
        <v>7673</v>
      </c>
      <c r="B108" s="149" t="s">
        <v>6855</v>
      </c>
      <c r="C108" s="149" t="s">
        <v>718</v>
      </c>
      <c r="D108" s="216" t="s">
        <v>3292</v>
      </c>
      <c r="E108" s="149" t="s">
        <v>1065</v>
      </c>
      <c r="F108" s="149" t="s">
        <v>184</v>
      </c>
      <c r="G108" s="149" t="s">
        <v>1105</v>
      </c>
      <c r="H108" s="217" t="s">
        <v>1541</v>
      </c>
      <c r="I108" s="200">
        <v>42</v>
      </c>
      <c r="J108" s="201">
        <v>0</v>
      </c>
      <c r="K108" s="202">
        <v>0</v>
      </c>
      <c r="L108" s="203">
        <v>1000</v>
      </c>
      <c r="M108" s="201">
        <v>0</v>
      </c>
      <c r="N108" s="202">
        <v>0</v>
      </c>
      <c r="O108" s="203">
        <v>0</v>
      </c>
    </row>
    <row r="109" spans="1:15">
      <c r="A109" s="149" t="s">
        <v>7674</v>
      </c>
      <c r="B109" s="149" t="s">
        <v>7675</v>
      </c>
      <c r="C109" s="149" t="s">
        <v>1036</v>
      </c>
      <c r="D109" s="216" t="s">
        <v>3292</v>
      </c>
      <c r="E109" s="149" t="s">
        <v>1070</v>
      </c>
      <c r="F109" s="149" t="s">
        <v>89</v>
      </c>
      <c r="G109" s="149" t="s">
        <v>1175</v>
      </c>
      <c r="H109" s="217" t="s">
        <v>1541</v>
      </c>
      <c r="I109" s="200">
        <v>45</v>
      </c>
      <c r="J109" s="201">
        <v>0</v>
      </c>
      <c r="K109" s="202">
        <v>0</v>
      </c>
      <c r="L109" s="203">
        <v>0</v>
      </c>
      <c r="M109" s="201">
        <v>0</v>
      </c>
      <c r="N109" s="202">
        <v>26250</v>
      </c>
      <c r="O109" s="203">
        <v>0</v>
      </c>
    </row>
    <row r="110" spans="1:15">
      <c r="A110" s="149" t="s">
        <v>490</v>
      </c>
      <c r="B110" s="149" t="s">
        <v>7676</v>
      </c>
      <c r="C110" s="149" t="s">
        <v>6222</v>
      </c>
      <c r="D110" s="216" t="s">
        <v>3292</v>
      </c>
      <c r="E110" s="149" t="s">
        <v>1070</v>
      </c>
      <c r="F110" s="149" t="s">
        <v>89</v>
      </c>
      <c r="G110" s="149" t="s">
        <v>1164</v>
      </c>
      <c r="H110" s="217" t="s">
        <v>1541</v>
      </c>
      <c r="I110" s="200">
        <v>22</v>
      </c>
      <c r="J110" s="201">
        <v>1000</v>
      </c>
      <c r="K110" s="202">
        <v>1000</v>
      </c>
      <c r="L110" s="203">
        <v>3000</v>
      </c>
      <c r="M110" s="201">
        <v>0</v>
      </c>
      <c r="N110" s="202">
        <v>0</v>
      </c>
      <c r="O110" s="203">
        <v>7500</v>
      </c>
    </row>
    <row r="111" spans="1:15">
      <c r="A111" s="149" t="s">
        <v>395</v>
      </c>
      <c r="B111" s="149" t="s">
        <v>7677</v>
      </c>
      <c r="C111" s="149" t="s">
        <v>6726</v>
      </c>
      <c r="D111" s="216" t="s">
        <v>3292</v>
      </c>
      <c r="E111" s="149" t="s">
        <v>1070</v>
      </c>
      <c r="F111" s="149" t="s">
        <v>89</v>
      </c>
      <c r="G111" s="149" t="s">
        <v>1174</v>
      </c>
      <c r="H111" s="217" t="s">
        <v>1541</v>
      </c>
      <c r="I111" s="200">
        <v>18</v>
      </c>
      <c r="J111" s="201">
        <v>4000</v>
      </c>
      <c r="K111" s="202">
        <v>14000</v>
      </c>
      <c r="L111" s="203">
        <v>100000</v>
      </c>
      <c r="M111" s="201">
        <v>3750</v>
      </c>
      <c r="N111" s="202">
        <v>0</v>
      </c>
      <c r="O111" s="203">
        <v>375000</v>
      </c>
    </row>
    <row r="112" spans="1:15">
      <c r="A112" s="149" t="s">
        <v>493</v>
      </c>
      <c r="B112" s="149" t="s">
        <v>663</v>
      </c>
      <c r="C112" s="149" t="s">
        <v>6185</v>
      </c>
      <c r="D112" s="216" t="s">
        <v>3292</v>
      </c>
      <c r="E112" s="149" t="s">
        <v>1065</v>
      </c>
      <c r="F112" s="149" t="s">
        <v>507</v>
      </c>
      <c r="G112" s="149" t="s">
        <v>1080</v>
      </c>
      <c r="H112" s="217" t="s">
        <v>1541</v>
      </c>
      <c r="I112" s="200">
        <v>31</v>
      </c>
      <c r="J112" s="201">
        <v>1000</v>
      </c>
      <c r="K112" s="202">
        <v>1000</v>
      </c>
      <c r="L112" s="203">
        <v>1000</v>
      </c>
      <c r="M112" s="201">
        <v>18750</v>
      </c>
      <c r="N112" s="202">
        <v>0</v>
      </c>
      <c r="O112" s="203">
        <v>0</v>
      </c>
    </row>
    <row r="113" spans="1:15">
      <c r="A113" s="149" t="s">
        <v>449</v>
      </c>
      <c r="B113" s="149" t="s">
        <v>860</v>
      </c>
      <c r="C113" s="149" t="s">
        <v>996</v>
      </c>
      <c r="D113" s="216" t="s">
        <v>3292</v>
      </c>
      <c r="E113" s="149" t="s">
        <v>1070</v>
      </c>
      <c r="F113" s="149" t="s">
        <v>89</v>
      </c>
      <c r="G113" s="149" t="s">
        <v>1164</v>
      </c>
      <c r="H113" s="217" t="s">
        <v>1541</v>
      </c>
      <c r="I113" s="200">
        <v>25</v>
      </c>
      <c r="J113" s="201">
        <v>0</v>
      </c>
      <c r="K113" s="202">
        <v>0</v>
      </c>
      <c r="L113" s="203">
        <v>25000</v>
      </c>
      <c r="M113" s="201">
        <v>7500</v>
      </c>
      <c r="N113" s="202">
        <v>0</v>
      </c>
      <c r="O113" s="203">
        <v>75000</v>
      </c>
    </row>
    <row r="114" spans="1:15">
      <c r="A114" s="149" t="s">
        <v>7678</v>
      </c>
      <c r="B114" s="149" t="s">
        <v>6866</v>
      </c>
      <c r="C114" s="149" t="s">
        <v>703</v>
      </c>
      <c r="D114" s="216" t="s">
        <v>3292</v>
      </c>
      <c r="E114" s="149" t="s">
        <v>1070</v>
      </c>
      <c r="F114" s="149" t="s">
        <v>89</v>
      </c>
      <c r="G114" s="149" t="s">
        <v>7679</v>
      </c>
      <c r="H114" s="217" t="s">
        <v>1541</v>
      </c>
      <c r="I114" s="200">
        <v>44</v>
      </c>
      <c r="J114" s="201">
        <v>0</v>
      </c>
      <c r="K114" s="202">
        <v>0</v>
      </c>
      <c r="L114" s="203">
        <v>20000</v>
      </c>
      <c r="M114" s="201">
        <v>7500</v>
      </c>
      <c r="N114" s="202">
        <v>0</v>
      </c>
      <c r="O114" s="203">
        <v>37500</v>
      </c>
    </row>
    <row r="115" spans="1:15">
      <c r="A115" s="149" t="s">
        <v>7680</v>
      </c>
      <c r="B115" s="149" t="s">
        <v>527</v>
      </c>
      <c r="C115" s="149" t="s">
        <v>6771</v>
      </c>
      <c r="D115" s="216" t="s">
        <v>3292</v>
      </c>
      <c r="E115" s="149" t="s">
        <v>1070</v>
      </c>
      <c r="F115" s="149" t="s">
        <v>337</v>
      </c>
      <c r="G115" s="149" t="s">
        <v>7681</v>
      </c>
      <c r="H115" s="217" t="s">
        <v>1541</v>
      </c>
      <c r="I115" s="200">
        <v>25</v>
      </c>
      <c r="J115" s="201">
        <v>19000</v>
      </c>
      <c r="K115" s="202">
        <v>10000</v>
      </c>
      <c r="L115" s="203">
        <v>30000</v>
      </c>
      <c r="M115" s="201" t="s">
        <v>6026</v>
      </c>
      <c r="N115" s="202">
        <v>7500</v>
      </c>
      <c r="O115" s="203">
        <v>123750</v>
      </c>
    </row>
    <row r="116" spans="1:15">
      <c r="A116" s="149" t="s">
        <v>7682</v>
      </c>
      <c r="B116" s="149" t="s">
        <v>6803</v>
      </c>
      <c r="C116" s="149" t="s">
        <v>6804</v>
      </c>
      <c r="D116" s="149" t="s">
        <v>7683</v>
      </c>
      <c r="E116" s="149" t="s">
        <v>7684</v>
      </c>
      <c r="F116" s="149" t="s">
        <v>7685</v>
      </c>
      <c r="G116" s="149" t="s">
        <v>7685</v>
      </c>
      <c r="H116" s="217" t="s">
        <v>1541</v>
      </c>
      <c r="I116" s="200">
        <v>20</v>
      </c>
      <c r="J116" s="201">
        <v>0</v>
      </c>
      <c r="K116" s="202">
        <v>0</v>
      </c>
      <c r="L116" s="203">
        <v>0</v>
      </c>
      <c r="M116" s="201">
        <v>0</v>
      </c>
      <c r="N116" s="202">
        <v>0</v>
      </c>
      <c r="O116" s="203">
        <v>0</v>
      </c>
    </row>
    <row r="117" spans="1:15">
      <c r="A117" s="149" t="s">
        <v>515</v>
      </c>
      <c r="B117" s="149" t="s">
        <v>702</v>
      </c>
      <c r="C117" s="149" t="s">
        <v>703</v>
      </c>
      <c r="D117" s="216" t="s">
        <v>3292</v>
      </c>
      <c r="E117" s="149" t="s">
        <v>1070</v>
      </c>
      <c r="F117" s="149" t="s">
        <v>89</v>
      </c>
      <c r="G117" s="149" t="s">
        <v>1173</v>
      </c>
      <c r="H117" s="217" t="s">
        <v>1541</v>
      </c>
      <c r="I117" s="200">
        <v>57</v>
      </c>
      <c r="J117" s="201">
        <v>0</v>
      </c>
      <c r="K117" s="202">
        <v>1000</v>
      </c>
      <c r="L117" s="203">
        <v>12000</v>
      </c>
      <c r="M117" s="201">
        <v>0</v>
      </c>
      <c r="N117" s="202" t="s">
        <v>6026</v>
      </c>
      <c r="O117" s="203" t="s">
        <v>6026</v>
      </c>
    </row>
    <row r="118" spans="1:15">
      <c r="A118" s="149" t="s">
        <v>362</v>
      </c>
      <c r="B118" s="149" t="s">
        <v>710</v>
      </c>
      <c r="C118" s="149" t="s">
        <v>6885</v>
      </c>
      <c r="D118" s="216" t="s">
        <v>3292</v>
      </c>
      <c r="E118" s="149" t="s">
        <v>1070</v>
      </c>
      <c r="F118" s="149" t="s">
        <v>89</v>
      </c>
      <c r="G118" s="149" t="s">
        <v>6886</v>
      </c>
      <c r="H118" s="217" t="s">
        <v>1541</v>
      </c>
      <c r="I118" s="200">
        <v>17</v>
      </c>
      <c r="J118" s="201">
        <v>100000</v>
      </c>
      <c r="K118" s="202">
        <v>40000</v>
      </c>
      <c r="L118" s="203">
        <v>100000</v>
      </c>
      <c r="M118" s="201">
        <v>3750</v>
      </c>
      <c r="N118" s="202">
        <v>150000</v>
      </c>
      <c r="O118" s="203">
        <v>262500</v>
      </c>
    </row>
    <row r="119" spans="1:15">
      <c r="A119" s="149" t="s">
        <v>7686</v>
      </c>
      <c r="B119" s="149" t="s">
        <v>710</v>
      </c>
      <c r="C119" s="149" t="s">
        <v>6684</v>
      </c>
      <c r="D119" s="216" t="s">
        <v>3292</v>
      </c>
      <c r="E119" s="149" t="s">
        <v>1070</v>
      </c>
      <c r="F119" s="149" t="s">
        <v>89</v>
      </c>
      <c r="G119" s="149" t="s">
        <v>7687</v>
      </c>
      <c r="H119" s="217" t="s">
        <v>1541</v>
      </c>
      <c r="I119" s="200">
        <v>17</v>
      </c>
      <c r="J119" s="201">
        <v>11000</v>
      </c>
      <c r="K119" s="202">
        <v>9000</v>
      </c>
      <c r="L119" s="203">
        <v>5000</v>
      </c>
      <c r="M119" s="201">
        <v>0</v>
      </c>
      <c r="N119" s="202" t="s">
        <v>6026</v>
      </c>
      <c r="O119" s="203" t="s">
        <v>6026</v>
      </c>
    </row>
    <row r="120" spans="1:15">
      <c r="A120" s="149" t="s">
        <v>491</v>
      </c>
      <c r="B120" s="149" t="s">
        <v>7688</v>
      </c>
      <c r="C120" s="149" t="s">
        <v>630</v>
      </c>
      <c r="D120" s="216" t="s">
        <v>3292</v>
      </c>
      <c r="E120" s="149" t="s">
        <v>1070</v>
      </c>
      <c r="F120" s="149" t="s">
        <v>89</v>
      </c>
      <c r="G120" s="149" t="s">
        <v>89</v>
      </c>
      <c r="H120" s="217" t="s">
        <v>1541</v>
      </c>
      <c r="I120" s="200">
        <v>36</v>
      </c>
      <c r="J120" s="201">
        <v>0</v>
      </c>
      <c r="K120" s="202">
        <v>0</v>
      </c>
      <c r="L120" s="203">
        <v>0</v>
      </c>
      <c r="M120" s="201">
        <v>3750</v>
      </c>
      <c r="N120" s="202">
        <v>11250</v>
      </c>
      <c r="O120" s="203">
        <v>1875000</v>
      </c>
    </row>
    <row r="121" spans="1:15">
      <c r="A121" s="149" t="s">
        <v>500</v>
      </c>
      <c r="B121" s="149" t="s">
        <v>6385</v>
      </c>
      <c r="C121" s="149" t="s">
        <v>7689</v>
      </c>
      <c r="D121" s="216" t="s">
        <v>3292</v>
      </c>
      <c r="E121" s="149" t="s">
        <v>1070</v>
      </c>
      <c r="F121" s="149" t="s">
        <v>7690</v>
      </c>
      <c r="G121" s="149" t="s">
        <v>7691</v>
      </c>
      <c r="H121" s="217" t="s">
        <v>1541</v>
      </c>
      <c r="I121" s="200">
        <v>100</v>
      </c>
      <c r="J121" s="201">
        <v>8000</v>
      </c>
      <c r="K121" s="202">
        <v>3000</v>
      </c>
      <c r="L121" s="203">
        <v>10000</v>
      </c>
      <c r="M121" s="201">
        <v>0</v>
      </c>
      <c r="N121" s="202">
        <v>0</v>
      </c>
      <c r="O121" s="203">
        <v>0</v>
      </c>
    </row>
    <row r="122" spans="1:15">
      <c r="A122" s="149" t="s">
        <v>4752</v>
      </c>
      <c r="B122" s="149" t="s">
        <v>575</v>
      </c>
      <c r="C122" s="149" t="s">
        <v>6726</v>
      </c>
      <c r="D122" s="216" t="s">
        <v>3292</v>
      </c>
      <c r="E122" s="149" t="s">
        <v>1070</v>
      </c>
      <c r="F122" s="149" t="s">
        <v>89</v>
      </c>
      <c r="G122" s="149" t="s">
        <v>519</v>
      </c>
      <c r="H122" s="217" t="s">
        <v>1541</v>
      </c>
      <c r="I122" s="200">
        <v>20</v>
      </c>
      <c r="J122" s="201">
        <v>15000</v>
      </c>
      <c r="K122" s="202">
        <v>0</v>
      </c>
      <c r="L122" s="203">
        <v>60000</v>
      </c>
      <c r="M122" s="201">
        <v>0</v>
      </c>
      <c r="N122" s="202">
        <v>0</v>
      </c>
      <c r="O122" s="203">
        <v>75000</v>
      </c>
    </row>
    <row r="123" spans="1:15">
      <c r="A123" s="149" t="s">
        <v>7692</v>
      </c>
      <c r="B123" s="149" t="s">
        <v>3420</v>
      </c>
      <c r="C123" s="149" t="s">
        <v>937</v>
      </c>
      <c r="D123" s="149" t="s">
        <v>1086</v>
      </c>
      <c r="E123" s="149" t="s">
        <v>1065</v>
      </c>
      <c r="F123" s="149" t="s">
        <v>184</v>
      </c>
      <c r="G123" s="149" t="s">
        <v>6483</v>
      </c>
      <c r="H123" s="217" t="s">
        <v>1541</v>
      </c>
      <c r="I123" s="200">
        <v>70</v>
      </c>
      <c r="J123" s="201">
        <v>0</v>
      </c>
      <c r="K123" s="202">
        <v>0</v>
      </c>
      <c r="L123" s="203">
        <v>0</v>
      </c>
      <c r="M123" s="201">
        <v>0</v>
      </c>
      <c r="N123" s="202" t="s">
        <v>6026</v>
      </c>
      <c r="O123" s="203" t="s">
        <v>6026</v>
      </c>
    </row>
    <row r="124" spans="1:15">
      <c r="A124" s="149" t="s">
        <v>7693</v>
      </c>
      <c r="B124" s="149" t="s">
        <v>6939</v>
      </c>
      <c r="C124" s="149" t="s">
        <v>6940</v>
      </c>
      <c r="D124" s="149" t="s">
        <v>1086</v>
      </c>
      <c r="E124" s="149" t="s">
        <v>1065</v>
      </c>
      <c r="F124" s="149" t="s">
        <v>184</v>
      </c>
      <c r="G124" s="149" t="s">
        <v>1108</v>
      </c>
      <c r="H124" s="217" t="s">
        <v>1541</v>
      </c>
      <c r="I124" s="200">
        <v>38</v>
      </c>
      <c r="J124" s="201">
        <v>0</v>
      </c>
      <c r="K124" s="202">
        <v>0</v>
      </c>
      <c r="L124" s="203">
        <v>0</v>
      </c>
      <c r="M124" s="201">
        <v>0</v>
      </c>
      <c r="N124" s="202">
        <v>0</v>
      </c>
      <c r="O124" s="203">
        <v>0</v>
      </c>
    </row>
    <row r="125" spans="1:15">
      <c r="A125" s="149" t="s">
        <v>495</v>
      </c>
      <c r="B125" s="149" t="s">
        <v>3522</v>
      </c>
      <c r="C125" s="149" t="s">
        <v>7620</v>
      </c>
      <c r="D125" s="149" t="s">
        <v>1086</v>
      </c>
      <c r="E125" s="149" t="s">
        <v>1065</v>
      </c>
      <c r="F125" s="149" t="s">
        <v>56</v>
      </c>
      <c r="G125" s="149" t="s">
        <v>7621</v>
      </c>
      <c r="H125" s="217" t="s">
        <v>1541</v>
      </c>
      <c r="I125" s="200">
        <v>47</v>
      </c>
      <c r="J125" s="201">
        <v>0</v>
      </c>
      <c r="K125" s="202">
        <v>0</v>
      </c>
      <c r="L125" s="203">
        <v>0</v>
      </c>
      <c r="M125" s="201">
        <v>0</v>
      </c>
      <c r="N125" s="202">
        <v>240000</v>
      </c>
      <c r="O125" s="203">
        <v>300000</v>
      </c>
    </row>
    <row r="126" spans="1:15">
      <c r="A126" s="149" t="s">
        <v>497</v>
      </c>
      <c r="B126" s="149" t="s">
        <v>3522</v>
      </c>
      <c r="C126" s="149" t="s">
        <v>3523</v>
      </c>
      <c r="D126" s="149" t="s">
        <v>1086</v>
      </c>
      <c r="E126" s="149" t="s">
        <v>1065</v>
      </c>
      <c r="F126" s="149" t="s">
        <v>56</v>
      </c>
      <c r="G126" s="149" t="s">
        <v>3521</v>
      </c>
      <c r="H126" s="217" t="s">
        <v>1541</v>
      </c>
      <c r="I126" s="200">
        <v>34</v>
      </c>
      <c r="J126" s="201">
        <v>0</v>
      </c>
      <c r="K126" s="202">
        <v>0</v>
      </c>
      <c r="L126" s="203">
        <v>0</v>
      </c>
      <c r="M126" s="201">
        <v>0</v>
      </c>
      <c r="N126" s="202">
        <v>78750</v>
      </c>
      <c r="O126" s="203">
        <v>375000</v>
      </c>
    </row>
    <row r="127" spans="1:15">
      <c r="A127" s="149" t="s">
        <v>7694</v>
      </c>
      <c r="B127" s="149" t="s">
        <v>725</v>
      </c>
      <c r="C127" s="149" t="s">
        <v>7695</v>
      </c>
      <c r="D127" s="149" t="s">
        <v>1086</v>
      </c>
      <c r="E127" s="149" t="s">
        <v>1065</v>
      </c>
      <c r="F127" s="149" t="s">
        <v>184</v>
      </c>
      <c r="G127" s="149" t="s">
        <v>1111</v>
      </c>
      <c r="H127" s="217" t="s">
        <v>1541</v>
      </c>
      <c r="I127" s="200">
        <v>25</v>
      </c>
      <c r="J127" s="201">
        <v>0</v>
      </c>
      <c r="K127" s="202">
        <v>0</v>
      </c>
      <c r="L127" s="203">
        <v>0</v>
      </c>
      <c r="M127" s="201">
        <v>0</v>
      </c>
      <c r="N127" s="202">
        <v>0</v>
      </c>
      <c r="O127" s="203">
        <v>0</v>
      </c>
    </row>
    <row r="128" spans="1:15">
      <c r="A128" s="149" t="s">
        <v>7609</v>
      </c>
      <c r="B128" s="149" t="s">
        <v>705</v>
      </c>
      <c r="C128" s="149" t="s">
        <v>7696</v>
      </c>
      <c r="D128" s="149" t="s">
        <v>1086</v>
      </c>
      <c r="E128" s="149" t="s">
        <v>1065</v>
      </c>
      <c r="F128" s="149" t="s">
        <v>184</v>
      </c>
      <c r="G128" s="149" t="s">
        <v>1109</v>
      </c>
      <c r="H128" s="217" t="s">
        <v>1541</v>
      </c>
      <c r="I128" s="200">
        <v>57</v>
      </c>
      <c r="J128" s="201">
        <v>0</v>
      </c>
      <c r="K128" s="202">
        <v>0</v>
      </c>
      <c r="L128" s="203">
        <v>0</v>
      </c>
      <c r="M128" s="201">
        <v>206250</v>
      </c>
      <c r="N128" s="202">
        <v>0</v>
      </c>
      <c r="O128" s="203">
        <v>0</v>
      </c>
    </row>
    <row r="129" spans="1:16">
      <c r="A129" s="149" t="s">
        <v>7697</v>
      </c>
      <c r="B129" s="149" t="s">
        <v>719</v>
      </c>
      <c r="C129" s="149" t="s">
        <v>720</v>
      </c>
      <c r="D129" s="149" t="s">
        <v>1086</v>
      </c>
      <c r="E129" s="149" t="s">
        <v>1065</v>
      </c>
      <c r="F129" s="149" t="s">
        <v>184</v>
      </c>
      <c r="G129" s="149" t="s">
        <v>140</v>
      </c>
      <c r="H129" s="217" t="s">
        <v>1541</v>
      </c>
      <c r="I129" s="200">
        <v>25</v>
      </c>
      <c r="J129" s="201">
        <v>0</v>
      </c>
      <c r="K129" s="202">
        <v>0</v>
      </c>
      <c r="L129" s="203">
        <v>0</v>
      </c>
      <c r="M129" s="201">
        <v>18750</v>
      </c>
      <c r="N129" s="202">
        <v>0</v>
      </c>
      <c r="O129" s="203">
        <v>0</v>
      </c>
    </row>
    <row r="130" spans="1:16">
      <c r="A130" s="149" t="s">
        <v>7698</v>
      </c>
      <c r="B130" s="149" t="s">
        <v>719</v>
      </c>
      <c r="C130" s="149" t="s">
        <v>943</v>
      </c>
      <c r="D130" s="149" t="s">
        <v>1086</v>
      </c>
      <c r="E130" s="149" t="s">
        <v>1065</v>
      </c>
      <c r="F130" s="149" t="s">
        <v>184</v>
      </c>
      <c r="G130" s="149" t="s">
        <v>184</v>
      </c>
      <c r="H130" s="217" t="s">
        <v>1541</v>
      </c>
      <c r="I130" s="200">
        <v>35</v>
      </c>
      <c r="J130" s="201">
        <v>0</v>
      </c>
      <c r="K130" s="202">
        <v>0</v>
      </c>
      <c r="L130" s="203">
        <v>0</v>
      </c>
      <c r="M130" s="201">
        <v>75000</v>
      </c>
      <c r="N130" s="202">
        <v>0</v>
      </c>
      <c r="O130" s="203">
        <v>0</v>
      </c>
    </row>
    <row r="131" spans="1:16">
      <c r="A131" s="149" t="s">
        <v>7699</v>
      </c>
      <c r="B131" s="149" t="s">
        <v>6540</v>
      </c>
      <c r="C131" s="149" t="s">
        <v>748</v>
      </c>
      <c r="D131" s="149" t="s">
        <v>1086</v>
      </c>
      <c r="E131" s="149" t="s">
        <v>1065</v>
      </c>
      <c r="F131" s="149" t="s">
        <v>184</v>
      </c>
      <c r="G131" s="149" t="s">
        <v>6552</v>
      </c>
      <c r="H131" s="217" t="s">
        <v>1541</v>
      </c>
      <c r="I131" s="200">
        <v>57</v>
      </c>
      <c r="J131" s="201">
        <v>0</v>
      </c>
      <c r="K131" s="202">
        <v>0</v>
      </c>
      <c r="L131" s="203">
        <v>0</v>
      </c>
      <c r="M131" s="201">
        <v>37500</v>
      </c>
      <c r="N131" s="202">
        <v>225000</v>
      </c>
      <c r="O131" s="203">
        <v>375000</v>
      </c>
    </row>
    <row r="132" spans="1:16">
      <c r="A132" s="149" t="s">
        <v>492</v>
      </c>
      <c r="B132" s="149" t="s">
        <v>6195</v>
      </c>
      <c r="C132" s="149" t="s">
        <v>6196</v>
      </c>
      <c r="D132" s="149" t="s">
        <v>1086</v>
      </c>
      <c r="E132" s="149" t="s">
        <v>1065</v>
      </c>
      <c r="F132" s="149" t="s">
        <v>507</v>
      </c>
      <c r="G132" s="149" t="s">
        <v>507</v>
      </c>
      <c r="H132" s="217" t="s">
        <v>1541</v>
      </c>
      <c r="I132" s="200">
        <v>45</v>
      </c>
      <c r="J132" s="201">
        <v>0</v>
      </c>
      <c r="K132" s="202">
        <v>0</v>
      </c>
      <c r="L132" s="203">
        <v>0</v>
      </c>
      <c r="M132" s="201" t="s">
        <v>6026</v>
      </c>
      <c r="N132" s="202">
        <v>3750</v>
      </c>
      <c r="O132" s="203">
        <v>3750</v>
      </c>
    </row>
    <row r="133" spans="1:16" s="192" customFormat="1">
      <c r="A133" s="149" t="s">
        <v>7700</v>
      </c>
      <c r="B133" s="149" t="s">
        <v>6855</v>
      </c>
      <c r="C133" s="149" t="s">
        <v>940</v>
      </c>
      <c r="D133" s="149" t="s">
        <v>1086</v>
      </c>
      <c r="E133" s="226" t="s">
        <v>1065</v>
      </c>
      <c r="F133" s="226" t="s">
        <v>184</v>
      </c>
      <c r="G133" s="226" t="s">
        <v>7701</v>
      </c>
      <c r="H133" s="227" t="s">
        <v>1541</v>
      </c>
      <c r="I133" s="228">
        <v>52</v>
      </c>
      <c r="J133" s="229">
        <v>0</v>
      </c>
      <c r="K133" s="230">
        <v>0</v>
      </c>
      <c r="L133" s="231">
        <v>0</v>
      </c>
      <c r="M133" s="229">
        <v>3750</v>
      </c>
      <c r="N133" s="230" t="s">
        <v>6026</v>
      </c>
      <c r="O133" s="231" t="s">
        <v>6026</v>
      </c>
      <c r="P133" s="191"/>
    </row>
    <row r="134" spans="1:16" ht="13.9">
      <c r="A134" s="232"/>
      <c r="B134" s="178"/>
      <c r="C134" s="178"/>
      <c r="D134" s="178"/>
      <c r="E134" s="178"/>
      <c r="F134" s="178"/>
      <c r="G134" s="178"/>
      <c r="H134" s="178" t="s">
        <v>7566</v>
      </c>
      <c r="I134" s="233">
        <f>SUM(I4:I122)</f>
        <v>4841</v>
      </c>
      <c r="J134" s="234">
        <f t="shared" ref="J134:M134" si="0">SUM(J4:J133)</f>
        <v>998680</v>
      </c>
      <c r="K134" s="235">
        <f t="shared" si="0"/>
        <v>990500</v>
      </c>
      <c r="L134" s="235">
        <f t="shared" si="0"/>
        <v>1919420</v>
      </c>
      <c r="M134" s="234">
        <f t="shared" si="0"/>
        <v>450532.5</v>
      </c>
      <c r="N134" s="235">
        <f>SUM(N4:N133)</f>
        <v>1071588.75</v>
      </c>
      <c r="O134" s="235">
        <f>SUM(O4:O133)</f>
        <v>5802341.25</v>
      </c>
    </row>
  </sheetData>
  <mergeCells count="13">
    <mergeCell ref="G1:G3"/>
    <mergeCell ref="H1:H3"/>
    <mergeCell ref="I1:I3"/>
    <mergeCell ref="J1:L1"/>
    <mergeCell ref="M1:O1"/>
    <mergeCell ref="J3:L3"/>
    <mergeCell ref="M3:O3"/>
    <mergeCell ref="A1:A3"/>
    <mergeCell ref="B1:B3"/>
    <mergeCell ref="C1:C3"/>
    <mergeCell ref="D1:D3"/>
    <mergeCell ref="E1:E3"/>
    <mergeCell ref="F1:F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BA6C4-AA87-4088-BF7D-D463E816D0AE}">
  <dimension ref="A1:A31"/>
  <sheetViews>
    <sheetView workbookViewId="0"/>
  </sheetViews>
  <sheetFormatPr defaultRowHeight="12.75"/>
  <sheetData>
    <row r="1" spans="1:1" ht="13.15">
      <c r="A1" s="80" t="s">
        <v>7109</v>
      </c>
    </row>
    <row r="2" spans="1:1">
      <c r="A2" s="61" t="s">
        <v>7541</v>
      </c>
    </row>
    <row r="3" spans="1:1">
      <c r="A3" s="61" t="s">
        <v>7091</v>
      </c>
    </row>
    <row r="4" spans="1:1">
      <c r="A4" s="61" t="s">
        <v>7094</v>
      </c>
    </row>
    <row r="5" spans="1:1">
      <c r="A5" s="61" t="s">
        <v>7095</v>
      </c>
    </row>
    <row r="6" spans="1:1">
      <c r="A6" s="61" t="s">
        <v>7111</v>
      </c>
    </row>
    <row r="7" spans="1:1">
      <c r="A7" s="61" t="s">
        <v>7544</v>
      </c>
    </row>
    <row r="9" spans="1:1">
      <c r="A9" s="61" t="s">
        <v>7542</v>
      </c>
    </row>
    <row r="10" spans="1:1">
      <c r="A10" s="61" t="s">
        <v>7545</v>
      </c>
    </row>
    <row r="12" spans="1:1">
      <c r="A12" s="61" t="s">
        <v>7107</v>
      </c>
    </row>
    <row r="14" spans="1:1" ht="13.15">
      <c r="A14" s="80" t="s">
        <v>7114</v>
      </c>
    </row>
    <row r="15" spans="1:1" ht="13.15">
      <c r="A15" s="80"/>
    </row>
    <row r="16" spans="1:1">
      <c r="A16" s="61" t="s">
        <v>7138</v>
      </c>
    </row>
    <row r="17" spans="1:1">
      <c r="A17" s="61"/>
    </row>
    <row r="18" spans="1:1">
      <c r="A18" s="61" t="s">
        <v>7543</v>
      </c>
    </row>
    <row r="19" spans="1:1">
      <c r="A19" s="61" t="s">
        <v>7139</v>
      </c>
    </row>
    <row r="20" spans="1:1">
      <c r="A20" s="61" t="s">
        <v>7140</v>
      </c>
    </row>
    <row r="21" spans="1:1">
      <c r="A21" s="61" t="s">
        <v>7141</v>
      </c>
    </row>
    <row r="22" spans="1:1">
      <c r="A22" s="61" t="s">
        <v>7142</v>
      </c>
    </row>
    <row r="23" spans="1:1">
      <c r="A23" s="61" t="s">
        <v>7143</v>
      </c>
    </row>
    <row r="24" spans="1:1">
      <c r="A24" s="61" t="s">
        <v>7144</v>
      </c>
    </row>
    <row r="25" spans="1:1">
      <c r="A25" s="61" t="s">
        <v>7146</v>
      </c>
    </row>
    <row r="26" spans="1:1">
      <c r="A26" s="61" t="s">
        <v>7145</v>
      </c>
    </row>
    <row r="27" spans="1:1">
      <c r="A27" s="61" t="s">
        <v>7147</v>
      </c>
    </row>
    <row r="29" spans="1:1">
      <c r="A29" s="61" t="s">
        <v>7108</v>
      </c>
    </row>
    <row r="30" spans="1:1">
      <c r="A30" s="61" t="s">
        <v>7113</v>
      </c>
    </row>
    <row r="31" spans="1:1">
      <c r="A31" s="61" t="s">
        <v>7119</v>
      </c>
    </row>
  </sheetData>
  <pageMargins left="0.7" right="0.7" top="0.75" bottom="0.75" header="0.3" footer="0.3"/>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941"/>
  <sheetViews>
    <sheetView workbookViewId="0">
      <pane ySplit="1" topLeftCell="A326" activePane="bottomLeft" state="frozen"/>
      <selection pane="bottomLeft" activeCell="D326" sqref="D326"/>
    </sheetView>
  </sheetViews>
  <sheetFormatPr defaultColWidth="14.46484375" defaultRowHeight="15.75" customHeight="1"/>
  <cols>
    <col min="1" max="1" width="9.796875" customWidth="1"/>
    <col min="2" max="2" width="29.06640625" style="72" customWidth="1"/>
    <col min="3" max="3" width="20.53125" style="72" customWidth="1"/>
    <col min="4" max="4" width="21.46484375" customWidth="1"/>
    <col min="5" max="5" width="23.06640625" customWidth="1"/>
    <col min="6" max="6" width="7.46484375" customWidth="1"/>
  </cols>
  <sheetData>
    <row r="1" spans="1:14" ht="15.75" customHeight="1" thickBot="1">
      <c r="A1" s="1" t="s">
        <v>0</v>
      </c>
      <c r="B1" s="63" t="s">
        <v>1</v>
      </c>
      <c r="C1" s="73" t="s">
        <v>2</v>
      </c>
      <c r="D1" s="2" t="s">
        <v>3</v>
      </c>
      <c r="E1" s="3" t="s">
        <v>4</v>
      </c>
      <c r="F1" s="4"/>
      <c r="G1" s="5"/>
      <c r="H1" s="5"/>
      <c r="I1" s="5"/>
      <c r="J1" s="5"/>
      <c r="K1" s="5"/>
      <c r="L1" s="5"/>
      <c r="M1" s="5"/>
      <c r="N1" s="5"/>
    </row>
    <row r="2" spans="1:14" ht="15.75" customHeight="1" thickBot="1">
      <c r="A2" s="6">
        <v>1</v>
      </c>
      <c r="B2" s="64" t="s">
        <v>5</v>
      </c>
      <c r="C2" s="74" t="s">
        <v>6</v>
      </c>
      <c r="D2" s="7" t="s">
        <v>7</v>
      </c>
      <c r="E2" s="8" t="s">
        <v>8</v>
      </c>
      <c r="F2" s="9">
        <f>COUNTA(B2:B537)</f>
        <v>536</v>
      </c>
    </row>
    <row r="3" spans="1:14" ht="15.75" customHeight="1" thickBot="1">
      <c r="A3" s="6">
        <v>2</v>
      </c>
      <c r="B3" s="64" t="s">
        <v>9</v>
      </c>
      <c r="C3" s="74" t="s">
        <v>10</v>
      </c>
      <c r="D3" s="7" t="s">
        <v>7</v>
      </c>
      <c r="E3" s="10" t="s">
        <v>11</v>
      </c>
      <c r="F3" s="11">
        <f>COUNTBLANK(C2:C537)</f>
        <v>4</v>
      </c>
    </row>
    <row r="4" spans="1:14" ht="15.75" customHeight="1" thickBot="1">
      <c r="A4" s="6">
        <v>3</v>
      </c>
      <c r="B4" s="64" t="s">
        <v>12</v>
      </c>
      <c r="C4" s="74" t="s">
        <v>6</v>
      </c>
      <c r="D4" s="7" t="s">
        <v>7</v>
      </c>
    </row>
    <row r="5" spans="1:14" ht="15.75" customHeight="1" thickBot="1">
      <c r="A5" s="6">
        <v>4</v>
      </c>
      <c r="B5" s="64" t="s">
        <v>13</v>
      </c>
      <c r="C5" s="74" t="s">
        <v>14</v>
      </c>
      <c r="D5" s="7" t="s">
        <v>7</v>
      </c>
    </row>
    <row r="6" spans="1:14" ht="15.75" customHeight="1" thickBot="1">
      <c r="A6" s="6">
        <v>6</v>
      </c>
      <c r="B6" s="64" t="s">
        <v>15</v>
      </c>
      <c r="C6" s="74" t="s">
        <v>16</v>
      </c>
      <c r="D6" s="7" t="s">
        <v>7</v>
      </c>
    </row>
    <row r="7" spans="1:14" ht="15.75" customHeight="1" thickBot="1">
      <c r="A7" s="6">
        <v>7</v>
      </c>
      <c r="B7" s="64" t="s">
        <v>17</v>
      </c>
      <c r="C7" s="74" t="s">
        <v>18</v>
      </c>
      <c r="D7" s="7" t="s">
        <v>7</v>
      </c>
    </row>
    <row r="8" spans="1:14" ht="15.75" customHeight="1" thickBot="1">
      <c r="A8" s="6">
        <v>8</v>
      </c>
      <c r="B8" s="64" t="s">
        <v>19</v>
      </c>
      <c r="C8" s="74" t="s">
        <v>6</v>
      </c>
      <c r="D8" s="7" t="s">
        <v>7</v>
      </c>
    </row>
    <row r="9" spans="1:14" ht="15.75" customHeight="1" thickBot="1">
      <c r="A9" s="6">
        <v>9</v>
      </c>
      <c r="B9" s="64" t="s">
        <v>20</v>
      </c>
      <c r="C9" s="74" t="s">
        <v>21</v>
      </c>
      <c r="D9" s="7" t="s">
        <v>7</v>
      </c>
    </row>
    <row r="10" spans="1:14" ht="15.75" customHeight="1" thickBot="1">
      <c r="A10" s="6">
        <v>10</v>
      </c>
      <c r="B10" s="64" t="s">
        <v>22</v>
      </c>
      <c r="C10" s="74" t="s">
        <v>23</v>
      </c>
      <c r="D10" s="7" t="s">
        <v>7</v>
      </c>
    </row>
    <row r="11" spans="1:14" ht="15.75" customHeight="1" thickBot="1">
      <c r="A11" s="6">
        <v>11</v>
      </c>
      <c r="B11" s="64" t="s">
        <v>24</v>
      </c>
      <c r="C11" s="74" t="s">
        <v>23</v>
      </c>
      <c r="D11" s="7" t="s">
        <v>7</v>
      </c>
    </row>
    <row r="12" spans="1:14" ht="15.75" customHeight="1" thickBot="1">
      <c r="A12" s="6">
        <v>12</v>
      </c>
      <c r="B12" s="64" t="s">
        <v>25</v>
      </c>
      <c r="C12" s="74" t="s">
        <v>26</v>
      </c>
      <c r="D12" s="7" t="s">
        <v>7</v>
      </c>
    </row>
    <row r="13" spans="1:14" ht="15.75" customHeight="1" thickBot="1">
      <c r="A13" s="12">
        <v>13</v>
      </c>
      <c r="B13" s="64" t="s">
        <v>27</v>
      </c>
      <c r="C13" s="74" t="s">
        <v>28</v>
      </c>
      <c r="D13" s="7" t="s">
        <v>7</v>
      </c>
    </row>
    <row r="14" spans="1:14" ht="15.75" customHeight="1" thickBot="1">
      <c r="A14" s="12">
        <v>14</v>
      </c>
      <c r="B14" s="64" t="s">
        <v>29</v>
      </c>
      <c r="C14" s="74" t="s">
        <v>30</v>
      </c>
      <c r="D14" s="7" t="s">
        <v>7</v>
      </c>
    </row>
    <row r="15" spans="1:14" ht="15.75" customHeight="1" thickBot="1">
      <c r="A15" s="12">
        <v>15</v>
      </c>
      <c r="B15" s="64" t="s">
        <v>31</v>
      </c>
      <c r="C15" s="74" t="s">
        <v>32</v>
      </c>
      <c r="D15" s="7" t="s">
        <v>7</v>
      </c>
    </row>
    <row r="16" spans="1:14" ht="15.75" customHeight="1" thickBot="1">
      <c r="A16" s="12">
        <v>16</v>
      </c>
      <c r="B16" s="64" t="s">
        <v>33</v>
      </c>
      <c r="C16" s="74" t="s">
        <v>34</v>
      </c>
      <c r="D16" s="7" t="s">
        <v>7</v>
      </c>
    </row>
    <row r="17" spans="1:4" ht="15.75" customHeight="1" thickBot="1">
      <c r="A17" s="12">
        <v>17</v>
      </c>
      <c r="B17" s="64" t="s">
        <v>35</v>
      </c>
      <c r="C17" s="74" t="s">
        <v>6</v>
      </c>
      <c r="D17" s="7" t="s">
        <v>7</v>
      </c>
    </row>
    <row r="18" spans="1:4" ht="15.75" customHeight="1" thickBot="1">
      <c r="A18" s="6">
        <v>18</v>
      </c>
      <c r="B18" s="64" t="s">
        <v>36</v>
      </c>
      <c r="C18" s="74" t="s">
        <v>37</v>
      </c>
      <c r="D18" s="7" t="s">
        <v>7</v>
      </c>
    </row>
    <row r="19" spans="1:4" ht="15.75" customHeight="1" thickBot="1">
      <c r="A19" s="6">
        <v>19</v>
      </c>
      <c r="B19" s="64" t="s">
        <v>38</v>
      </c>
      <c r="C19" s="74" t="s">
        <v>30</v>
      </c>
      <c r="D19" s="7" t="s">
        <v>7</v>
      </c>
    </row>
    <row r="20" spans="1:4" ht="15.75" customHeight="1" thickBot="1">
      <c r="A20" s="6">
        <v>20</v>
      </c>
      <c r="B20" s="64" t="s">
        <v>39</v>
      </c>
      <c r="C20" s="74" t="s">
        <v>40</v>
      </c>
      <c r="D20" s="7" t="s">
        <v>7</v>
      </c>
    </row>
    <row r="21" spans="1:4" ht="15.75" customHeight="1" thickBot="1">
      <c r="A21" s="6">
        <v>21</v>
      </c>
      <c r="B21" s="64" t="s">
        <v>41</v>
      </c>
      <c r="C21" s="74" t="s">
        <v>42</v>
      </c>
      <c r="D21" s="7" t="s">
        <v>7</v>
      </c>
    </row>
    <row r="22" spans="1:4" ht="14.65" thickBot="1">
      <c r="A22" s="12">
        <v>22</v>
      </c>
      <c r="B22" s="64" t="s">
        <v>43</v>
      </c>
      <c r="C22" s="74" t="s">
        <v>26</v>
      </c>
      <c r="D22" s="7" t="s">
        <v>7</v>
      </c>
    </row>
    <row r="23" spans="1:4" ht="14.65" thickBot="1">
      <c r="A23" s="12">
        <v>23</v>
      </c>
      <c r="B23" s="64" t="s">
        <v>44</v>
      </c>
      <c r="C23" s="74" t="s">
        <v>40</v>
      </c>
      <c r="D23" s="7" t="s">
        <v>7</v>
      </c>
    </row>
    <row r="24" spans="1:4" ht="14.65" thickBot="1">
      <c r="A24" s="6">
        <v>24</v>
      </c>
      <c r="B24" s="64" t="s">
        <v>45</v>
      </c>
      <c r="C24" s="74" t="s">
        <v>46</v>
      </c>
      <c r="D24" s="7" t="s">
        <v>7</v>
      </c>
    </row>
    <row r="25" spans="1:4" ht="14.65" thickBot="1">
      <c r="A25" s="6">
        <v>25</v>
      </c>
      <c r="B25" s="64" t="s">
        <v>47</v>
      </c>
      <c r="C25" s="74"/>
      <c r="D25" s="7" t="s">
        <v>7</v>
      </c>
    </row>
    <row r="26" spans="1:4" ht="14.65" thickBot="1">
      <c r="A26" s="6">
        <v>26</v>
      </c>
      <c r="B26" s="64" t="s">
        <v>48</v>
      </c>
      <c r="C26" s="74" t="s">
        <v>34</v>
      </c>
      <c r="D26" s="7" t="s">
        <v>7</v>
      </c>
    </row>
    <row r="27" spans="1:4" ht="14.65" thickBot="1">
      <c r="A27" s="6">
        <v>27</v>
      </c>
      <c r="B27" s="64" t="s">
        <v>49</v>
      </c>
      <c r="C27" s="74" t="s">
        <v>50</v>
      </c>
      <c r="D27" s="7" t="s">
        <v>7</v>
      </c>
    </row>
    <row r="28" spans="1:4" ht="13.15" thickBot="1">
      <c r="A28" s="13">
        <v>28</v>
      </c>
      <c r="B28" s="65" t="s">
        <v>51</v>
      </c>
      <c r="C28" s="75" t="s">
        <v>52</v>
      </c>
      <c r="D28" s="14" t="s">
        <v>53</v>
      </c>
    </row>
    <row r="29" spans="1:4" ht="14.65" thickBot="1">
      <c r="A29" s="6">
        <v>29</v>
      </c>
      <c r="B29" s="64" t="s">
        <v>54</v>
      </c>
      <c r="C29" s="74" t="s">
        <v>50</v>
      </c>
      <c r="D29" s="7" t="s">
        <v>7</v>
      </c>
    </row>
    <row r="30" spans="1:4" ht="14.65" thickBot="1">
      <c r="A30" s="6">
        <v>30</v>
      </c>
      <c r="B30" s="64" t="s">
        <v>55</v>
      </c>
      <c r="C30" s="74" t="s">
        <v>56</v>
      </c>
      <c r="D30" s="7" t="s">
        <v>53</v>
      </c>
    </row>
    <row r="31" spans="1:4" ht="13.15" thickBot="1">
      <c r="A31" s="13">
        <v>31</v>
      </c>
      <c r="B31" s="65" t="s">
        <v>57</v>
      </c>
      <c r="C31" s="75" t="s">
        <v>58</v>
      </c>
      <c r="D31" s="14" t="s">
        <v>53</v>
      </c>
    </row>
    <row r="32" spans="1:4" ht="14.65" thickBot="1">
      <c r="A32" s="6">
        <v>32</v>
      </c>
      <c r="B32" s="64" t="s">
        <v>59</v>
      </c>
      <c r="C32" s="74" t="s">
        <v>60</v>
      </c>
      <c r="D32" s="7" t="s">
        <v>7</v>
      </c>
    </row>
    <row r="33" spans="1:4" ht="14.65" thickBot="1">
      <c r="A33" s="12">
        <v>33</v>
      </c>
      <c r="B33" s="64" t="s">
        <v>61</v>
      </c>
      <c r="C33" s="74" t="s">
        <v>62</v>
      </c>
      <c r="D33" s="7" t="s">
        <v>7</v>
      </c>
    </row>
    <row r="34" spans="1:4" ht="14.65" thickBot="1">
      <c r="A34" s="12">
        <v>34</v>
      </c>
      <c r="B34" s="64" t="s">
        <v>63</v>
      </c>
      <c r="C34" s="74" t="s">
        <v>14</v>
      </c>
      <c r="D34" s="7" t="s">
        <v>7</v>
      </c>
    </row>
    <row r="35" spans="1:4" ht="14.65" thickBot="1">
      <c r="A35" s="6">
        <v>35</v>
      </c>
      <c r="B35" s="64" t="s">
        <v>64</v>
      </c>
      <c r="C35" s="74" t="s">
        <v>65</v>
      </c>
      <c r="D35" s="7" t="s">
        <v>7</v>
      </c>
    </row>
    <row r="36" spans="1:4" ht="14.65" thickBot="1">
      <c r="A36" s="6">
        <v>36</v>
      </c>
      <c r="B36" s="64" t="s">
        <v>66</v>
      </c>
      <c r="C36" s="74" t="s">
        <v>14</v>
      </c>
      <c r="D36" s="7" t="s">
        <v>7</v>
      </c>
    </row>
    <row r="37" spans="1:4" ht="14.65" thickBot="1">
      <c r="A37" s="6">
        <v>37</v>
      </c>
      <c r="B37" s="64" t="s">
        <v>67</v>
      </c>
      <c r="C37" s="74" t="s">
        <v>68</v>
      </c>
      <c r="D37" s="7" t="s">
        <v>7115</v>
      </c>
    </row>
    <row r="38" spans="1:4" ht="14.65" thickBot="1">
      <c r="A38" s="6">
        <v>38</v>
      </c>
      <c r="B38" s="64" t="s">
        <v>69</v>
      </c>
      <c r="C38" s="74" t="s">
        <v>68</v>
      </c>
      <c r="D38" s="7" t="s">
        <v>7115</v>
      </c>
    </row>
    <row r="39" spans="1:4" ht="14.65" thickBot="1">
      <c r="A39" s="6">
        <v>39</v>
      </c>
      <c r="B39" s="64" t="s">
        <v>70</v>
      </c>
      <c r="C39" s="74" t="s">
        <v>71</v>
      </c>
      <c r="D39" s="7" t="s">
        <v>7</v>
      </c>
    </row>
    <row r="40" spans="1:4" ht="14.65" thickBot="1">
      <c r="A40" s="6">
        <v>40</v>
      </c>
      <c r="B40" s="64" t="s">
        <v>72</v>
      </c>
      <c r="C40" s="74" t="s">
        <v>73</v>
      </c>
      <c r="D40" s="7" t="s">
        <v>7</v>
      </c>
    </row>
    <row r="41" spans="1:4" ht="14.65" thickBot="1">
      <c r="A41" s="6">
        <v>41</v>
      </c>
      <c r="B41" s="64" t="s">
        <v>74</v>
      </c>
      <c r="C41" s="74" t="s">
        <v>75</v>
      </c>
      <c r="D41" s="7" t="s">
        <v>7</v>
      </c>
    </row>
    <row r="42" spans="1:4" ht="13.05" customHeight="1" thickBot="1">
      <c r="A42" s="12">
        <v>42</v>
      </c>
      <c r="B42" s="64" t="s">
        <v>76</v>
      </c>
      <c r="C42" s="74" t="s">
        <v>40</v>
      </c>
      <c r="D42" s="7" t="s">
        <v>7</v>
      </c>
    </row>
    <row r="43" spans="1:4" ht="14.65" thickBot="1">
      <c r="A43" s="12">
        <v>43</v>
      </c>
      <c r="B43" s="64" t="s">
        <v>77</v>
      </c>
      <c r="C43" s="74" t="s">
        <v>37</v>
      </c>
      <c r="D43" s="7" t="s">
        <v>7</v>
      </c>
    </row>
    <row r="44" spans="1:4" ht="15" customHeight="1" thickBot="1">
      <c r="A44" s="13">
        <v>44</v>
      </c>
      <c r="B44" s="65" t="s">
        <v>78</v>
      </c>
      <c r="C44" s="75" t="s">
        <v>52</v>
      </c>
      <c r="D44" s="14" t="s">
        <v>53</v>
      </c>
    </row>
    <row r="45" spans="1:4" ht="14.65" thickBot="1">
      <c r="A45" s="6">
        <v>45</v>
      </c>
      <c r="B45" s="64" t="s">
        <v>79</v>
      </c>
      <c r="C45" s="74" t="s">
        <v>80</v>
      </c>
      <c r="D45" s="7" t="s">
        <v>7</v>
      </c>
    </row>
    <row r="46" spans="1:4" ht="14.65" thickBot="1">
      <c r="A46" s="6">
        <v>46</v>
      </c>
      <c r="B46" s="64" t="s">
        <v>81</v>
      </c>
      <c r="C46" s="74" t="s">
        <v>82</v>
      </c>
      <c r="D46" s="7" t="s">
        <v>7</v>
      </c>
    </row>
    <row r="47" spans="1:4" ht="14.65" thickBot="1">
      <c r="A47" s="12">
        <v>47</v>
      </c>
      <c r="B47" s="64" t="s">
        <v>83</v>
      </c>
      <c r="C47" s="74" t="s">
        <v>84</v>
      </c>
      <c r="D47" s="14" t="s">
        <v>53</v>
      </c>
    </row>
    <row r="48" spans="1:4" ht="14.65" thickBot="1">
      <c r="A48" s="12">
        <v>48</v>
      </c>
      <c r="B48" s="64" t="s">
        <v>85</v>
      </c>
      <c r="C48" s="74" t="s">
        <v>26</v>
      </c>
      <c r="D48" s="7" t="s">
        <v>7</v>
      </c>
    </row>
    <row r="49" spans="1:6" ht="14.65" thickBot="1">
      <c r="A49" s="12">
        <v>49</v>
      </c>
      <c r="B49" s="64" t="s">
        <v>86</v>
      </c>
      <c r="C49" s="74" t="s">
        <v>87</v>
      </c>
      <c r="D49" s="7" t="s">
        <v>7</v>
      </c>
    </row>
    <row r="50" spans="1:6" ht="14.65" thickBot="1">
      <c r="A50" s="6">
        <v>50</v>
      </c>
      <c r="B50" s="64" t="s">
        <v>88</v>
      </c>
      <c r="C50" s="74" t="s">
        <v>89</v>
      </c>
      <c r="D50" s="7" t="s">
        <v>7</v>
      </c>
    </row>
    <row r="51" spans="1:6" ht="14.65" thickBot="1">
      <c r="A51" s="6">
        <v>51</v>
      </c>
      <c r="B51" s="64" t="s">
        <v>90</v>
      </c>
      <c r="C51" s="74" t="s">
        <v>91</v>
      </c>
      <c r="D51" s="7" t="s">
        <v>7</v>
      </c>
    </row>
    <row r="52" spans="1:6" ht="14.65" thickBot="1">
      <c r="A52" s="6">
        <v>52</v>
      </c>
      <c r="B52" s="64" t="s">
        <v>92</v>
      </c>
      <c r="C52" s="74" t="s">
        <v>50</v>
      </c>
      <c r="D52" s="7" t="s">
        <v>7</v>
      </c>
    </row>
    <row r="53" spans="1:6" ht="14.65" thickBot="1">
      <c r="A53" s="6">
        <v>53</v>
      </c>
      <c r="B53" s="64" t="s">
        <v>93</v>
      </c>
      <c r="C53" s="74" t="s">
        <v>94</v>
      </c>
      <c r="D53" s="7" t="s">
        <v>7</v>
      </c>
    </row>
    <row r="54" spans="1:6" ht="14.65" thickBot="1">
      <c r="A54" s="6">
        <v>54</v>
      </c>
      <c r="B54" s="64" t="s">
        <v>95</v>
      </c>
      <c r="C54" s="74" t="s">
        <v>96</v>
      </c>
      <c r="D54" s="7" t="s">
        <v>7</v>
      </c>
      <c r="E54" s="62"/>
      <c r="F54" s="62"/>
    </row>
    <row r="55" spans="1:6" ht="13.05" customHeight="1" thickBot="1">
      <c r="A55" s="12">
        <v>55</v>
      </c>
      <c r="B55" s="64" t="s">
        <v>97</v>
      </c>
      <c r="C55" s="74" t="s">
        <v>98</v>
      </c>
      <c r="D55" s="7" t="s">
        <v>7</v>
      </c>
    </row>
    <row r="56" spans="1:6" ht="14.65" thickBot="1">
      <c r="A56" s="6">
        <v>56</v>
      </c>
      <c r="B56" s="64" t="s">
        <v>99</v>
      </c>
      <c r="C56" s="74" t="s">
        <v>98</v>
      </c>
      <c r="D56" s="7" t="s">
        <v>7</v>
      </c>
    </row>
    <row r="57" spans="1:6" ht="15" customHeight="1" thickBot="1">
      <c r="A57" s="13">
        <v>57</v>
      </c>
      <c r="B57" s="65" t="s">
        <v>100</v>
      </c>
      <c r="C57" s="75" t="s">
        <v>101</v>
      </c>
      <c r="D57" s="14" t="s">
        <v>53</v>
      </c>
    </row>
    <row r="58" spans="1:6" ht="14.65" thickBot="1">
      <c r="A58" s="6">
        <v>58</v>
      </c>
      <c r="B58" s="64" t="s">
        <v>102</v>
      </c>
      <c r="C58" s="74" t="s">
        <v>50</v>
      </c>
      <c r="D58" s="7" t="s">
        <v>7</v>
      </c>
    </row>
    <row r="59" spans="1:6" ht="13.05" customHeight="1" thickBot="1">
      <c r="A59" s="12">
        <v>59</v>
      </c>
      <c r="B59" s="64" t="s">
        <v>103</v>
      </c>
      <c r="C59" s="74" t="s">
        <v>104</v>
      </c>
      <c r="D59" s="7" t="s">
        <v>7</v>
      </c>
    </row>
    <row r="60" spans="1:6" ht="14.65" thickBot="1">
      <c r="A60" s="6">
        <v>60</v>
      </c>
      <c r="B60" s="64" t="s">
        <v>105</v>
      </c>
      <c r="C60" s="74" t="s">
        <v>106</v>
      </c>
      <c r="D60" s="7" t="s">
        <v>7</v>
      </c>
    </row>
    <row r="61" spans="1:6" ht="15" customHeight="1" thickBot="1">
      <c r="A61" s="13">
        <v>61</v>
      </c>
      <c r="B61" s="65" t="s">
        <v>107</v>
      </c>
      <c r="C61" s="75" t="s">
        <v>108</v>
      </c>
      <c r="D61" s="14" t="s">
        <v>7090</v>
      </c>
    </row>
    <row r="62" spans="1:6" ht="14.65" thickBot="1">
      <c r="A62" s="6">
        <v>62</v>
      </c>
      <c r="B62" s="64" t="s">
        <v>109</v>
      </c>
      <c r="C62" s="74" t="s">
        <v>89</v>
      </c>
      <c r="D62" s="7" t="s">
        <v>7</v>
      </c>
    </row>
    <row r="63" spans="1:6" ht="14.65" thickBot="1">
      <c r="A63" s="6">
        <v>63</v>
      </c>
      <c r="B63" s="64" t="s">
        <v>110</v>
      </c>
      <c r="C63" s="74" t="s">
        <v>111</v>
      </c>
      <c r="D63" s="7" t="s">
        <v>7</v>
      </c>
    </row>
    <row r="64" spans="1:6" ht="14.65" thickBot="1">
      <c r="A64" s="6">
        <v>64</v>
      </c>
      <c r="B64" s="64" t="s">
        <v>112</v>
      </c>
      <c r="C64" s="74" t="s">
        <v>21</v>
      </c>
      <c r="D64" s="7" t="s">
        <v>7</v>
      </c>
    </row>
    <row r="65" spans="1:4" ht="14.65" thickBot="1">
      <c r="A65" s="12">
        <v>65</v>
      </c>
      <c r="B65" s="64" t="s">
        <v>113</v>
      </c>
      <c r="C65" s="74" t="s">
        <v>21</v>
      </c>
      <c r="D65" s="7" t="s">
        <v>7</v>
      </c>
    </row>
    <row r="66" spans="1:4" ht="14.65" thickBot="1">
      <c r="A66" s="12">
        <v>66</v>
      </c>
      <c r="B66" s="64" t="s">
        <v>114</v>
      </c>
      <c r="C66" s="74" t="s">
        <v>94</v>
      </c>
      <c r="D66" s="7" t="s">
        <v>7</v>
      </c>
    </row>
    <row r="67" spans="1:4" ht="14.65" thickBot="1">
      <c r="A67" s="12">
        <v>67</v>
      </c>
      <c r="B67" s="64" t="s">
        <v>115</v>
      </c>
      <c r="C67" s="74" t="s">
        <v>21</v>
      </c>
      <c r="D67" s="7" t="s">
        <v>7</v>
      </c>
    </row>
    <row r="68" spans="1:4" ht="14.65" thickBot="1">
      <c r="A68" s="6">
        <v>68</v>
      </c>
      <c r="B68" s="64" t="s">
        <v>116</v>
      </c>
      <c r="C68" s="74" t="s">
        <v>117</v>
      </c>
      <c r="D68" s="7" t="s">
        <v>7</v>
      </c>
    </row>
    <row r="69" spans="1:4" ht="14.65" thickBot="1">
      <c r="A69" s="6">
        <v>69</v>
      </c>
      <c r="B69" s="64" t="s">
        <v>118</v>
      </c>
      <c r="C69" s="74" t="s">
        <v>119</v>
      </c>
      <c r="D69" s="7" t="s">
        <v>7</v>
      </c>
    </row>
    <row r="70" spans="1:4" ht="14.65" thickBot="1">
      <c r="A70" s="6">
        <v>70</v>
      </c>
      <c r="B70" s="64" t="s">
        <v>120</v>
      </c>
      <c r="C70" s="74" t="s">
        <v>121</v>
      </c>
      <c r="D70" s="7" t="s">
        <v>7</v>
      </c>
    </row>
    <row r="71" spans="1:4" ht="14.65" thickBot="1">
      <c r="A71" s="6">
        <v>71</v>
      </c>
      <c r="B71" s="64" t="s">
        <v>122</v>
      </c>
      <c r="C71" s="74" t="s">
        <v>123</v>
      </c>
      <c r="D71" s="7" t="s">
        <v>7</v>
      </c>
    </row>
    <row r="72" spans="1:4" ht="14.65" thickBot="1">
      <c r="A72" s="6">
        <v>72</v>
      </c>
      <c r="B72" s="64" t="s">
        <v>124</v>
      </c>
      <c r="C72" s="74" t="s">
        <v>125</v>
      </c>
      <c r="D72" s="7" t="s">
        <v>7</v>
      </c>
    </row>
    <row r="73" spans="1:4" ht="14.65" thickBot="1">
      <c r="A73" s="6">
        <v>73</v>
      </c>
      <c r="B73" s="64" t="s">
        <v>126</v>
      </c>
      <c r="C73" s="74" t="s">
        <v>127</v>
      </c>
      <c r="D73" s="7" t="s">
        <v>7</v>
      </c>
    </row>
    <row r="74" spans="1:4" ht="14.65" thickBot="1">
      <c r="A74" s="6">
        <v>74</v>
      </c>
      <c r="B74" s="64" t="s">
        <v>128</v>
      </c>
      <c r="C74" s="74" t="s">
        <v>129</v>
      </c>
      <c r="D74" s="7" t="s">
        <v>7</v>
      </c>
    </row>
    <row r="75" spans="1:4" ht="14.65" thickBot="1">
      <c r="A75" s="6">
        <v>75</v>
      </c>
      <c r="B75" s="64" t="s">
        <v>130</v>
      </c>
      <c r="C75" s="74" t="s">
        <v>131</v>
      </c>
      <c r="D75" s="7" t="s">
        <v>7</v>
      </c>
    </row>
    <row r="76" spans="1:4" ht="14.65" thickBot="1">
      <c r="A76" s="6">
        <v>76</v>
      </c>
      <c r="B76" s="64" t="s">
        <v>132</v>
      </c>
      <c r="C76" s="74" t="s">
        <v>133</v>
      </c>
      <c r="D76" s="7" t="s">
        <v>7110</v>
      </c>
    </row>
    <row r="77" spans="1:4" ht="14.65" thickBot="1">
      <c r="A77" s="12">
        <v>77</v>
      </c>
      <c r="B77" s="64" t="s">
        <v>134</v>
      </c>
      <c r="C77" s="74" t="s">
        <v>135</v>
      </c>
      <c r="D77" s="7" t="s">
        <v>7</v>
      </c>
    </row>
    <row r="78" spans="1:4" ht="14.65" thickBot="1">
      <c r="A78" s="12">
        <v>78</v>
      </c>
      <c r="B78" s="64" t="s">
        <v>136</v>
      </c>
      <c r="C78" s="74" t="s">
        <v>133</v>
      </c>
      <c r="D78" s="7" t="s">
        <v>7</v>
      </c>
    </row>
    <row r="79" spans="1:4" ht="13.05" customHeight="1" thickBot="1">
      <c r="A79" s="12">
        <v>79</v>
      </c>
      <c r="B79" s="64" t="s">
        <v>137</v>
      </c>
      <c r="C79" s="74" t="s">
        <v>138</v>
      </c>
      <c r="D79" s="7" t="s">
        <v>7</v>
      </c>
    </row>
    <row r="80" spans="1:4" ht="14.65" thickBot="1">
      <c r="A80" s="6">
        <v>80</v>
      </c>
      <c r="B80" s="64" t="s">
        <v>139</v>
      </c>
      <c r="C80" s="74" t="s">
        <v>140</v>
      </c>
      <c r="D80" s="7" t="s">
        <v>7</v>
      </c>
    </row>
    <row r="81" spans="1:4" ht="15" customHeight="1" thickBot="1">
      <c r="A81" s="13">
        <v>81</v>
      </c>
      <c r="B81" s="65" t="s">
        <v>141</v>
      </c>
      <c r="C81" s="75" t="s">
        <v>142</v>
      </c>
      <c r="D81" s="14" t="s">
        <v>53</v>
      </c>
    </row>
    <row r="82" spans="1:4" ht="14.65" thickBot="1">
      <c r="A82" s="6">
        <v>82</v>
      </c>
      <c r="B82" s="64" t="s">
        <v>143</v>
      </c>
      <c r="C82" s="74" t="s">
        <v>62</v>
      </c>
      <c r="D82" s="7" t="s">
        <v>7</v>
      </c>
    </row>
    <row r="83" spans="1:4" ht="14.65" thickBot="1">
      <c r="A83" s="6">
        <v>83</v>
      </c>
      <c r="B83" s="64" t="s">
        <v>144</v>
      </c>
      <c r="C83" s="74" t="s">
        <v>145</v>
      </c>
      <c r="D83" s="7" t="s">
        <v>7</v>
      </c>
    </row>
    <row r="84" spans="1:4" ht="14.65" thickBot="1">
      <c r="A84" s="6">
        <v>84</v>
      </c>
      <c r="B84" s="64" t="s">
        <v>146</v>
      </c>
      <c r="C84" s="74" t="s">
        <v>147</v>
      </c>
      <c r="D84" s="7" t="s">
        <v>7</v>
      </c>
    </row>
    <row r="85" spans="1:4" ht="14.65" thickBot="1">
      <c r="A85" s="6">
        <v>85</v>
      </c>
      <c r="B85" s="64" t="s">
        <v>148</v>
      </c>
      <c r="C85" s="74" t="s">
        <v>129</v>
      </c>
      <c r="D85" s="7" t="s">
        <v>7</v>
      </c>
    </row>
    <row r="86" spans="1:4" ht="14.65" thickBot="1">
      <c r="A86" s="6">
        <v>86</v>
      </c>
      <c r="B86" s="64" t="s">
        <v>149</v>
      </c>
      <c r="C86" s="74" t="s">
        <v>62</v>
      </c>
      <c r="D86" s="7" t="s">
        <v>7</v>
      </c>
    </row>
    <row r="87" spans="1:4" ht="14.65" thickBot="1">
      <c r="A87" s="6">
        <v>87</v>
      </c>
      <c r="B87" s="64" t="s">
        <v>150</v>
      </c>
      <c r="C87" s="74" t="s">
        <v>151</v>
      </c>
      <c r="D87" s="7" t="s">
        <v>7</v>
      </c>
    </row>
    <row r="88" spans="1:4" ht="14.65" thickBot="1">
      <c r="A88" s="6">
        <v>88</v>
      </c>
      <c r="B88" s="64" t="s">
        <v>152</v>
      </c>
      <c r="C88" s="74" t="s">
        <v>133</v>
      </c>
      <c r="D88" s="7" t="s">
        <v>7</v>
      </c>
    </row>
    <row r="89" spans="1:4" ht="14.65" thickBot="1">
      <c r="A89" s="6">
        <v>89</v>
      </c>
      <c r="B89" s="64" t="s">
        <v>153</v>
      </c>
      <c r="C89" s="74" t="s">
        <v>154</v>
      </c>
      <c r="D89" s="7" t="s">
        <v>7</v>
      </c>
    </row>
    <row r="90" spans="1:4" ht="14.65" thickBot="1">
      <c r="A90" s="12">
        <v>90</v>
      </c>
      <c r="B90" s="64" t="s">
        <v>155</v>
      </c>
      <c r="C90" s="74" t="s">
        <v>156</v>
      </c>
      <c r="D90" s="7" t="s">
        <v>7</v>
      </c>
    </row>
    <row r="91" spans="1:4" ht="14.65" thickBot="1">
      <c r="A91" s="6">
        <v>91</v>
      </c>
      <c r="B91" s="64" t="s">
        <v>157</v>
      </c>
      <c r="C91" s="74" t="s">
        <v>127</v>
      </c>
      <c r="D91" s="7" t="s">
        <v>7</v>
      </c>
    </row>
    <row r="92" spans="1:4" ht="14.65" thickBot="1">
      <c r="A92" s="6">
        <v>92</v>
      </c>
      <c r="B92" s="64" t="s">
        <v>158</v>
      </c>
      <c r="C92" s="74" t="s">
        <v>111</v>
      </c>
      <c r="D92" s="7" t="s">
        <v>7</v>
      </c>
    </row>
    <row r="93" spans="1:4" ht="14.65" thickBot="1">
      <c r="A93" s="6">
        <v>93</v>
      </c>
      <c r="B93" s="64" t="s">
        <v>159</v>
      </c>
      <c r="C93" s="74"/>
      <c r="D93" s="7" t="s">
        <v>7</v>
      </c>
    </row>
    <row r="94" spans="1:4" ht="14.65" thickBot="1">
      <c r="A94" s="12">
        <v>94</v>
      </c>
      <c r="B94" s="64" t="s">
        <v>160</v>
      </c>
      <c r="C94" s="74" t="s">
        <v>111</v>
      </c>
      <c r="D94" s="7" t="s">
        <v>7</v>
      </c>
    </row>
    <row r="95" spans="1:4" ht="14.65" thickBot="1">
      <c r="A95" s="6">
        <v>95</v>
      </c>
      <c r="B95" s="64" t="s">
        <v>161</v>
      </c>
      <c r="C95" s="74"/>
      <c r="D95" s="7" t="s">
        <v>7</v>
      </c>
    </row>
    <row r="96" spans="1:4" ht="14.65" thickBot="1">
      <c r="A96" s="12">
        <v>96</v>
      </c>
      <c r="B96" s="64" t="s">
        <v>162</v>
      </c>
      <c r="C96" s="74" t="s">
        <v>156</v>
      </c>
      <c r="D96" s="7" t="s">
        <v>7</v>
      </c>
    </row>
    <row r="97" spans="1:4" ht="14.65" thickBot="1">
      <c r="A97" s="12">
        <v>97</v>
      </c>
      <c r="B97" s="64" t="s">
        <v>163</v>
      </c>
      <c r="C97" s="74" t="s">
        <v>156</v>
      </c>
      <c r="D97" s="7" t="s">
        <v>7</v>
      </c>
    </row>
    <row r="98" spans="1:4" ht="14.65" thickBot="1">
      <c r="A98" s="12">
        <v>98</v>
      </c>
      <c r="B98" s="64" t="s">
        <v>164</v>
      </c>
      <c r="C98" s="74" t="s">
        <v>165</v>
      </c>
      <c r="D98" s="7" t="s">
        <v>7115</v>
      </c>
    </row>
    <row r="99" spans="1:4" ht="14.65" thickBot="1">
      <c r="A99" s="12">
        <v>99</v>
      </c>
      <c r="B99" s="64" t="s">
        <v>166</v>
      </c>
      <c r="C99" s="74" t="s">
        <v>167</v>
      </c>
      <c r="D99" s="7" t="s">
        <v>7</v>
      </c>
    </row>
    <row r="100" spans="1:4" ht="13.05" customHeight="1" thickBot="1">
      <c r="A100" s="12">
        <v>100</v>
      </c>
      <c r="B100" s="64" t="s">
        <v>168</v>
      </c>
      <c r="C100" s="74" t="s">
        <v>169</v>
      </c>
      <c r="D100" s="7" t="s">
        <v>7</v>
      </c>
    </row>
    <row r="101" spans="1:4" ht="14.65" thickBot="1">
      <c r="A101" s="12">
        <v>101</v>
      </c>
      <c r="B101" s="64" t="s">
        <v>170</v>
      </c>
      <c r="C101" s="74" t="s">
        <v>171</v>
      </c>
      <c r="D101" s="7" t="s">
        <v>7</v>
      </c>
    </row>
    <row r="102" spans="1:4" ht="13.05" customHeight="1" thickBot="1">
      <c r="A102" s="12">
        <v>102</v>
      </c>
      <c r="B102" s="64" t="s">
        <v>172</v>
      </c>
      <c r="C102" s="74" t="s">
        <v>6</v>
      </c>
      <c r="D102" s="7" t="s">
        <v>7</v>
      </c>
    </row>
    <row r="103" spans="1:4" ht="15" customHeight="1" thickBot="1">
      <c r="A103" s="13">
        <v>103</v>
      </c>
      <c r="B103" s="65" t="s">
        <v>173</v>
      </c>
      <c r="C103" s="75" t="s">
        <v>58</v>
      </c>
      <c r="D103" s="14" t="s">
        <v>53</v>
      </c>
    </row>
    <row r="104" spans="1:4" ht="14.65" thickBot="1">
      <c r="A104" s="12">
        <v>104</v>
      </c>
      <c r="B104" s="64" t="s">
        <v>174</v>
      </c>
      <c r="C104" s="74" t="s">
        <v>111</v>
      </c>
      <c r="D104" s="7" t="s">
        <v>7</v>
      </c>
    </row>
    <row r="105" spans="1:4" ht="13.15" thickBot="1">
      <c r="A105" s="13">
        <v>105</v>
      </c>
      <c r="B105" s="65" t="s">
        <v>175</v>
      </c>
      <c r="C105" s="75" t="s">
        <v>58</v>
      </c>
      <c r="D105" s="14" t="s">
        <v>53</v>
      </c>
    </row>
    <row r="106" spans="1:4" ht="13.05" customHeight="1" thickBot="1">
      <c r="A106" s="12">
        <v>106</v>
      </c>
      <c r="B106" s="64" t="s">
        <v>176</v>
      </c>
      <c r="C106" s="74" t="s">
        <v>177</v>
      </c>
      <c r="D106" s="7" t="s">
        <v>7</v>
      </c>
    </row>
    <row r="107" spans="1:4" ht="14.65" thickBot="1">
      <c r="A107" s="6">
        <v>107</v>
      </c>
      <c r="B107" s="64" t="s">
        <v>178</v>
      </c>
      <c r="C107" s="74" t="s">
        <v>26</v>
      </c>
      <c r="D107" s="7" t="s">
        <v>7</v>
      </c>
    </row>
    <row r="108" spans="1:4" ht="15" customHeight="1" thickBot="1">
      <c r="A108" s="13">
        <v>108</v>
      </c>
      <c r="B108" s="65" t="s">
        <v>179</v>
      </c>
      <c r="C108" s="75" t="s">
        <v>58</v>
      </c>
      <c r="D108" s="14" t="s">
        <v>53</v>
      </c>
    </row>
    <row r="109" spans="1:4" ht="13.15" thickBot="1">
      <c r="A109" s="13">
        <v>109</v>
      </c>
      <c r="B109" s="65" t="s">
        <v>7077</v>
      </c>
      <c r="C109" s="75" t="s">
        <v>58</v>
      </c>
      <c r="D109" s="14" t="s">
        <v>53</v>
      </c>
    </row>
    <row r="110" spans="1:4" ht="13.05" customHeight="1" thickBot="1">
      <c r="A110" s="12">
        <v>110</v>
      </c>
      <c r="B110" s="64" t="s">
        <v>181</v>
      </c>
      <c r="C110" s="74" t="s">
        <v>182</v>
      </c>
      <c r="D110" s="7" t="s">
        <v>7</v>
      </c>
    </row>
    <row r="111" spans="1:4" ht="14.65" thickBot="1">
      <c r="A111" s="12">
        <v>111</v>
      </c>
      <c r="B111" s="64" t="s">
        <v>183</v>
      </c>
      <c r="C111" s="74" t="s">
        <v>184</v>
      </c>
      <c r="D111" s="7" t="s">
        <v>7</v>
      </c>
    </row>
    <row r="112" spans="1:4" ht="13.15" thickBot="1">
      <c r="A112" s="13">
        <v>112</v>
      </c>
      <c r="B112" s="65" t="s">
        <v>185</v>
      </c>
      <c r="C112" s="75" t="s">
        <v>186</v>
      </c>
      <c r="D112" s="14" t="s">
        <v>7090</v>
      </c>
    </row>
    <row r="113" spans="1:4" ht="15" customHeight="1" thickBot="1">
      <c r="A113" s="13">
        <v>113</v>
      </c>
      <c r="B113" s="65" t="s">
        <v>187</v>
      </c>
      <c r="C113" s="75" t="s">
        <v>186</v>
      </c>
      <c r="D113" s="14" t="s">
        <v>7090</v>
      </c>
    </row>
    <row r="114" spans="1:4" ht="13.05" customHeight="1" thickBot="1">
      <c r="A114" s="12">
        <v>115</v>
      </c>
      <c r="B114" s="64" t="s">
        <v>189</v>
      </c>
      <c r="C114" s="74" t="s">
        <v>50</v>
      </c>
      <c r="D114" s="7" t="s">
        <v>7</v>
      </c>
    </row>
    <row r="115" spans="1:4" ht="13.15" thickBot="1">
      <c r="A115" s="13">
        <v>116</v>
      </c>
      <c r="B115" s="65" t="s">
        <v>190</v>
      </c>
      <c r="C115" s="75" t="s">
        <v>186</v>
      </c>
      <c r="D115" s="14" t="s">
        <v>53</v>
      </c>
    </row>
    <row r="116" spans="1:4" ht="13.05" customHeight="1" thickBot="1">
      <c r="A116" s="12">
        <v>117</v>
      </c>
      <c r="B116" s="64" t="s">
        <v>191</v>
      </c>
      <c r="C116" s="74" t="s">
        <v>192</v>
      </c>
      <c r="D116" s="7" t="s">
        <v>7</v>
      </c>
    </row>
    <row r="117" spans="1:4" ht="13.15" thickBot="1">
      <c r="A117" s="13">
        <v>118</v>
      </c>
      <c r="B117" s="65" t="s">
        <v>193</v>
      </c>
      <c r="C117" s="75" t="s">
        <v>186</v>
      </c>
      <c r="D117" s="14" t="s">
        <v>7090</v>
      </c>
    </row>
    <row r="118" spans="1:4" ht="15" customHeight="1" thickBot="1">
      <c r="A118" s="13">
        <v>119</v>
      </c>
      <c r="B118" s="66" t="s">
        <v>194</v>
      </c>
      <c r="C118" s="75" t="s">
        <v>186</v>
      </c>
      <c r="D118" s="14" t="s">
        <v>53</v>
      </c>
    </row>
    <row r="119" spans="1:4" ht="13.15" thickBot="1">
      <c r="A119" s="13">
        <v>120</v>
      </c>
      <c r="B119" s="65" t="s">
        <v>195</v>
      </c>
      <c r="C119" s="75" t="s">
        <v>186</v>
      </c>
      <c r="D119" s="14" t="s">
        <v>53</v>
      </c>
    </row>
    <row r="120" spans="1:4" ht="13.15" thickBot="1">
      <c r="A120" s="13">
        <v>121</v>
      </c>
      <c r="B120" s="65" t="s">
        <v>196</v>
      </c>
      <c r="C120" s="75" t="s">
        <v>186</v>
      </c>
      <c r="D120" s="14" t="s">
        <v>7090</v>
      </c>
    </row>
    <row r="121" spans="1:4" ht="14.65" thickBot="1">
      <c r="A121" s="6">
        <v>122</v>
      </c>
      <c r="B121" s="64" t="s">
        <v>197</v>
      </c>
      <c r="C121" s="74" t="s">
        <v>184</v>
      </c>
      <c r="D121" s="7" t="s">
        <v>7</v>
      </c>
    </row>
    <row r="122" spans="1:4" ht="15" customHeight="1" thickBot="1">
      <c r="A122" s="13">
        <v>123</v>
      </c>
      <c r="B122" s="65" t="s">
        <v>198</v>
      </c>
      <c r="C122" s="75" t="s">
        <v>186</v>
      </c>
      <c r="D122" s="14" t="s">
        <v>53</v>
      </c>
    </row>
    <row r="123" spans="1:4" ht="15" customHeight="1" thickBot="1">
      <c r="A123" s="13">
        <v>124</v>
      </c>
      <c r="B123" s="65" t="s">
        <v>7085</v>
      </c>
      <c r="C123" s="75" t="s">
        <v>186</v>
      </c>
      <c r="D123" s="14" t="s">
        <v>7090</v>
      </c>
    </row>
    <row r="124" spans="1:4" ht="14.65" thickBot="1">
      <c r="A124" s="6">
        <v>125</v>
      </c>
      <c r="B124" s="64" t="s">
        <v>199</v>
      </c>
      <c r="C124" s="74" t="s">
        <v>200</v>
      </c>
      <c r="D124" s="7" t="s">
        <v>7</v>
      </c>
    </row>
    <row r="125" spans="1:4" ht="14.65" thickBot="1">
      <c r="A125" s="6">
        <v>126</v>
      </c>
      <c r="B125" s="64" t="s">
        <v>201</v>
      </c>
      <c r="C125" s="74" t="s">
        <v>37</v>
      </c>
      <c r="D125" s="7" t="s">
        <v>7</v>
      </c>
    </row>
    <row r="126" spans="1:4" ht="14.65" thickBot="1">
      <c r="A126" s="12">
        <v>127</v>
      </c>
      <c r="B126" s="64" t="s">
        <v>202</v>
      </c>
      <c r="C126" s="74" t="s">
        <v>37</v>
      </c>
      <c r="D126" s="7" t="s">
        <v>7</v>
      </c>
    </row>
    <row r="127" spans="1:4" ht="13.05" customHeight="1" thickBot="1">
      <c r="A127" s="12">
        <v>128</v>
      </c>
      <c r="B127" s="64" t="s">
        <v>203</v>
      </c>
      <c r="C127" s="74" t="s">
        <v>37</v>
      </c>
      <c r="D127" s="7" t="s">
        <v>7</v>
      </c>
    </row>
    <row r="128" spans="1:4" ht="13.05" customHeight="1" thickBot="1">
      <c r="A128" s="12">
        <v>129</v>
      </c>
      <c r="B128" s="64" t="s">
        <v>204</v>
      </c>
      <c r="C128" s="74" t="s">
        <v>37</v>
      </c>
      <c r="D128" s="7" t="s">
        <v>7</v>
      </c>
    </row>
    <row r="129" spans="1:4" ht="13.05" customHeight="1" thickBot="1">
      <c r="A129" s="12">
        <v>130</v>
      </c>
      <c r="B129" s="64" t="s">
        <v>205</v>
      </c>
      <c r="C129" s="74" t="s">
        <v>37</v>
      </c>
      <c r="D129" s="7" t="s">
        <v>7</v>
      </c>
    </row>
    <row r="130" spans="1:4" ht="15" customHeight="1" thickBot="1">
      <c r="A130" s="13">
        <v>131</v>
      </c>
      <c r="B130" s="65" t="s">
        <v>206</v>
      </c>
      <c r="C130" s="75" t="s">
        <v>186</v>
      </c>
      <c r="D130" s="14" t="s">
        <v>7090</v>
      </c>
    </row>
    <row r="131" spans="1:4" ht="13.15" thickBot="1">
      <c r="A131" s="13">
        <v>132</v>
      </c>
      <c r="B131" s="65" t="s">
        <v>207</v>
      </c>
      <c r="C131" s="75" t="s">
        <v>186</v>
      </c>
      <c r="D131" s="14" t="s">
        <v>53</v>
      </c>
    </row>
    <row r="132" spans="1:4" ht="15" customHeight="1" thickBot="1">
      <c r="A132" s="13">
        <v>133</v>
      </c>
      <c r="B132" s="65" t="s">
        <v>208</v>
      </c>
      <c r="C132" s="75" t="s">
        <v>186</v>
      </c>
      <c r="D132" s="14" t="s">
        <v>53</v>
      </c>
    </row>
    <row r="133" spans="1:4" ht="14.65" thickBot="1">
      <c r="A133" s="6">
        <v>134</v>
      </c>
      <c r="B133" s="64" t="s">
        <v>209</v>
      </c>
      <c r="C133" s="74" t="s">
        <v>210</v>
      </c>
      <c r="D133" s="7" t="s">
        <v>7</v>
      </c>
    </row>
    <row r="134" spans="1:4" ht="15" customHeight="1" thickBot="1">
      <c r="A134" s="13">
        <v>135</v>
      </c>
      <c r="B134" s="65" t="s">
        <v>211</v>
      </c>
      <c r="C134" s="75" t="s">
        <v>186</v>
      </c>
      <c r="D134" s="14" t="s">
        <v>53</v>
      </c>
    </row>
    <row r="135" spans="1:4" ht="14.65" thickBot="1">
      <c r="A135" s="12">
        <v>136</v>
      </c>
      <c r="B135" s="64" t="s">
        <v>212</v>
      </c>
      <c r="C135" s="74" t="s">
        <v>213</v>
      </c>
      <c r="D135" s="7" t="s">
        <v>7</v>
      </c>
    </row>
    <row r="136" spans="1:4" ht="13.05" customHeight="1" thickBot="1">
      <c r="A136" s="12">
        <v>137</v>
      </c>
      <c r="B136" s="64" t="s">
        <v>214</v>
      </c>
      <c r="C136" s="74" t="s">
        <v>213</v>
      </c>
      <c r="D136" s="7" t="s">
        <v>7</v>
      </c>
    </row>
    <row r="137" spans="1:4" ht="14.65" thickBot="1">
      <c r="A137" s="6">
        <v>138</v>
      </c>
      <c r="B137" s="64" t="s">
        <v>215</v>
      </c>
      <c r="C137" s="74" t="s">
        <v>213</v>
      </c>
      <c r="D137" s="7" t="s">
        <v>7</v>
      </c>
    </row>
    <row r="138" spans="1:4" ht="14.65" thickBot="1">
      <c r="A138" s="6">
        <v>139</v>
      </c>
      <c r="B138" s="64" t="s">
        <v>216</v>
      </c>
      <c r="C138" s="74" t="s">
        <v>217</v>
      </c>
      <c r="D138" s="7" t="s">
        <v>7</v>
      </c>
    </row>
    <row r="139" spans="1:4" ht="15" customHeight="1" thickBot="1">
      <c r="A139" s="13">
        <v>140</v>
      </c>
      <c r="B139" s="65" t="s">
        <v>188</v>
      </c>
      <c r="C139" s="75" t="s">
        <v>186</v>
      </c>
      <c r="D139" s="14" t="s">
        <v>7090</v>
      </c>
    </row>
    <row r="140" spans="1:4" ht="14.65" thickBot="1">
      <c r="A140" s="6">
        <v>141</v>
      </c>
      <c r="B140" s="64" t="s">
        <v>218</v>
      </c>
      <c r="C140" s="74" t="s">
        <v>40</v>
      </c>
      <c r="D140" s="7" t="s">
        <v>7</v>
      </c>
    </row>
    <row r="141" spans="1:4" ht="14.65" thickBot="1">
      <c r="A141" s="6">
        <v>142</v>
      </c>
      <c r="B141" s="64" t="s">
        <v>219</v>
      </c>
      <c r="C141" s="74" t="s">
        <v>40</v>
      </c>
      <c r="D141" s="7" t="s">
        <v>7</v>
      </c>
    </row>
    <row r="142" spans="1:4" ht="14.65" thickBot="1">
      <c r="A142" s="6">
        <v>143</v>
      </c>
      <c r="B142" s="64" t="s">
        <v>220</v>
      </c>
      <c r="C142" s="74" t="s">
        <v>40</v>
      </c>
      <c r="D142" s="7" t="s">
        <v>7</v>
      </c>
    </row>
    <row r="143" spans="1:4" ht="14.65" thickBot="1">
      <c r="A143" s="6">
        <v>144</v>
      </c>
      <c r="B143" s="64" t="s">
        <v>221</v>
      </c>
      <c r="C143" s="74" t="s">
        <v>94</v>
      </c>
      <c r="D143" s="7" t="s">
        <v>7</v>
      </c>
    </row>
    <row r="144" spans="1:4" ht="14.65" thickBot="1">
      <c r="A144" s="6">
        <v>145</v>
      </c>
      <c r="B144" s="64" t="s">
        <v>222</v>
      </c>
      <c r="C144" s="74" t="s">
        <v>223</v>
      </c>
      <c r="D144" s="7" t="s">
        <v>7</v>
      </c>
    </row>
    <row r="145" spans="1:4" ht="14.65" thickBot="1">
      <c r="A145" s="6">
        <v>146</v>
      </c>
      <c r="B145" s="64" t="s">
        <v>224</v>
      </c>
      <c r="C145" s="74" t="s">
        <v>94</v>
      </c>
      <c r="D145" s="7" t="s">
        <v>7</v>
      </c>
    </row>
    <row r="146" spans="1:4" ht="14.65" thickBot="1">
      <c r="A146" s="6">
        <v>147</v>
      </c>
      <c r="B146" s="64" t="s">
        <v>225</v>
      </c>
      <c r="C146" s="74" t="s">
        <v>94</v>
      </c>
      <c r="D146" s="7" t="s">
        <v>7</v>
      </c>
    </row>
    <row r="147" spans="1:4" ht="14.65" thickBot="1">
      <c r="A147" s="6">
        <v>148</v>
      </c>
      <c r="B147" s="64" t="s">
        <v>226</v>
      </c>
      <c r="C147" s="74" t="s">
        <v>26</v>
      </c>
      <c r="D147" s="7" t="s">
        <v>7</v>
      </c>
    </row>
    <row r="148" spans="1:4" ht="14.65" thickBot="1">
      <c r="A148" s="6">
        <v>149</v>
      </c>
      <c r="B148" s="64" t="s">
        <v>227</v>
      </c>
      <c r="C148" s="74" t="s">
        <v>228</v>
      </c>
      <c r="D148" s="7" t="s">
        <v>7</v>
      </c>
    </row>
    <row r="149" spans="1:4" ht="14.65" thickBot="1">
      <c r="A149" s="6">
        <v>150</v>
      </c>
      <c r="B149" s="64" t="s">
        <v>229</v>
      </c>
      <c r="C149" s="74" t="s">
        <v>230</v>
      </c>
      <c r="D149" s="7" t="s">
        <v>7</v>
      </c>
    </row>
    <row r="150" spans="1:4" ht="14.65" thickBot="1">
      <c r="A150" s="6">
        <v>151</v>
      </c>
      <c r="B150" s="64" t="s">
        <v>231</v>
      </c>
      <c r="C150" s="74" t="s">
        <v>232</v>
      </c>
      <c r="D150" s="7" t="s">
        <v>7</v>
      </c>
    </row>
    <row r="151" spans="1:4" ht="14.65" thickBot="1">
      <c r="A151" s="6">
        <v>152</v>
      </c>
      <c r="B151" s="64" t="s">
        <v>233</v>
      </c>
      <c r="C151" s="74" t="s">
        <v>96</v>
      </c>
      <c r="D151" s="7" t="s">
        <v>7</v>
      </c>
    </row>
    <row r="152" spans="1:4" ht="14.65" thickBot="1">
      <c r="A152" s="6">
        <v>153</v>
      </c>
      <c r="B152" s="64" t="s">
        <v>234</v>
      </c>
      <c r="C152" s="74" t="s">
        <v>235</v>
      </c>
      <c r="D152" s="7" t="s">
        <v>7</v>
      </c>
    </row>
    <row r="153" spans="1:4" ht="14.65" thickBot="1">
      <c r="A153" s="6">
        <v>154</v>
      </c>
      <c r="B153" s="64" t="s">
        <v>236</v>
      </c>
      <c r="C153" s="74" t="s">
        <v>237</v>
      </c>
      <c r="D153" s="7" t="s">
        <v>7</v>
      </c>
    </row>
    <row r="154" spans="1:4" ht="14.65" thickBot="1">
      <c r="A154" s="6">
        <v>155</v>
      </c>
      <c r="B154" s="64" t="s">
        <v>238</v>
      </c>
      <c r="C154" s="74" t="s">
        <v>235</v>
      </c>
      <c r="D154" s="7" t="s">
        <v>7</v>
      </c>
    </row>
    <row r="155" spans="1:4" ht="14.65" thickBot="1">
      <c r="A155" s="12">
        <v>156</v>
      </c>
      <c r="B155" s="64" t="s">
        <v>239</v>
      </c>
      <c r="C155" s="74" t="s">
        <v>240</v>
      </c>
      <c r="D155" s="7" t="s">
        <v>7</v>
      </c>
    </row>
    <row r="156" spans="1:4" ht="14.65" thickBot="1">
      <c r="A156" s="6">
        <v>157</v>
      </c>
      <c r="B156" s="64" t="s">
        <v>241</v>
      </c>
      <c r="C156" s="74" t="s">
        <v>89</v>
      </c>
      <c r="D156" s="7" t="s">
        <v>7</v>
      </c>
    </row>
    <row r="157" spans="1:4" ht="14.65" thickBot="1">
      <c r="A157" s="6">
        <v>158</v>
      </c>
      <c r="B157" s="64" t="s">
        <v>242</v>
      </c>
      <c r="C157" s="74" t="s">
        <v>240</v>
      </c>
      <c r="D157" s="7" t="s">
        <v>7</v>
      </c>
    </row>
    <row r="158" spans="1:4" ht="14.65" thickBot="1">
      <c r="A158" s="6">
        <v>159</v>
      </c>
      <c r="B158" s="64" t="s">
        <v>243</v>
      </c>
      <c r="C158" s="74" t="s">
        <v>244</v>
      </c>
      <c r="D158" s="7" t="s">
        <v>7</v>
      </c>
    </row>
    <row r="159" spans="1:4" ht="14.65" thickBot="1">
      <c r="A159" s="6">
        <v>160</v>
      </c>
      <c r="B159" s="64" t="s">
        <v>245</v>
      </c>
      <c r="C159" s="74" t="s">
        <v>246</v>
      </c>
      <c r="D159" s="7" t="s">
        <v>7</v>
      </c>
    </row>
    <row r="160" spans="1:4" ht="14.65" thickBot="1">
      <c r="A160" s="6">
        <v>161</v>
      </c>
      <c r="B160" s="64" t="s">
        <v>247</v>
      </c>
      <c r="C160" s="74" t="s">
        <v>240</v>
      </c>
      <c r="D160" s="7" t="s">
        <v>7</v>
      </c>
    </row>
    <row r="161" spans="1:4" ht="14.65" thickBot="1">
      <c r="A161" s="6">
        <v>162</v>
      </c>
      <c r="B161" s="64" t="s">
        <v>248</v>
      </c>
      <c r="C161" s="74" t="s">
        <v>119</v>
      </c>
      <c r="D161" s="7" t="s">
        <v>7</v>
      </c>
    </row>
    <row r="162" spans="1:4" ht="14.65" thickBot="1">
      <c r="A162" s="6">
        <v>163</v>
      </c>
      <c r="B162" s="64" t="s">
        <v>249</v>
      </c>
      <c r="C162" s="74" t="s">
        <v>240</v>
      </c>
      <c r="D162" s="7" t="s">
        <v>7</v>
      </c>
    </row>
    <row r="163" spans="1:4" ht="14.65" thickBot="1">
      <c r="A163" s="12">
        <v>164</v>
      </c>
      <c r="B163" s="64" t="s">
        <v>250</v>
      </c>
      <c r="C163" s="74" t="s">
        <v>251</v>
      </c>
      <c r="D163" s="7" t="s">
        <v>7</v>
      </c>
    </row>
    <row r="164" spans="1:4" ht="13.05" customHeight="1" thickBot="1">
      <c r="A164" s="12">
        <v>165</v>
      </c>
      <c r="B164" s="64" t="s">
        <v>252</v>
      </c>
      <c r="C164" s="74" t="s">
        <v>21</v>
      </c>
      <c r="D164" s="7" t="s">
        <v>7</v>
      </c>
    </row>
    <row r="165" spans="1:4" ht="14.65" thickBot="1">
      <c r="A165" s="12">
        <v>166</v>
      </c>
      <c r="B165" s="64" t="s">
        <v>253</v>
      </c>
      <c r="C165" s="74" t="s">
        <v>184</v>
      </c>
      <c r="D165" s="7" t="s">
        <v>7</v>
      </c>
    </row>
    <row r="166" spans="1:4" ht="14.65" thickBot="1">
      <c r="A166" s="6">
        <v>167</v>
      </c>
      <c r="B166" s="64" t="s">
        <v>254</v>
      </c>
      <c r="C166" s="74" t="s">
        <v>154</v>
      </c>
      <c r="D166" s="7" t="s">
        <v>7</v>
      </c>
    </row>
    <row r="167" spans="1:4" ht="15" customHeight="1" thickBot="1">
      <c r="A167" s="13">
        <v>168</v>
      </c>
      <c r="B167" s="65" t="s">
        <v>255</v>
      </c>
      <c r="C167" s="75" t="s">
        <v>256</v>
      </c>
      <c r="D167" s="14" t="s">
        <v>53</v>
      </c>
    </row>
    <row r="168" spans="1:4" ht="14.65" thickBot="1">
      <c r="A168" s="6">
        <v>169</v>
      </c>
      <c r="B168" s="64" t="s">
        <v>257</v>
      </c>
      <c r="C168" s="74" t="s">
        <v>138</v>
      </c>
      <c r="D168" s="7" t="s">
        <v>7</v>
      </c>
    </row>
    <row r="169" spans="1:4" ht="14.65" thickBot="1">
      <c r="A169" s="6">
        <v>170</v>
      </c>
      <c r="B169" s="64" t="s">
        <v>258</v>
      </c>
      <c r="C169" s="74" t="s">
        <v>259</v>
      </c>
      <c r="D169" s="7" t="s">
        <v>7</v>
      </c>
    </row>
    <row r="170" spans="1:4" ht="14.65" thickBot="1">
      <c r="A170" s="12">
        <v>171</v>
      </c>
      <c r="B170" s="64" t="s">
        <v>260</v>
      </c>
      <c r="C170" s="74" t="s">
        <v>91</v>
      </c>
      <c r="D170" s="7" t="s">
        <v>7</v>
      </c>
    </row>
    <row r="171" spans="1:4" ht="14.65" thickBot="1">
      <c r="A171" s="6">
        <v>172</v>
      </c>
      <c r="B171" s="64" t="s">
        <v>261</v>
      </c>
      <c r="C171" s="74" t="s">
        <v>131</v>
      </c>
      <c r="D171" s="7" t="s">
        <v>7</v>
      </c>
    </row>
    <row r="172" spans="1:4" ht="14.65" thickBot="1">
      <c r="A172" s="6">
        <v>173</v>
      </c>
      <c r="B172" s="64" t="s">
        <v>262</v>
      </c>
      <c r="C172" s="74" t="s">
        <v>156</v>
      </c>
      <c r="D172" s="7" t="s">
        <v>7</v>
      </c>
    </row>
    <row r="173" spans="1:4" ht="14.65" thickBot="1">
      <c r="A173" s="6">
        <v>174</v>
      </c>
      <c r="B173" s="64" t="s">
        <v>263</v>
      </c>
      <c r="C173" s="74" t="s">
        <v>264</v>
      </c>
      <c r="D173" s="7" t="s">
        <v>7110</v>
      </c>
    </row>
    <row r="174" spans="1:4" ht="14.65" thickBot="1">
      <c r="A174" s="12">
        <v>175</v>
      </c>
      <c r="B174" s="64" t="s">
        <v>265</v>
      </c>
      <c r="C174" s="74" t="s">
        <v>266</v>
      </c>
      <c r="D174" s="7" t="s">
        <v>7</v>
      </c>
    </row>
    <row r="175" spans="1:4" ht="14.65" thickBot="1">
      <c r="A175" s="6">
        <v>176</v>
      </c>
      <c r="B175" s="64" t="s">
        <v>267</v>
      </c>
      <c r="C175" s="74" t="s">
        <v>119</v>
      </c>
      <c r="D175" s="7" t="s">
        <v>7</v>
      </c>
    </row>
    <row r="176" spans="1:4" ht="14.65" thickBot="1">
      <c r="A176" s="12">
        <v>177</v>
      </c>
      <c r="B176" s="64" t="s">
        <v>268</v>
      </c>
      <c r="C176" s="74" t="s">
        <v>269</v>
      </c>
      <c r="D176" s="7" t="s">
        <v>7</v>
      </c>
    </row>
    <row r="177" spans="1:4" ht="14.65" thickBot="1">
      <c r="A177" s="6">
        <v>178</v>
      </c>
      <c r="B177" s="64" t="s">
        <v>270</v>
      </c>
      <c r="C177" s="74" t="s">
        <v>271</v>
      </c>
      <c r="D177" s="7" t="s">
        <v>7</v>
      </c>
    </row>
    <row r="178" spans="1:4" ht="14.65" thickBot="1">
      <c r="A178" s="6">
        <v>179</v>
      </c>
      <c r="B178" s="64" t="s">
        <v>272</v>
      </c>
      <c r="C178" s="74" t="s">
        <v>269</v>
      </c>
      <c r="D178" s="7" t="s">
        <v>7</v>
      </c>
    </row>
    <row r="179" spans="1:4" ht="14.65" thickBot="1">
      <c r="A179" s="6">
        <v>180</v>
      </c>
      <c r="B179" s="64" t="s">
        <v>273</v>
      </c>
      <c r="C179" s="74" t="s">
        <v>167</v>
      </c>
      <c r="D179" s="7" t="s">
        <v>7110</v>
      </c>
    </row>
    <row r="180" spans="1:4" ht="14.65" thickBot="1">
      <c r="A180" s="6">
        <v>181</v>
      </c>
      <c r="B180" s="64" t="s">
        <v>274</v>
      </c>
      <c r="C180" s="74" t="s">
        <v>138</v>
      </c>
      <c r="D180" s="7" t="s">
        <v>7</v>
      </c>
    </row>
    <row r="181" spans="1:4" ht="14.65" thickBot="1">
      <c r="A181" s="12">
        <v>182</v>
      </c>
      <c r="B181" s="64" t="s">
        <v>275</v>
      </c>
      <c r="C181" s="74" t="s">
        <v>276</v>
      </c>
      <c r="D181" s="7" t="s">
        <v>7</v>
      </c>
    </row>
    <row r="182" spans="1:4" ht="14.65" thickBot="1">
      <c r="A182" s="12">
        <v>183</v>
      </c>
      <c r="B182" s="64" t="s">
        <v>277</v>
      </c>
      <c r="C182" s="74" t="s">
        <v>269</v>
      </c>
      <c r="D182" s="7" t="s">
        <v>7</v>
      </c>
    </row>
    <row r="183" spans="1:4" ht="14.65" thickBot="1">
      <c r="A183" s="12">
        <v>184</v>
      </c>
      <c r="B183" s="64" t="s">
        <v>278</v>
      </c>
      <c r="C183" s="74" t="s">
        <v>244</v>
      </c>
      <c r="D183" s="7" t="s">
        <v>7</v>
      </c>
    </row>
    <row r="184" spans="1:4" ht="14.65" thickBot="1">
      <c r="A184" s="6">
        <v>185</v>
      </c>
      <c r="B184" s="64" t="s">
        <v>279</v>
      </c>
      <c r="C184" s="74" t="s">
        <v>167</v>
      </c>
      <c r="D184" s="7" t="s">
        <v>7</v>
      </c>
    </row>
    <row r="185" spans="1:4" ht="14.65" thickBot="1">
      <c r="A185" s="6">
        <v>186</v>
      </c>
      <c r="B185" s="64" t="s">
        <v>280</v>
      </c>
      <c r="C185" s="74" t="s">
        <v>281</v>
      </c>
      <c r="D185" s="7" t="s">
        <v>7</v>
      </c>
    </row>
    <row r="186" spans="1:4" ht="14.65" thickBot="1">
      <c r="A186" s="6">
        <v>187</v>
      </c>
      <c r="B186" s="64" t="s">
        <v>282</v>
      </c>
      <c r="C186" s="74" t="s">
        <v>283</v>
      </c>
      <c r="D186" s="7" t="s">
        <v>7</v>
      </c>
    </row>
    <row r="187" spans="1:4" ht="14.65" thickBot="1">
      <c r="A187" s="6">
        <v>188</v>
      </c>
      <c r="B187" s="64" t="s">
        <v>284</v>
      </c>
      <c r="C187" s="74" t="s">
        <v>285</v>
      </c>
      <c r="D187" s="7" t="s">
        <v>7</v>
      </c>
    </row>
    <row r="188" spans="1:4" ht="14.65" thickBot="1">
      <c r="A188" s="6">
        <v>189</v>
      </c>
      <c r="B188" s="64" t="s">
        <v>286</v>
      </c>
      <c r="C188" s="74" t="s">
        <v>287</v>
      </c>
      <c r="D188" s="7" t="s">
        <v>7</v>
      </c>
    </row>
    <row r="189" spans="1:4" ht="14.65" thickBot="1">
      <c r="A189" s="6">
        <v>190</v>
      </c>
      <c r="B189" s="64" t="s">
        <v>288</v>
      </c>
      <c r="C189" s="74" t="s">
        <v>210</v>
      </c>
      <c r="D189" s="7" t="s">
        <v>7</v>
      </c>
    </row>
    <row r="190" spans="1:4" ht="14.65" thickBot="1">
      <c r="A190" s="6">
        <v>191</v>
      </c>
      <c r="B190" s="64" t="s">
        <v>289</v>
      </c>
      <c r="C190" s="74" t="s">
        <v>192</v>
      </c>
      <c r="D190" s="7" t="s">
        <v>7</v>
      </c>
    </row>
    <row r="191" spans="1:4" ht="14.65" thickBot="1">
      <c r="A191" s="6">
        <v>192</v>
      </c>
      <c r="B191" s="64" t="s">
        <v>290</v>
      </c>
      <c r="C191" s="74" t="s">
        <v>291</v>
      </c>
      <c r="D191" s="7" t="s">
        <v>7</v>
      </c>
    </row>
    <row r="192" spans="1:4" ht="14.65" thickBot="1">
      <c r="A192" s="6">
        <v>193</v>
      </c>
      <c r="B192" s="64" t="s">
        <v>292</v>
      </c>
      <c r="C192" s="74" t="s">
        <v>293</v>
      </c>
      <c r="D192" s="7" t="s">
        <v>7</v>
      </c>
    </row>
    <row r="193" spans="1:4" ht="14.65" thickBot="1">
      <c r="A193" s="6">
        <v>194</v>
      </c>
      <c r="B193" s="64" t="s">
        <v>294</v>
      </c>
      <c r="C193" s="74" t="s">
        <v>37</v>
      </c>
      <c r="D193" s="7" t="s">
        <v>7</v>
      </c>
    </row>
    <row r="194" spans="1:4" ht="14.65" thickBot="1">
      <c r="A194" s="12">
        <v>195</v>
      </c>
      <c r="B194" s="64" t="s">
        <v>295</v>
      </c>
      <c r="C194" s="74" t="s">
        <v>192</v>
      </c>
      <c r="D194" s="7" t="s">
        <v>7</v>
      </c>
    </row>
    <row r="195" spans="1:4" ht="14.65" thickBot="1">
      <c r="A195" s="6">
        <v>196</v>
      </c>
      <c r="B195" s="64" t="s">
        <v>296</v>
      </c>
      <c r="C195" s="74" t="s">
        <v>297</v>
      </c>
      <c r="D195" s="7" t="s">
        <v>7</v>
      </c>
    </row>
    <row r="196" spans="1:4" ht="14.65" thickBot="1">
      <c r="A196" s="6">
        <v>197</v>
      </c>
      <c r="B196" s="64" t="s">
        <v>298</v>
      </c>
      <c r="C196" s="74" t="s">
        <v>297</v>
      </c>
      <c r="D196" s="7" t="s">
        <v>7</v>
      </c>
    </row>
    <row r="197" spans="1:4" ht="14.65" thickBot="1">
      <c r="A197" s="12">
        <v>198</v>
      </c>
      <c r="B197" s="64" t="s">
        <v>299</v>
      </c>
      <c r="C197" s="74" t="s">
        <v>300</v>
      </c>
      <c r="D197" s="7" t="s">
        <v>7</v>
      </c>
    </row>
    <row r="198" spans="1:4" ht="14.65" thickBot="1">
      <c r="A198" s="6">
        <v>199</v>
      </c>
      <c r="B198" s="64" t="s">
        <v>301</v>
      </c>
      <c r="C198" s="74" t="s">
        <v>182</v>
      </c>
      <c r="D198" s="7" t="s">
        <v>7</v>
      </c>
    </row>
    <row r="199" spans="1:4" ht="14.65" thickBot="1">
      <c r="A199" s="6">
        <v>200</v>
      </c>
      <c r="B199" s="64" t="s">
        <v>302</v>
      </c>
      <c r="C199" s="74" t="s">
        <v>297</v>
      </c>
      <c r="D199" s="7" t="s">
        <v>7</v>
      </c>
    </row>
    <row r="200" spans="1:4" ht="13.05" customHeight="1" thickBot="1">
      <c r="A200" s="12">
        <v>201</v>
      </c>
      <c r="B200" s="64" t="s">
        <v>303</v>
      </c>
      <c r="C200" s="74" t="s">
        <v>304</v>
      </c>
      <c r="D200" s="7" t="s">
        <v>7</v>
      </c>
    </row>
    <row r="201" spans="1:4" ht="14.65" thickBot="1">
      <c r="A201" s="6">
        <v>202</v>
      </c>
      <c r="B201" s="64" t="s">
        <v>305</v>
      </c>
      <c r="C201" s="74" t="s">
        <v>306</v>
      </c>
      <c r="D201" s="7" t="s">
        <v>7</v>
      </c>
    </row>
    <row r="202" spans="1:4" ht="14.65" thickBot="1">
      <c r="A202" s="6">
        <v>203</v>
      </c>
      <c r="B202" s="64" t="s">
        <v>307</v>
      </c>
      <c r="C202" s="74" t="s">
        <v>308</v>
      </c>
      <c r="D202" s="7" t="s">
        <v>7</v>
      </c>
    </row>
    <row r="203" spans="1:4" ht="15" customHeight="1" thickBot="1">
      <c r="A203" s="13">
        <v>204</v>
      </c>
      <c r="B203" s="65" t="s">
        <v>309</v>
      </c>
      <c r="C203" s="75" t="s">
        <v>58</v>
      </c>
      <c r="D203" s="14" t="s">
        <v>53</v>
      </c>
    </row>
    <row r="204" spans="1:4" ht="14.65" thickBot="1">
      <c r="A204" s="6">
        <v>205</v>
      </c>
      <c r="B204" s="64" t="s">
        <v>310</v>
      </c>
      <c r="C204" s="74" t="s">
        <v>311</v>
      </c>
      <c r="D204" s="7" t="s">
        <v>7</v>
      </c>
    </row>
    <row r="205" spans="1:4" ht="14.65" thickBot="1">
      <c r="A205" s="6">
        <v>206</v>
      </c>
      <c r="B205" s="64" t="s">
        <v>312</v>
      </c>
      <c r="C205" s="74" t="s">
        <v>291</v>
      </c>
      <c r="D205" s="7" t="s">
        <v>7</v>
      </c>
    </row>
    <row r="206" spans="1:4" ht="14.65" thickBot="1">
      <c r="A206" s="6">
        <v>207</v>
      </c>
      <c r="B206" s="64" t="s">
        <v>313</v>
      </c>
      <c r="C206" s="74"/>
      <c r="D206" s="7" t="s">
        <v>7</v>
      </c>
    </row>
    <row r="207" spans="1:4" ht="14.65" thickBot="1">
      <c r="A207" s="6">
        <v>208</v>
      </c>
      <c r="B207" s="64" t="s">
        <v>314</v>
      </c>
      <c r="C207" s="74" t="s">
        <v>315</v>
      </c>
      <c r="D207" s="7" t="s">
        <v>7</v>
      </c>
    </row>
    <row r="208" spans="1:4" ht="14.65" thickBot="1">
      <c r="A208" s="6">
        <v>209</v>
      </c>
      <c r="B208" s="64" t="s">
        <v>316</v>
      </c>
      <c r="C208" s="74" t="s">
        <v>16</v>
      </c>
      <c r="D208" s="7" t="s">
        <v>7</v>
      </c>
    </row>
    <row r="209" spans="1:4" ht="14.65" thickBot="1">
      <c r="A209" s="12">
        <v>210</v>
      </c>
      <c r="B209" s="64" t="s">
        <v>317</v>
      </c>
      <c r="C209" s="74" t="s">
        <v>89</v>
      </c>
      <c r="D209" s="7" t="s">
        <v>7</v>
      </c>
    </row>
    <row r="210" spans="1:4" ht="14.65" thickBot="1">
      <c r="A210" s="6">
        <v>211</v>
      </c>
      <c r="B210" s="64" t="s">
        <v>318</v>
      </c>
      <c r="C210" s="74" t="s">
        <v>182</v>
      </c>
      <c r="D210" s="7" t="s">
        <v>7</v>
      </c>
    </row>
    <row r="211" spans="1:4" ht="14.65" thickBot="1">
      <c r="A211" s="12">
        <v>212</v>
      </c>
      <c r="B211" s="64" t="s">
        <v>319</v>
      </c>
      <c r="C211" s="74" t="s">
        <v>320</v>
      </c>
      <c r="D211" s="7" t="s">
        <v>7</v>
      </c>
    </row>
    <row r="212" spans="1:4" ht="14.65" thickBot="1">
      <c r="A212" s="12">
        <v>213</v>
      </c>
      <c r="B212" s="64" t="s">
        <v>321</v>
      </c>
      <c r="C212" s="74" t="s">
        <v>322</v>
      </c>
      <c r="D212" s="7" t="s">
        <v>7</v>
      </c>
    </row>
    <row r="213" spans="1:4" ht="14.65" thickBot="1">
      <c r="A213" s="6">
        <v>214</v>
      </c>
      <c r="B213" s="64" t="s">
        <v>323</v>
      </c>
      <c r="C213" s="74" t="s">
        <v>324</v>
      </c>
      <c r="D213" s="7" t="s">
        <v>7</v>
      </c>
    </row>
    <row r="214" spans="1:4" ht="13.05" customHeight="1" thickBot="1">
      <c r="A214" s="12">
        <v>215</v>
      </c>
      <c r="B214" s="64" t="s">
        <v>325</v>
      </c>
      <c r="C214" s="74" t="s">
        <v>182</v>
      </c>
      <c r="D214" s="7" t="s">
        <v>7</v>
      </c>
    </row>
    <row r="215" spans="1:4" ht="14.65" thickBot="1">
      <c r="A215" s="7">
        <v>217</v>
      </c>
      <c r="B215" s="64" t="s">
        <v>326</v>
      </c>
      <c r="C215" s="74" t="s">
        <v>30</v>
      </c>
      <c r="D215" s="7" t="s">
        <v>7</v>
      </c>
    </row>
    <row r="216" spans="1:4" ht="14.65" thickBot="1">
      <c r="A216" s="6">
        <v>218</v>
      </c>
      <c r="B216" s="64" t="s">
        <v>327</v>
      </c>
      <c r="C216" s="74" t="s">
        <v>311</v>
      </c>
      <c r="D216" s="7" t="s">
        <v>7</v>
      </c>
    </row>
    <row r="217" spans="1:4" ht="15" customHeight="1" thickBot="1">
      <c r="A217" s="13">
        <v>219</v>
      </c>
      <c r="B217" s="65" t="s">
        <v>328</v>
      </c>
      <c r="C217" s="75" t="s">
        <v>329</v>
      </c>
      <c r="D217" s="14" t="s">
        <v>53</v>
      </c>
    </row>
    <row r="218" spans="1:4" ht="14.65" thickBot="1">
      <c r="A218" s="6">
        <v>220</v>
      </c>
      <c r="B218" s="64" t="s">
        <v>330</v>
      </c>
      <c r="C218" s="74" t="s">
        <v>331</v>
      </c>
      <c r="D218" s="7" t="s">
        <v>7</v>
      </c>
    </row>
    <row r="219" spans="1:4" ht="14.65" thickBot="1">
      <c r="A219" s="6">
        <v>221</v>
      </c>
      <c r="B219" s="64" t="s">
        <v>332</v>
      </c>
      <c r="C219" s="74" t="s">
        <v>125</v>
      </c>
      <c r="D219" s="7" t="s">
        <v>7</v>
      </c>
    </row>
    <row r="220" spans="1:4" ht="14.65" thickBot="1">
      <c r="A220" s="6">
        <v>222</v>
      </c>
      <c r="B220" s="64" t="s">
        <v>333</v>
      </c>
      <c r="C220" s="74" t="s">
        <v>334</v>
      </c>
      <c r="D220" s="7" t="s">
        <v>7</v>
      </c>
    </row>
    <row r="221" spans="1:4" ht="14.65" thickBot="1">
      <c r="A221" s="12">
        <v>223</v>
      </c>
      <c r="B221" s="64" t="s">
        <v>335</v>
      </c>
      <c r="C221" s="74" t="s">
        <v>37</v>
      </c>
      <c r="D221" s="7" t="s">
        <v>7</v>
      </c>
    </row>
    <row r="222" spans="1:4" ht="14.65" thickBot="1">
      <c r="A222" s="6">
        <v>224</v>
      </c>
      <c r="B222" s="64" t="s">
        <v>336</v>
      </c>
      <c r="C222" s="74" t="s">
        <v>337</v>
      </c>
      <c r="D222" s="7" t="s">
        <v>7</v>
      </c>
    </row>
    <row r="223" spans="1:4" ht="14.65" thickBot="1">
      <c r="A223" s="6">
        <v>225</v>
      </c>
      <c r="B223" s="64" t="s">
        <v>338</v>
      </c>
      <c r="C223" s="74" t="s">
        <v>337</v>
      </c>
      <c r="D223" s="7" t="s">
        <v>7</v>
      </c>
    </row>
    <row r="224" spans="1:4" ht="14.65" thickBot="1">
      <c r="A224" s="6">
        <v>226</v>
      </c>
      <c r="B224" s="64" t="s">
        <v>339</v>
      </c>
      <c r="C224" s="74" t="s">
        <v>182</v>
      </c>
      <c r="D224" s="7" t="s">
        <v>7</v>
      </c>
    </row>
    <row r="225" spans="1:4" ht="14.65" thickBot="1">
      <c r="A225" s="6">
        <v>227</v>
      </c>
      <c r="B225" s="64" t="s">
        <v>340</v>
      </c>
      <c r="C225" s="74" t="s">
        <v>341</v>
      </c>
      <c r="D225" s="7" t="s">
        <v>7</v>
      </c>
    </row>
    <row r="226" spans="1:4" ht="14.65" thickBot="1">
      <c r="A226" s="6">
        <v>228</v>
      </c>
      <c r="B226" s="64" t="s">
        <v>342</v>
      </c>
      <c r="C226" s="74" t="s">
        <v>341</v>
      </c>
      <c r="D226" s="7" t="s">
        <v>7</v>
      </c>
    </row>
    <row r="227" spans="1:4" ht="14.65" thickBot="1">
      <c r="A227" s="6">
        <v>229</v>
      </c>
      <c r="B227" s="64" t="s">
        <v>343</v>
      </c>
      <c r="C227" s="74" t="s">
        <v>341</v>
      </c>
      <c r="D227" s="7" t="s">
        <v>7</v>
      </c>
    </row>
    <row r="228" spans="1:4" ht="14.65" thickBot="1">
      <c r="A228" s="6">
        <v>230</v>
      </c>
      <c r="B228" s="64" t="s">
        <v>344</v>
      </c>
      <c r="C228" s="74" t="s">
        <v>341</v>
      </c>
      <c r="D228" s="7" t="s">
        <v>7</v>
      </c>
    </row>
    <row r="229" spans="1:4" ht="14.65" thickBot="1">
      <c r="A229" s="6">
        <v>231</v>
      </c>
      <c r="B229" s="64" t="s">
        <v>345</v>
      </c>
      <c r="C229" s="74" t="s">
        <v>89</v>
      </c>
      <c r="D229" s="7" t="s">
        <v>7</v>
      </c>
    </row>
    <row r="230" spans="1:4" ht="14.65" thickBot="1">
      <c r="A230" s="6">
        <v>232</v>
      </c>
      <c r="B230" s="64" t="s">
        <v>346</v>
      </c>
      <c r="C230" s="74" t="s">
        <v>341</v>
      </c>
      <c r="D230" s="7" t="s">
        <v>7</v>
      </c>
    </row>
    <row r="231" spans="1:4" ht="14.65" thickBot="1">
      <c r="A231" s="12">
        <v>233</v>
      </c>
      <c r="B231" s="64" t="s">
        <v>347</v>
      </c>
      <c r="C231" s="74" t="s">
        <v>119</v>
      </c>
      <c r="D231" s="7" t="s">
        <v>7</v>
      </c>
    </row>
    <row r="232" spans="1:4" ht="14.65" thickBot="1">
      <c r="A232" s="12">
        <v>234</v>
      </c>
      <c r="B232" s="64" t="s">
        <v>348</v>
      </c>
      <c r="C232" s="74" t="s">
        <v>125</v>
      </c>
      <c r="D232" s="7" t="s">
        <v>7</v>
      </c>
    </row>
    <row r="233" spans="1:4" ht="14.65" thickBot="1">
      <c r="A233" s="12">
        <v>235</v>
      </c>
      <c r="B233" s="64" t="s">
        <v>349</v>
      </c>
      <c r="C233" s="74" t="s">
        <v>121</v>
      </c>
      <c r="D233" s="7" t="s">
        <v>7</v>
      </c>
    </row>
    <row r="234" spans="1:4" ht="14.65" thickBot="1">
      <c r="A234" s="12">
        <v>236</v>
      </c>
      <c r="B234" s="64" t="s">
        <v>350</v>
      </c>
      <c r="C234" s="74" t="s">
        <v>37</v>
      </c>
      <c r="D234" s="7" t="s">
        <v>7</v>
      </c>
    </row>
    <row r="235" spans="1:4" ht="14.65" thickBot="1">
      <c r="A235" s="12">
        <v>237</v>
      </c>
      <c r="B235" s="64" t="s">
        <v>351</v>
      </c>
      <c r="C235" s="74" t="s">
        <v>210</v>
      </c>
      <c r="D235" s="7" t="s">
        <v>7</v>
      </c>
    </row>
    <row r="236" spans="1:4" ht="14.65" thickBot="1">
      <c r="A236" s="12">
        <v>238</v>
      </c>
      <c r="B236" s="64" t="s">
        <v>352</v>
      </c>
      <c r="C236" s="74" t="s">
        <v>353</v>
      </c>
      <c r="D236" s="7" t="s">
        <v>7</v>
      </c>
    </row>
    <row r="237" spans="1:4" ht="13.05" customHeight="1" thickBot="1">
      <c r="A237" s="12">
        <v>239</v>
      </c>
      <c r="B237" s="64" t="s">
        <v>354</v>
      </c>
      <c r="C237" s="74" t="s">
        <v>355</v>
      </c>
      <c r="D237" s="7" t="s">
        <v>7</v>
      </c>
    </row>
    <row r="238" spans="1:4" ht="14.65" thickBot="1">
      <c r="A238" s="6">
        <v>240</v>
      </c>
      <c r="B238" s="64" t="s">
        <v>356</v>
      </c>
      <c r="C238" s="74" t="s">
        <v>357</v>
      </c>
      <c r="D238" s="7" t="s">
        <v>7</v>
      </c>
    </row>
    <row r="239" spans="1:4" ht="13.05" customHeight="1" thickBot="1">
      <c r="A239" s="12">
        <v>241</v>
      </c>
      <c r="B239" s="64" t="s">
        <v>358</v>
      </c>
      <c r="C239" s="74" t="s">
        <v>359</v>
      </c>
      <c r="D239" s="7" t="s">
        <v>7</v>
      </c>
    </row>
    <row r="240" spans="1:4" ht="15" customHeight="1" thickBot="1">
      <c r="A240" s="13">
        <v>243</v>
      </c>
      <c r="B240" s="65" t="s">
        <v>362</v>
      </c>
      <c r="C240" s="75" t="s">
        <v>58</v>
      </c>
      <c r="D240" s="14" t="s">
        <v>53</v>
      </c>
    </row>
    <row r="241" spans="1:4" ht="14.65" thickBot="1">
      <c r="A241" s="6">
        <v>244</v>
      </c>
      <c r="B241" s="64" t="s">
        <v>363</v>
      </c>
      <c r="C241" s="74" t="s">
        <v>364</v>
      </c>
      <c r="D241" s="7" t="s">
        <v>7</v>
      </c>
    </row>
    <row r="242" spans="1:4" ht="15" customHeight="1" thickBot="1">
      <c r="A242" s="13">
        <v>245</v>
      </c>
      <c r="B242" s="65" t="s">
        <v>365</v>
      </c>
      <c r="C242" s="75" t="s">
        <v>58</v>
      </c>
      <c r="D242" s="14" t="s">
        <v>53</v>
      </c>
    </row>
    <row r="243" spans="1:4" ht="14.65" thickBot="1">
      <c r="A243" s="6">
        <v>246</v>
      </c>
      <c r="B243" s="64" t="s">
        <v>366</v>
      </c>
      <c r="C243" s="74" t="s">
        <v>367</v>
      </c>
      <c r="D243" s="7" t="s">
        <v>7</v>
      </c>
    </row>
    <row r="244" spans="1:4" ht="14.65" thickBot="1">
      <c r="A244" s="6">
        <v>247</v>
      </c>
      <c r="B244" s="64" t="s">
        <v>368</v>
      </c>
      <c r="C244" s="74" t="s">
        <v>68</v>
      </c>
      <c r="D244" s="7" t="s">
        <v>7115</v>
      </c>
    </row>
    <row r="245" spans="1:4" ht="14.65" thickBot="1">
      <c r="A245" s="6">
        <v>248</v>
      </c>
      <c r="B245" s="64" t="s">
        <v>369</v>
      </c>
      <c r="C245" s="74" t="s">
        <v>315</v>
      </c>
      <c r="D245" s="7" t="s">
        <v>7</v>
      </c>
    </row>
    <row r="246" spans="1:4" ht="14.65" thickBot="1">
      <c r="A246" s="6">
        <v>249</v>
      </c>
      <c r="B246" s="64" t="s">
        <v>370</v>
      </c>
      <c r="C246" s="74" t="s">
        <v>37</v>
      </c>
      <c r="D246" s="7" t="s">
        <v>7</v>
      </c>
    </row>
    <row r="247" spans="1:4" ht="14.65" thickBot="1">
      <c r="A247" s="6">
        <v>250</v>
      </c>
      <c r="B247" s="64" t="s">
        <v>371</v>
      </c>
      <c r="C247" s="74" t="s">
        <v>34</v>
      </c>
      <c r="D247" s="7" t="s">
        <v>7</v>
      </c>
    </row>
    <row r="248" spans="1:4" ht="14.65" thickBot="1">
      <c r="A248" s="6">
        <v>251</v>
      </c>
      <c r="B248" s="64" t="s">
        <v>372</v>
      </c>
      <c r="C248" s="74" t="s">
        <v>34</v>
      </c>
      <c r="D248" s="7" t="s">
        <v>7</v>
      </c>
    </row>
    <row r="249" spans="1:4" ht="14.65" thickBot="1">
      <c r="A249" s="6">
        <v>252</v>
      </c>
      <c r="B249" s="64" t="s">
        <v>373</v>
      </c>
      <c r="C249" s="74" t="s">
        <v>34</v>
      </c>
      <c r="D249" s="7" t="s">
        <v>7</v>
      </c>
    </row>
    <row r="250" spans="1:4" ht="14.65" thickBot="1">
      <c r="A250" s="6">
        <v>253</v>
      </c>
      <c r="B250" s="64" t="s">
        <v>374</v>
      </c>
      <c r="C250" s="74" t="s">
        <v>34</v>
      </c>
      <c r="D250" s="7" t="s">
        <v>7</v>
      </c>
    </row>
    <row r="251" spans="1:4" ht="14.65" thickBot="1">
      <c r="A251" s="6">
        <v>254</v>
      </c>
      <c r="B251" s="64" t="s">
        <v>375</v>
      </c>
      <c r="C251" s="74" t="s">
        <v>40</v>
      </c>
      <c r="D251" s="7" t="s">
        <v>7</v>
      </c>
    </row>
    <row r="252" spans="1:4" ht="14.65" thickBot="1">
      <c r="A252" s="6">
        <v>255</v>
      </c>
      <c r="B252" s="64" t="s">
        <v>376</v>
      </c>
      <c r="C252" s="74" t="s">
        <v>40</v>
      </c>
      <c r="D252" s="7" t="s">
        <v>7</v>
      </c>
    </row>
    <row r="253" spans="1:4" ht="14.65" thickBot="1">
      <c r="A253" s="12">
        <v>256</v>
      </c>
      <c r="B253" s="64" t="s">
        <v>377</v>
      </c>
      <c r="C253" s="74" t="s">
        <v>119</v>
      </c>
      <c r="D253" s="7" t="s">
        <v>7</v>
      </c>
    </row>
    <row r="254" spans="1:4" ht="14.65" thickBot="1">
      <c r="A254" s="6">
        <v>257</v>
      </c>
      <c r="B254" s="64" t="s">
        <v>378</v>
      </c>
      <c r="C254" s="74" t="s">
        <v>379</v>
      </c>
      <c r="D254" s="7" t="s">
        <v>7</v>
      </c>
    </row>
    <row r="255" spans="1:4" ht="14.65" thickBot="1">
      <c r="A255" s="6">
        <v>258</v>
      </c>
      <c r="B255" s="64" t="s">
        <v>380</v>
      </c>
      <c r="C255" s="74" t="s">
        <v>381</v>
      </c>
      <c r="D255" s="7" t="s">
        <v>7</v>
      </c>
    </row>
    <row r="256" spans="1:4" ht="14.65" thickBot="1">
      <c r="A256" s="6">
        <v>259</v>
      </c>
      <c r="B256" s="64" t="s">
        <v>382</v>
      </c>
      <c r="C256" s="74" t="s">
        <v>383</v>
      </c>
      <c r="D256" s="7" t="s">
        <v>7</v>
      </c>
    </row>
    <row r="257" spans="1:6" ht="14.65" thickBot="1">
      <c r="A257" s="12">
        <v>260</v>
      </c>
      <c r="B257" s="64" t="s">
        <v>384</v>
      </c>
      <c r="C257" s="74" t="s">
        <v>50</v>
      </c>
      <c r="D257" s="7" t="s">
        <v>7</v>
      </c>
    </row>
    <row r="258" spans="1:6" ht="14.65" thickBot="1">
      <c r="A258" s="6">
        <v>261</v>
      </c>
      <c r="B258" s="64" t="s">
        <v>385</v>
      </c>
      <c r="C258" s="74" t="s">
        <v>50</v>
      </c>
      <c r="D258" s="7" t="s">
        <v>7</v>
      </c>
    </row>
    <row r="259" spans="1:6" ht="14.65" thickBot="1">
      <c r="A259" s="12">
        <v>262</v>
      </c>
      <c r="B259" s="64" t="s">
        <v>386</v>
      </c>
      <c r="C259" s="74" t="s">
        <v>213</v>
      </c>
      <c r="D259" s="7" t="s">
        <v>7</v>
      </c>
    </row>
    <row r="260" spans="1:6" ht="14.65" thickBot="1">
      <c r="A260" s="12">
        <v>263</v>
      </c>
      <c r="B260" s="64" t="s">
        <v>387</v>
      </c>
      <c r="C260" s="74" t="s">
        <v>361</v>
      </c>
      <c r="D260" s="7" t="s">
        <v>7</v>
      </c>
    </row>
    <row r="261" spans="1:6" ht="14.65" thickBot="1">
      <c r="A261" s="12">
        <v>264</v>
      </c>
      <c r="B261" s="64" t="s">
        <v>388</v>
      </c>
      <c r="C261" s="74" t="s">
        <v>87</v>
      </c>
      <c r="D261" s="7" t="s">
        <v>7</v>
      </c>
    </row>
    <row r="262" spans="1:6" ht="14.65" thickBot="1">
      <c r="A262" s="12">
        <v>265</v>
      </c>
      <c r="B262" s="64" t="s">
        <v>389</v>
      </c>
      <c r="C262" s="74" t="s">
        <v>293</v>
      </c>
      <c r="D262" s="7" t="s">
        <v>7</v>
      </c>
    </row>
    <row r="263" spans="1:6" ht="14.65" thickBot="1">
      <c r="A263" s="12">
        <v>266</v>
      </c>
      <c r="B263" s="64" t="s">
        <v>390</v>
      </c>
      <c r="C263" s="74" t="s">
        <v>89</v>
      </c>
      <c r="D263" s="7" t="s">
        <v>7</v>
      </c>
    </row>
    <row r="264" spans="1:6" ht="13.05" customHeight="1" thickBot="1">
      <c r="A264" s="12">
        <v>267</v>
      </c>
      <c r="B264" s="64" t="s">
        <v>391</v>
      </c>
      <c r="C264" s="74" t="s">
        <v>324</v>
      </c>
      <c r="D264" s="7" t="s">
        <v>7</v>
      </c>
    </row>
    <row r="265" spans="1:6" ht="13.05" customHeight="1" thickBot="1">
      <c r="A265" s="12">
        <v>268</v>
      </c>
      <c r="B265" s="64" t="s">
        <v>392</v>
      </c>
      <c r="C265" s="74" t="s">
        <v>281</v>
      </c>
      <c r="D265" s="7" t="s">
        <v>7</v>
      </c>
      <c r="E265" s="62"/>
      <c r="F265" s="62"/>
    </row>
    <row r="266" spans="1:6" ht="13.05" customHeight="1" thickBot="1">
      <c r="A266" s="12">
        <v>269</v>
      </c>
      <c r="B266" s="64" t="s">
        <v>393</v>
      </c>
      <c r="C266" s="74" t="s">
        <v>394</v>
      </c>
      <c r="D266" s="7" t="s">
        <v>7</v>
      </c>
    </row>
    <row r="267" spans="1:6" ht="13.05" customHeight="1" thickBot="1">
      <c r="A267" s="12">
        <v>270</v>
      </c>
      <c r="B267" s="64" t="s">
        <v>395</v>
      </c>
      <c r="C267" s="74" t="s">
        <v>396</v>
      </c>
      <c r="D267" s="7" t="s">
        <v>7</v>
      </c>
    </row>
    <row r="268" spans="1:6" ht="15" customHeight="1" thickBot="1">
      <c r="A268" s="13">
        <v>271</v>
      </c>
      <c r="B268" s="66" t="s">
        <v>397</v>
      </c>
      <c r="C268" s="75" t="s">
        <v>186</v>
      </c>
      <c r="D268" s="14" t="s">
        <v>7090</v>
      </c>
    </row>
    <row r="269" spans="1:6" ht="15" customHeight="1" thickBot="1">
      <c r="A269" s="13">
        <v>272</v>
      </c>
      <c r="B269" s="65" t="s">
        <v>398</v>
      </c>
      <c r="C269" s="75" t="s">
        <v>186</v>
      </c>
      <c r="D269" s="14" t="s">
        <v>53</v>
      </c>
    </row>
    <row r="270" spans="1:6" ht="15" customHeight="1" thickBot="1">
      <c r="A270" s="13">
        <v>273</v>
      </c>
      <c r="B270" s="66" t="s">
        <v>399</v>
      </c>
      <c r="C270" s="75" t="s">
        <v>186</v>
      </c>
      <c r="D270" s="14" t="s">
        <v>7090</v>
      </c>
    </row>
    <row r="271" spans="1:6" ht="15" customHeight="1" thickBot="1">
      <c r="A271" s="13">
        <v>274</v>
      </c>
      <c r="B271" s="65" t="s">
        <v>400</v>
      </c>
      <c r="C271" s="75" t="s">
        <v>186</v>
      </c>
      <c r="D271" s="14" t="s">
        <v>53</v>
      </c>
    </row>
    <row r="272" spans="1:6" ht="14.65" thickBot="1">
      <c r="A272" s="6">
        <v>275</v>
      </c>
      <c r="B272" s="64" t="s">
        <v>7084</v>
      </c>
      <c r="C272" s="74" t="s">
        <v>184</v>
      </c>
      <c r="D272" s="14" t="s">
        <v>7090</v>
      </c>
    </row>
    <row r="273" spans="1:6" ht="14.65" thickBot="1">
      <c r="A273" s="6">
        <v>276</v>
      </c>
      <c r="B273" s="64" t="s">
        <v>401</v>
      </c>
      <c r="C273" s="74" t="s">
        <v>402</v>
      </c>
      <c r="D273" s="7" t="s">
        <v>7</v>
      </c>
    </row>
    <row r="274" spans="1:6" ht="14.65" thickBot="1">
      <c r="A274" s="6">
        <v>277</v>
      </c>
      <c r="B274" s="64" t="s">
        <v>403</v>
      </c>
      <c r="C274" s="74" t="s">
        <v>402</v>
      </c>
      <c r="D274" s="7" t="s">
        <v>7</v>
      </c>
    </row>
    <row r="275" spans="1:6" ht="14.65" thickBot="1">
      <c r="A275" s="6">
        <v>278</v>
      </c>
      <c r="B275" s="64" t="s">
        <v>404</v>
      </c>
      <c r="C275" s="74" t="s">
        <v>71</v>
      </c>
      <c r="D275" s="7" t="s">
        <v>7</v>
      </c>
    </row>
    <row r="276" spans="1:6" ht="14.65" thickBot="1">
      <c r="A276" s="6">
        <v>279</v>
      </c>
      <c r="B276" s="64" t="s">
        <v>405</v>
      </c>
      <c r="C276" s="74" t="s">
        <v>406</v>
      </c>
      <c r="D276" s="7" t="s">
        <v>7</v>
      </c>
    </row>
    <row r="277" spans="1:6" ht="14.65" thickBot="1">
      <c r="A277" s="6">
        <v>280</v>
      </c>
      <c r="B277" s="64" t="s">
        <v>407</v>
      </c>
      <c r="C277" s="74" t="s">
        <v>408</v>
      </c>
      <c r="D277" s="7" t="s">
        <v>7</v>
      </c>
    </row>
    <row r="278" spans="1:6" ht="14.65" thickBot="1">
      <c r="A278" s="6">
        <v>281</v>
      </c>
      <c r="B278" s="64" t="s">
        <v>409</v>
      </c>
      <c r="C278" s="74" t="s">
        <v>293</v>
      </c>
      <c r="D278" s="7" t="s">
        <v>7</v>
      </c>
    </row>
    <row r="279" spans="1:6" ht="14.65" thickBot="1">
      <c r="A279" s="6">
        <v>282</v>
      </c>
      <c r="B279" s="64" t="s">
        <v>410</v>
      </c>
      <c r="C279" s="74" t="s">
        <v>156</v>
      </c>
      <c r="D279" s="7" t="s">
        <v>7110</v>
      </c>
    </row>
    <row r="280" spans="1:6" ht="14.65" thickBot="1">
      <c r="A280" s="6">
        <v>284</v>
      </c>
      <c r="B280" s="64" t="s">
        <v>411</v>
      </c>
      <c r="C280" s="74" t="s">
        <v>412</v>
      </c>
      <c r="D280" s="7" t="s">
        <v>7</v>
      </c>
    </row>
    <row r="281" spans="1:6" ht="14.65" thickBot="1">
      <c r="A281" s="6">
        <v>285</v>
      </c>
      <c r="B281" s="64" t="s">
        <v>7079</v>
      </c>
      <c r="C281" s="74" t="s">
        <v>413</v>
      </c>
      <c r="D281" s="7" t="s">
        <v>7</v>
      </c>
    </row>
    <row r="282" spans="1:6" ht="14.65" thickBot="1">
      <c r="A282" s="12">
        <v>286</v>
      </c>
      <c r="B282" s="64" t="s">
        <v>414</v>
      </c>
      <c r="C282" s="74" t="s">
        <v>127</v>
      </c>
      <c r="D282" s="7" t="s">
        <v>7</v>
      </c>
      <c r="E282" s="62"/>
      <c r="F282" s="62"/>
    </row>
    <row r="283" spans="1:6" ht="14.65" thickBot="1">
      <c r="A283" s="12">
        <v>287</v>
      </c>
      <c r="B283" s="64" t="s">
        <v>415</v>
      </c>
      <c r="C283" s="74" t="s">
        <v>71</v>
      </c>
      <c r="D283" s="7" t="s">
        <v>7</v>
      </c>
    </row>
    <row r="284" spans="1:6" ht="14.65" thickBot="1">
      <c r="A284" s="12">
        <v>289</v>
      </c>
      <c r="B284" s="64" t="s">
        <v>416</v>
      </c>
      <c r="C284" s="74" t="s">
        <v>417</v>
      </c>
      <c r="D284" s="7" t="s">
        <v>7</v>
      </c>
    </row>
    <row r="285" spans="1:6" ht="14.65" thickBot="1">
      <c r="A285" s="12">
        <v>290</v>
      </c>
      <c r="B285" s="64" t="s">
        <v>7083</v>
      </c>
      <c r="C285" s="74" t="s">
        <v>184</v>
      </c>
      <c r="D285" s="7" t="s">
        <v>7090</v>
      </c>
    </row>
    <row r="286" spans="1:6" ht="13.05" customHeight="1" thickBot="1">
      <c r="A286" s="12">
        <v>291</v>
      </c>
      <c r="B286" s="64" t="s">
        <v>418</v>
      </c>
      <c r="C286" s="74" t="s">
        <v>419</v>
      </c>
      <c r="D286" s="7" t="s">
        <v>7</v>
      </c>
    </row>
    <row r="287" spans="1:6" ht="14.65" thickBot="1">
      <c r="A287" s="12">
        <v>292</v>
      </c>
      <c r="B287" s="64" t="s">
        <v>7081</v>
      </c>
      <c r="C287" s="74" t="s">
        <v>89</v>
      </c>
      <c r="D287" s="7" t="s">
        <v>7</v>
      </c>
    </row>
    <row r="288" spans="1:6" ht="14.65" thickBot="1">
      <c r="A288" s="12">
        <v>293</v>
      </c>
      <c r="B288" s="64" t="s">
        <v>420</v>
      </c>
      <c r="C288" s="74" t="s">
        <v>16</v>
      </c>
      <c r="D288" s="7" t="s">
        <v>7</v>
      </c>
    </row>
    <row r="289" spans="1:4" ht="14.65" thickBot="1">
      <c r="A289" s="12">
        <v>294</v>
      </c>
      <c r="B289" s="64" t="s">
        <v>421</v>
      </c>
      <c r="C289" s="74" t="s">
        <v>422</v>
      </c>
      <c r="D289" s="7" t="s">
        <v>7</v>
      </c>
    </row>
    <row r="290" spans="1:4" ht="15" customHeight="1" thickBot="1">
      <c r="A290" s="13">
        <v>295</v>
      </c>
      <c r="B290" s="65" t="s">
        <v>423</v>
      </c>
      <c r="C290" s="75" t="s">
        <v>424</v>
      </c>
      <c r="D290" s="14" t="s">
        <v>53</v>
      </c>
    </row>
    <row r="291" spans="1:4" ht="14.65" thickBot="1">
      <c r="A291" s="12">
        <v>296</v>
      </c>
      <c r="B291" s="64" t="s">
        <v>425</v>
      </c>
      <c r="C291" s="74" t="s">
        <v>426</v>
      </c>
      <c r="D291" s="7" t="s">
        <v>7</v>
      </c>
    </row>
    <row r="292" spans="1:4" ht="13.05" customHeight="1" thickBot="1">
      <c r="A292" s="12">
        <v>297</v>
      </c>
      <c r="B292" s="64" t="s">
        <v>427</v>
      </c>
      <c r="C292" s="74" t="s">
        <v>428</v>
      </c>
      <c r="D292" s="7" t="s">
        <v>7</v>
      </c>
    </row>
    <row r="293" spans="1:4" ht="14.65" thickBot="1">
      <c r="A293" s="12">
        <v>298</v>
      </c>
      <c r="B293" s="64" t="s">
        <v>429</v>
      </c>
      <c r="C293" s="74" t="s">
        <v>430</v>
      </c>
      <c r="D293" s="14" t="s">
        <v>53</v>
      </c>
    </row>
    <row r="294" spans="1:4" ht="14.65" thickBot="1">
      <c r="A294" s="12">
        <v>299</v>
      </c>
      <c r="B294" s="64" t="s">
        <v>7078</v>
      </c>
      <c r="C294" s="74" t="s">
        <v>125</v>
      </c>
      <c r="D294" s="7" t="s">
        <v>7</v>
      </c>
    </row>
    <row r="295" spans="1:4" ht="14.65" thickBot="1">
      <c r="A295" s="12">
        <v>300</v>
      </c>
      <c r="B295" s="64" t="s">
        <v>432</v>
      </c>
      <c r="C295" s="74" t="s">
        <v>433</v>
      </c>
      <c r="D295" s="7" t="s">
        <v>7</v>
      </c>
    </row>
    <row r="296" spans="1:4" ht="15" customHeight="1" thickBot="1">
      <c r="A296" s="13">
        <v>301</v>
      </c>
      <c r="B296" s="65" t="s">
        <v>434</v>
      </c>
      <c r="C296" s="75" t="s">
        <v>52</v>
      </c>
      <c r="D296" s="14" t="s">
        <v>53</v>
      </c>
    </row>
    <row r="297" spans="1:4" ht="14.65" thickBot="1">
      <c r="A297" s="12">
        <v>302</v>
      </c>
      <c r="B297" s="64" t="s">
        <v>435</v>
      </c>
      <c r="C297" s="74" t="s">
        <v>119</v>
      </c>
      <c r="D297" s="7" t="s">
        <v>7</v>
      </c>
    </row>
    <row r="298" spans="1:4" ht="14.65" thickBot="1">
      <c r="A298" s="12">
        <v>303</v>
      </c>
      <c r="B298" s="64" t="s">
        <v>7082</v>
      </c>
      <c r="C298" s="74" t="s">
        <v>436</v>
      </c>
      <c r="D298" s="7" t="s">
        <v>7</v>
      </c>
    </row>
    <row r="299" spans="1:4" ht="14.65" thickBot="1">
      <c r="A299" s="12">
        <v>304</v>
      </c>
      <c r="B299" s="64" t="s">
        <v>437</v>
      </c>
      <c r="C299" s="74" t="s">
        <v>89</v>
      </c>
      <c r="D299" s="7" t="s">
        <v>7</v>
      </c>
    </row>
    <row r="300" spans="1:4" ht="14.65" thickBot="1">
      <c r="A300" s="12">
        <v>305</v>
      </c>
      <c r="B300" s="64" t="s">
        <v>438</v>
      </c>
      <c r="C300" s="74" t="s">
        <v>40</v>
      </c>
      <c r="D300" s="7" t="s">
        <v>7</v>
      </c>
    </row>
    <row r="301" spans="1:4" ht="14.65" thickBot="1">
      <c r="A301" s="12">
        <v>306</v>
      </c>
      <c r="B301" s="64" t="s">
        <v>439</v>
      </c>
      <c r="C301" s="74" t="s">
        <v>89</v>
      </c>
      <c r="D301" s="7" t="s">
        <v>7</v>
      </c>
    </row>
    <row r="302" spans="1:4" ht="14.65" thickBot="1">
      <c r="A302" s="12">
        <v>307</v>
      </c>
      <c r="B302" s="64" t="s">
        <v>440</v>
      </c>
      <c r="C302" s="74" t="s">
        <v>441</v>
      </c>
      <c r="D302" s="7" t="s">
        <v>7</v>
      </c>
    </row>
    <row r="303" spans="1:4" ht="14.65" thickBot="1">
      <c r="A303" s="12">
        <v>308</v>
      </c>
      <c r="B303" s="64" t="s">
        <v>442</v>
      </c>
      <c r="C303" s="74" t="s">
        <v>37</v>
      </c>
      <c r="D303" s="7" t="s">
        <v>7</v>
      </c>
    </row>
    <row r="304" spans="1:4" ht="14.65" thickBot="1">
      <c r="A304" s="12">
        <v>309</v>
      </c>
      <c r="B304" s="64" t="s">
        <v>443</v>
      </c>
      <c r="C304" s="74" t="s">
        <v>200</v>
      </c>
      <c r="D304" s="7" t="s">
        <v>7</v>
      </c>
    </row>
    <row r="305" spans="1:4" ht="14.65" thickBot="1">
      <c r="A305" s="12">
        <v>311</v>
      </c>
      <c r="B305" s="64" t="s">
        <v>444</v>
      </c>
      <c r="C305" s="74" t="s">
        <v>165</v>
      </c>
      <c r="D305" s="7" t="s">
        <v>7</v>
      </c>
    </row>
    <row r="306" spans="1:4" ht="13.05" customHeight="1" thickBot="1">
      <c r="A306" s="60">
        <v>312</v>
      </c>
      <c r="B306" s="67" t="s">
        <v>445</v>
      </c>
      <c r="C306" s="74" t="s">
        <v>361</v>
      </c>
      <c r="D306" s="7" t="s">
        <v>7</v>
      </c>
    </row>
    <row r="307" spans="1:4" ht="14.65" thickBot="1">
      <c r="A307" s="12">
        <v>313</v>
      </c>
      <c r="B307" s="64" t="s">
        <v>446</v>
      </c>
      <c r="C307" s="74" t="s">
        <v>26</v>
      </c>
      <c r="D307" s="7" t="s">
        <v>7</v>
      </c>
    </row>
    <row r="308" spans="1:4" ht="14.65" thickBot="1">
      <c r="A308" s="12">
        <v>314</v>
      </c>
      <c r="B308" s="64" t="s">
        <v>447</v>
      </c>
      <c r="C308" s="74" t="s">
        <v>210</v>
      </c>
      <c r="D308" s="7" t="s">
        <v>7</v>
      </c>
    </row>
    <row r="309" spans="1:4" ht="14.65" thickBot="1">
      <c r="A309" s="12">
        <v>315</v>
      </c>
      <c r="B309" s="64" t="s">
        <v>448</v>
      </c>
      <c r="C309" s="74" t="s">
        <v>111</v>
      </c>
      <c r="D309" s="7" t="s">
        <v>7</v>
      </c>
    </row>
    <row r="310" spans="1:4" ht="15" customHeight="1" thickBot="1">
      <c r="A310" s="13">
        <v>317</v>
      </c>
      <c r="B310" s="65" t="s">
        <v>449</v>
      </c>
      <c r="C310" s="75" t="s">
        <v>58</v>
      </c>
      <c r="D310" s="14" t="s">
        <v>53</v>
      </c>
    </row>
    <row r="311" spans="1:4" ht="14.65" thickBot="1">
      <c r="A311" s="12">
        <v>318</v>
      </c>
      <c r="B311" s="64" t="s">
        <v>450</v>
      </c>
      <c r="C311" s="74" t="s">
        <v>451</v>
      </c>
      <c r="D311" s="7" t="s">
        <v>7</v>
      </c>
    </row>
    <row r="312" spans="1:4" ht="14.65" thickBot="1">
      <c r="A312" s="12">
        <v>319</v>
      </c>
      <c r="B312" s="64" t="s">
        <v>452</v>
      </c>
      <c r="C312" s="74" t="s">
        <v>451</v>
      </c>
      <c r="D312" s="7" t="s">
        <v>7</v>
      </c>
    </row>
    <row r="313" spans="1:4" ht="14.65" thickBot="1">
      <c r="A313" s="12">
        <v>320</v>
      </c>
      <c r="B313" s="64" t="s">
        <v>453</v>
      </c>
      <c r="C313" s="74" t="s">
        <v>451</v>
      </c>
      <c r="D313" s="7" t="s">
        <v>7</v>
      </c>
    </row>
    <row r="314" spans="1:4" ht="14.65" thickBot="1">
      <c r="A314" s="12">
        <v>321</v>
      </c>
      <c r="B314" s="64" t="s">
        <v>454</v>
      </c>
      <c r="C314" s="74" t="s">
        <v>451</v>
      </c>
      <c r="D314" s="7" t="s">
        <v>7</v>
      </c>
    </row>
    <row r="315" spans="1:4" ht="14.65" thickBot="1">
      <c r="A315" s="12">
        <v>322</v>
      </c>
      <c r="B315" s="64" t="s">
        <v>455</v>
      </c>
      <c r="C315" s="74" t="s">
        <v>451</v>
      </c>
      <c r="D315" s="7" t="s">
        <v>7</v>
      </c>
    </row>
    <row r="316" spans="1:4" ht="14.65" thickBot="1">
      <c r="A316" s="12">
        <v>323</v>
      </c>
      <c r="B316" s="64" t="s">
        <v>456</v>
      </c>
      <c r="C316" s="74" t="s">
        <v>451</v>
      </c>
      <c r="D316" s="7" t="s">
        <v>7</v>
      </c>
    </row>
    <row r="317" spans="1:4" ht="13.05" customHeight="1" thickBot="1">
      <c r="A317" s="12">
        <v>324</v>
      </c>
      <c r="B317" s="64" t="s">
        <v>457</v>
      </c>
      <c r="C317" s="74" t="s">
        <v>451</v>
      </c>
      <c r="D317" s="7" t="s">
        <v>7</v>
      </c>
    </row>
    <row r="318" spans="1:4" ht="14.65" thickBot="1">
      <c r="A318" s="12">
        <v>326</v>
      </c>
      <c r="B318" s="64" t="s">
        <v>458</v>
      </c>
      <c r="C318" s="74" t="s">
        <v>441</v>
      </c>
      <c r="D318" s="7" t="s">
        <v>7</v>
      </c>
    </row>
    <row r="319" spans="1:4" ht="14.65" thickBot="1">
      <c r="A319" s="12">
        <v>327</v>
      </c>
      <c r="B319" s="64" t="s">
        <v>459</v>
      </c>
      <c r="C319" s="74" t="s">
        <v>451</v>
      </c>
      <c r="D319" s="7" t="s">
        <v>7</v>
      </c>
    </row>
    <row r="320" spans="1:4" ht="14.65" thickBot="1">
      <c r="A320" s="12">
        <v>328</v>
      </c>
      <c r="B320" s="64" t="s">
        <v>7080</v>
      </c>
      <c r="C320" s="74" t="s">
        <v>96</v>
      </c>
      <c r="D320" s="7" t="s">
        <v>53</v>
      </c>
    </row>
    <row r="321" spans="1:4" ht="13.15" thickBot="1">
      <c r="A321" s="13">
        <v>329</v>
      </c>
      <c r="B321" s="65" t="s">
        <v>460</v>
      </c>
      <c r="C321" s="75" t="s">
        <v>461</v>
      </c>
      <c r="D321" s="14" t="s">
        <v>53</v>
      </c>
    </row>
    <row r="322" spans="1:4" ht="14.65" thickBot="1">
      <c r="A322" s="12">
        <v>330</v>
      </c>
      <c r="B322" s="64" t="s">
        <v>462</v>
      </c>
      <c r="C322" s="74" t="s">
        <v>451</v>
      </c>
      <c r="D322" s="7" t="s">
        <v>7</v>
      </c>
    </row>
    <row r="323" spans="1:4" ht="14.65" thickBot="1">
      <c r="A323" s="6">
        <v>331</v>
      </c>
      <c r="B323" s="64" t="s">
        <v>463</v>
      </c>
      <c r="C323" s="74" t="s">
        <v>451</v>
      </c>
      <c r="D323" s="7" t="s">
        <v>7</v>
      </c>
    </row>
    <row r="324" spans="1:4" ht="14.65" thickBot="1">
      <c r="A324" s="12">
        <v>332</v>
      </c>
      <c r="B324" s="64" t="s">
        <v>464</v>
      </c>
      <c r="C324" s="74" t="s">
        <v>465</v>
      </c>
      <c r="D324" s="7" t="s">
        <v>7</v>
      </c>
    </row>
    <row r="325" spans="1:4" ht="15" customHeight="1" thickBot="1">
      <c r="A325" s="13">
        <v>333</v>
      </c>
      <c r="B325" s="65" t="s">
        <v>466</v>
      </c>
      <c r="C325" s="75" t="s">
        <v>58</v>
      </c>
      <c r="D325" s="14" t="s">
        <v>53</v>
      </c>
    </row>
    <row r="326" spans="1:4" ht="14.65" thickBot="1">
      <c r="A326" s="12">
        <v>334</v>
      </c>
      <c r="B326" s="64" t="s">
        <v>467</v>
      </c>
      <c r="C326" s="74" t="s">
        <v>451</v>
      </c>
      <c r="D326" s="7" t="s">
        <v>7</v>
      </c>
    </row>
    <row r="327" spans="1:4" ht="13.05" customHeight="1" thickBot="1">
      <c r="A327" s="12">
        <v>335</v>
      </c>
      <c r="B327" s="64" t="s">
        <v>468</v>
      </c>
      <c r="C327" s="74" t="s">
        <v>451</v>
      </c>
      <c r="D327" s="7" t="s">
        <v>7110</v>
      </c>
    </row>
    <row r="328" spans="1:4" ht="14.65" thickBot="1">
      <c r="A328" s="12">
        <v>336</v>
      </c>
      <c r="B328" s="64" t="s">
        <v>469</v>
      </c>
      <c r="C328" s="74" t="s">
        <v>470</v>
      </c>
      <c r="D328" s="7" t="s">
        <v>7</v>
      </c>
    </row>
    <row r="329" spans="1:4" ht="14.65" thickBot="1">
      <c r="A329" s="12">
        <v>337</v>
      </c>
      <c r="B329" s="64" t="s">
        <v>471</v>
      </c>
      <c r="C329" s="74" t="s">
        <v>472</v>
      </c>
      <c r="D329" s="7" t="s">
        <v>7</v>
      </c>
    </row>
    <row r="330" spans="1:4" ht="14.65" thickBot="1">
      <c r="A330" s="12">
        <v>338</v>
      </c>
      <c r="B330" s="64" t="s">
        <v>473</v>
      </c>
      <c r="C330" s="74" t="s">
        <v>451</v>
      </c>
      <c r="D330" s="7" t="s">
        <v>7</v>
      </c>
    </row>
    <row r="331" spans="1:4" ht="13.15" thickBot="1">
      <c r="A331" s="13">
        <v>339</v>
      </c>
      <c r="B331" s="65" t="s">
        <v>474</v>
      </c>
      <c r="C331" s="75" t="s">
        <v>58</v>
      </c>
      <c r="D331" s="14" t="s">
        <v>53</v>
      </c>
    </row>
    <row r="332" spans="1:4" ht="13.05" customHeight="1" thickBot="1">
      <c r="A332" s="12">
        <v>340</v>
      </c>
      <c r="B332" s="64" t="s">
        <v>475</v>
      </c>
      <c r="C332" s="74" t="s">
        <v>451</v>
      </c>
      <c r="D332" s="7" t="s">
        <v>7</v>
      </c>
    </row>
    <row r="333" spans="1:4" ht="13.05" customHeight="1" thickBot="1">
      <c r="A333" s="12">
        <v>341</v>
      </c>
      <c r="B333" s="64" t="s">
        <v>476</v>
      </c>
      <c r="C333" s="74" t="s">
        <v>477</v>
      </c>
      <c r="D333" s="7" t="s">
        <v>7</v>
      </c>
    </row>
    <row r="334" spans="1:4" ht="13.05" customHeight="1" thickBot="1">
      <c r="A334" s="12">
        <v>342</v>
      </c>
      <c r="B334" s="64" t="s">
        <v>478</v>
      </c>
      <c r="C334" s="74" t="s">
        <v>479</v>
      </c>
      <c r="D334" s="7" t="s">
        <v>7</v>
      </c>
    </row>
    <row r="335" spans="1:4" ht="13.15" thickBot="1">
      <c r="A335" s="13">
        <v>401</v>
      </c>
      <c r="B335" s="65" t="s">
        <v>480</v>
      </c>
      <c r="C335" s="75" t="s">
        <v>481</v>
      </c>
      <c r="D335" s="7" t="s">
        <v>482</v>
      </c>
    </row>
    <row r="336" spans="1:4" ht="13.15" thickBot="1">
      <c r="A336" s="13">
        <v>402</v>
      </c>
      <c r="B336" s="65" t="s">
        <v>483</v>
      </c>
      <c r="C336" s="75" t="s">
        <v>481</v>
      </c>
      <c r="D336" s="7" t="s">
        <v>482</v>
      </c>
    </row>
    <row r="337" spans="1:4" ht="13.15" thickBot="1">
      <c r="A337" s="13">
        <v>404</v>
      </c>
      <c r="B337" s="65" t="s">
        <v>484</v>
      </c>
      <c r="C337" s="75" t="s">
        <v>485</v>
      </c>
      <c r="D337" s="7" t="s">
        <v>482</v>
      </c>
    </row>
    <row r="338" spans="1:4" ht="13.15" thickBot="1">
      <c r="A338" s="13">
        <v>405</v>
      </c>
      <c r="B338" s="65" t="s">
        <v>486</v>
      </c>
      <c r="C338" s="75" t="s">
        <v>487</v>
      </c>
      <c r="D338" s="7" t="s">
        <v>482</v>
      </c>
    </row>
    <row r="339" spans="1:4" ht="13.15" thickBot="1">
      <c r="A339" s="13">
        <v>406</v>
      </c>
      <c r="B339" s="65" t="s">
        <v>488</v>
      </c>
      <c r="C339" s="75" t="s">
        <v>489</v>
      </c>
      <c r="D339" s="7" t="s">
        <v>482</v>
      </c>
    </row>
    <row r="340" spans="1:4" ht="13.15" thickBot="1">
      <c r="A340" s="13">
        <v>407</v>
      </c>
      <c r="B340" s="65" t="s">
        <v>490</v>
      </c>
      <c r="C340" s="75" t="s">
        <v>58</v>
      </c>
      <c r="D340" s="7" t="s">
        <v>482</v>
      </c>
    </row>
    <row r="341" spans="1:4" ht="13.15" thickBot="1">
      <c r="A341" s="13">
        <v>408</v>
      </c>
      <c r="B341" s="65" t="s">
        <v>491</v>
      </c>
      <c r="C341" s="75" t="s">
        <v>58</v>
      </c>
      <c r="D341" s="7" t="s">
        <v>482</v>
      </c>
    </row>
    <row r="342" spans="1:4" ht="13.15" thickBot="1">
      <c r="A342" s="13">
        <v>409</v>
      </c>
      <c r="B342" s="147" t="s">
        <v>492</v>
      </c>
      <c r="C342" s="75" t="s">
        <v>108</v>
      </c>
      <c r="D342" s="14" t="s">
        <v>7089</v>
      </c>
    </row>
    <row r="343" spans="1:4" ht="12.75">
      <c r="A343" s="13">
        <v>410</v>
      </c>
      <c r="B343" s="65" t="s">
        <v>493</v>
      </c>
      <c r="C343" s="76" t="s">
        <v>108</v>
      </c>
      <c r="D343" s="7" t="s">
        <v>482</v>
      </c>
    </row>
    <row r="344" spans="1:4" ht="12.75">
      <c r="A344" s="13">
        <v>411</v>
      </c>
      <c r="B344" s="65" t="s">
        <v>316</v>
      </c>
      <c r="C344" s="76" t="s">
        <v>108</v>
      </c>
      <c r="D344" s="7" t="s">
        <v>482</v>
      </c>
    </row>
    <row r="345" spans="1:4" ht="12.75">
      <c r="A345" s="13">
        <v>412</v>
      </c>
      <c r="B345" s="65" t="s">
        <v>494</v>
      </c>
      <c r="C345" s="76" t="s">
        <v>108</v>
      </c>
      <c r="D345" s="7" t="s">
        <v>482</v>
      </c>
    </row>
    <row r="346" spans="1:4" ht="12.75">
      <c r="A346" s="13">
        <v>413</v>
      </c>
      <c r="B346" s="65" t="s">
        <v>7086</v>
      </c>
      <c r="C346" s="76" t="s">
        <v>108</v>
      </c>
      <c r="D346" s="7" t="s">
        <v>482</v>
      </c>
    </row>
    <row r="347" spans="1:4" ht="15.75" customHeight="1">
      <c r="A347" s="13">
        <v>414</v>
      </c>
      <c r="B347" s="65" t="s">
        <v>495</v>
      </c>
      <c r="C347" s="76" t="s">
        <v>496</v>
      </c>
      <c r="D347" s="14" t="s">
        <v>7089</v>
      </c>
    </row>
    <row r="348" spans="1:4" ht="12.75">
      <c r="A348" s="13">
        <v>415</v>
      </c>
      <c r="B348" s="65" t="s">
        <v>497</v>
      </c>
      <c r="C348" s="76" t="s">
        <v>496</v>
      </c>
      <c r="D348" s="14" t="s">
        <v>7089</v>
      </c>
    </row>
    <row r="349" spans="1:4" ht="12.75">
      <c r="A349" s="7">
        <v>416</v>
      </c>
      <c r="B349" s="65" t="s">
        <v>498</v>
      </c>
      <c r="C349" s="76" t="s">
        <v>499</v>
      </c>
      <c r="D349" s="7" t="s">
        <v>482</v>
      </c>
    </row>
    <row r="350" spans="1:4" ht="12.75">
      <c r="A350" s="7">
        <v>417</v>
      </c>
      <c r="B350" s="65" t="s">
        <v>500</v>
      </c>
      <c r="C350" s="76" t="s">
        <v>501</v>
      </c>
      <c r="D350" s="7" t="s">
        <v>482</v>
      </c>
    </row>
    <row r="351" spans="1:4" ht="12.75">
      <c r="A351" s="7">
        <v>418</v>
      </c>
      <c r="B351" s="65" t="s">
        <v>7076</v>
      </c>
      <c r="C351" s="76" t="s">
        <v>503</v>
      </c>
      <c r="D351" s="7" t="s">
        <v>482</v>
      </c>
    </row>
    <row r="352" spans="1:4" ht="12.75">
      <c r="A352" s="7">
        <v>419</v>
      </c>
      <c r="B352" s="65" t="s">
        <v>345</v>
      </c>
      <c r="C352" s="76" t="s">
        <v>329</v>
      </c>
      <c r="D352" s="7" t="s">
        <v>482</v>
      </c>
    </row>
    <row r="353" spans="1:4" ht="12.75">
      <c r="A353" s="7">
        <v>421</v>
      </c>
      <c r="B353" s="65" t="s">
        <v>395</v>
      </c>
      <c r="C353" s="76" t="s">
        <v>58</v>
      </c>
      <c r="D353" s="7" t="s">
        <v>482</v>
      </c>
    </row>
    <row r="354" spans="1:4" ht="12.75">
      <c r="A354" s="17">
        <v>430</v>
      </c>
      <c r="B354" s="68" t="s">
        <v>3058</v>
      </c>
      <c r="C354" s="82" t="s">
        <v>2893</v>
      </c>
      <c r="D354" s="7" t="s">
        <v>7088</v>
      </c>
    </row>
    <row r="355" spans="1:4" ht="12.75">
      <c r="A355" s="17">
        <v>431</v>
      </c>
      <c r="B355" s="68" t="s">
        <v>2802</v>
      </c>
      <c r="C355" s="82" t="s">
        <v>2784</v>
      </c>
      <c r="D355" s="7" t="s">
        <v>7088</v>
      </c>
    </row>
    <row r="356" spans="1:4" ht="12.75">
      <c r="A356" s="17">
        <v>432</v>
      </c>
      <c r="B356" s="68" t="s">
        <v>3417</v>
      </c>
      <c r="C356" s="82" t="s">
        <v>3291</v>
      </c>
      <c r="D356" s="7" t="s">
        <v>7088</v>
      </c>
    </row>
    <row r="357" spans="1:4" ht="12.75">
      <c r="A357" s="17">
        <v>433</v>
      </c>
      <c r="B357" s="68" t="s">
        <v>2857</v>
      </c>
      <c r="C357" s="82" t="s">
        <v>2833</v>
      </c>
      <c r="D357" s="7" t="s">
        <v>7088</v>
      </c>
    </row>
    <row r="358" spans="1:4" ht="12.75">
      <c r="A358" s="17">
        <v>434</v>
      </c>
      <c r="B358" s="68" t="s">
        <v>2807</v>
      </c>
      <c r="C358" s="82" t="s">
        <v>2784</v>
      </c>
      <c r="D358" s="7" t="s">
        <v>7088</v>
      </c>
    </row>
    <row r="359" spans="1:4" ht="12.75">
      <c r="A359" s="17">
        <v>435</v>
      </c>
      <c r="B359" s="68" t="s">
        <v>3110</v>
      </c>
      <c r="C359" s="82" t="s">
        <v>2893</v>
      </c>
      <c r="D359" s="7" t="s">
        <v>7088</v>
      </c>
    </row>
    <row r="360" spans="1:4" ht="12.75">
      <c r="A360" s="17">
        <v>436</v>
      </c>
      <c r="B360" s="65" t="s">
        <v>2741</v>
      </c>
      <c r="C360" s="84" t="s">
        <v>184</v>
      </c>
      <c r="D360" s="7" t="s">
        <v>7088</v>
      </c>
    </row>
    <row r="361" spans="1:4" ht="12.75">
      <c r="A361" s="17">
        <v>437</v>
      </c>
      <c r="B361" s="68" t="s">
        <v>7087</v>
      </c>
      <c r="C361" s="82" t="s">
        <v>56</v>
      </c>
      <c r="D361" s="7" t="s">
        <v>7088</v>
      </c>
    </row>
    <row r="362" spans="1:4" ht="12.75">
      <c r="A362" s="17">
        <v>438</v>
      </c>
      <c r="B362" s="69" t="s">
        <v>3704</v>
      </c>
      <c r="C362" s="81" t="s">
        <v>507</v>
      </c>
      <c r="D362" s="7" t="s">
        <v>7088</v>
      </c>
    </row>
    <row r="363" spans="1:4" ht="12.75">
      <c r="A363" s="17">
        <v>439</v>
      </c>
      <c r="B363" s="70" t="s">
        <v>3655</v>
      </c>
      <c r="C363" s="83" t="s">
        <v>507</v>
      </c>
      <c r="D363" s="7" t="s">
        <v>7088</v>
      </c>
    </row>
    <row r="364" spans="1:4" ht="12.75">
      <c r="A364" s="17">
        <v>440</v>
      </c>
      <c r="B364" s="68" t="s">
        <v>3175</v>
      </c>
      <c r="C364" s="82" t="s">
        <v>3086</v>
      </c>
      <c r="D364" s="7" t="s">
        <v>7088</v>
      </c>
    </row>
    <row r="365" spans="1:4" ht="12.75">
      <c r="A365" s="17">
        <v>441</v>
      </c>
      <c r="B365" s="71" t="s">
        <v>3181</v>
      </c>
      <c r="C365" s="85" t="s">
        <v>3086</v>
      </c>
      <c r="D365" s="7" t="s">
        <v>7088</v>
      </c>
    </row>
    <row r="366" spans="1:4" ht="12.75">
      <c r="A366" s="17">
        <v>442</v>
      </c>
      <c r="B366" s="68" t="s">
        <v>3290</v>
      </c>
      <c r="C366" s="82" t="s">
        <v>3291</v>
      </c>
      <c r="D366" s="7" t="s">
        <v>7088</v>
      </c>
    </row>
    <row r="367" spans="1:4" ht="12.75">
      <c r="A367" s="17">
        <v>443</v>
      </c>
      <c r="B367" s="68" t="s">
        <v>2814</v>
      </c>
      <c r="C367" s="82" t="s">
        <v>2784</v>
      </c>
      <c r="D367" s="7" t="s">
        <v>7088</v>
      </c>
    </row>
    <row r="368" spans="1:4" ht="12.75">
      <c r="A368" s="17">
        <v>444</v>
      </c>
      <c r="B368" s="70" t="s">
        <v>3628</v>
      </c>
      <c r="C368" s="83" t="s">
        <v>507</v>
      </c>
      <c r="D368" s="7" t="s">
        <v>7088</v>
      </c>
    </row>
    <row r="369" spans="1:4" ht="12.75">
      <c r="A369" s="17">
        <v>445</v>
      </c>
      <c r="B369" s="70" t="s">
        <v>3668</v>
      </c>
      <c r="C369" s="83" t="s">
        <v>507</v>
      </c>
      <c r="D369" s="7" t="s">
        <v>7088</v>
      </c>
    </row>
    <row r="370" spans="1:4" ht="12.75">
      <c r="A370" s="17">
        <v>446</v>
      </c>
      <c r="B370" s="69" t="s">
        <v>3741</v>
      </c>
      <c r="C370" s="81" t="s">
        <v>507</v>
      </c>
      <c r="D370" s="7" t="s">
        <v>7088</v>
      </c>
    </row>
    <row r="371" spans="1:4" ht="12.75">
      <c r="A371" s="17">
        <v>447</v>
      </c>
      <c r="B371" s="65" t="s">
        <v>2636</v>
      </c>
      <c r="C371" s="84" t="s">
        <v>184</v>
      </c>
      <c r="D371" s="7" t="s">
        <v>7088</v>
      </c>
    </row>
    <row r="372" spans="1:4" ht="12.75">
      <c r="A372" s="17">
        <v>448</v>
      </c>
      <c r="B372" s="70" t="s">
        <v>3678</v>
      </c>
      <c r="C372" s="83" t="s">
        <v>507</v>
      </c>
      <c r="D372" s="7" t="s">
        <v>7088</v>
      </c>
    </row>
    <row r="373" spans="1:4" ht="12.75">
      <c r="A373" s="17">
        <v>449</v>
      </c>
      <c r="B373" s="70" t="s">
        <v>3537</v>
      </c>
      <c r="C373" s="70" t="s">
        <v>56</v>
      </c>
      <c r="D373" s="7" t="s">
        <v>7088</v>
      </c>
    </row>
    <row r="374" spans="1:4" ht="12.75">
      <c r="A374" s="17">
        <v>450</v>
      </c>
      <c r="B374" s="68" t="s">
        <v>3273</v>
      </c>
      <c r="C374" s="68" t="s">
        <v>507</v>
      </c>
      <c r="D374" s="7" t="s">
        <v>7088</v>
      </c>
    </row>
    <row r="375" spans="1:4" ht="12.75">
      <c r="A375" s="17">
        <v>451</v>
      </c>
      <c r="B375" s="65" t="s">
        <v>2721</v>
      </c>
      <c r="C375" s="65" t="s">
        <v>184</v>
      </c>
      <c r="D375" s="7" t="s">
        <v>7088</v>
      </c>
    </row>
    <row r="376" spans="1:4" ht="12.75">
      <c r="A376" s="17">
        <v>452</v>
      </c>
      <c r="B376" s="68" t="s">
        <v>2783</v>
      </c>
      <c r="C376" s="68" t="s">
        <v>2784</v>
      </c>
      <c r="D376" s="7" t="s">
        <v>7088</v>
      </c>
    </row>
    <row r="377" spans="1:4" ht="12.75">
      <c r="A377" s="17">
        <v>453</v>
      </c>
      <c r="B377" s="68" t="s">
        <v>2832</v>
      </c>
      <c r="C377" s="68" t="s">
        <v>2833</v>
      </c>
      <c r="D377" s="7" t="s">
        <v>7088</v>
      </c>
    </row>
    <row r="378" spans="1:4" ht="12.75">
      <c r="A378" s="17">
        <v>454</v>
      </c>
      <c r="B378" s="68" t="s">
        <v>2854</v>
      </c>
      <c r="C378" s="68" t="s">
        <v>2833</v>
      </c>
      <c r="D378" s="7" t="s">
        <v>7088</v>
      </c>
    </row>
    <row r="379" spans="1:4" ht="12.75">
      <c r="A379" s="17">
        <v>455</v>
      </c>
      <c r="B379" s="68" t="s">
        <v>3005</v>
      </c>
      <c r="C379" s="68" t="s">
        <v>184</v>
      </c>
      <c r="D379" s="7" t="s">
        <v>7088</v>
      </c>
    </row>
    <row r="380" spans="1:4" ht="12.75">
      <c r="A380" s="17">
        <v>456</v>
      </c>
      <c r="B380" s="68" t="s">
        <v>3143</v>
      </c>
      <c r="C380" s="68" t="s">
        <v>2893</v>
      </c>
      <c r="D380" s="7" t="s">
        <v>7088</v>
      </c>
    </row>
    <row r="381" spans="1:4" ht="12.75">
      <c r="A381" s="17">
        <v>457</v>
      </c>
      <c r="B381" s="68" t="s">
        <v>3229</v>
      </c>
      <c r="C381" s="68" t="s">
        <v>507</v>
      </c>
      <c r="D381" s="7" t="s">
        <v>7088</v>
      </c>
    </row>
    <row r="382" spans="1:4" ht="12.75">
      <c r="A382" s="17">
        <v>458</v>
      </c>
      <c r="B382" s="68" t="s">
        <v>3394</v>
      </c>
      <c r="C382" s="68" t="s">
        <v>3291</v>
      </c>
      <c r="D382" s="7" t="s">
        <v>7088</v>
      </c>
    </row>
    <row r="383" spans="1:4" ht="12.75">
      <c r="A383" s="17">
        <v>459</v>
      </c>
      <c r="B383" s="68" t="s">
        <v>3439</v>
      </c>
      <c r="C383" s="68" t="s">
        <v>3291</v>
      </c>
      <c r="D383" s="7" t="s">
        <v>7088</v>
      </c>
    </row>
    <row r="384" spans="1:4" ht="12.75">
      <c r="A384" s="17">
        <v>460</v>
      </c>
      <c r="B384" s="69" t="s">
        <v>3725</v>
      </c>
      <c r="C384" s="69" t="s">
        <v>507</v>
      </c>
      <c r="D384" s="7" t="s">
        <v>7088</v>
      </c>
    </row>
    <row r="385" spans="1:4" ht="12.75">
      <c r="A385" s="17">
        <v>461</v>
      </c>
      <c r="B385" s="68" t="s">
        <v>2756</v>
      </c>
      <c r="C385" s="68" t="s">
        <v>184</v>
      </c>
      <c r="D385" s="7" t="s">
        <v>7088</v>
      </c>
    </row>
    <row r="386" spans="1:4" ht="12.75">
      <c r="A386" s="17">
        <v>462</v>
      </c>
      <c r="B386" s="68" t="s">
        <v>3147</v>
      </c>
      <c r="C386" s="68" t="s">
        <v>3086</v>
      </c>
      <c r="D386" s="7" t="s">
        <v>7088</v>
      </c>
    </row>
    <row r="387" spans="1:4" ht="12.75">
      <c r="A387" s="17">
        <v>463</v>
      </c>
      <c r="B387" s="68" t="s">
        <v>3164</v>
      </c>
      <c r="C387" s="68" t="s">
        <v>3086</v>
      </c>
      <c r="D387" s="7" t="s">
        <v>7088</v>
      </c>
    </row>
    <row r="388" spans="1:4" ht="12.75">
      <c r="A388" s="17">
        <v>464</v>
      </c>
      <c r="B388" s="68" t="s">
        <v>3170</v>
      </c>
      <c r="C388" s="68" t="s">
        <v>3086</v>
      </c>
      <c r="D388" s="7" t="s">
        <v>7088</v>
      </c>
    </row>
    <row r="389" spans="1:4" ht="12.75">
      <c r="A389" s="17">
        <v>465</v>
      </c>
      <c r="B389" s="70" t="s">
        <v>3616</v>
      </c>
      <c r="C389" s="70" t="s">
        <v>507</v>
      </c>
      <c r="D389" s="7" t="s">
        <v>7088</v>
      </c>
    </row>
    <row r="390" spans="1:4" ht="12.75">
      <c r="A390" s="17">
        <v>466</v>
      </c>
      <c r="B390" s="68" t="s">
        <v>3339</v>
      </c>
      <c r="C390" s="68" t="s">
        <v>3291</v>
      </c>
      <c r="D390" s="7" t="s">
        <v>7088</v>
      </c>
    </row>
    <row r="391" spans="1:4" ht="12.75">
      <c r="A391" s="17">
        <v>467</v>
      </c>
      <c r="B391" s="68" t="s">
        <v>2886</v>
      </c>
      <c r="C391" s="68" t="s">
        <v>2833</v>
      </c>
      <c r="D391" s="7" t="s">
        <v>7088</v>
      </c>
    </row>
    <row r="392" spans="1:4" ht="12.75">
      <c r="A392" s="17">
        <v>468</v>
      </c>
      <c r="B392" s="68" t="s">
        <v>2814</v>
      </c>
      <c r="C392" s="68" t="s">
        <v>2833</v>
      </c>
      <c r="D392" s="7" t="s">
        <v>7088</v>
      </c>
    </row>
    <row r="393" spans="1:4" ht="12.75">
      <c r="A393" s="17">
        <v>469</v>
      </c>
      <c r="B393" s="70" t="s">
        <v>1080</v>
      </c>
      <c r="C393" s="70" t="s">
        <v>507</v>
      </c>
      <c r="D393" s="7" t="s">
        <v>7088</v>
      </c>
    </row>
    <row r="394" spans="1:4" ht="12.75">
      <c r="A394" s="17">
        <v>470</v>
      </c>
      <c r="B394" s="70" t="s">
        <v>3439</v>
      </c>
      <c r="C394" s="70" t="s">
        <v>507</v>
      </c>
      <c r="D394" s="7" t="s">
        <v>7088</v>
      </c>
    </row>
    <row r="395" spans="1:4" ht="12.75">
      <c r="A395" s="17">
        <v>471</v>
      </c>
      <c r="B395" s="68" t="s">
        <v>3245</v>
      </c>
      <c r="C395" s="68" t="s">
        <v>507</v>
      </c>
      <c r="D395" s="7" t="s">
        <v>7088</v>
      </c>
    </row>
    <row r="396" spans="1:4" ht="12.75">
      <c r="A396" s="17">
        <v>472</v>
      </c>
      <c r="B396" s="68" t="s">
        <v>208</v>
      </c>
      <c r="C396" s="68" t="s">
        <v>2893</v>
      </c>
      <c r="D396" s="7" t="s">
        <v>7088</v>
      </c>
    </row>
    <row r="397" spans="1:4" ht="12.75">
      <c r="A397" s="17">
        <v>473</v>
      </c>
      <c r="B397" s="68" t="s">
        <v>3256</v>
      </c>
      <c r="C397" s="68" t="s">
        <v>507</v>
      </c>
      <c r="D397" s="7" t="s">
        <v>7088</v>
      </c>
    </row>
    <row r="398" spans="1:4" ht="12.75">
      <c r="A398" s="17">
        <v>474</v>
      </c>
      <c r="B398" s="65" t="s">
        <v>2733</v>
      </c>
      <c r="C398" s="65" t="s">
        <v>184</v>
      </c>
      <c r="D398" s="7" t="s">
        <v>7088</v>
      </c>
    </row>
    <row r="399" spans="1:4" ht="12.75">
      <c r="A399" s="17">
        <v>475</v>
      </c>
      <c r="B399" s="68" t="s">
        <v>3039</v>
      </c>
      <c r="C399" s="68" t="s">
        <v>2893</v>
      </c>
      <c r="D399" s="7" t="s">
        <v>7088</v>
      </c>
    </row>
    <row r="400" spans="1:4" ht="12.75">
      <c r="A400" s="17">
        <v>476</v>
      </c>
      <c r="B400" s="68" t="s">
        <v>174</v>
      </c>
      <c r="C400" s="68" t="s">
        <v>3291</v>
      </c>
      <c r="D400" s="7" t="s">
        <v>7088</v>
      </c>
    </row>
    <row r="401" spans="1:4" ht="12.75">
      <c r="A401" s="17">
        <v>477</v>
      </c>
      <c r="B401" s="68" t="s">
        <v>3358</v>
      </c>
      <c r="C401" s="68" t="s">
        <v>3291</v>
      </c>
      <c r="D401" s="7" t="s">
        <v>7088</v>
      </c>
    </row>
    <row r="402" spans="1:4" ht="12.75">
      <c r="A402" s="17">
        <v>478</v>
      </c>
      <c r="B402" s="68" t="s">
        <v>2844</v>
      </c>
      <c r="C402" s="68" t="s">
        <v>2833</v>
      </c>
      <c r="D402" s="7" t="s">
        <v>7088</v>
      </c>
    </row>
    <row r="403" spans="1:4" ht="12.75">
      <c r="A403" s="17">
        <v>479</v>
      </c>
      <c r="B403" s="71" t="s">
        <v>3192</v>
      </c>
      <c r="C403" s="71" t="s">
        <v>3086</v>
      </c>
      <c r="D403" s="7" t="s">
        <v>7088</v>
      </c>
    </row>
    <row r="404" spans="1:4" ht="12.75">
      <c r="A404" s="17">
        <v>480</v>
      </c>
      <c r="B404" s="70" t="s">
        <v>3644</v>
      </c>
      <c r="C404" s="70" t="s">
        <v>507</v>
      </c>
      <c r="D404" s="7" t="s">
        <v>7088</v>
      </c>
    </row>
    <row r="405" spans="1:4" ht="12.75">
      <c r="A405" s="17">
        <v>481</v>
      </c>
      <c r="B405" s="68" t="s">
        <v>2774</v>
      </c>
      <c r="C405" s="68" t="s">
        <v>184</v>
      </c>
      <c r="D405" s="7" t="s">
        <v>7088</v>
      </c>
    </row>
    <row r="406" spans="1:4" ht="12.75">
      <c r="A406" s="17">
        <v>482</v>
      </c>
      <c r="B406" s="68" t="s">
        <v>2818</v>
      </c>
      <c r="C406" s="68" t="s">
        <v>2784</v>
      </c>
      <c r="D406" s="7" t="s">
        <v>7088</v>
      </c>
    </row>
    <row r="407" spans="1:4" ht="12.75">
      <c r="A407" s="17">
        <v>483</v>
      </c>
      <c r="B407" s="68" t="s">
        <v>3133</v>
      </c>
      <c r="C407" s="68" t="s">
        <v>2893</v>
      </c>
      <c r="D407" s="7" t="s">
        <v>7088</v>
      </c>
    </row>
    <row r="408" spans="1:4" ht="12.75">
      <c r="A408" s="17">
        <v>484</v>
      </c>
      <c r="B408" s="68" t="s">
        <v>3511</v>
      </c>
      <c r="C408" s="68" t="s">
        <v>3291</v>
      </c>
      <c r="D408" s="7" t="s">
        <v>7088</v>
      </c>
    </row>
    <row r="409" spans="1:4" ht="12.75">
      <c r="A409" s="17">
        <v>485</v>
      </c>
      <c r="B409" s="68" t="s">
        <v>3022</v>
      </c>
      <c r="C409" s="68" t="s">
        <v>2893</v>
      </c>
      <c r="D409" s="7" t="s">
        <v>7088</v>
      </c>
    </row>
    <row r="410" spans="1:4" ht="12.75">
      <c r="A410" s="17">
        <v>486</v>
      </c>
      <c r="B410" s="68" t="s">
        <v>2844</v>
      </c>
      <c r="C410" s="68" t="s">
        <v>2833</v>
      </c>
      <c r="D410" s="7" t="s">
        <v>7088</v>
      </c>
    </row>
    <row r="411" spans="1:4" ht="12.75">
      <c r="A411" s="17">
        <v>487</v>
      </c>
      <c r="B411" s="68" t="s">
        <v>2849</v>
      </c>
      <c r="C411" s="68" t="s">
        <v>2833</v>
      </c>
      <c r="D411" s="7" t="s">
        <v>7088</v>
      </c>
    </row>
    <row r="412" spans="1:4" ht="12.75">
      <c r="A412" s="17">
        <v>488</v>
      </c>
      <c r="B412" s="68" t="s">
        <v>2872</v>
      </c>
      <c r="C412" s="68" t="s">
        <v>2833</v>
      </c>
      <c r="D412" s="7" t="s">
        <v>7088</v>
      </c>
    </row>
    <row r="413" spans="1:4" ht="12.75">
      <c r="A413" s="17">
        <v>489</v>
      </c>
      <c r="B413" s="68" t="s">
        <v>3045</v>
      </c>
      <c r="C413" s="68" t="s">
        <v>2893</v>
      </c>
      <c r="D413" s="7" t="s">
        <v>7088</v>
      </c>
    </row>
    <row r="414" spans="1:4" ht="12.75">
      <c r="A414" s="17">
        <v>490</v>
      </c>
      <c r="B414" s="68" t="s">
        <v>3067</v>
      </c>
      <c r="C414" s="68" t="s">
        <v>2893</v>
      </c>
      <c r="D414" s="7" t="s">
        <v>7088</v>
      </c>
    </row>
    <row r="415" spans="1:4" ht="12.75">
      <c r="A415" s="17">
        <v>491</v>
      </c>
      <c r="B415" s="68" t="s">
        <v>2961</v>
      </c>
      <c r="C415" s="68" t="s">
        <v>2893</v>
      </c>
      <c r="D415" s="7" t="s">
        <v>7088</v>
      </c>
    </row>
    <row r="416" spans="1:4" ht="12.75">
      <c r="A416" s="17">
        <v>492</v>
      </c>
      <c r="B416" s="68" t="s">
        <v>2867</v>
      </c>
      <c r="C416" s="68" t="s">
        <v>2833</v>
      </c>
      <c r="D416" s="7" t="s">
        <v>7088</v>
      </c>
    </row>
    <row r="417" spans="1:4" ht="12.75">
      <c r="A417" s="17">
        <v>493</v>
      </c>
      <c r="B417" s="68" t="s">
        <v>3534</v>
      </c>
      <c r="C417" s="68" t="s">
        <v>56</v>
      </c>
      <c r="D417" s="7" t="s">
        <v>7088</v>
      </c>
    </row>
    <row r="418" spans="1:4" ht="12.75">
      <c r="A418" s="17">
        <v>494</v>
      </c>
      <c r="B418" s="68" t="s">
        <v>2822</v>
      </c>
      <c r="C418" s="68" t="s">
        <v>184</v>
      </c>
      <c r="D418" s="7" t="s">
        <v>7088</v>
      </c>
    </row>
    <row r="419" spans="1:4" ht="12.75">
      <c r="A419" s="17">
        <v>495</v>
      </c>
      <c r="B419" s="70" t="s">
        <v>3591</v>
      </c>
      <c r="C419" s="70" t="s">
        <v>507</v>
      </c>
      <c r="D419" s="7" t="s">
        <v>7088</v>
      </c>
    </row>
    <row r="420" spans="1:4" ht="12.75">
      <c r="A420" s="17">
        <v>496</v>
      </c>
      <c r="B420" s="68" t="s">
        <v>2879</v>
      </c>
      <c r="C420" s="68" t="s">
        <v>2833</v>
      </c>
      <c r="D420" s="7" t="s">
        <v>7088</v>
      </c>
    </row>
    <row r="421" spans="1:4" ht="12.75">
      <c r="A421" s="17">
        <v>500</v>
      </c>
      <c r="B421" s="13" t="s">
        <v>2180</v>
      </c>
      <c r="C421" s="13" t="s">
        <v>264</v>
      </c>
      <c r="D421" s="7" t="s">
        <v>7092</v>
      </c>
    </row>
    <row r="422" spans="1:4" ht="12.75">
      <c r="A422" s="17">
        <v>501</v>
      </c>
      <c r="B422" s="13" t="s">
        <v>1727</v>
      </c>
      <c r="C422" s="13" t="s">
        <v>441</v>
      </c>
      <c r="D422" s="7" t="s">
        <v>7092</v>
      </c>
    </row>
    <row r="423" spans="1:4" ht="12.75">
      <c r="A423" s="17">
        <v>502</v>
      </c>
      <c r="B423" s="13" t="s">
        <v>1755</v>
      </c>
      <c r="C423" s="13" t="s">
        <v>441</v>
      </c>
      <c r="D423" s="7" t="s">
        <v>7092</v>
      </c>
    </row>
    <row r="424" spans="1:4" ht="12.75">
      <c r="A424" s="17">
        <v>503</v>
      </c>
      <c r="B424" s="13" t="s">
        <v>1783</v>
      </c>
      <c r="C424" s="13" t="s">
        <v>441</v>
      </c>
      <c r="D424" s="7" t="s">
        <v>7092</v>
      </c>
    </row>
    <row r="425" spans="1:4" ht="12.75">
      <c r="A425" s="17">
        <v>504</v>
      </c>
      <c r="B425" s="13" t="s">
        <v>1444</v>
      </c>
      <c r="C425" s="13" t="s">
        <v>1445</v>
      </c>
      <c r="D425" s="7" t="s">
        <v>7092</v>
      </c>
    </row>
    <row r="426" spans="1:4" ht="12.75">
      <c r="A426" s="17">
        <v>505</v>
      </c>
      <c r="B426" s="13" t="s">
        <v>2116</v>
      </c>
      <c r="C426" s="13" t="s">
        <v>167</v>
      </c>
      <c r="D426" s="7" t="s">
        <v>7092</v>
      </c>
    </row>
    <row r="427" spans="1:4" ht="12.75">
      <c r="A427" s="17">
        <v>506</v>
      </c>
      <c r="B427" s="23" t="s">
        <v>2482</v>
      </c>
      <c r="C427" s="23" t="s">
        <v>138</v>
      </c>
      <c r="D427" s="7" t="s">
        <v>7092</v>
      </c>
    </row>
    <row r="428" spans="1:4" ht="12.75">
      <c r="A428" s="17">
        <v>507</v>
      </c>
      <c r="B428" s="13" t="s">
        <v>1689</v>
      </c>
      <c r="C428" s="13" t="s">
        <v>441</v>
      </c>
      <c r="D428" s="7" t="s">
        <v>7092</v>
      </c>
    </row>
    <row r="429" spans="1:4" ht="12.75">
      <c r="A429" s="17">
        <v>508</v>
      </c>
      <c r="B429" s="23" t="s">
        <v>2613</v>
      </c>
      <c r="C429" s="23" t="s">
        <v>156</v>
      </c>
      <c r="D429" s="7" t="s">
        <v>7092</v>
      </c>
    </row>
    <row r="430" spans="1:4" ht="12.75">
      <c r="A430" s="17">
        <v>509</v>
      </c>
      <c r="B430" s="13" t="s">
        <v>2216</v>
      </c>
      <c r="C430" s="13" t="s">
        <v>156</v>
      </c>
      <c r="D430" s="7" t="s">
        <v>7092</v>
      </c>
    </row>
    <row r="431" spans="1:4" ht="12.75">
      <c r="A431" s="17">
        <v>510</v>
      </c>
      <c r="B431" s="13" t="s">
        <v>7112</v>
      </c>
      <c r="C431" s="13" t="s">
        <v>156</v>
      </c>
      <c r="D431" s="7" t="s">
        <v>7092</v>
      </c>
    </row>
    <row r="432" spans="1:4" ht="12.75">
      <c r="A432" s="17">
        <v>511</v>
      </c>
      <c r="B432" s="13" t="s">
        <v>1338</v>
      </c>
      <c r="C432" s="13" t="s">
        <v>472</v>
      </c>
      <c r="D432" s="7" t="s">
        <v>7092</v>
      </c>
    </row>
    <row r="433" spans="1:4" ht="12.75">
      <c r="A433" s="17">
        <v>512</v>
      </c>
      <c r="B433" s="17" t="s">
        <v>1397</v>
      </c>
      <c r="C433" s="17" t="s">
        <v>472</v>
      </c>
      <c r="D433" s="7" t="s">
        <v>7092</v>
      </c>
    </row>
    <row r="434" spans="1:4" ht="12.75">
      <c r="A434" s="17">
        <v>513</v>
      </c>
      <c r="B434" s="13" t="s">
        <v>1849</v>
      </c>
      <c r="C434" s="13" t="s">
        <v>1625</v>
      </c>
      <c r="D434" s="7" t="s">
        <v>7092</v>
      </c>
    </row>
    <row r="435" spans="1:4" ht="12.75">
      <c r="A435" s="17">
        <v>514</v>
      </c>
      <c r="B435" s="13" t="s">
        <v>1652</v>
      </c>
      <c r="C435" s="13" t="s">
        <v>62</v>
      </c>
      <c r="D435" s="7" t="s">
        <v>7092</v>
      </c>
    </row>
    <row r="436" spans="1:4" ht="12.75">
      <c r="A436" s="17">
        <v>515</v>
      </c>
      <c r="B436" s="23" t="s">
        <v>2458</v>
      </c>
      <c r="C436" s="23" t="s">
        <v>138</v>
      </c>
      <c r="D436" s="7" t="s">
        <v>7092</v>
      </c>
    </row>
    <row r="437" spans="1:4" ht="12.75">
      <c r="A437" s="17">
        <v>516</v>
      </c>
      <c r="B437" s="13" t="s">
        <v>2026</v>
      </c>
      <c r="C437" s="13" t="s">
        <v>264</v>
      </c>
      <c r="D437" s="7" t="s">
        <v>7092</v>
      </c>
    </row>
    <row r="438" spans="1:4" ht="12.75">
      <c r="A438" s="17">
        <v>517</v>
      </c>
      <c r="B438" s="13" t="s">
        <v>1770</v>
      </c>
      <c r="C438" s="13" t="s">
        <v>441</v>
      </c>
      <c r="D438" s="7" t="s">
        <v>7092</v>
      </c>
    </row>
    <row r="439" spans="1:4" ht="12.75">
      <c r="A439" s="17">
        <v>518</v>
      </c>
      <c r="B439" s="23" t="s">
        <v>2622</v>
      </c>
      <c r="C439" s="23" t="s">
        <v>156</v>
      </c>
      <c r="D439" s="7" t="s">
        <v>7092</v>
      </c>
    </row>
    <row r="440" spans="1:4" ht="12.75">
      <c r="A440" s="17">
        <v>519</v>
      </c>
      <c r="B440" s="23" t="s">
        <v>2584</v>
      </c>
      <c r="C440" s="23" t="s">
        <v>167</v>
      </c>
      <c r="D440" s="7" t="s">
        <v>7092</v>
      </c>
    </row>
    <row r="441" spans="1:4" ht="12.75">
      <c r="A441" s="17">
        <v>520</v>
      </c>
      <c r="B441" s="13" t="s">
        <v>2091</v>
      </c>
      <c r="C441" s="13" t="s">
        <v>167</v>
      </c>
      <c r="D441" s="7" t="s">
        <v>7092</v>
      </c>
    </row>
    <row r="442" spans="1:4" ht="12.75">
      <c r="A442" s="17">
        <v>521</v>
      </c>
      <c r="B442" s="13" t="s">
        <v>2262</v>
      </c>
      <c r="C442" s="13" t="s">
        <v>156</v>
      </c>
      <c r="D442" s="7" t="s">
        <v>7092</v>
      </c>
    </row>
    <row r="443" spans="1:4" ht="12.75">
      <c r="A443" s="17">
        <v>522</v>
      </c>
      <c r="B443" s="13" t="s">
        <v>2060</v>
      </c>
      <c r="C443" s="13" t="s">
        <v>264</v>
      </c>
      <c r="D443" s="7" t="s">
        <v>7092</v>
      </c>
    </row>
    <row r="444" spans="1:4" ht="12.75">
      <c r="A444" s="17">
        <v>523</v>
      </c>
      <c r="B444" s="13" t="s">
        <v>1477</v>
      </c>
      <c r="C444" s="13" t="s">
        <v>1445</v>
      </c>
      <c r="D444" s="7" t="s">
        <v>7092</v>
      </c>
    </row>
    <row r="445" spans="1:4" ht="12.75">
      <c r="A445" s="17">
        <v>524</v>
      </c>
      <c r="B445" s="13" t="s">
        <v>1422</v>
      </c>
      <c r="C445" s="13" t="s">
        <v>472</v>
      </c>
      <c r="D445" s="7" t="s">
        <v>7092</v>
      </c>
    </row>
    <row r="446" spans="1:4" ht="12.75">
      <c r="A446" s="17">
        <v>525</v>
      </c>
      <c r="B446" s="13" t="s">
        <v>455</v>
      </c>
      <c r="C446" s="13" t="s">
        <v>451</v>
      </c>
      <c r="D446" s="7" t="s">
        <v>7092</v>
      </c>
    </row>
    <row r="447" spans="1:4" ht="12.75">
      <c r="A447" s="17">
        <v>526</v>
      </c>
      <c r="B447" s="23" t="s">
        <v>473</v>
      </c>
      <c r="C447" s="23" t="s">
        <v>472</v>
      </c>
      <c r="D447" s="7" t="s">
        <v>7092</v>
      </c>
    </row>
    <row r="448" spans="1:4" ht="12.75">
      <c r="A448" s="17">
        <v>527</v>
      </c>
      <c r="B448" s="23" t="s">
        <v>2599</v>
      </c>
      <c r="C448" s="23" t="s">
        <v>156</v>
      </c>
      <c r="D448" s="7" t="s">
        <v>7092</v>
      </c>
    </row>
    <row r="449" spans="1:4" ht="12.75">
      <c r="A449" s="17">
        <v>528</v>
      </c>
      <c r="B449" s="23" t="s">
        <v>459</v>
      </c>
      <c r="C449" s="23" t="s">
        <v>451</v>
      </c>
      <c r="D449" s="7" t="s">
        <v>7092</v>
      </c>
    </row>
    <row r="450" spans="1:4" ht="12.75">
      <c r="A450" s="17">
        <v>529</v>
      </c>
      <c r="B450" s="23" t="s">
        <v>455</v>
      </c>
      <c r="C450" s="23" t="s">
        <v>451</v>
      </c>
      <c r="D450" s="7" t="s">
        <v>7092</v>
      </c>
    </row>
    <row r="451" spans="1:4" ht="12.75">
      <c r="A451" s="17">
        <v>530</v>
      </c>
      <c r="B451" s="23" t="s">
        <v>504</v>
      </c>
      <c r="C451" s="23" t="s">
        <v>138</v>
      </c>
      <c r="D451" s="7" t="s">
        <v>7092</v>
      </c>
    </row>
    <row r="452" spans="1:4" ht="12.75">
      <c r="A452" s="17">
        <v>531</v>
      </c>
      <c r="B452" s="13" t="s">
        <v>452</v>
      </c>
      <c r="C452" s="13" t="s">
        <v>451</v>
      </c>
      <c r="D452" s="7" t="s">
        <v>7092</v>
      </c>
    </row>
    <row r="453" spans="1:4" ht="12.75">
      <c r="A453" s="17">
        <v>532</v>
      </c>
      <c r="B453" s="13" t="s">
        <v>2159</v>
      </c>
      <c r="C453" s="13" t="s">
        <v>264</v>
      </c>
      <c r="D453" s="7" t="s">
        <v>7092</v>
      </c>
    </row>
    <row r="454" spans="1:4" ht="12.75">
      <c r="A454" s="17">
        <v>533</v>
      </c>
      <c r="B454" s="13" t="s">
        <v>1632</v>
      </c>
      <c r="C454" s="13" t="s">
        <v>62</v>
      </c>
      <c r="D454" s="7" t="s">
        <v>7092</v>
      </c>
    </row>
    <row r="455" spans="1:4" ht="12.75">
      <c r="A455" s="17">
        <v>534</v>
      </c>
      <c r="B455" s="13" t="s">
        <v>1538</v>
      </c>
      <c r="C455" s="13" t="s">
        <v>451</v>
      </c>
      <c r="D455" s="7" t="s">
        <v>7092</v>
      </c>
    </row>
    <row r="456" spans="1:4" ht="12.75">
      <c r="A456" s="17">
        <v>535</v>
      </c>
      <c r="B456" s="13" t="s">
        <v>1593</v>
      </c>
      <c r="C456" s="13" t="s">
        <v>451</v>
      </c>
      <c r="D456" s="7" t="s">
        <v>7092</v>
      </c>
    </row>
    <row r="457" spans="1:4" ht="12.75">
      <c r="A457" s="17">
        <v>536</v>
      </c>
      <c r="B457" s="23" t="s">
        <v>462</v>
      </c>
      <c r="C457" s="23" t="s">
        <v>451</v>
      </c>
      <c r="D457" s="7" t="s">
        <v>7092</v>
      </c>
    </row>
    <row r="458" spans="1:4" ht="12.75">
      <c r="A458" s="17">
        <v>537</v>
      </c>
      <c r="B458" s="23" t="s">
        <v>2391</v>
      </c>
      <c r="C458" s="23" t="s">
        <v>451</v>
      </c>
      <c r="D458" s="7" t="s">
        <v>7092</v>
      </c>
    </row>
    <row r="459" spans="1:4" ht="12.75">
      <c r="A459" s="17">
        <v>538</v>
      </c>
      <c r="B459" s="23" t="s">
        <v>2425</v>
      </c>
      <c r="C459" s="23" t="s">
        <v>451</v>
      </c>
      <c r="D459" s="7" t="s">
        <v>7092</v>
      </c>
    </row>
    <row r="460" spans="1:4" ht="12.75">
      <c r="A460" s="17">
        <v>539</v>
      </c>
      <c r="B460" s="23" t="s">
        <v>2509</v>
      </c>
      <c r="C460" s="23" t="s">
        <v>138</v>
      </c>
      <c r="D460" s="7" t="s">
        <v>7092</v>
      </c>
    </row>
    <row r="461" spans="1:4" ht="12.75">
      <c r="A461" s="17">
        <v>540</v>
      </c>
      <c r="B461" s="13" t="s">
        <v>1624</v>
      </c>
      <c r="C461" s="13" t="s">
        <v>1625</v>
      </c>
      <c r="D461" s="7" t="s">
        <v>7092</v>
      </c>
    </row>
    <row r="462" spans="1:4" ht="12.75">
      <c r="A462" s="17">
        <v>541</v>
      </c>
      <c r="B462" s="13" t="s">
        <v>1956</v>
      </c>
      <c r="C462" s="13" t="s">
        <v>1957</v>
      </c>
      <c r="D462" s="7" t="s">
        <v>7092</v>
      </c>
    </row>
    <row r="463" spans="1:4" ht="14.55" customHeight="1">
      <c r="A463" s="17">
        <v>542</v>
      </c>
      <c r="B463" s="13" t="s">
        <v>1991</v>
      </c>
      <c r="C463" s="13" t="s">
        <v>1957</v>
      </c>
      <c r="D463" s="7" t="s">
        <v>7092</v>
      </c>
    </row>
    <row r="464" spans="1:4" ht="14.55" customHeight="1">
      <c r="A464" s="17">
        <v>543</v>
      </c>
      <c r="B464" s="13" t="s">
        <v>1658</v>
      </c>
      <c r="C464" s="13" t="s">
        <v>451</v>
      </c>
      <c r="D464" s="7" t="s">
        <v>7092</v>
      </c>
    </row>
    <row r="465" spans="1:4" ht="14.55" customHeight="1">
      <c r="A465" s="17">
        <v>544</v>
      </c>
      <c r="B465" s="13" t="s">
        <v>1915</v>
      </c>
      <c r="C465" s="13" t="s">
        <v>451</v>
      </c>
      <c r="D465" s="7" t="s">
        <v>7092</v>
      </c>
    </row>
    <row r="466" spans="1:4" ht="14.55" customHeight="1">
      <c r="A466" s="17">
        <v>545</v>
      </c>
      <c r="B466" s="23" t="s">
        <v>2591</v>
      </c>
      <c r="C466" s="23" t="s">
        <v>167</v>
      </c>
      <c r="D466" s="7" t="s">
        <v>7092</v>
      </c>
    </row>
    <row r="467" spans="1:4" ht="12.75">
      <c r="A467" s="17">
        <v>550</v>
      </c>
      <c r="B467" s="68" t="s">
        <v>505</v>
      </c>
      <c r="C467" s="68" t="s">
        <v>165</v>
      </c>
      <c r="D467" s="7" t="s">
        <v>7093</v>
      </c>
    </row>
    <row r="468" spans="1:4" ht="12.75">
      <c r="A468" s="17">
        <v>551</v>
      </c>
      <c r="B468" s="70" t="s">
        <v>4157</v>
      </c>
      <c r="C468" s="68" t="s">
        <v>3856</v>
      </c>
      <c r="D468" s="7" t="s">
        <v>7093</v>
      </c>
    </row>
    <row r="469" spans="1:4" ht="12.75">
      <c r="A469" s="17">
        <v>552</v>
      </c>
      <c r="B469" s="70" t="s">
        <v>4307</v>
      </c>
      <c r="C469" s="68" t="s">
        <v>3856</v>
      </c>
      <c r="D469" s="7" t="s">
        <v>7093</v>
      </c>
    </row>
    <row r="470" spans="1:4" ht="12.75">
      <c r="A470" s="17">
        <v>553</v>
      </c>
      <c r="B470" s="89" t="s">
        <v>4278</v>
      </c>
      <c r="C470" s="68" t="s">
        <v>3856</v>
      </c>
      <c r="D470" s="7" t="s">
        <v>7093</v>
      </c>
    </row>
    <row r="471" spans="1:4" ht="12.75">
      <c r="A471" s="17">
        <v>554</v>
      </c>
      <c r="B471" s="70" t="s">
        <v>2159</v>
      </c>
      <c r="C471" s="68" t="s">
        <v>3856</v>
      </c>
      <c r="D471" s="7" t="s">
        <v>7093</v>
      </c>
    </row>
    <row r="472" spans="1:4" ht="12.75">
      <c r="A472" s="17">
        <v>555</v>
      </c>
      <c r="B472" s="68" t="s">
        <v>3840</v>
      </c>
      <c r="C472" s="68" t="s">
        <v>165</v>
      </c>
      <c r="D472" s="7" t="s">
        <v>7093</v>
      </c>
    </row>
    <row r="473" spans="1:4" ht="12.75">
      <c r="A473" s="17">
        <v>556</v>
      </c>
      <c r="B473" s="68" t="s">
        <v>3836</v>
      </c>
      <c r="C473" s="68" t="s">
        <v>165</v>
      </c>
      <c r="D473" s="7" t="s">
        <v>7093</v>
      </c>
    </row>
    <row r="474" spans="1:4" ht="12.75">
      <c r="A474" s="17">
        <v>557</v>
      </c>
      <c r="B474" s="68" t="s">
        <v>3789</v>
      </c>
      <c r="C474" s="68" t="s">
        <v>165</v>
      </c>
      <c r="D474" s="7" t="s">
        <v>7093</v>
      </c>
    </row>
    <row r="475" spans="1:4" ht="12.75">
      <c r="A475" s="17">
        <v>558</v>
      </c>
      <c r="B475" s="68" t="s">
        <v>3863</v>
      </c>
      <c r="C475" s="68" t="s">
        <v>165</v>
      </c>
      <c r="D475" s="7" t="s">
        <v>7093</v>
      </c>
    </row>
    <row r="476" spans="1:4" ht="12.75">
      <c r="A476" s="17">
        <v>559</v>
      </c>
      <c r="B476" s="68" t="s">
        <v>3798</v>
      </c>
      <c r="C476" s="68" t="s">
        <v>165</v>
      </c>
      <c r="D476" s="7" t="s">
        <v>7093</v>
      </c>
    </row>
    <row r="477" spans="1:4" ht="12.75">
      <c r="A477" s="17">
        <v>560</v>
      </c>
      <c r="B477" s="68" t="s">
        <v>4026</v>
      </c>
      <c r="C477" s="68" t="s">
        <v>3982</v>
      </c>
      <c r="D477" s="7" t="s">
        <v>7093</v>
      </c>
    </row>
    <row r="478" spans="1:4" ht="12.75">
      <c r="A478" s="17">
        <v>561</v>
      </c>
      <c r="B478" s="70" t="s">
        <v>4213</v>
      </c>
      <c r="C478" s="68" t="s">
        <v>165</v>
      </c>
      <c r="D478" s="7" t="s">
        <v>7093</v>
      </c>
    </row>
    <row r="479" spans="1:4" ht="12.75">
      <c r="A479" s="17">
        <v>562</v>
      </c>
      <c r="B479" s="70" t="s">
        <v>4217</v>
      </c>
      <c r="C479" s="68" t="s">
        <v>165</v>
      </c>
      <c r="D479" s="7" t="s">
        <v>7093</v>
      </c>
    </row>
    <row r="480" spans="1:4" ht="12.75">
      <c r="A480" s="17">
        <v>563</v>
      </c>
      <c r="B480" s="68" t="s">
        <v>3929</v>
      </c>
      <c r="C480" s="68" t="s">
        <v>68</v>
      </c>
      <c r="D480" s="7" t="s">
        <v>7093</v>
      </c>
    </row>
    <row r="481" spans="1:4" ht="12.75">
      <c r="A481" s="17">
        <v>564</v>
      </c>
      <c r="B481" s="68" t="s">
        <v>3839</v>
      </c>
      <c r="C481" s="68" t="s">
        <v>165</v>
      </c>
      <c r="D481" s="7" t="s">
        <v>7093</v>
      </c>
    </row>
    <row r="482" spans="1:4" ht="12.75">
      <c r="A482" s="17">
        <v>565</v>
      </c>
      <c r="B482" s="68" t="s">
        <v>3998</v>
      </c>
      <c r="C482" s="68" t="s">
        <v>3982</v>
      </c>
      <c r="D482" s="7" t="s">
        <v>7093</v>
      </c>
    </row>
    <row r="483" spans="1:4" ht="12.75">
      <c r="A483" s="17">
        <v>566</v>
      </c>
      <c r="B483" s="68" t="s">
        <v>4010</v>
      </c>
      <c r="C483" s="68" t="s">
        <v>3982</v>
      </c>
      <c r="D483" s="7" t="s">
        <v>7093</v>
      </c>
    </row>
    <row r="484" spans="1:4" ht="12.75">
      <c r="A484" s="17">
        <v>567</v>
      </c>
      <c r="B484" s="68" t="s">
        <v>3892</v>
      </c>
      <c r="C484" s="68" t="s">
        <v>3851</v>
      </c>
      <c r="D484" s="7" t="s">
        <v>7093</v>
      </c>
    </row>
    <row r="485" spans="1:4" ht="12.75">
      <c r="A485" s="17">
        <v>568</v>
      </c>
      <c r="B485" s="68" t="s">
        <v>3886</v>
      </c>
      <c r="C485" s="68" t="s">
        <v>3851</v>
      </c>
      <c r="D485" s="7" t="s">
        <v>7093</v>
      </c>
    </row>
    <row r="486" spans="1:4" ht="12.75">
      <c r="A486" s="17">
        <v>569</v>
      </c>
      <c r="B486" s="68" t="s">
        <v>4054</v>
      </c>
      <c r="C486" s="68" t="s">
        <v>3982</v>
      </c>
      <c r="D486" s="7" t="s">
        <v>7093</v>
      </c>
    </row>
    <row r="487" spans="1:4" ht="12.75">
      <c r="A487" s="17">
        <v>570</v>
      </c>
      <c r="B487" s="70" t="s">
        <v>4232</v>
      </c>
      <c r="C487" s="68" t="s">
        <v>3856</v>
      </c>
      <c r="D487" s="7" t="s">
        <v>7093</v>
      </c>
    </row>
    <row r="488" spans="1:4" ht="12.75">
      <c r="A488" s="17">
        <v>571</v>
      </c>
      <c r="B488" s="68" t="s">
        <v>4074</v>
      </c>
      <c r="C488" s="68" t="s">
        <v>3982</v>
      </c>
      <c r="D488" s="7" t="s">
        <v>7093</v>
      </c>
    </row>
    <row r="489" spans="1:4" ht="12.75">
      <c r="A489" s="17">
        <v>572</v>
      </c>
      <c r="B489" s="68" t="s">
        <v>3950</v>
      </c>
      <c r="C489" s="68" t="s">
        <v>3982</v>
      </c>
      <c r="D489" s="7" t="s">
        <v>7093</v>
      </c>
    </row>
    <row r="490" spans="1:4" ht="12.75">
      <c r="A490" s="17">
        <v>573</v>
      </c>
      <c r="B490" s="68" t="s">
        <v>3850</v>
      </c>
      <c r="C490" s="68" t="s">
        <v>3851</v>
      </c>
      <c r="D490" s="7" t="s">
        <v>7093</v>
      </c>
    </row>
    <row r="491" spans="1:4" ht="12.75">
      <c r="A491" s="17">
        <v>574</v>
      </c>
      <c r="B491" s="69" t="s">
        <v>4361</v>
      </c>
      <c r="C491" s="69" t="s">
        <v>4091</v>
      </c>
      <c r="D491" s="7" t="s">
        <v>7093</v>
      </c>
    </row>
    <row r="492" spans="1:4" ht="12.75">
      <c r="A492" s="17">
        <v>575</v>
      </c>
      <c r="B492" s="68" t="s">
        <v>511</v>
      </c>
      <c r="C492" s="68" t="s">
        <v>165</v>
      </c>
      <c r="D492" s="7" t="s">
        <v>7093</v>
      </c>
    </row>
    <row r="493" spans="1:4" ht="12.75">
      <c r="A493" s="17">
        <v>576</v>
      </c>
      <c r="B493" s="89" t="s">
        <v>4157</v>
      </c>
      <c r="C493" s="68" t="s">
        <v>3856</v>
      </c>
      <c r="D493" s="7" t="s">
        <v>7093</v>
      </c>
    </row>
    <row r="494" spans="1:4" ht="12.75">
      <c r="A494" s="17">
        <v>577</v>
      </c>
      <c r="B494" s="68" t="s">
        <v>3870</v>
      </c>
      <c r="C494" s="68" t="s">
        <v>3851</v>
      </c>
      <c r="D494" s="7" t="s">
        <v>7093</v>
      </c>
    </row>
    <row r="495" spans="1:4" ht="12.75">
      <c r="A495" s="17">
        <v>578</v>
      </c>
      <c r="B495" s="68" t="s">
        <v>4088</v>
      </c>
      <c r="C495" s="70" t="s">
        <v>4091</v>
      </c>
      <c r="D495" s="7" t="s">
        <v>7093</v>
      </c>
    </row>
    <row r="496" spans="1:4" ht="12.75">
      <c r="A496" s="17">
        <v>579</v>
      </c>
      <c r="B496" s="68" t="s">
        <v>3998</v>
      </c>
      <c r="C496" s="68" t="s">
        <v>3982</v>
      </c>
      <c r="D496" s="7" t="s">
        <v>7093</v>
      </c>
    </row>
    <row r="497" spans="1:4" ht="12.75">
      <c r="A497" s="17">
        <v>580</v>
      </c>
      <c r="B497" s="68" t="s">
        <v>512</v>
      </c>
      <c r="C497" s="70" t="s">
        <v>4091</v>
      </c>
      <c r="D497" s="7" t="s">
        <v>7093</v>
      </c>
    </row>
    <row r="498" spans="1:4" ht="12.75">
      <c r="A498" s="17">
        <v>581</v>
      </c>
      <c r="B498" s="68" t="s">
        <v>3819</v>
      </c>
      <c r="C498" s="68" t="s">
        <v>165</v>
      </c>
      <c r="D498" s="7" t="s">
        <v>7093</v>
      </c>
    </row>
    <row r="499" spans="1:4" ht="12.75">
      <c r="A499" s="17">
        <v>582</v>
      </c>
      <c r="B499" s="70" t="s">
        <v>505</v>
      </c>
      <c r="C499" s="68" t="s">
        <v>3856</v>
      </c>
      <c r="D499" s="7" t="s">
        <v>7093</v>
      </c>
    </row>
    <row r="500" spans="1:4" ht="12.75">
      <c r="A500" s="17">
        <v>583</v>
      </c>
      <c r="B500" s="68" t="s">
        <v>3817</v>
      </c>
      <c r="C500" s="68" t="s">
        <v>165</v>
      </c>
      <c r="D500" s="7" t="s">
        <v>7093</v>
      </c>
    </row>
    <row r="501" spans="1:4" ht="12.75">
      <c r="A501" s="17">
        <v>584</v>
      </c>
      <c r="B501" s="68" t="s">
        <v>3755</v>
      </c>
      <c r="C501" s="68" t="s">
        <v>165</v>
      </c>
      <c r="D501" s="7" t="s">
        <v>7093</v>
      </c>
    </row>
    <row r="502" spans="1:4" ht="12.75">
      <c r="A502" s="17">
        <v>585</v>
      </c>
      <c r="B502" s="70" t="s">
        <v>510</v>
      </c>
      <c r="C502" s="68" t="s">
        <v>3856</v>
      </c>
      <c r="D502" s="7" t="s">
        <v>7093</v>
      </c>
    </row>
    <row r="503" spans="1:4" ht="12.75">
      <c r="A503" s="17">
        <v>586</v>
      </c>
      <c r="B503" s="68" t="s">
        <v>3963</v>
      </c>
      <c r="C503" s="68" t="s">
        <v>68</v>
      </c>
      <c r="D503" s="7" t="s">
        <v>7093</v>
      </c>
    </row>
    <row r="504" spans="1:4" ht="12.75">
      <c r="A504" s="17">
        <v>587</v>
      </c>
      <c r="B504" s="70" t="s">
        <v>505</v>
      </c>
      <c r="C504" s="70" t="s">
        <v>4091</v>
      </c>
      <c r="D504" s="7" t="s">
        <v>7093</v>
      </c>
    </row>
    <row r="505" spans="1:4" ht="12.75">
      <c r="A505" s="17">
        <v>588</v>
      </c>
      <c r="B505" s="68" t="s">
        <v>3833</v>
      </c>
      <c r="C505" s="68" t="s">
        <v>165</v>
      </c>
      <c r="D505" s="7" t="s">
        <v>7093</v>
      </c>
    </row>
    <row r="506" spans="1:4" ht="12.75">
      <c r="A506" s="17">
        <v>589</v>
      </c>
      <c r="B506" s="68" t="s">
        <v>3800</v>
      </c>
      <c r="C506" s="68" t="s">
        <v>165</v>
      </c>
      <c r="D506" s="7" t="s">
        <v>7093</v>
      </c>
    </row>
    <row r="507" spans="1:4" ht="12.75">
      <c r="A507" s="17">
        <v>590</v>
      </c>
      <c r="B507" s="68" t="s">
        <v>3890</v>
      </c>
      <c r="C507" s="68" t="s">
        <v>3851</v>
      </c>
      <c r="D507" s="7" t="s">
        <v>7093</v>
      </c>
    </row>
    <row r="508" spans="1:4" ht="12.75">
      <c r="A508" s="17">
        <v>591</v>
      </c>
      <c r="B508" s="70" t="s">
        <v>4358</v>
      </c>
      <c r="C508" s="70" t="s">
        <v>4091</v>
      </c>
      <c r="D508" s="7" t="s">
        <v>7093</v>
      </c>
    </row>
    <row r="509" spans="1:4" ht="12.75">
      <c r="A509" s="17">
        <v>592</v>
      </c>
      <c r="B509" s="68" t="s">
        <v>4153</v>
      </c>
      <c r="C509" s="70" t="s">
        <v>4091</v>
      </c>
      <c r="D509" s="7" t="s">
        <v>7093</v>
      </c>
    </row>
    <row r="510" spans="1:4" ht="12.75">
      <c r="A510" s="17">
        <v>593</v>
      </c>
      <c r="B510" s="70" t="s">
        <v>4352</v>
      </c>
      <c r="C510" s="70" t="s">
        <v>4091</v>
      </c>
      <c r="D510" s="7" t="s">
        <v>7093</v>
      </c>
    </row>
    <row r="511" spans="1:4" ht="12.75">
      <c r="A511" s="17">
        <v>594</v>
      </c>
      <c r="B511" s="68" t="s">
        <v>4147</v>
      </c>
      <c r="C511" s="70" t="s">
        <v>4091</v>
      </c>
      <c r="D511" s="7" t="s">
        <v>7093</v>
      </c>
    </row>
    <row r="512" spans="1:4" ht="12.75">
      <c r="A512" s="17">
        <v>595</v>
      </c>
      <c r="B512" s="68" t="s">
        <v>3812</v>
      </c>
      <c r="C512" s="68" t="s">
        <v>165</v>
      </c>
      <c r="D512" s="7" t="s">
        <v>7093</v>
      </c>
    </row>
    <row r="513" spans="1:4" ht="12.75">
      <c r="A513" s="17">
        <v>596</v>
      </c>
      <c r="B513" s="68" t="s">
        <v>3845</v>
      </c>
      <c r="C513" s="68" t="s">
        <v>165</v>
      </c>
      <c r="D513" s="7" t="s">
        <v>7093</v>
      </c>
    </row>
    <row r="514" spans="1:4" ht="12.75">
      <c r="A514" s="17">
        <v>597</v>
      </c>
      <c r="B514" s="68" t="s">
        <v>3940</v>
      </c>
      <c r="C514" s="68" t="s">
        <v>3982</v>
      </c>
      <c r="D514" s="7" t="s">
        <v>7093</v>
      </c>
    </row>
    <row r="515" spans="1:4" ht="12.75">
      <c r="A515" s="17">
        <v>598</v>
      </c>
      <c r="B515" s="70" t="s">
        <v>510</v>
      </c>
      <c r="C515" s="68" t="s">
        <v>3856</v>
      </c>
      <c r="D515" s="7" t="s">
        <v>7093</v>
      </c>
    </row>
    <row r="516" spans="1:4" ht="12.75">
      <c r="A516" s="17">
        <v>599</v>
      </c>
      <c r="B516" s="70" t="s">
        <v>4240</v>
      </c>
      <c r="C516" s="68" t="s">
        <v>3856</v>
      </c>
      <c r="D516" s="7" t="s">
        <v>7093</v>
      </c>
    </row>
    <row r="517" spans="1:4" ht="12.75">
      <c r="A517" s="17">
        <v>600</v>
      </c>
      <c r="B517" s="70" t="s">
        <v>4195</v>
      </c>
      <c r="C517" s="68" t="s">
        <v>165</v>
      </c>
      <c r="D517" s="7" t="s">
        <v>7093</v>
      </c>
    </row>
    <row r="518" spans="1:4" ht="12.75">
      <c r="A518" s="17">
        <v>601</v>
      </c>
      <c r="B518" s="70" t="s">
        <v>4355</v>
      </c>
      <c r="C518" s="70" t="s">
        <v>4091</v>
      </c>
      <c r="D518" s="7" t="s">
        <v>7093</v>
      </c>
    </row>
    <row r="519" spans="1:4" ht="12.75">
      <c r="A519" s="17">
        <v>602</v>
      </c>
      <c r="B519" s="68" t="s">
        <v>4080</v>
      </c>
      <c r="C519" s="68" t="s">
        <v>3982</v>
      </c>
      <c r="D519" s="7" t="s">
        <v>7093</v>
      </c>
    </row>
    <row r="520" spans="1:4" ht="12.75">
      <c r="A520" s="17">
        <v>603</v>
      </c>
      <c r="B520" s="68" t="s">
        <v>3855</v>
      </c>
      <c r="C520" s="68" t="s">
        <v>3856</v>
      </c>
      <c r="D520" s="7" t="s">
        <v>7093</v>
      </c>
    </row>
    <row r="521" spans="1:4" ht="12.75">
      <c r="A521" s="17">
        <v>604</v>
      </c>
      <c r="B521" s="70" t="s">
        <v>4157</v>
      </c>
      <c r="C521" s="68" t="s">
        <v>3856</v>
      </c>
      <c r="D521" s="7" t="s">
        <v>7093</v>
      </c>
    </row>
    <row r="522" spans="1:4" ht="12.75">
      <c r="A522" s="17">
        <v>605</v>
      </c>
      <c r="B522" s="68" t="s">
        <v>3895</v>
      </c>
      <c r="C522" s="68" t="s">
        <v>3851</v>
      </c>
      <c r="D522" s="7" t="s">
        <v>7093</v>
      </c>
    </row>
    <row r="523" spans="1:4" ht="12.75">
      <c r="A523" s="17">
        <v>606</v>
      </c>
      <c r="B523" s="89" t="s">
        <v>4240</v>
      </c>
      <c r="C523" s="68" t="s">
        <v>3856</v>
      </c>
      <c r="D523" s="7" t="s">
        <v>7093</v>
      </c>
    </row>
    <row r="524" spans="1:4" ht="12.75">
      <c r="A524" s="17">
        <v>607</v>
      </c>
      <c r="B524" s="68" t="s">
        <v>3929</v>
      </c>
      <c r="C524" s="68" t="s">
        <v>68</v>
      </c>
      <c r="D524" s="7" t="s">
        <v>7093</v>
      </c>
    </row>
    <row r="525" spans="1:4" ht="12.75">
      <c r="A525" s="17">
        <v>608</v>
      </c>
      <c r="B525" s="68" t="s">
        <v>3877</v>
      </c>
      <c r="C525" s="68" t="s">
        <v>3851</v>
      </c>
      <c r="D525" s="7" t="s">
        <v>7093</v>
      </c>
    </row>
    <row r="526" spans="1:4" ht="12.75">
      <c r="A526" s="17">
        <v>609</v>
      </c>
      <c r="B526" s="68" t="s">
        <v>3963</v>
      </c>
      <c r="C526" s="68" t="s">
        <v>68</v>
      </c>
      <c r="D526" s="7" t="s">
        <v>7093</v>
      </c>
    </row>
    <row r="527" spans="1:4" ht="12.75">
      <c r="A527" s="17">
        <v>610</v>
      </c>
      <c r="B527" s="70" t="s">
        <v>4331</v>
      </c>
      <c r="C527" s="70" t="s">
        <v>4091</v>
      </c>
      <c r="D527" s="7" t="s">
        <v>7093</v>
      </c>
    </row>
    <row r="528" spans="1:4" ht="12.75">
      <c r="A528" s="17">
        <v>611</v>
      </c>
      <c r="B528" s="70" t="s">
        <v>490</v>
      </c>
      <c r="C528" s="70" t="s">
        <v>4091</v>
      </c>
      <c r="D528" s="7" t="s">
        <v>7093</v>
      </c>
    </row>
    <row r="529" spans="1:4" ht="12.75">
      <c r="A529" s="17">
        <v>612</v>
      </c>
      <c r="B529" s="70" t="s">
        <v>4286</v>
      </c>
      <c r="C529" s="68" t="s">
        <v>3856</v>
      </c>
      <c r="D529" s="7" t="s">
        <v>7093</v>
      </c>
    </row>
    <row r="530" spans="1:4" ht="12.75">
      <c r="A530" s="17">
        <v>613</v>
      </c>
      <c r="B530" s="70" t="s">
        <v>510</v>
      </c>
      <c r="C530" s="68" t="s">
        <v>3856</v>
      </c>
      <c r="D530" s="7" t="s">
        <v>7093</v>
      </c>
    </row>
    <row r="531" spans="1:4" ht="12.75">
      <c r="A531" s="17">
        <v>614</v>
      </c>
      <c r="B531" s="68" t="s">
        <v>3882</v>
      </c>
      <c r="C531" s="68" t="s">
        <v>3851</v>
      </c>
      <c r="D531" s="7" t="s">
        <v>7093</v>
      </c>
    </row>
    <row r="532" spans="1:4" ht="12.75">
      <c r="A532" s="17">
        <v>615</v>
      </c>
      <c r="B532" s="70" t="s">
        <v>4181</v>
      </c>
      <c r="C532" s="68" t="s">
        <v>3856</v>
      </c>
      <c r="D532" s="7" t="s">
        <v>7093</v>
      </c>
    </row>
    <row r="533" spans="1:4" ht="12.75">
      <c r="A533" s="17">
        <v>616</v>
      </c>
      <c r="B533" s="68" t="s">
        <v>4041</v>
      </c>
      <c r="C533" s="68" t="s">
        <v>3982</v>
      </c>
      <c r="D533" s="7" t="s">
        <v>7093</v>
      </c>
    </row>
    <row r="534" spans="1:4" ht="12.75">
      <c r="A534" s="17">
        <v>617</v>
      </c>
      <c r="B534" s="68" t="s">
        <v>4126</v>
      </c>
      <c r="C534" s="70" t="s">
        <v>4091</v>
      </c>
      <c r="D534" s="7" t="s">
        <v>7093</v>
      </c>
    </row>
    <row r="535" spans="1:4" ht="12.75">
      <c r="A535" s="17">
        <v>618</v>
      </c>
      <c r="B535" s="89" t="s">
        <v>4270</v>
      </c>
      <c r="C535" s="68" t="s">
        <v>3856</v>
      </c>
      <c r="D535" s="7" t="s">
        <v>7093</v>
      </c>
    </row>
    <row r="536" spans="1:4" ht="12.75">
      <c r="A536" s="17">
        <v>619</v>
      </c>
      <c r="B536" s="70" t="s">
        <v>4250</v>
      </c>
      <c r="C536" s="68" t="s">
        <v>3856</v>
      </c>
      <c r="D536" s="7" t="s">
        <v>7093</v>
      </c>
    </row>
    <row r="537" spans="1:4" ht="12.75">
      <c r="A537" s="17">
        <v>620</v>
      </c>
      <c r="B537" s="68" t="s">
        <v>3950</v>
      </c>
      <c r="C537" s="68" t="s">
        <v>68</v>
      </c>
      <c r="D537" s="7" t="s">
        <v>7093</v>
      </c>
    </row>
    <row r="538" spans="1:4" ht="14.25">
      <c r="A538" s="6"/>
      <c r="B538" s="64"/>
      <c r="C538" s="64"/>
    </row>
    <row r="539" spans="1:4" ht="14.25">
      <c r="A539" s="6"/>
      <c r="B539" s="64"/>
      <c r="C539" s="64"/>
    </row>
    <row r="540" spans="1:4" ht="14.25">
      <c r="A540" s="6"/>
      <c r="B540" s="64"/>
      <c r="C540" s="64"/>
    </row>
    <row r="541" spans="1:4" ht="14.25">
      <c r="A541" s="6"/>
      <c r="B541" s="64"/>
      <c r="C541" s="64"/>
    </row>
    <row r="542" spans="1:4" ht="14.25">
      <c r="A542" s="6"/>
      <c r="B542" s="64"/>
      <c r="C542" s="64"/>
    </row>
    <row r="543" spans="1:4" ht="14.25">
      <c r="A543" s="6"/>
      <c r="B543" s="64"/>
      <c r="C543" s="64"/>
    </row>
    <row r="544" spans="1:4" ht="14.25">
      <c r="A544" s="6"/>
      <c r="B544" s="64"/>
      <c r="C544" s="64"/>
    </row>
    <row r="545" spans="1:3" ht="14.25">
      <c r="A545" s="6"/>
      <c r="B545" s="64"/>
      <c r="C545" s="64"/>
    </row>
    <row r="546" spans="1:3" ht="14.25">
      <c r="A546" s="6"/>
      <c r="B546" s="64"/>
      <c r="C546" s="64"/>
    </row>
    <row r="547" spans="1:3" ht="14.25">
      <c r="A547" s="6"/>
      <c r="B547" s="64"/>
      <c r="C547" s="64"/>
    </row>
    <row r="548" spans="1:3" ht="14.25">
      <c r="A548" s="6"/>
      <c r="B548" s="64"/>
      <c r="C548" s="64"/>
    </row>
    <row r="549" spans="1:3" ht="14.25">
      <c r="A549" s="6"/>
      <c r="B549" s="64"/>
      <c r="C549" s="64"/>
    </row>
    <row r="550" spans="1:3" ht="14.25">
      <c r="A550" s="6"/>
      <c r="B550" s="64"/>
      <c r="C550" s="64"/>
    </row>
    <row r="551" spans="1:3" ht="14.25">
      <c r="A551" s="6"/>
      <c r="B551" s="64"/>
      <c r="C551" s="64"/>
    </row>
    <row r="552" spans="1:3" ht="14.25">
      <c r="A552" s="6"/>
      <c r="B552" s="64"/>
      <c r="C552" s="64"/>
    </row>
    <row r="553" spans="1:3" ht="14.25">
      <c r="A553" s="6"/>
      <c r="B553" s="64"/>
      <c r="C553" s="64"/>
    </row>
    <row r="554" spans="1:3" ht="14.25">
      <c r="A554" s="6"/>
      <c r="B554" s="64"/>
      <c r="C554" s="64"/>
    </row>
    <row r="555" spans="1:3" ht="14.25">
      <c r="A555" s="6"/>
      <c r="B555" s="64"/>
      <c r="C555" s="64"/>
    </row>
    <row r="556" spans="1:3" ht="14.25">
      <c r="A556" s="6"/>
      <c r="B556" s="64"/>
      <c r="C556" s="64"/>
    </row>
    <row r="557" spans="1:3" ht="14.25">
      <c r="A557" s="6"/>
      <c r="B557" s="64"/>
      <c r="C557" s="64"/>
    </row>
    <row r="558" spans="1:3" ht="14.25">
      <c r="A558" s="6"/>
      <c r="B558" s="64"/>
      <c r="C558" s="64"/>
    </row>
    <row r="559" spans="1:3" ht="14.25">
      <c r="A559" s="6"/>
      <c r="B559" s="64"/>
      <c r="C559" s="64"/>
    </row>
    <row r="560" spans="1:3" ht="14.25">
      <c r="A560" s="6"/>
      <c r="B560" s="64"/>
      <c r="C560" s="64"/>
    </row>
    <row r="561" spans="1:3" ht="14.25">
      <c r="A561" s="6"/>
      <c r="B561" s="64"/>
      <c r="C561" s="64"/>
    </row>
    <row r="562" spans="1:3" ht="14.25">
      <c r="A562" s="6"/>
      <c r="B562" s="64"/>
      <c r="C562" s="64"/>
    </row>
    <row r="563" spans="1:3" ht="14.25">
      <c r="A563" s="6"/>
      <c r="B563" s="64"/>
      <c r="C563" s="64"/>
    </row>
    <row r="564" spans="1:3" ht="14.25">
      <c r="A564" s="6"/>
      <c r="B564" s="64"/>
      <c r="C564" s="64"/>
    </row>
    <row r="565" spans="1:3" ht="14.25">
      <c r="A565" s="6"/>
      <c r="B565" s="64"/>
      <c r="C565" s="64"/>
    </row>
    <row r="566" spans="1:3" ht="14.25">
      <c r="A566" s="6"/>
      <c r="B566" s="64"/>
      <c r="C566" s="64"/>
    </row>
    <row r="567" spans="1:3" ht="14.25">
      <c r="A567" s="6"/>
      <c r="B567" s="64"/>
      <c r="C567" s="64"/>
    </row>
    <row r="568" spans="1:3" ht="14.25">
      <c r="A568" s="6"/>
      <c r="B568" s="64"/>
      <c r="C568" s="64"/>
    </row>
    <row r="569" spans="1:3" ht="14.25">
      <c r="A569" s="6"/>
      <c r="B569" s="64"/>
      <c r="C569" s="64"/>
    </row>
    <row r="570" spans="1:3" ht="14.25">
      <c r="A570" s="6"/>
      <c r="B570" s="64"/>
      <c r="C570" s="64"/>
    </row>
    <row r="571" spans="1:3" ht="14.25">
      <c r="A571" s="6"/>
      <c r="B571" s="64"/>
      <c r="C571" s="64"/>
    </row>
    <row r="572" spans="1:3" ht="14.25">
      <c r="A572" s="6"/>
      <c r="B572" s="64"/>
      <c r="C572" s="64"/>
    </row>
    <row r="573" spans="1:3" ht="14.25">
      <c r="A573" s="6"/>
      <c r="B573" s="64"/>
      <c r="C573" s="64"/>
    </row>
    <row r="574" spans="1:3" ht="14.25">
      <c r="A574" s="6"/>
      <c r="B574" s="64"/>
      <c r="C574" s="64"/>
    </row>
    <row r="575" spans="1:3" ht="14.25">
      <c r="A575" s="6"/>
      <c r="B575" s="64"/>
      <c r="C575" s="64"/>
    </row>
    <row r="576" spans="1:3" ht="14.25">
      <c r="A576" s="6"/>
      <c r="B576" s="64"/>
      <c r="C576" s="64"/>
    </row>
    <row r="577" spans="1:3" ht="14.25">
      <c r="A577" s="6"/>
      <c r="B577" s="64"/>
      <c r="C577" s="64"/>
    </row>
    <row r="578" spans="1:3" ht="14.25">
      <c r="A578" s="6"/>
      <c r="B578" s="64"/>
      <c r="C578" s="64"/>
    </row>
    <row r="579" spans="1:3" ht="14.25">
      <c r="A579" s="6"/>
      <c r="B579" s="64"/>
      <c r="C579" s="64"/>
    </row>
    <row r="580" spans="1:3" ht="14.25">
      <c r="A580" s="6"/>
      <c r="B580" s="64"/>
      <c r="C580" s="64"/>
    </row>
    <row r="581" spans="1:3" ht="14.25">
      <c r="A581" s="6"/>
      <c r="B581" s="64"/>
      <c r="C581" s="64"/>
    </row>
    <row r="582" spans="1:3" ht="14.25">
      <c r="A582" s="6"/>
      <c r="B582" s="64"/>
      <c r="C582" s="64"/>
    </row>
    <row r="583" spans="1:3" ht="14.25">
      <c r="A583" s="6"/>
      <c r="B583" s="64"/>
      <c r="C583" s="64"/>
    </row>
    <row r="584" spans="1:3" ht="14.25">
      <c r="A584" s="6"/>
      <c r="B584" s="64"/>
      <c r="C584" s="64"/>
    </row>
    <row r="585" spans="1:3" ht="14.25">
      <c r="A585" s="6"/>
      <c r="B585" s="64"/>
      <c r="C585" s="64"/>
    </row>
    <row r="586" spans="1:3" ht="14.25">
      <c r="A586" s="6"/>
      <c r="B586" s="64"/>
      <c r="C586" s="64"/>
    </row>
    <row r="587" spans="1:3" ht="14.25">
      <c r="A587" s="6"/>
      <c r="B587" s="64"/>
      <c r="C587" s="64"/>
    </row>
    <row r="588" spans="1:3" ht="14.25">
      <c r="A588" s="6"/>
      <c r="B588" s="64"/>
      <c r="C588" s="64"/>
    </row>
    <row r="589" spans="1:3" ht="14.25">
      <c r="A589" s="6"/>
      <c r="B589" s="64"/>
      <c r="C589" s="64"/>
    </row>
    <row r="590" spans="1:3" ht="14.25">
      <c r="A590" s="6"/>
      <c r="B590" s="64"/>
      <c r="C590" s="64"/>
    </row>
    <row r="591" spans="1:3" ht="14.25">
      <c r="A591" s="6"/>
      <c r="B591" s="64"/>
      <c r="C591" s="64"/>
    </row>
    <row r="592" spans="1:3" ht="14.25">
      <c r="A592" s="6"/>
      <c r="B592" s="64"/>
      <c r="C592" s="64"/>
    </row>
    <row r="593" spans="1:3" ht="14.25">
      <c r="A593" s="6"/>
      <c r="B593" s="64"/>
      <c r="C593" s="64"/>
    </row>
    <row r="594" spans="1:3" ht="14.25">
      <c r="A594" s="6"/>
      <c r="B594" s="64"/>
      <c r="C594" s="64"/>
    </row>
    <row r="595" spans="1:3" ht="14.25">
      <c r="A595" s="6"/>
      <c r="B595" s="64"/>
      <c r="C595" s="64"/>
    </row>
    <row r="596" spans="1:3" ht="14.25">
      <c r="A596" s="6"/>
      <c r="B596" s="64"/>
      <c r="C596" s="64"/>
    </row>
    <row r="597" spans="1:3" ht="14.25">
      <c r="A597" s="6"/>
      <c r="B597" s="64"/>
      <c r="C597" s="64"/>
    </row>
    <row r="598" spans="1:3" ht="14.25">
      <c r="A598" s="6"/>
      <c r="B598" s="64"/>
      <c r="C598" s="64"/>
    </row>
    <row r="599" spans="1:3" ht="14.25">
      <c r="A599" s="6"/>
      <c r="B599" s="64"/>
      <c r="C599" s="64"/>
    </row>
    <row r="600" spans="1:3" ht="14.25">
      <c r="A600" s="6"/>
      <c r="B600" s="64"/>
      <c r="C600" s="64"/>
    </row>
    <row r="601" spans="1:3" ht="14.25">
      <c r="A601" s="6"/>
      <c r="B601" s="64"/>
      <c r="C601" s="64"/>
    </row>
    <row r="602" spans="1:3" ht="14.25">
      <c r="A602" s="6"/>
      <c r="B602" s="64"/>
      <c r="C602" s="64"/>
    </row>
    <row r="603" spans="1:3" ht="14.25">
      <c r="A603" s="6"/>
      <c r="B603" s="64"/>
      <c r="C603" s="64"/>
    </row>
    <row r="604" spans="1:3" ht="14.25">
      <c r="A604" s="6"/>
      <c r="B604" s="64"/>
      <c r="C604" s="64"/>
    </row>
    <row r="605" spans="1:3" ht="14.25">
      <c r="A605" s="6"/>
      <c r="B605" s="64"/>
      <c r="C605" s="64"/>
    </row>
    <row r="606" spans="1:3" ht="14.25">
      <c r="A606" s="6"/>
      <c r="B606" s="64"/>
      <c r="C606" s="64"/>
    </row>
    <row r="607" spans="1:3" ht="14.25">
      <c r="A607" s="6"/>
      <c r="B607" s="64"/>
      <c r="C607" s="64"/>
    </row>
    <row r="608" spans="1:3" ht="14.25">
      <c r="A608" s="6"/>
      <c r="B608" s="64"/>
      <c r="C608" s="64"/>
    </row>
    <row r="609" spans="1:3" ht="14.25">
      <c r="A609" s="6"/>
      <c r="B609" s="64"/>
      <c r="C609" s="64"/>
    </row>
    <row r="610" spans="1:3" ht="14.25">
      <c r="A610" s="6"/>
      <c r="B610" s="64"/>
      <c r="C610" s="64"/>
    </row>
    <row r="611" spans="1:3" ht="14.25">
      <c r="A611" s="6"/>
      <c r="B611" s="64"/>
      <c r="C611" s="64"/>
    </row>
    <row r="612" spans="1:3" ht="14.25">
      <c r="A612" s="6"/>
      <c r="B612" s="64"/>
      <c r="C612" s="64"/>
    </row>
    <row r="613" spans="1:3" ht="14.25">
      <c r="A613" s="6"/>
      <c r="B613" s="64"/>
      <c r="C613" s="64"/>
    </row>
    <row r="614" spans="1:3" ht="14.25">
      <c r="A614" s="6"/>
      <c r="B614" s="64"/>
      <c r="C614" s="64"/>
    </row>
    <row r="615" spans="1:3" ht="14.25">
      <c r="A615" s="6"/>
      <c r="B615" s="64"/>
      <c r="C615" s="64"/>
    </row>
    <row r="616" spans="1:3" ht="14.25">
      <c r="A616" s="6"/>
      <c r="B616" s="64"/>
      <c r="C616" s="64"/>
    </row>
    <row r="617" spans="1:3" ht="14.25">
      <c r="A617" s="6"/>
      <c r="B617" s="64"/>
      <c r="C617" s="64"/>
    </row>
    <row r="618" spans="1:3" ht="14.25">
      <c r="A618" s="6"/>
      <c r="B618" s="64"/>
      <c r="C618" s="64"/>
    </row>
    <row r="619" spans="1:3" ht="14.25">
      <c r="A619" s="6"/>
      <c r="B619" s="64"/>
      <c r="C619" s="64"/>
    </row>
    <row r="620" spans="1:3" ht="14.25">
      <c r="A620" s="6"/>
      <c r="B620" s="64"/>
      <c r="C620" s="64"/>
    </row>
    <row r="621" spans="1:3" ht="14.25">
      <c r="A621" s="6"/>
      <c r="B621" s="64"/>
      <c r="C621" s="64"/>
    </row>
    <row r="622" spans="1:3" ht="14.25">
      <c r="A622" s="6"/>
      <c r="B622" s="64"/>
      <c r="C622" s="64"/>
    </row>
    <row r="623" spans="1:3" ht="14.25">
      <c r="A623" s="6"/>
      <c r="B623" s="64"/>
      <c r="C623" s="64"/>
    </row>
    <row r="624" spans="1:3" ht="14.25">
      <c r="A624" s="6"/>
      <c r="B624" s="64"/>
      <c r="C624" s="64"/>
    </row>
    <row r="625" spans="1:3" ht="14.25">
      <c r="A625" s="6"/>
      <c r="B625" s="64"/>
      <c r="C625" s="64"/>
    </row>
    <row r="626" spans="1:3" ht="14.25">
      <c r="A626" s="6"/>
      <c r="B626" s="64"/>
      <c r="C626" s="64"/>
    </row>
    <row r="627" spans="1:3" ht="14.25">
      <c r="A627" s="6"/>
      <c r="B627" s="64"/>
      <c r="C627" s="64"/>
    </row>
    <row r="628" spans="1:3" ht="14.25">
      <c r="A628" s="6"/>
      <c r="B628" s="64"/>
      <c r="C628" s="64"/>
    </row>
    <row r="629" spans="1:3" ht="14.25">
      <c r="A629" s="6"/>
      <c r="B629" s="64"/>
      <c r="C629" s="64"/>
    </row>
    <row r="630" spans="1:3" ht="14.25">
      <c r="A630" s="6"/>
      <c r="B630" s="64"/>
      <c r="C630" s="64"/>
    </row>
    <row r="631" spans="1:3" ht="14.25">
      <c r="A631" s="6"/>
      <c r="B631" s="64"/>
      <c r="C631" s="64"/>
    </row>
    <row r="632" spans="1:3" ht="14.25">
      <c r="A632" s="6"/>
      <c r="B632" s="64"/>
      <c r="C632" s="64"/>
    </row>
    <row r="633" spans="1:3" ht="14.25">
      <c r="A633" s="6"/>
      <c r="B633" s="64"/>
      <c r="C633" s="64"/>
    </row>
    <row r="634" spans="1:3" ht="14.25">
      <c r="A634" s="6"/>
      <c r="B634" s="64"/>
      <c r="C634" s="64"/>
    </row>
    <row r="635" spans="1:3" ht="14.25">
      <c r="A635" s="6"/>
      <c r="B635" s="64"/>
      <c r="C635" s="64"/>
    </row>
    <row r="636" spans="1:3" ht="14.25">
      <c r="A636" s="6"/>
      <c r="B636" s="64"/>
      <c r="C636" s="64"/>
    </row>
    <row r="637" spans="1:3" ht="14.25">
      <c r="A637" s="6"/>
      <c r="B637" s="64"/>
      <c r="C637" s="64"/>
    </row>
    <row r="638" spans="1:3" ht="14.25">
      <c r="A638" s="6"/>
      <c r="B638" s="64"/>
      <c r="C638" s="64"/>
    </row>
    <row r="639" spans="1:3" ht="14.25">
      <c r="A639" s="6"/>
      <c r="B639" s="64"/>
      <c r="C639" s="64"/>
    </row>
    <row r="640" spans="1:3" ht="14.25">
      <c r="A640" s="6"/>
      <c r="B640" s="64"/>
      <c r="C640" s="64"/>
    </row>
    <row r="641" spans="1:3" ht="14.25">
      <c r="A641" s="6"/>
      <c r="B641" s="64"/>
      <c r="C641" s="64"/>
    </row>
    <row r="642" spans="1:3" ht="14.25">
      <c r="A642" s="6"/>
      <c r="B642" s="64"/>
      <c r="C642" s="64"/>
    </row>
    <row r="643" spans="1:3" ht="14.25">
      <c r="A643" s="6"/>
      <c r="B643" s="64"/>
      <c r="C643" s="64"/>
    </row>
    <row r="644" spans="1:3" ht="14.25">
      <c r="A644" s="6"/>
      <c r="B644" s="64"/>
      <c r="C644" s="64"/>
    </row>
    <row r="645" spans="1:3" ht="14.25">
      <c r="A645" s="6"/>
      <c r="B645" s="64"/>
      <c r="C645" s="64"/>
    </row>
    <row r="646" spans="1:3" ht="14.25">
      <c r="A646" s="6"/>
      <c r="B646" s="64"/>
      <c r="C646" s="64"/>
    </row>
    <row r="647" spans="1:3" ht="14.25">
      <c r="A647" s="6"/>
      <c r="B647" s="64"/>
      <c r="C647" s="64"/>
    </row>
    <row r="648" spans="1:3" ht="14.25">
      <c r="A648" s="6"/>
      <c r="B648" s="64"/>
      <c r="C648" s="64"/>
    </row>
    <row r="649" spans="1:3" ht="14.25">
      <c r="A649" s="6"/>
      <c r="B649" s="64"/>
      <c r="C649" s="64"/>
    </row>
    <row r="650" spans="1:3" ht="14.25">
      <c r="A650" s="6"/>
      <c r="B650" s="64"/>
      <c r="C650" s="64"/>
    </row>
    <row r="651" spans="1:3" ht="14.25">
      <c r="A651" s="6"/>
      <c r="B651" s="64"/>
      <c r="C651" s="64"/>
    </row>
    <row r="652" spans="1:3" ht="14.25">
      <c r="A652" s="6"/>
      <c r="B652" s="64"/>
      <c r="C652" s="64"/>
    </row>
    <row r="653" spans="1:3" ht="14.25">
      <c r="A653" s="6"/>
      <c r="B653" s="64"/>
      <c r="C653" s="64"/>
    </row>
    <row r="654" spans="1:3" ht="14.25">
      <c r="A654" s="6"/>
      <c r="B654" s="64"/>
      <c r="C654" s="64"/>
    </row>
    <row r="655" spans="1:3" ht="14.25">
      <c r="A655" s="6"/>
      <c r="B655" s="64"/>
      <c r="C655" s="64"/>
    </row>
    <row r="656" spans="1:3" ht="14.25">
      <c r="A656" s="6"/>
      <c r="B656" s="64"/>
      <c r="C656" s="64"/>
    </row>
    <row r="657" spans="1:3" ht="14.25">
      <c r="A657" s="6"/>
      <c r="B657" s="64"/>
      <c r="C657" s="64"/>
    </row>
    <row r="658" spans="1:3" ht="14.25">
      <c r="A658" s="6"/>
      <c r="B658" s="64"/>
      <c r="C658" s="64"/>
    </row>
    <row r="659" spans="1:3" ht="14.25">
      <c r="A659" s="6"/>
      <c r="B659" s="64"/>
      <c r="C659" s="64"/>
    </row>
    <row r="660" spans="1:3" ht="14.25">
      <c r="A660" s="6"/>
      <c r="B660" s="64"/>
      <c r="C660" s="64"/>
    </row>
    <row r="661" spans="1:3" ht="14.25">
      <c r="A661" s="6"/>
      <c r="B661" s="64"/>
      <c r="C661" s="64"/>
    </row>
    <row r="662" spans="1:3" ht="14.25">
      <c r="A662" s="6"/>
      <c r="B662" s="64"/>
      <c r="C662" s="64"/>
    </row>
    <row r="663" spans="1:3" ht="14.25">
      <c r="A663" s="6"/>
      <c r="B663" s="64"/>
      <c r="C663" s="64"/>
    </row>
    <row r="664" spans="1:3" ht="14.25">
      <c r="A664" s="6"/>
      <c r="B664" s="64"/>
      <c r="C664" s="64"/>
    </row>
    <row r="665" spans="1:3" ht="14.25">
      <c r="A665" s="6"/>
      <c r="B665" s="64"/>
      <c r="C665" s="64"/>
    </row>
    <row r="666" spans="1:3" ht="14.25">
      <c r="A666" s="6"/>
      <c r="B666" s="64"/>
      <c r="C666" s="64"/>
    </row>
    <row r="667" spans="1:3" ht="14.25">
      <c r="A667" s="6"/>
      <c r="B667" s="64"/>
      <c r="C667" s="64"/>
    </row>
    <row r="668" spans="1:3" ht="14.25">
      <c r="A668" s="6"/>
      <c r="B668" s="64"/>
      <c r="C668" s="64"/>
    </row>
    <row r="669" spans="1:3" ht="14.25">
      <c r="A669" s="6"/>
      <c r="B669" s="64"/>
      <c r="C669" s="64"/>
    </row>
    <row r="670" spans="1:3" ht="14.25">
      <c r="A670" s="6"/>
      <c r="B670" s="64"/>
      <c r="C670" s="64"/>
    </row>
    <row r="671" spans="1:3" ht="14.25">
      <c r="A671" s="6"/>
      <c r="B671" s="64"/>
      <c r="C671" s="64"/>
    </row>
    <row r="672" spans="1:3" ht="14.25">
      <c r="A672" s="6"/>
      <c r="B672" s="64"/>
      <c r="C672" s="64"/>
    </row>
    <row r="673" spans="1:3" ht="14.25">
      <c r="A673" s="6"/>
      <c r="B673" s="64"/>
      <c r="C673" s="64"/>
    </row>
    <row r="674" spans="1:3" ht="14.25">
      <c r="A674" s="6"/>
      <c r="B674" s="64"/>
      <c r="C674" s="64"/>
    </row>
    <row r="675" spans="1:3" ht="14.25">
      <c r="A675" s="6"/>
      <c r="B675" s="64"/>
      <c r="C675" s="64"/>
    </row>
    <row r="676" spans="1:3" ht="14.25">
      <c r="A676" s="6"/>
      <c r="B676" s="64"/>
      <c r="C676" s="64"/>
    </row>
    <row r="677" spans="1:3" ht="14.25">
      <c r="A677" s="6"/>
      <c r="B677" s="64"/>
      <c r="C677" s="64"/>
    </row>
    <row r="678" spans="1:3" ht="14.25">
      <c r="A678" s="6"/>
      <c r="B678" s="64"/>
      <c r="C678" s="64"/>
    </row>
    <row r="679" spans="1:3" ht="14.25">
      <c r="A679" s="6"/>
      <c r="B679" s="64"/>
      <c r="C679" s="64"/>
    </row>
    <row r="680" spans="1:3" ht="14.25">
      <c r="A680" s="6"/>
      <c r="B680" s="64"/>
      <c r="C680" s="64"/>
    </row>
    <row r="681" spans="1:3" ht="14.25">
      <c r="A681" s="6"/>
      <c r="B681" s="64"/>
      <c r="C681" s="64"/>
    </row>
    <row r="682" spans="1:3" ht="14.25">
      <c r="A682" s="6"/>
      <c r="B682" s="64"/>
      <c r="C682" s="64"/>
    </row>
    <row r="683" spans="1:3" ht="14.25">
      <c r="A683" s="6"/>
      <c r="B683" s="64"/>
      <c r="C683" s="64"/>
    </row>
    <row r="684" spans="1:3" ht="14.25">
      <c r="A684" s="6"/>
      <c r="B684" s="64"/>
      <c r="C684" s="64"/>
    </row>
    <row r="685" spans="1:3" ht="14.25">
      <c r="A685" s="6"/>
      <c r="B685" s="64"/>
      <c r="C685" s="64"/>
    </row>
    <row r="686" spans="1:3" ht="14.25">
      <c r="A686" s="6"/>
      <c r="B686" s="64"/>
      <c r="C686" s="64"/>
    </row>
    <row r="687" spans="1:3" ht="14.25">
      <c r="A687" s="6"/>
      <c r="B687" s="64"/>
      <c r="C687" s="64"/>
    </row>
    <row r="688" spans="1:3" ht="14.25">
      <c r="A688" s="6"/>
      <c r="B688" s="64"/>
      <c r="C688" s="64"/>
    </row>
    <row r="689" spans="1:3" ht="14.25">
      <c r="A689" s="6"/>
      <c r="B689" s="64"/>
      <c r="C689" s="64"/>
    </row>
    <row r="690" spans="1:3" ht="14.25">
      <c r="A690" s="6"/>
      <c r="B690" s="64"/>
      <c r="C690" s="64"/>
    </row>
    <row r="691" spans="1:3" ht="14.25">
      <c r="A691" s="6"/>
      <c r="B691" s="64"/>
      <c r="C691" s="64"/>
    </row>
    <row r="692" spans="1:3" ht="14.25">
      <c r="A692" s="6"/>
      <c r="B692" s="64"/>
      <c r="C692" s="64"/>
    </row>
    <row r="693" spans="1:3" ht="14.25">
      <c r="A693" s="6"/>
      <c r="B693" s="64"/>
      <c r="C693" s="64"/>
    </row>
    <row r="694" spans="1:3" ht="14.25">
      <c r="A694" s="6"/>
      <c r="B694" s="64"/>
      <c r="C694" s="64"/>
    </row>
    <row r="695" spans="1:3" ht="14.25">
      <c r="A695" s="6"/>
      <c r="B695" s="64"/>
      <c r="C695" s="64"/>
    </row>
    <row r="696" spans="1:3" ht="14.25">
      <c r="A696" s="6"/>
      <c r="B696" s="64"/>
      <c r="C696" s="64"/>
    </row>
    <row r="697" spans="1:3" ht="14.25">
      <c r="A697" s="6"/>
      <c r="B697" s="64"/>
      <c r="C697" s="64"/>
    </row>
    <row r="698" spans="1:3" ht="14.25">
      <c r="A698" s="6"/>
      <c r="B698" s="64"/>
      <c r="C698" s="64"/>
    </row>
    <row r="699" spans="1:3" ht="14.25">
      <c r="A699" s="6"/>
      <c r="B699" s="64"/>
      <c r="C699" s="64"/>
    </row>
    <row r="700" spans="1:3" ht="14.25">
      <c r="A700" s="6"/>
      <c r="B700" s="64"/>
      <c r="C700" s="64"/>
    </row>
    <row r="701" spans="1:3" ht="14.25">
      <c r="A701" s="6"/>
      <c r="B701" s="64"/>
      <c r="C701" s="64"/>
    </row>
    <row r="702" spans="1:3" ht="14.25">
      <c r="A702" s="6"/>
      <c r="B702" s="64"/>
      <c r="C702" s="64"/>
    </row>
    <row r="703" spans="1:3" ht="14.25">
      <c r="A703" s="6"/>
      <c r="B703" s="64"/>
      <c r="C703" s="64"/>
    </row>
    <row r="704" spans="1:3" ht="14.25">
      <c r="A704" s="6"/>
      <c r="B704" s="64"/>
      <c r="C704" s="64"/>
    </row>
    <row r="705" spans="1:3" ht="14.25">
      <c r="A705" s="6"/>
      <c r="B705" s="64"/>
      <c r="C705" s="64"/>
    </row>
    <row r="706" spans="1:3" ht="14.25">
      <c r="A706" s="6"/>
      <c r="B706" s="64"/>
      <c r="C706" s="64"/>
    </row>
    <row r="707" spans="1:3" ht="14.25">
      <c r="A707" s="6"/>
      <c r="B707" s="64"/>
      <c r="C707" s="64"/>
    </row>
    <row r="708" spans="1:3" ht="14.25">
      <c r="A708" s="6"/>
      <c r="B708" s="64"/>
      <c r="C708" s="64"/>
    </row>
    <row r="709" spans="1:3" ht="14.25">
      <c r="A709" s="6"/>
      <c r="B709" s="64"/>
      <c r="C709" s="64"/>
    </row>
    <row r="710" spans="1:3" ht="14.25">
      <c r="A710" s="6"/>
      <c r="B710" s="64"/>
      <c r="C710" s="64"/>
    </row>
    <row r="711" spans="1:3" ht="14.25">
      <c r="A711" s="6"/>
      <c r="B711" s="64"/>
      <c r="C711" s="64"/>
    </row>
    <row r="712" spans="1:3" ht="14.25">
      <c r="A712" s="6"/>
      <c r="B712" s="64"/>
      <c r="C712" s="64"/>
    </row>
    <row r="713" spans="1:3" ht="14.25">
      <c r="A713" s="6"/>
      <c r="B713" s="64"/>
      <c r="C713" s="64"/>
    </row>
    <row r="714" spans="1:3" ht="14.25">
      <c r="A714" s="6"/>
      <c r="B714" s="64"/>
      <c r="C714" s="64"/>
    </row>
    <row r="715" spans="1:3" ht="14.25">
      <c r="A715" s="6"/>
      <c r="B715" s="64"/>
      <c r="C715" s="64"/>
    </row>
    <row r="716" spans="1:3" ht="14.25">
      <c r="A716" s="6"/>
      <c r="B716" s="64"/>
      <c r="C716" s="64"/>
    </row>
    <row r="717" spans="1:3" ht="14.25">
      <c r="A717" s="6"/>
      <c r="B717" s="64"/>
      <c r="C717" s="64"/>
    </row>
    <row r="718" spans="1:3" ht="14.25">
      <c r="A718" s="6"/>
      <c r="B718" s="64"/>
      <c r="C718" s="64"/>
    </row>
    <row r="719" spans="1:3" ht="14.25">
      <c r="A719" s="6"/>
      <c r="B719" s="64"/>
      <c r="C719" s="64"/>
    </row>
    <row r="720" spans="1:3" ht="14.25">
      <c r="A720" s="6"/>
      <c r="B720" s="64"/>
      <c r="C720" s="64"/>
    </row>
    <row r="721" spans="1:3" ht="14.25">
      <c r="A721" s="6"/>
      <c r="B721" s="64"/>
      <c r="C721" s="64"/>
    </row>
    <row r="722" spans="1:3" ht="14.25">
      <c r="A722" s="6"/>
      <c r="B722" s="64"/>
      <c r="C722" s="64"/>
    </row>
    <row r="723" spans="1:3" ht="14.25">
      <c r="A723" s="6"/>
      <c r="B723" s="64"/>
      <c r="C723" s="64"/>
    </row>
    <row r="724" spans="1:3" ht="14.25">
      <c r="A724" s="6"/>
      <c r="B724" s="64"/>
      <c r="C724" s="64"/>
    </row>
    <row r="725" spans="1:3" ht="14.25">
      <c r="A725" s="6"/>
      <c r="B725" s="64"/>
      <c r="C725" s="64"/>
    </row>
    <row r="726" spans="1:3" ht="14.25">
      <c r="A726" s="6"/>
      <c r="B726" s="64"/>
      <c r="C726" s="64"/>
    </row>
    <row r="727" spans="1:3" ht="14.25">
      <c r="A727" s="6"/>
      <c r="B727" s="64"/>
      <c r="C727" s="64"/>
    </row>
    <row r="728" spans="1:3" ht="14.25">
      <c r="A728" s="6"/>
      <c r="B728" s="64"/>
      <c r="C728" s="64"/>
    </row>
    <row r="729" spans="1:3" ht="14.25">
      <c r="A729" s="6"/>
      <c r="B729" s="64"/>
      <c r="C729" s="64"/>
    </row>
    <row r="730" spans="1:3" ht="14.25">
      <c r="A730" s="6"/>
      <c r="B730" s="64"/>
      <c r="C730" s="64"/>
    </row>
    <row r="731" spans="1:3" ht="14.25">
      <c r="A731" s="6"/>
      <c r="B731" s="64"/>
      <c r="C731" s="64"/>
    </row>
    <row r="732" spans="1:3" ht="14.25">
      <c r="A732" s="6"/>
      <c r="B732" s="64"/>
      <c r="C732" s="64"/>
    </row>
    <row r="733" spans="1:3" ht="14.25">
      <c r="A733" s="6"/>
      <c r="B733" s="64"/>
      <c r="C733" s="64"/>
    </row>
    <row r="734" spans="1:3" ht="14.25">
      <c r="A734" s="6"/>
      <c r="B734" s="64"/>
      <c r="C734" s="64"/>
    </row>
    <row r="735" spans="1:3" ht="14.25">
      <c r="A735" s="6"/>
      <c r="B735" s="64"/>
      <c r="C735" s="64"/>
    </row>
    <row r="736" spans="1:3" ht="14.25">
      <c r="A736" s="6"/>
      <c r="B736" s="64"/>
      <c r="C736" s="64"/>
    </row>
    <row r="737" spans="1:3" ht="14.25">
      <c r="A737" s="6"/>
      <c r="B737" s="64"/>
      <c r="C737" s="64"/>
    </row>
    <row r="738" spans="1:3" ht="14.25">
      <c r="A738" s="6"/>
      <c r="B738" s="64"/>
      <c r="C738" s="64"/>
    </row>
    <row r="739" spans="1:3" ht="14.25">
      <c r="A739" s="6"/>
      <c r="B739" s="64"/>
      <c r="C739" s="64"/>
    </row>
    <row r="740" spans="1:3" ht="14.25">
      <c r="A740" s="6"/>
      <c r="B740" s="64"/>
      <c r="C740" s="64"/>
    </row>
    <row r="741" spans="1:3" ht="14.25">
      <c r="A741" s="6"/>
      <c r="B741" s="64"/>
      <c r="C741" s="64"/>
    </row>
    <row r="742" spans="1:3" ht="14.25">
      <c r="A742" s="6"/>
      <c r="B742" s="64"/>
      <c r="C742" s="64"/>
    </row>
    <row r="743" spans="1:3" ht="14.25">
      <c r="A743" s="6"/>
      <c r="B743" s="64"/>
      <c r="C743" s="64"/>
    </row>
    <row r="744" spans="1:3" ht="14.25">
      <c r="A744" s="6"/>
      <c r="B744" s="64"/>
      <c r="C744" s="64"/>
    </row>
    <row r="745" spans="1:3" ht="14.25">
      <c r="A745" s="6"/>
      <c r="B745" s="64"/>
      <c r="C745" s="64"/>
    </row>
    <row r="746" spans="1:3" ht="14.25">
      <c r="A746" s="6"/>
      <c r="B746" s="64"/>
      <c r="C746" s="64"/>
    </row>
    <row r="747" spans="1:3" ht="14.25">
      <c r="A747" s="6"/>
      <c r="B747" s="64"/>
      <c r="C747" s="64"/>
    </row>
    <row r="748" spans="1:3" ht="14.25">
      <c r="A748" s="6"/>
      <c r="B748" s="64"/>
      <c r="C748" s="64"/>
    </row>
    <row r="749" spans="1:3" ht="14.25">
      <c r="A749" s="6"/>
      <c r="B749" s="64"/>
      <c r="C749" s="64"/>
    </row>
    <row r="750" spans="1:3" ht="14.25">
      <c r="A750" s="6"/>
      <c r="B750" s="64"/>
      <c r="C750" s="64"/>
    </row>
    <row r="751" spans="1:3" ht="14.25">
      <c r="A751" s="6"/>
      <c r="B751" s="64"/>
      <c r="C751" s="64"/>
    </row>
    <row r="752" spans="1:3" ht="14.25">
      <c r="A752" s="6"/>
      <c r="B752" s="64"/>
      <c r="C752" s="64"/>
    </row>
    <row r="753" spans="1:3" ht="14.25">
      <c r="A753" s="6"/>
      <c r="B753" s="64"/>
      <c r="C753" s="64"/>
    </row>
    <row r="754" spans="1:3" ht="14.25">
      <c r="A754" s="6"/>
      <c r="B754" s="64"/>
      <c r="C754" s="64"/>
    </row>
    <row r="755" spans="1:3" ht="14.25">
      <c r="A755" s="6"/>
      <c r="B755" s="64"/>
      <c r="C755" s="64"/>
    </row>
    <row r="756" spans="1:3" ht="14.25">
      <c r="A756" s="6"/>
      <c r="B756" s="64"/>
      <c r="C756" s="64"/>
    </row>
    <row r="757" spans="1:3" ht="14.25">
      <c r="A757" s="6"/>
      <c r="B757" s="64"/>
      <c r="C757" s="64"/>
    </row>
    <row r="758" spans="1:3" ht="14.25">
      <c r="A758" s="6"/>
      <c r="B758" s="64"/>
      <c r="C758" s="64"/>
    </row>
    <row r="759" spans="1:3" ht="14.25">
      <c r="A759" s="6"/>
      <c r="B759" s="64"/>
      <c r="C759" s="64"/>
    </row>
    <row r="760" spans="1:3" ht="14.25">
      <c r="A760" s="6"/>
      <c r="B760" s="64"/>
      <c r="C760" s="64"/>
    </row>
    <row r="761" spans="1:3" ht="14.25">
      <c r="A761" s="6"/>
      <c r="B761" s="64"/>
      <c r="C761" s="64"/>
    </row>
    <row r="762" spans="1:3" ht="14.25">
      <c r="A762" s="6"/>
      <c r="B762" s="64"/>
      <c r="C762" s="64"/>
    </row>
    <row r="763" spans="1:3" ht="14.25">
      <c r="A763" s="6"/>
      <c r="B763" s="64"/>
      <c r="C763" s="64"/>
    </row>
    <row r="764" spans="1:3" ht="14.25">
      <c r="A764" s="6"/>
      <c r="B764" s="64"/>
      <c r="C764" s="64"/>
    </row>
    <row r="765" spans="1:3" ht="14.25">
      <c r="A765" s="6"/>
      <c r="B765" s="64"/>
      <c r="C765" s="64"/>
    </row>
    <row r="766" spans="1:3" ht="14.25">
      <c r="A766" s="6"/>
      <c r="B766" s="64"/>
      <c r="C766" s="64"/>
    </row>
    <row r="767" spans="1:3" ht="14.25">
      <c r="A767" s="6"/>
      <c r="B767" s="64"/>
      <c r="C767" s="64"/>
    </row>
    <row r="768" spans="1:3" ht="14.25">
      <c r="A768" s="6"/>
      <c r="B768" s="64"/>
      <c r="C768" s="64"/>
    </row>
    <row r="769" spans="1:3" ht="14.25">
      <c r="A769" s="6"/>
      <c r="B769" s="64"/>
      <c r="C769" s="64"/>
    </row>
    <row r="770" spans="1:3" ht="14.25">
      <c r="A770" s="6"/>
      <c r="B770" s="64"/>
      <c r="C770" s="64"/>
    </row>
    <row r="771" spans="1:3" ht="14.25">
      <c r="A771" s="6"/>
      <c r="B771" s="64"/>
      <c r="C771" s="64"/>
    </row>
    <row r="772" spans="1:3" ht="14.25">
      <c r="A772" s="6"/>
      <c r="B772" s="64"/>
      <c r="C772" s="64"/>
    </row>
    <row r="773" spans="1:3" ht="14.25">
      <c r="A773" s="6"/>
      <c r="B773" s="64"/>
      <c r="C773" s="64"/>
    </row>
    <row r="774" spans="1:3" ht="14.25">
      <c r="A774" s="6"/>
      <c r="B774" s="64"/>
      <c r="C774" s="64"/>
    </row>
    <row r="775" spans="1:3" ht="14.25">
      <c r="A775" s="6"/>
      <c r="B775" s="64"/>
      <c r="C775" s="64"/>
    </row>
    <row r="776" spans="1:3" ht="14.25">
      <c r="A776" s="6"/>
      <c r="B776" s="64"/>
      <c r="C776" s="64"/>
    </row>
    <row r="777" spans="1:3" ht="14.25">
      <c r="A777" s="6"/>
      <c r="B777" s="64"/>
      <c r="C777" s="64"/>
    </row>
    <row r="778" spans="1:3" ht="14.25">
      <c r="A778" s="6"/>
      <c r="B778" s="64"/>
      <c r="C778" s="64"/>
    </row>
    <row r="779" spans="1:3" ht="14.25">
      <c r="A779" s="6"/>
      <c r="B779" s="64"/>
      <c r="C779" s="64"/>
    </row>
    <row r="780" spans="1:3" ht="14.25">
      <c r="A780" s="6"/>
      <c r="B780" s="64"/>
      <c r="C780" s="64"/>
    </row>
    <row r="781" spans="1:3" ht="14.25">
      <c r="A781" s="6"/>
      <c r="B781" s="64"/>
      <c r="C781" s="64"/>
    </row>
    <row r="782" spans="1:3" ht="14.25">
      <c r="A782" s="6"/>
      <c r="B782" s="64"/>
      <c r="C782" s="64"/>
    </row>
    <row r="783" spans="1:3" ht="14.25">
      <c r="A783" s="6"/>
      <c r="B783" s="64"/>
      <c r="C783" s="64"/>
    </row>
    <row r="784" spans="1:3" ht="14.25">
      <c r="A784" s="6"/>
      <c r="B784" s="64"/>
      <c r="C784" s="64"/>
    </row>
    <row r="785" spans="1:3" ht="14.25">
      <c r="A785" s="6"/>
      <c r="B785" s="64"/>
      <c r="C785" s="64"/>
    </row>
    <row r="786" spans="1:3" ht="14.25">
      <c r="A786" s="6"/>
      <c r="B786" s="64"/>
      <c r="C786" s="64"/>
    </row>
    <row r="787" spans="1:3" ht="14.25">
      <c r="A787" s="6"/>
      <c r="B787" s="64"/>
      <c r="C787" s="64"/>
    </row>
    <row r="788" spans="1:3" ht="14.25">
      <c r="A788" s="6"/>
      <c r="B788" s="64"/>
      <c r="C788" s="64"/>
    </row>
    <row r="789" spans="1:3" ht="14.25">
      <c r="A789" s="6"/>
      <c r="B789" s="64"/>
      <c r="C789" s="64"/>
    </row>
    <row r="790" spans="1:3" ht="14.25">
      <c r="A790" s="6"/>
      <c r="B790" s="64"/>
      <c r="C790" s="64"/>
    </row>
    <row r="791" spans="1:3" ht="14.25">
      <c r="A791" s="6"/>
      <c r="B791" s="64"/>
      <c r="C791" s="64"/>
    </row>
    <row r="792" spans="1:3" ht="14.25">
      <c r="A792" s="6"/>
      <c r="B792" s="64"/>
      <c r="C792" s="64"/>
    </row>
    <row r="793" spans="1:3" ht="14.25">
      <c r="A793" s="6"/>
      <c r="B793" s="64"/>
      <c r="C793" s="64"/>
    </row>
    <row r="794" spans="1:3" ht="14.25">
      <c r="A794" s="6"/>
      <c r="B794" s="64"/>
      <c r="C794" s="64"/>
    </row>
    <row r="795" spans="1:3" ht="14.25">
      <c r="A795" s="6"/>
      <c r="B795" s="64"/>
      <c r="C795" s="64"/>
    </row>
    <row r="796" spans="1:3" ht="14.25">
      <c r="A796" s="6"/>
      <c r="B796" s="64"/>
      <c r="C796" s="64"/>
    </row>
    <row r="797" spans="1:3" ht="14.25">
      <c r="A797" s="6"/>
      <c r="B797" s="64"/>
      <c r="C797" s="64"/>
    </row>
    <row r="798" spans="1:3" ht="14.25">
      <c r="A798" s="6"/>
      <c r="B798" s="64"/>
      <c r="C798" s="64"/>
    </row>
    <row r="799" spans="1:3" ht="14.25">
      <c r="A799" s="6"/>
      <c r="B799" s="64"/>
      <c r="C799" s="64"/>
    </row>
    <row r="800" spans="1:3" ht="14.25">
      <c r="A800" s="6"/>
      <c r="B800" s="64"/>
      <c r="C800" s="64"/>
    </row>
    <row r="801" spans="1:3" ht="14.25">
      <c r="A801" s="6"/>
      <c r="B801" s="64"/>
      <c r="C801" s="64"/>
    </row>
    <row r="802" spans="1:3" ht="14.25">
      <c r="A802" s="6"/>
      <c r="B802" s="64"/>
      <c r="C802" s="64"/>
    </row>
    <row r="803" spans="1:3" ht="14.25">
      <c r="A803" s="6"/>
      <c r="B803" s="64"/>
      <c r="C803" s="64"/>
    </row>
    <row r="804" spans="1:3" ht="14.25">
      <c r="A804" s="6"/>
      <c r="B804" s="64"/>
      <c r="C804" s="64"/>
    </row>
    <row r="805" spans="1:3" ht="14.25">
      <c r="A805" s="6"/>
      <c r="B805" s="64"/>
      <c r="C805" s="64"/>
    </row>
    <row r="806" spans="1:3" ht="14.25">
      <c r="A806" s="6"/>
      <c r="B806" s="64"/>
      <c r="C806" s="64"/>
    </row>
    <row r="807" spans="1:3" ht="14.25">
      <c r="A807" s="6"/>
      <c r="B807" s="64"/>
      <c r="C807" s="64"/>
    </row>
    <row r="808" spans="1:3" ht="14.25">
      <c r="A808" s="6"/>
      <c r="B808" s="64"/>
      <c r="C808" s="64"/>
    </row>
    <row r="809" spans="1:3" ht="14.25">
      <c r="A809" s="6"/>
      <c r="B809" s="64"/>
      <c r="C809" s="64"/>
    </row>
    <row r="810" spans="1:3" ht="14.25">
      <c r="A810" s="6"/>
      <c r="B810" s="64"/>
      <c r="C810" s="64"/>
    </row>
    <row r="811" spans="1:3" ht="14.25">
      <c r="A811" s="6"/>
      <c r="B811" s="64"/>
      <c r="C811" s="64"/>
    </row>
    <row r="812" spans="1:3" ht="14.25">
      <c r="A812" s="6"/>
      <c r="B812" s="64"/>
      <c r="C812" s="64"/>
    </row>
    <row r="813" spans="1:3" ht="14.25">
      <c r="A813" s="6"/>
      <c r="B813" s="64"/>
      <c r="C813" s="64"/>
    </row>
    <row r="814" spans="1:3" ht="14.25">
      <c r="A814" s="6"/>
      <c r="B814" s="64"/>
      <c r="C814" s="64"/>
    </row>
    <row r="815" spans="1:3" ht="14.25">
      <c r="A815" s="6"/>
      <c r="B815" s="64"/>
      <c r="C815" s="64"/>
    </row>
    <row r="816" spans="1:3" ht="14.25">
      <c r="A816" s="6"/>
      <c r="B816" s="64"/>
      <c r="C816" s="64"/>
    </row>
    <row r="817" spans="1:3" ht="14.25">
      <c r="A817" s="6"/>
      <c r="B817" s="64"/>
      <c r="C817" s="64"/>
    </row>
    <row r="818" spans="1:3" ht="14.25">
      <c r="A818" s="6"/>
      <c r="B818" s="64"/>
      <c r="C818" s="64"/>
    </row>
    <row r="819" spans="1:3" ht="14.25">
      <c r="A819" s="6"/>
      <c r="B819" s="64"/>
      <c r="C819" s="64"/>
    </row>
    <row r="820" spans="1:3" ht="14.25">
      <c r="A820" s="6"/>
      <c r="B820" s="64"/>
      <c r="C820" s="64"/>
    </row>
    <row r="821" spans="1:3" ht="14.25">
      <c r="A821" s="6"/>
      <c r="B821" s="64"/>
      <c r="C821" s="64"/>
    </row>
    <row r="822" spans="1:3" ht="14.25">
      <c r="A822" s="6"/>
      <c r="B822" s="64"/>
      <c r="C822" s="64"/>
    </row>
    <row r="823" spans="1:3" ht="14.25">
      <c r="A823" s="6"/>
      <c r="B823" s="64"/>
      <c r="C823" s="64"/>
    </row>
    <row r="824" spans="1:3" ht="14.25">
      <c r="A824" s="6"/>
      <c r="B824" s="64"/>
      <c r="C824" s="64"/>
    </row>
    <row r="825" spans="1:3" ht="14.25">
      <c r="A825" s="6"/>
      <c r="B825" s="64"/>
      <c r="C825" s="64"/>
    </row>
    <row r="826" spans="1:3" ht="14.25">
      <c r="A826" s="6"/>
      <c r="B826" s="64"/>
      <c r="C826" s="64"/>
    </row>
    <row r="827" spans="1:3" ht="14.25">
      <c r="A827" s="6"/>
      <c r="B827" s="64"/>
      <c r="C827" s="64"/>
    </row>
    <row r="828" spans="1:3" ht="14.25">
      <c r="A828" s="6"/>
      <c r="B828" s="64"/>
      <c r="C828" s="64"/>
    </row>
    <row r="829" spans="1:3" ht="14.25">
      <c r="A829" s="6"/>
      <c r="B829" s="64"/>
      <c r="C829" s="64"/>
    </row>
    <row r="830" spans="1:3" ht="14.25">
      <c r="A830" s="6"/>
      <c r="B830" s="64"/>
      <c r="C830" s="64"/>
    </row>
    <row r="831" spans="1:3" ht="14.25">
      <c r="A831" s="6"/>
      <c r="B831" s="64"/>
      <c r="C831" s="64"/>
    </row>
    <row r="832" spans="1:3" ht="14.25">
      <c r="A832" s="6"/>
      <c r="B832" s="64"/>
      <c r="C832" s="64"/>
    </row>
    <row r="833" spans="1:3" ht="14.25">
      <c r="A833" s="6"/>
      <c r="B833" s="64"/>
      <c r="C833" s="64"/>
    </row>
    <row r="834" spans="1:3" ht="14.25">
      <c r="A834" s="6"/>
      <c r="B834" s="64"/>
      <c r="C834" s="64"/>
    </row>
    <row r="835" spans="1:3" ht="14.25">
      <c r="A835" s="6"/>
      <c r="B835" s="64"/>
      <c r="C835" s="64"/>
    </row>
    <row r="836" spans="1:3" ht="14.25">
      <c r="A836" s="6"/>
      <c r="B836" s="64"/>
      <c r="C836" s="64"/>
    </row>
    <row r="837" spans="1:3" ht="14.25">
      <c r="A837" s="6"/>
      <c r="B837" s="64"/>
      <c r="C837" s="64"/>
    </row>
    <row r="838" spans="1:3" ht="14.25">
      <c r="A838" s="6"/>
      <c r="B838" s="64"/>
      <c r="C838" s="64"/>
    </row>
    <row r="839" spans="1:3" ht="14.25">
      <c r="A839" s="6"/>
      <c r="B839" s="64"/>
      <c r="C839" s="64"/>
    </row>
    <row r="840" spans="1:3" ht="14.25">
      <c r="A840" s="6"/>
      <c r="B840" s="64"/>
      <c r="C840" s="64"/>
    </row>
    <row r="841" spans="1:3" ht="14.25">
      <c r="A841" s="6"/>
      <c r="B841" s="64"/>
      <c r="C841" s="64"/>
    </row>
    <row r="842" spans="1:3" ht="14.25">
      <c r="A842" s="6"/>
      <c r="B842" s="64"/>
      <c r="C842" s="64"/>
    </row>
    <row r="843" spans="1:3" ht="14.25">
      <c r="A843" s="6"/>
      <c r="B843" s="64"/>
      <c r="C843" s="64"/>
    </row>
    <row r="844" spans="1:3" ht="14.25">
      <c r="A844" s="6"/>
      <c r="B844" s="64"/>
      <c r="C844" s="64"/>
    </row>
    <row r="845" spans="1:3" ht="14.25">
      <c r="A845" s="6"/>
      <c r="B845" s="64"/>
      <c r="C845" s="64"/>
    </row>
    <row r="846" spans="1:3" ht="14.25">
      <c r="A846" s="6"/>
      <c r="B846" s="64"/>
      <c r="C846" s="64"/>
    </row>
    <row r="847" spans="1:3" ht="14.25">
      <c r="A847" s="6"/>
      <c r="B847" s="64"/>
      <c r="C847" s="64"/>
    </row>
    <row r="848" spans="1:3" ht="14.25">
      <c r="A848" s="6"/>
      <c r="B848" s="64"/>
      <c r="C848" s="64"/>
    </row>
    <row r="849" spans="1:3" ht="14.25">
      <c r="A849" s="6"/>
      <c r="B849" s="64"/>
      <c r="C849" s="64"/>
    </row>
    <row r="850" spans="1:3" ht="14.25">
      <c r="A850" s="6"/>
      <c r="B850" s="64"/>
      <c r="C850" s="64"/>
    </row>
    <row r="851" spans="1:3" ht="14.25">
      <c r="A851" s="6"/>
      <c r="B851" s="64"/>
      <c r="C851" s="64"/>
    </row>
    <row r="852" spans="1:3" ht="14.25">
      <c r="A852" s="6"/>
      <c r="B852" s="64"/>
      <c r="C852" s="64"/>
    </row>
    <row r="853" spans="1:3" ht="14.25">
      <c r="A853" s="6"/>
      <c r="B853" s="64"/>
      <c r="C853" s="64"/>
    </row>
    <row r="854" spans="1:3" ht="14.25">
      <c r="A854" s="6"/>
      <c r="B854" s="64"/>
      <c r="C854" s="64"/>
    </row>
    <row r="855" spans="1:3" ht="14.25">
      <c r="A855" s="6"/>
      <c r="B855" s="64"/>
      <c r="C855" s="64"/>
    </row>
    <row r="856" spans="1:3" ht="14.25">
      <c r="A856" s="6"/>
      <c r="B856" s="64"/>
      <c r="C856" s="64"/>
    </row>
    <row r="857" spans="1:3" ht="14.25">
      <c r="A857" s="6"/>
      <c r="B857" s="64"/>
      <c r="C857" s="64"/>
    </row>
    <row r="858" spans="1:3" ht="14.25">
      <c r="A858" s="6"/>
      <c r="B858" s="64"/>
      <c r="C858" s="64"/>
    </row>
    <row r="859" spans="1:3" ht="14.25">
      <c r="A859" s="6"/>
      <c r="B859" s="64"/>
      <c r="C859" s="64"/>
    </row>
    <row r="860" spans="1:3" ht="14.25">
      <c r="A860" s="6"/>
      <c r="B860" s="64"/>
      <c r="C860" s="64"/>
    </row>
    <row r="861" spans="1:3" ht="14.25">
      <c r="A861" s="6"/>
      <c r="B861" s="64"/>
      <c r="C861" s="64"/>
    </row>
    <row r="862" spans="1:3" ht="14.25">
      <c r="A862" s="6"/>
      <c r="B862" s="64"/>
      <c r="C862" s="64"/>
    </row>
    <row r="863" spans="1:3" ht="14.25">
      <c r="A863" s="6"/>
      <c r="B863" s="64"/>
      <c r="C863" s="64"/>
    </row>
    <row r="864" spans="1:3" ht="14.25">
      <c r="A864" s="6"/>
      <c r="B864" s="64"/>
      <c r="C864" s="64"/>
    </row>
    <row r="865" spans="1:3" ht="14.25">
      <c r="A865" s="6"/>
      <c r="B865" s="64"/>
      <c r="C865" s="64"/>
    </row>
    <row r="866" spans="1:3" ht="14.25">
      <c r="A866" s="6"/>
      <c r="B866" s="64"/>
      <c r="C866" s="64"/>
    </row>
    <row r="867" spans="1:3" ht="14.25">
      <c r="A867" s="6"/>
      <c r="B867" s="64"/>
      <c r="C867" s="64"/>
    </row>
    <row r="868" spans="1:3" ht="14.25">
      <c r="A868" s="6"/>
      <c r="B868" s="64"/>
      <c r="C868" s="64"/>
    </row>
    <row r="869" spans="1:3" ht="14.25">
      <c r="A869" s="6"/>
      <c r="B869" s="64"/>
      <c r="C869" s="64"/>
    </row>
    <row r="870" spans="1:3" ht="14.25">
      <c r="A870" s="6"/>
      <c r="B870" s="64"/>
      <c r="C870" s="64"/>
    </row>
    <row r="871" spans="1:3" ht="14.25">
      <c r="A871" s="6"/>
      <c r="B871" s="64"/>
      <c r="C871" s="64"/>
    </row>
    <row r="872" spans="1:3" ht="14.25">
      <c r="A872" s="6"/>
      <c r="B872" s="64"/>
      <c r="C872" s="64"/>
    </row>
    <row r="873" spans="1:3" ht="14.25">
      <c r="A873" s="6"/>
      <c r="B873" s="64"/>
      <c r="C873" s="64"/>
    </row>
    <row r="874" spans="1:3" ht="14.25">
      <c r="A874" s="6"/>
      <c r="B874" s="64"/>
      <c r="C874" s="64"/>
    </row>
    <row r="875" spans="1:3" ht="14.25">
      <c r="A875" s="6"/>
      <c r="B875" s="64"/>
      <c r="C875" s="64"/>
    </row>
    <row r="876" spans="1:3" ht="14.25">
      <c r="A876" s="6"/>
      <c r="B876" s="64"/>
      <c r="C876" s="64"/>
    </row>
    <row r="877" spans="1:3" ht="14.25">
      <c r="A877" s="6"/>
      <c r="B877" s="64"/>
      <c r="C877" s="64"/>
    </row>
    <row r="878" spans="1:3" ht="14.25">
      <c r="A878" s="6"/>
      <c r="B878" s="64"/>
      <c r="C878" s="64"/>
    </row>
    <row r="879" spans="1:3" ht="14.25">
      <c r="A879" s="6"/>
      <c r="B879" s="64"/>
      <c r="C879" s="64"/>
    </row>
    <row r="880" spans="1:3" ht="14.25">
      <c r="A880" s="6"/>
      <c r="B880" s="64"/>
      <c r="C880" s="64"/>
    </row>
    <row r="881" spans="1:3" ht="14.25">
      <c r="A881" s="6"/>
      <c r="B881" s="64"/>
      <c r="C881" s="64"/>
    </row>
    <row r="882" spans="1:3" ht="14.25">
      <c r="A882" s="6"/>
      <c r="B882" s="64"/>
      <c r="C882" s="64"/>
    </row>
    <row r="883" spans="1:3" ht="14.25">
      <c r="A883" s="6"/>
      <c r="B883" s="64"/>
      <c r="C883" s="64"/>
    </row>
    <row r="884" spans="1:3" ht="14.25">
      <c r="A884" s="6"/>
      <c r="B884" s="64"/>
      <c r="C884" s="64"/>
    </row>
    <row r="885" spans="1:3" ht="14.25">
      <c r="A885" s="6"/>
      <c r="B885" s="64"/>
      <c r="C885" s="64"/>
    </row>
    <row r="886" spans="1:3" ht="14.25">
      <c r="A886" s="6"/>
      <c r="B886" s="64"/>
      <c r="C886" s="64"/>
    </row>
    <row r="887" spans="1:3" ht="14.25">
      <c r="A887" s="6"/>
      <c r="B887" s="64"/>
      <c r="C887" s="64"/>
    </row>
    <row r="888" spans="1:3" ht="14.25">
      <c r="A888" s="6"/>
      <c r="B888" s="64"/>
      <c r="C888" s="64"/>
    </row>
    <row r="889" spans="1:3" ht="14.25">
      <c r="A889" s="6"/>
      <c r="B889" s="64"/>
      <c r="C889" s="64"/>
    </row>
    <row r="890" spans="1:3" ht="14.25">
      <c r="A890" s="6"/>
      <c r="B890" s="64"/>
      <c r="C890" s="64"/>
    </row>
    <row r="891" spans="1:3" ht="14.25">
      <c r="A891" s="6"/>
      <c r="B891" s="64"/>
      <c r="C891" s="64"/>
    </row>
    <row r="892" spans="1:3" ht="14.25">
      <c r="A892" s="6"/>
      <c r="B892" s="64"/>
      <c r="C892" s="64"/>
    </row>
    <row r="893" spans="1:3" ht="14.25">
      <c r="A893" s="6"/>
      <c r="B893" s="64"/>
      <c r="C893" s="64"/>
    </row>
    <row r="894" spans="1:3" ht="14.25">
      <c r="A894" s="6"/>
      <c r="B894" s="64"/>
      <c r="C894" s="64"/>
    </row>
    <row r="895" spans="1:3" ht="14.25">
      <c r="A895" s="6"/>
      <c r="B895" s="64"/>
      <c r="C895" s="64"/>
    </row>
    <row r="896" spans="1:3" ht="14.25">
      <c r="A896" s="6"/>
      <c r="B896" s="64"/>
      <c r="C896" s="64"/>
    </row>
    <row r="897" spans="1:3" ht="14.25">
      <c r="A897" s="6"/>
      <c r="B897" s="64"/>
      <c r="C897" s="64"/>
    </row>
    <row r="898" spans="1:3" ht="14.25">
      <c r="A898" s="6"/>
      <c r="B898" s="64"/>
      <c r="C898" s="64"/>
    </row>
    <row r="899" spans="1:3" ht="14.25">
      <c r="A899" s="6"/>
      <c r="B899" s="64"/>
      <c r="C899" s="64"/>
    </row>
    <row r="900" spans="1:3" ht="14.25">
      <c r="A900" s="6"/>
      <c r="B900" s="64"/>
      <c r="C900" s="64"/>
    </row>
    <row r="901" spans="1:3" ht="14.25">
      <c r="A901" s="6"/>
      <c r="B901" s="64"/>
      <c r="C901" s="64"/>
    </row>
    <row r="902" spans="1:3" ht="14.25">
      <c r="A902" s="6"/>
      <c r="B902" s="64"/>
      <c r="C902" s="64"/>
    </row>
    <row r="903" spans="1:3" ht="14.25">
      <c r="A903" s="6"/>
      <c r="B903" s="64"/>
      <c r="C903" s="64"/>
    </row>
    <row r="904" spans="1:3" ht="14.25">
      <c r="A904" s="6"/>
      <c r="B904" s="64"/>
      <c r="C904" s="64"/>
    </row>
    <row r="905" spans="1:3" ht="14.25">
      <c r="A905" s="6"/>
      <c r="B905" s="64"/>
      <c r="C905" s="64"/>
    </row>
    <row r="906" spans="1:3" ht="14.25">
      <c r="A906" s="6"/>
      <c r="B906" s="64"/>
      <c r="C906" s="64"/>
    </row>
    <row r="907" spans="1:3" ht="14.25">
      <c r="A907" s="6"/>
      <c r="B907" s="64"/>
      <c r="C907" s="64"/>
    </row>
    <row r="908" spans="1:3" ht="14.25">
      <c r="A908" s="6"/>
      <c r="B908" s="64"/>
      <c r="C908" s="64"/>
    </row>
    <row r="909" spans="1:3" ht="14.25">
      <c r="A909" s="6"/>
      <c r="B909" s="64"/>
      <c r="C909" s="64"/>
    </row>
    <row r="910" spans="1:3" ht="14.25">
      <c r="A910" s="6"/>
      <c r="B910" s="64"/>
      <c r="C910" s="64"/>
    </row>
    <row r="911" spans="1:3" ht="14.25">
      <c r="A911" s="6"/>
      <c r="B911" s="64"/>
      <c r="C911" s="64"/>
    </row>
    <row r="912" spans="1:3" ht="14.25">
      <c r="A912" s="6"/>
      <c r="B912" s="64"/>
      <c r="C912" s="64"/>
    </row>
    <row r="913" spans="1:3" ht="14.25">
      <c r="A913" s="6"/>
      <c r="B913" s="64"/>
      <c r="C913" s="64"/>
    </row>
    <row r="914" spans="1:3" ht="14.25">
      <c r="A914" s="6"/>
      <c r="B914" s="64"/>
      <c r="C914" s="64"/>
    </row>
    <row r="915" spans="1:3" ht="14.25">
      <c r="A915" s="6"/>
      <c r="B915" s="64"/>
      <c r="C915" s="64"/>
    </row>
    <row r="916" spans="1:3" ht="14.25">
      <c r="A916" s="6"/>
      <c r="B916" s="64"/>
      <c r="C916" s="64"/>
    </row>
    <row r="917" spans="1:3" ht="14.25">
      <c r="A917" s="6"/>
      <c r="B917" s="64"/>
      <c r="C917" s="64"/>
    </row>
    <row r="918" spans="1:3" ht="14.25">
      <c r="A918" s="6"/>
      <c r="B918" s="64"/>
      <c r="C918" s="64"/>
    </row>
    <row r="919" spans="1:3" ht="14.25">
      <c r="A919" s="6"/>
      <c r="B919" s="64"/>
      <c r="C919" s="64"/>
    </row>
    <row r="920" spans="1:3" ht="14.25">
      <c r="A920" s="6"/>
      <c r="B920" s="64"/>
      <c r="C920" s="64"/>
    </row>
    <row r="921" spans="1:3" ht="14.25">
      <c r="A921" s="6"/>
      <c r="B921" s="64"/>
      <c r="C921" s="64"/>
    </row>
    <row r="922" spans="1:3" ht="14.25">
      <c r="A922" s="6"/>
      <c r="B922" s="64"/>
      <c r="C922" s="64"/>
    </row>
    <row r="923" spans="1:3" ht="14.25">
      <c r="A923" s="6"/>
      <c r="B923" s="64"/>
      <c r="C923" s="64"/>
    </row>
    <row r="924" spans="1:3" ht="14.25">
      <c r="A924" s="6"/>
      <c r="B924" s="64"/>
      <c r="C924" s="64"/>
    </row>
    <row r="925" spans="1:3" ht="14.25">
      <c r="A925" s="6"/>
      <c r="B925" s="64"/>
      <c r="C925" s="64"/>
    </row>
    <row r="926" spans="1:3" ht="14.25">
      <c r="A926" s="6"/>
      <c r="B926" s="64"/>
      <c r="C926" s="64"/>
    </row>
    <row r="927" spans="1:3" ht="14.25">
      <c r="A927" s="6"/>
      <c r="B927" s="64"/>
      <c r="C927" s="64"/>
    </row>
    <row r="928" spans="1:3" ht="14.25">
      <c r="A928" s="6"/>
      <c r="B928" s="64"/>
      <c r="C928" s="64"/>
    </row>
    <row r="929" spans="1:3" ht="14.25">
      <c r="A929" s="6"/>
      <c r="B929" s="64"/>
      <c r="C929" s="64"/>
    </row>
    <row r="930" spans="1:3" ht="14.25">
      <c r="A930" s="6"/>
      <c r="B930" s="64"/>
      <c r="C930" s="64"/>
    </row>
    <row r="931" spans="1:3" ht="14.25">
      <c r="A931" s="6"/>
      <c r="B931" s="64"/>
      <c r="C931" s="64"/>
    </row>
    <row r="932" spans="1:3" ht="14.25">
      <c r="A932" s="6"/>
      <c r="B932" s="64"/>
      <c r="C932" s="64"/>
    </row>
    <row r="933" spans="1:3" ht="14.25">
      <c r="A933" s="6"/>
      <c r="B933" s="64"/>
      <c r="C933" s="64"/>
    </row>
    <row r="934" spans="1:3" ht="14.25">
      <c r="A934" s="6"/>
      <c r="B934" s="64"/>
      <c r="C934" s="64"/>
    </row>
    <row r="935" spans="1:3" ht="14.25">
      <c r="A935" s="6"/>
      <c r="B935" s="64"/>
      <c r="C935" s="64"/>
    </row>
    <row r="936" spans="1:3" ht="14.25">
      <c r="A936" s="6"/>
      <c r="B936" s="64"/>
      <c r="C936" s="64"/>
    </row>
    <row r="937" spans="1:3" ht="14.25">
      <c r="A937" s="6"/>
      <c r="B937" s="64"/>
      <c r="C937" s="64"/>
    </row>
    <row r="938" spans="1:3" ht="12.75"/>
    <row r="939" spans="1:3" ht="12.75"/>
    <row r="940" spans="1:3" ht="12.75"/>
    <row r="941" spans="1:3" ht="12.75"/>
  </sheetData>
  <sortState xmlns:xlrd2="http://schemas.microsoft.com/office/spreadsheetml/2017/richdata2" ref="A2:F466">
    <sortCondition ref="A2:A466"/>
  </sortState>
  <phoneticPr fontId="23" type="noConversion"/>
  <conditionalFormatting sqref="A1:A2 A506:A937">
    <cfRule type="expression" dxfId="1" priority="1">
      <formula>COUNTIF(A:A,A1)&gt;1</formula>
    </cfRule>
  </conditionalFormatting>
  <conditionalFormatting sqref="A3:A343">
    <cfRule type="expression" dxfId="0" priority="2">
      <formula>COUNTIF(A:A,A3)&gt;1</formula>
    </cfRule>
  </conditionalFormatting>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11">
        <x14:dataValidation type="list" allowBlank="1" showInputMessage="1" prompt="Select a known group name or type in new" xr:uid="{0B8F291C-5137-4686-A68E-4EF3437AE040}">
          <x14:formula1>
            <xm:f>'D:\Jean-Marc''s files\Jean-Marc 17 June 10\Karité\Serious Shea\Stage 2\Saisie de resultats\Saisies Sanguie\11-16 Oct\[OJ et DT 11-16 Oct Sanguie 2.xlsx]Internal-logic'!#REF!</xm:f>
          </x14:formula1>
          <xm:sqref>B397:B406</xm:sqref>
        </x14:dataValidation>
        <x14:dataValidation type="list" allowBlank="1" showInputMessage="1" prompt="Select commune" xr:uid="{390614A0-E66B-45DD-8FFB-FC220F9EBA2C}">
          <x14:formula1>
            <xm:f>'D:\Jean-Marc''s files\Jean-Marc 17 June 10\Karité\Serious Shea\Stage 2\Saisie de resultats\Saisies Sanguie\11-16 Oct\[OJ et DT 11-16 Oct Sanguie 2.xlsx]Internal-logic'!#REF!</xm:f>
          </x14:formula1>
          <xm:sqref>C397:C406</xm:sqref>
        </x14:dataValidation>
        <x14:dataValidation type="list" allowBlank="1" showInputMessage="1" prompt="Select a known group name or type in new" xr:uid="{88A25352-228D-44FD-96B8-B85A98AF5DC5}">
          <x14:formula1>
            <xm:f>'D:\Jean-Marc''s files\Jean-Marc 17 June 10\Karité\Serious Shea\Stage 2\Saisie de resultats\Saisies Sud-Ouest\[Donnees Sud-Ouest 3 binomes.xlsx]Internal-logic'!#REF!</xm:f>
          </x14:formula1>
          <xm:sqref>B424:B428 B446:B462</xm:sqref>
        </x14:dataValidation>
        <x14:dataValidation type="list" allowBlank="1" showInputMessage="1" prompt="Select a known group name or type in new" xr:uid="{C0935D91-3952-4CB8-B9F0-138B776640A8}">
          <x14:formula1>
            <xm:f>'C:\Users\YOUMA\Desktop\sansonic SERIOUS SHAE\[Sensonomic Survey input.xlsx]Internal-logic'!#REF!</xm:f>
          </x14:formula1>
          <xm:sqref>B417:B420</xm:sqref>
        </x14:dataValidation>
        <x14:dataValidation type="list" allowBlank="1" showInputMessage="1" prompt="Select a known group name or type in new" xr:uid="{D5466C8C-5096-4C8C-AF6C-8CD56E33D1A5}">
          <x14:formula1>
            <xm:f>'D:\Jean-Marc''s files\Jean-Marc 17 June 10\Karité\Serious Shea\Stage 2\Saisie de resultats\Sud-Ouest\[Lamine Yves 2.xlsx]Internal-logic'!#REF!</xm:f>
          </x14:formula1>
          <xm:sqref>B421:B423</xm:sqref>
        </x14:dataValidation>
        <x14:dataValidation type="list" allowBlank="1" showInputMessage="1" prompt="Select a known group name or type in new" xr:uid="{BDA74F4A-E60E-480D-AEE1-30EE633FF57A}">
          <x14:formula1>
            <xm:f>'D:\Jean-Marc''s files\Jean-Marc 17 June 10\Karité\Serious Shea\Stage 2\Saisie de resultats\Sud-Ouest\[Jeremie-Thierry Sud-Ouest 2 Oct.xlsx]Internal-logic'!#REF!</xm:f>
          </x14:formula1>
          <xm:sqref>B429:B438 B440:B445</xm:sqref>
        </x14:dataValidation>
        <x14:dataValidation type="list" allowBlank="1" showInputMessage="1" prompt="Select commune" xr:uid="{660A843B-FCD5-44C0-A06A-A54E50677F70}">
          <x14:formula1>
            <xm:f>'D:\Jean-Marc''s files\Jean-Marc 17 June 10\Karité\Serious Shea\Stage 2\Saisie de resultats\Saisies Sud-Ouest\[Donnees Sud-Ouest 3 binomes.xlsx]Internal-logic'!#REF!</xm:f>
          </x14:formula1>
          <xm:sqref>C424:C428 C446:C462</xm:sqref>
        </x14:dataValidation>
        <x14:dataValidation type="list" allowBlank="1" showInputMessage="1" prompt="Select commune" xr:uid="{E99DB19C-A7BA-4CCF-BC48-0C08964E73BC}">
          <x14:formula1>
            <xm:f>'D:\Jean-Marc''s files\Jean-Marc 17 June 10\Karité\Serious Shea\Stage 2\Saisie de resultats\Sud-Ouest\[Lamine Yves 2.xlsx]Internal-logic'!#REF!</xm:f>
          </x14:formula1>
          <xm:sqref>C417:C423</xm:sqref>
        </x14:dataValidation>
        <x14:dataValidation type="list" allowBlank="1" showInputMessage="1" prompt="Select commune" xr:uid="{B115D03E-E720-4C5A-8A68-400B27FEE2BC}">
          <x14:formula1>
            <xm:f>'D:\Jean-Marc''s files\Jean-Marc 17 June 10\Karité\Serious Shea\Stage 2\Saisie de resultats\Sud-Ouest\[Jeremie-Thierry Sud-Ouest 2 Oct.xlsx]Internal-logic'!#REF!</xm:f>
          </x14:formula1>
          <xm:sqref>C429:C445</xm:sqref>
        </x14:dataValidation>
        <x14:dataValidation type="list" allowBlank="1" showInputMessage="1" prompt="Select a known group name or type in new" xr:uid="{CCE47A2F-F334-4A51-B6A1-B2D762EC9C4E}">
          <x14:formula1>
            <xm:f>'D:\Jean-Marc''s files\Jean-Marc 17 June 10\Karité\Serious Shea\Stage 2\Saisie de resultats\Saisies Manga\[OJ et DT données Manga 1.xlsx]Internal-logic'!#REF!</xm:f>
          </x14:formula1>
          <xm:sqref>B511:B521</xm:sqref>
        </x14:dataValidation>
        <x14:dataValidation type="list" allowBlank="1" showInputMessage="1" prompt="Select commune" xr:uid="{68031BB5-FF02-4863-9306-37D4B840A082}">
          <x14:formula1>
            <xm:f>'D:\Jean-Marc''s files\Jean-Marc 17 June 10\Karité\Serious Shea\Stage 2\Saisie de resultats\Saisies Manga\[OJ et DT données Manga 1.xlsx]Internal-logic'!#REF!</xm:f>
          </x14:formula1>
          <xm:sqref>C511:C528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C334"/>
  <sheetViews>
    <sheetView workbookViewId="0">
      <selection activeCell="B2" sqref="B2"/>
    </sheetView>
  </sheetViews>
  <sheetFormatPr defaultColWidth="14.46484375" defaultRowHeight="15.75" customHeight="1"/>
  <cols>
    <col min="1" max="16384" width="14.46484375" style="102"/>
  </cols>
  <sheetData>
    <row r="1" spans="1:107" ht="27" customHeight="1">
      <c r="A1" s="96" t="s">
        <v>0</v>
      </c>
      <c r="B1" s="97" t="s">
        <v>4365</v>
      </c>
      <c r="C1" s="97" t="s">
        <v>4366</v>
      </c>
      <c r="D1" s="97" t="s">
        <v>4367</v>
      </c>
      <c r="E1" s="97" t="s">
        <v>7137</v>
      </c>
      <c r="F1" s="97" t="s">
        <v>4368</v>
      </c>
      <c r="G1" s="97" t="s">
        <v>1177</v>
      </c>
      <c r="H1" s="97" t="s">
        <v>1178</v>
      </c>
      <c r="I1" s="97" t="s">
        <v>1179</v>
      </c>
      <c r="J1" s="97" t="s">
        <v>1180</v>
      </c>
      <c r="K1" s="97" t="s">
        <v>1181</v>
      </c>
      <c r="L1" s="98" t="s">
        <v>4369</v>
      </c>
      <c r="M1" s="97" t="s">
        <v>4370</v>
      </c>
      <c r="N1" s="97" t="s">
        <v>4371</v>
      </c>
      <c r="O1" s="97" t="s">
        <v>4372</v>
      </c>
      <c r="P1" s="98" t="s">
        <v>4373</v>
      </c>
      <c r="Q1" s="98" t="s">
        <v>1548</v>
      </c>
      <c r="R1" s="97" t="s">
        <v>4374</v>
      </c>
      <c r="S1" s="98" t="s">
        <v>4375</v>
      </c>
      <c r="T1" s="98" t="s">
        <v>4376</v>
      </c>
      <c r="U1" s="97" t="s">
        <v>4377</v>
      </c>
      <c r="V1" s="98" t="s">
        <v>4378</v>
      </c>
      <c r="W1" s="98" t="s">
        <v>4379</v>
      </c>
      <c r="X1" s="98" t="s">
        <v>4380</v>
      </c>
      <c r="Y1" s="98" t="s">
        <v>4381</v>
      </c>
      <c r="Z1" s="98" t="s">
        <v>4382</v>
      </c>
      <c r="AA1" s="98" t="s">
        <v>4383</v>
      </c>
      <c r="AB1" s="98" t="s">
        <v>4384</v>
      </c>
      <c r="AC1" s="98" t="s">
        <v>4385</v>
      </c>
      <c r="AD1" s="98" t="s">
        <v>4386</v>
      </c>
      <c r="AE1" s="98" t="s">
        <v>4387</v>
      </c>
      <c r="AF1" s="98" t="s">
        <v>4388</v>
      </c>
      <c r="AG1" s="97" t="s">
        <v>4389</v>
      </c>
      <c r="AH1" s="98" t="s">
        <v>4390</v>
      </c>
      <c r="AI1" s="98" t="s">
        <v>4391</v>
      </c>
      <c r="AJ1" s="98" t="s">
        <v>4392</v>
      </c>
      <c r="AK1" s="98" t="s">
        <v>4393</v>
      </c>
      <c r="AL1" s="98" t="s">
        <v>4394</v>
      </c>
      <c r="AM1" s="98" t="s">
        <v>4395</v>
      </c>
      <c r="AN1" s="97" t="s">
        <v>4396</v>
      </c>
      <c r="AO1" s="98" t="s">
        <v>4397</v>
      </c>
      <c r="AP1" s="98" t="s">
        <v>4398</v>
      </c>
      <c r="AQ1" s="98" t="s">
        <v>4399</v>
      </c>
      <c r="AR1" s="98" t="s">
        <v>4400</v>
      </c>
      <c r="AS1" s="98" t="s">
        <v>4401</v>
      </c>
      <c r="AT1" s="98" t="s">
        <v>4402</v>
      </c>
      <c r="AU1" s="98" t="s">
        <v>4403</v>
      </c>
      <c r="AV1" s="97" t="s">
        <v>4404</v>
      </c>
      <c r="AW1" s="97" t="s">
        <v>4405</v>
      </c>
      <c r="AX1" s="97" t="s">
        <v>4406</v>
      </c>
      <c r="AY1" s="97" t="s">
        <v>4407</v>
      </c>
      <c r="AZ1" s="97" t="s">
        <v>4408</v>
      </c>
      <c r="BA1" s="98" t="s">
        <v>4409</v>
      </c>
      <c r="BB1" s="99" t="s">
        <v>4410</v>
      </c>
      <c r="BC1" s="99" t="s">
        <v>4411</v>
      </c>
      <c r="BD1" s="99" t="s">
        <v>4412</v>
      </c>
      <c r="BE1" s="99" t="s">
        <v>4413</v>
      </c>
      <c r="BF1" s="98" t="s">
        <v>4414</v>
      </c>
      <c r="BG1" s="98" t="s">
        <v>4415</v>
      </c>
      <c r="BH1" s="98" t="s">
        <v>4416</v>
      </c>
      <c r="BI1" s="98" t="s">
        <v>4417</v>
      </c>
      <c r="BJ1" s="98" t="s">
        <v>4418</v>
      </c>
      <c r="BK1" s="98" t="s">
        <v>4419</v>
      </c>
      <c r="BL1" s="98" t="s">
        <v>4420</v>
      </c>
      <c r="BM1" s="98" t="s">
        <v>4421</v>
      </c>
      <c r="BN1" s="98" t="s">
        <v>4422</v>
      </c>
      <c r="BO1" s="98" t="s">
        <v>4423</v>
      </c>
      <c r="BP1" s="98" t="s">
        <v>4424</v>
      </c>
      <c r="BQ1" s="100" t="s">
        <v>4425</v>
      </c>
      <c r="BR1" s="97" t="s">
        <v>4426</v>
      </c>
      <c r="BS1" s="97" t="s">
        <v>4427</v>
      </c>
      <c r="BT1" s="98" t="s">
        <v>4428</v>
      </c>
      <c r="BU1" s="97" t="s">
        <v>4429</v>
      </c>
      <c r="BV1" s="98" t="s">
        <v>4430</v>
      </c>
      <c r="BW1" s="98" t="s">
        <v>4431</v>
      </c>
      <c r="BX1" s="98" t="s">
        <v>4432</v>
      </c>
      <c r="BY1" s="98" t="s">
        <v>4433</v>
      </c>
      <c r="BZ1" s="98" t="s">
        <v>4434</v>
      </c>
      <c r="CA1" s="98" t="s">
        <v>4435</v>
      </c>
      <c r="CB1" s="98" t="s">
        <v>4436</v>
      </c>
      <c r="CC1" s="98" t="s">
        <v>4437</v>
      </c>
      <c r="CD1" s="98" t="s">
        <v>4438</v>
      </c>
      <c r="CE1" s="98" t="s">
        <v>4439</v>
      </c>
      <c r="CF1" s="98" t="s">
        <v>4440</v>
      </c>
      <c r="CG1" s="98" t="s">
        <v>4365</v>
      </c>
      <c r="CH1" s="98" t="s">
        <v>4441</v>
      </c>
      <c r="CI1" s="98" t="s">
        <v>4442</v>
      </c>
      <c r="CJ1" s="98" t="s">
        <v>4443</v>
      </c>
      <c r="CK1" s="98" t="s">
        <v>4444</v>
      </c>
      <c r="CL1" s="97" t="s">
        <v>4445</v>
      </c>
      <c r="CM1" s="97" t="s">
        <v>4446</v>
      </c>
      <c r="CN1" s="97" t="s">
        <v>4447</v>
      </c>
      <c r="CO1" s="101"/>
      <c r="CP1" s="101"/>
      <c r="CQ1" s="101"/>
      <c r="CR1" s="101"/>
      <c r="CS1" s="101"/>
      <c r="CT1" s="101"/>
      <c r="CU1" s="101"/>
      <c r="CV1" s="101"/>
      <c r="CW1" s="101"/>
      <c r="CX1" s="101"/>
      <c r="CY1" s="101"/>
      <c r="CZ1" s="101"/>
      <c r="DA1" s="101"/>
      <c r="DB1" s="99"/>
      <c r="DC1" s="99"/>
    </row>
    <row r="2" spans="1:107" ht="15.75" customHeight="1">
      <c r="A2" s="95">
        <v>1</v>
      </c>
      <c r="B2" s="99" t="s">
        <v>521</v>
      </c>
      <c r="C2" s="99" t="s">
        <v>522</v>
      </c>
      <c r="D2" s="99">
        <v>70296140</v>
      </c>
      <c r="E2" s="99" t="s">
        <v>5</v>
      </c>
      <c r="F2" s="95" t="s">
        <v>4448</v>
      </c>
      <c r="G2" s="95" t="s">
        <v>1042</v>
      </c>
      <c r="H2" s="95" t="s">
        <v>1043</v>
      </c>
      <c r="I2" s="95" t="s">
        <v>6</v>
      </c>
      <c r="J2" s="95" t="s">
        <v>6</v>
      </c>
      <c r="K2" s="99"/>
      <c r="L2" s="103" t="s">
        <v>4449</v>
      </c>
      <c r="M2" s="99" t="s">
        <v>4450</v>
      </c>
      <c r="N2" s="99" t="s">
        <v>4451</v>
      </c>
      <c r="O2" s="99" t="s">
        <v>4452</v>
      </c>
      <c r="P2" s="103">
        <v>2010</v>
      </c>
      <c r="Q2" s="103" t="s">
        <v>1862</v>
      </c>
      <c r="R2" s="99" t="s">
        <v>4453</v>
      </c>
      <c r="S2" s="103" t="s">
        <v>4454</v>
      </c>
      <c r="T2" s="103" t="s">
        <v>4455</v>
      </c>
      <c r="U2" s="99" t="s">
        <v>4456</v>
      </c>
      <c r="V2" s="95">
        <v>11.165243200000001</v>
      </c>
      <c r="W2" s="95">
        <v>-1.1400998</v>
      </c>
      <c r="X2" s="104" t="s">
        <v>4457</v>
      </c>
      <c r="Y2" s="103" t="s">
        <v>1634</v>
      </c>
      <c r="Z2" s="103" t="s">
        <v>1634</v>
      </c>
      <c r="AA2" s="103" t="s">
        <v>1862</v>
      </c>
      <c r="AB2" s="105">
        <v>1200</v>
      </c>
      <c r="AC2" s="103">
        <v>0</v>
      </c>
      <c r="AD2" s="103">
        <v>1200</v>
      </c>
      <c r="AE2" s="103" t="s">
        <v>1634</v>
      </c>
      <c r="AF2" s="103" t="s">
        <v>4458</v>
      </c>
      <c r="AG2" s="99" t="s">
        <v>4459</v>
      </c>
      <c r="AH2" s="103" t="s">
        <v>1862</v>
      </c>
      <c r="AI2" s="103" t="s">
        <v>1862</v>
      </c>
      <c r="AJ2" s="103" t="s">
        <v>1862</v>
      </c>
      <c r="AK2" s="103" t="s">
        <v>1862</v>
      </c>
      <c r="AL2" s="103" t="s">
        <v>1862</v>
      </c>
      <c r="AM2" s="103" t="s">
        <v>1862</v>
      </c>
      <c r="AN2" s="99" t="s">
        <v>4460</v>
      </c>
      <c r="AO2" s="103" t="s">
        <v>1862</v>
      </c>
      <c r="AP2" s="103">
        <v>1200</v>
      </c>
      <c r="AQ2" s="103" t="s">
        <v>4461</v>
      </c>
      <c r="AR2" s="103">
        <v>600000000</v>
      </c>
      <c r="AS2" s="106">
        <v>500000000</v>
      </c>
      <c r="AT2" s="103" t="s">
        <v>4462</v>
      </c>
      <c r="AU2" s="103" t="s">
        <v>1634</v>
      </c>
      <c r="AV2" s="99" t="s">
        <v>4463</v>
      </c>
      <c r="AW2" s="99" t="s">
        <v>4464</v>
      </c>
      <c r="AX2" s="99" t="s">
        <v>4465</v>
      </c>
      <c r="AY2" s="99" t="s">
        <v>4466</v>
      </c>
      <c r="AZ2" s="99" t="s">
        <v>4467</v>
      </c>
      <c r="BA2" s="103" t="s">
        <v>1634</v>
      </c>
      <c r="BB2" s="99">
        <v>41666</v>
      </c>
      <c r="BC2" s="99">
        <v>16666</v>
      </c>
      <c r="BD2" s="99">
        <v>87500000</v>
      </c>
      <c r="BE2" s="99">
        <v>150000000</v>
      </c>
      <c r="BF2" s="103" t="s">
        <v>4468</v>
      </c>
      <c r="BG2" s="103" t="s">
        <v>1862</v>
      </c>
      <c r="BH2" s="103" t="s">
        <v>1862</v>
      </c>
      <c r="BI2" s="103" t="s">
        <v>1804</v>
      </c>
      <c r="BJ2" s="103" t="s">
        <v>1804</v>
      </c>
      <c r="BK2" s="103" t="s">
        <v>4469</v>
      </c>
      <c r="BL2" s="103" t="s">
        <v>4470</v>
      </c>
      <c r="BM2" s="103" t="s">
        <v>4461</v>
      </c>
      <c r="BN2" s="103" t="s">
        <v>4471</v>
      </c>
      <c r="BO2" s="103">
        <v>400</v>
      </c>
      <c r="BP2" s="103" t="s">
        <v>4472</v>
      </c>
      <c r="BQ2" s="107" t="s">
        <v>4473</v>
      </c>
      <c r="BR2" s="99" t="s">
        <v>4474</v>
      </c>
      <c r="BS2" s="99" t="s">
        <v>4474</v>
      </c>
      <c r="BT2" s="103" t="s">
        <v>3186</v>
      </c>
      <c r="BU2" s="99" t="s">
        <v>4475</v>
      </c>
      <c r="BV2" s="103" t="s">
        <v>4476</v>
      </c>
      <c r="BW2" s="103" t="s">
        <v>4476</v>
      </c>
      <c r="BX2" s="103" t="s">
        <v>1548</v>
      </c>
      <c r="BY2" s="103" t="s">
        <v>4477</v>
      </c>
      <c r="BZ2" s="103" t="s">
        <v>4478</v>
      </c>
      <c r="CA2" s="103" t="s">
        <v>4461</v>
      </c>
      <c r="CB2" s="103">
        <v>2000</v>
      </c>
      <c r="CC2" s="103" t="s">
        <v>4479</v>
      </c>
      <c r="CD2" s="103" t="s">
        <v>4480</v>
      </c>
      <c r="CE2" s="103" t="s">
        <v>4481</v>
      </c>
      <c r="CF2" s="103" t="s">
        <v>4482</v>
      </c>
      <c r="CG2" s="103" t="s">
        <v>4483</v>
      </c>
      <c r="CH2" s="103" t="s">
        <v>4484</v>
      </c>
      <c r="CI2" s="103">
        <v>70759204</v>
      </c>
      <c r="CJ2" s="103" t="s">
        <v>4485</v>
      </c>
      <c r="CK2" s="108">
        <v>43364.306145833332</v>
      </c>
      <c r="CL2" s="109">
        <v>43364.34574074074</v>
      </c>
      <c r="CM2" s="95">
        <v>11.165243200000001</v>
      </c>
      <c r="CN2" s="95">
        <v>-1.1400998</v>
      </c>
      <c r="CO2" s="99"/>
      <c r="CP2" s="99"/>
      <c r="CQ2" s="99"/>
      <c r="CR2" s="99"/>
      <c r="CS2" s="99"/>
      <c r="CT2" s="99"/>
      <c r="CU2" s="99"/>
      <c r="CV2" s="99"/>
      <c r="CW2" s="99"/>
      <c r="CX2" s="99"/>
      <c r="CY2" s="99"/>
      <c r="CZ2" s="99"/>
      <c r="DA2" s="99"/>
      <c r="DB2" s="99"/>
      <c r="DC2" s="99"/>
    </row>
    <row r="3" spans="1:107" ht="15.75" customHeight="1">
      <c r="A3" s="95">
        <v>2</v>
      </c>
      <c r="B3" s="99" t="s">
        <v>523</v>
      </c>
      <c r="C3" s="99" t="s">
        <v>524</v>
      </c>
      <c r="D3" s="110">
        <v>68137186</v>
      </c>
      <c r="E3" s="99" t="s">
        <v>9</v>
      </c>
      <c r="F3" s="95" t="s">
        <v>4486</v>
      </c>
      <c r="G3" s="95" t="s">
        <v>1044</v>
      </c>
      <c r="H3" s="95" t="s">
        <v>1045</v>
      </c>
      <c r="I3" s="95" t="s">
        <v>10</v>
      </c>
      <c r="J3" s="95" t="s">
        <v>1046</v>
      </c>
      <c r="K3" s="95"/>
      <c r="L3" s="103" t="s">
        <v>4449</v>
      </c>
      <c r="M3" s="99" t="s">
        <v>4487</v>
      </c>
      <c r="N3" s="99" t="s">
        <v>4451</v>
      </c>
      <c r="O3" s="99" t="s">
        <v>4488</v>
      </c>
      <c r="P3" s="103">
        <v>2016</v>
      </c>
      <c r="Q3" s="103" t="s">
        <v>1862</v>
      </c>
      <c r="R3" s="99" t="s">
        <v>4489</v>
      </c>
      <c r="S3" s="103" t="s">
        <v>1541</v>
      </c>
      <c r="T3" s="103" t="s">
        <v>4490</v>
      </c>
      <c r="U3" s="95" t="s">
        <v>4491</v>
      </c>
      <c r="V3" s="95">
        <v>12.962606900000001</v>
      </c>
      <c r="W3" s="95">
        <v>-2.2581158000000001</v>
      </c>
      <c r="X3" s="104" t="s">
        <v>4492</v>
      </c>
      <c r="Y3" s="103" t="s">
        <v>1634</v>
      </c>
      <c r="Z3" s="103" t="s">
        <v>1634</v>
      </c>
      <c r="AA3" s="103" t="s">
        <v>1862</v>
      </c>
      <c r="AB3" s="103">
        <v>17</v>
      </c>
      <c r="AC3" s="103">
        <v>2</v>
      </c>
      <c r="AD3" s="103">
        <v>15</v>
      </c>
      <c r="AE3" s="103" t="s">
        <v>1634</v>
      </c>
      <c r="AF3" s="103" t="s">
        <v>4493</v>
      </c>
      <c r="AG3" s="99" t="s">
        <v>4494</v>
      </c>
      <c r="AH3" s="103" t="s">
        <v>1862</v>
      </c>
      <c r="AI3" s="103" t="s">
        <v>1862</v>
      </c>
      <c r="AJ3" s="103" t="s">
        <v>1804</v>
      </c>
      <c r="AK3" s="103" t="s">
        <v>1804</v>
      </c>
      <c r="AL3" s="103" t="s">
        <v>1862</v>
      </c>
      <c r="AM3" s="103" t="s">
        <v>1862</v>
      </c>
      <c r="AN3" s="99" t="s">
        <v>4495</v>
      </c>
      <c r="AO3" s="103" t="s">
        <v>1862</v>
      </c>
      <c r="AP3" s="103">
        <v>1500</v>
      </c>
      <c r="AQ3" s="103"/>
      <c r="AR3" s="105">
        <v>2160000</v>
      </c>
      <c r="AS3" s="106">
        <v>700000</v>
      </c>
      <c r="AT3" s="103" t="s">
        <v>4496</v>
      </c>
      <c r="AU3" s="103" t="s">
        <v>1548</v>
      </c>
      <c r="AV3" s="99"/>
      <c r="AW3" s="99" t="s">
        <v>4497</v>
      </c>
      <c r="AX3" s="99" t="s">
        <v>4498</v>
      </c>
      <c r="AY3" s="99"/>
      <c r="AZ3" s="99"/>
      <c r="BA3" s="103"/>
      <c r="BB3" s="99">
        <v>4320</v>
      </c>
      <c r="BC3" s="99">
        <v>500</v>
      </c>
      <c r="BD3" s="99">
        <v>2592000</v>
      </c>
      <c r="BE3" s="99">
        <v>750000</v>
      </c>
      <c r="BF3" s="103"/>
      <c r="BG3" s="103"/>
      <c r="BH3" s="103"/>
      <c r="BI3" s="103"/>
      <c r="BJ3" s="103"/>
      <c r="BK3" s="103" t="s">
        <v>4499</v>
      </c>
      <c r="BL3" s="103"/>
      <c r="BM3" s="103"/>
      <c r="BN3" s="103"/>
      <c r="BO3" s="103">
        <v>240</v>
      </c>
      <c r="BP3" s="103" t="s">
        <v>4500</v>
      </c>
      <c r="BQ3" s="99" t="s">
        <v>4476</v>
      </c>
      <c r="BR3" s="99" t="s">
        <v>4476</v>
      </c>
      <c r="BS3" s="99" t="s">
        <v>4476</v>
      </c>
      <c r="BT3" s="103" t="s">
        <v>3186</v>
      </c>
      <c r="BU3" s="99" t="s">
        <v>4476</v>
      </c>
      <c r="BV3" s="103" t="s">
        <v>4476</v>
      </c>
      <c r="BW3" s="103" t="s">
        <v>1548</v>
      </c>
      <c r="BX3" s="103" t="s">
        <v>4501</v>
      </c>
      <c r="BY3" s="103" t="s">
        <v>4478</v>
      </c>
      <c r="BZ3" s="103" t="s">
        <v>4500</v>
      </c>
      <c r="CA3" s="103">
        <v>1000</v>
      </c>
      <c r="CB3" s="103" t="s">
        <v>4475</v>
      </c>
      <c r="CC3" s="103" t="s">
        <v>4502</v>
      </c>
      <c r="CD3" s="103" t="s">
        <v>4475</v>
      </c>
      <c r="CE3" s="103" t="s">
        <v>4475</v>
      </c>
      <c r="CF3" s="103"/>
      <c r="CG3" s="103" t="s">
        <v>523</v>
      </c>
      <c r="CH3" s="103" t="s">
        <v>524</v>
      </c>
      <c r="CI3" s="111">
        <v>68137186</v>
      </c>
      <c r="CJ3" s="99"/>
      <c r="CK3" s="108">
        <v>43364.920868055553</v>
      </c>
      <c r="CL3" s="108">
        <v>43364.966238425928</v>
      </c>
      <c r="CM3" s="95">
        <v>12.962606900000001</v>
      </c>
      <c r="CN3" s="95">
        <v>-2.2581158000000001</v>
      </c>
      <c r="CO3" s="99"/>
      <c r="CP3" s="99"/>
      <c r="CQ3" s="99"/>
      <c r="CR3" s="99"/>
      <c r="CS3" s="99"/>
      <c r="CT3" s="99"/>
      <c r="CU3" s="99"/>
      <c r="CV3" s="99"/>
      <c r="CW3" s="99"/>
      <c r="CX3" s="99"/>
      <c r="CY3" s="99"/>
      <c r="CZ3" s="99"/>
      <c r="DA3" s="99"/>
      <c r="DB3" s="99"/>
      <c r="DC3" s="99"/>
    </row>
    <row r="4" spans="1:107" ht="15.75" customHeight="1">
      <c r="A4" s="95">
        <v>3</v>
      </c>
      <c r="B4" s="99" t="s">
        <v>525</v>
      </c>
      <c r="C4" s="99" t="s">
        <v>526</v>
      </c>
      <c r="D4" s="99">
        <v>78818182</v>
      </c>
      <c r="E4" s="99" t="s">
        <v>12</v>
      </c>
      <c r="F4" s="95" t="s">
        <v>4503</v>
      </c>
      <c r="G4" s="95" t="s">
        <v>1042</v>
      </c>
      <c r="H4" s="95" t="s">
        <v>1043</v>
      </c>
      <c r="I4" s="95" t="s">
        <v>6</v>
      </c>
      <c r="J4" s="95"/>
      <c r="K4" s="99"/>
      <c r="L4" s="103" t="s">
        <v>4449</v>
      </c>
      <c r="M4" s="99" t="s">
        <v>4450</v>
      </c>
      <c r="N4" s="99" t="s">
        <v>4451</v>
      </c>
      <c r="O4" s="99"/>
      <c r="P4" s="103">
        <v>2013</v>
      </c>
      <c r="Q4" s="103" t="s">
        <v>1862</v>
      </c>
      <c r="R4" s="99" t="s">
        <v>4504</v>
      </c>
      <c r="S4" s="103" t="s">
        <v>4454</v>
      </c>
      <c r="T4" s="103" t="s">
        <v>4505</v>
      </c>
      <c r="U4" s="99" t="s">
        <v>4506</v>
      </c>
      <c r="V4" s="95">
        <v>11.165243200000001</v>
      </c>
      <c r="W4" s="95">
        <v>-1.1400998</v>
      </c>
      <c r="X4" s="104" t="s">
        <v>4457</v>
      </c>
      <c r="Y4" s="103" t="s">
        <v>1634</v>
      </c>
      <c r="Z4" s="103" t="s">
        <v>1634</v>
      </c>
      <c r="AA4" s="103" t="s">
        <v>1862</v>
      </c>
      <c r="AB4" s="105">
        <v>1009</v>
      </c>
      <c r="AC4" s="103">
        <v>2</v>
      </c>
      <c r="AD4" s="103">
        <v>1007</v>
      </c>
      <c r="AE4" s="103" t="s">
        <v>1634</v>
      </c>
      <c r="AF4" s="103" t="s">
        <v>4458</v>
      </c>
      <c r="AG4" s="99" t="s">
        <v>4507</v>
      </c>
      <c r="AH4" s="103" t="s">
        <v>1862</v>
      </c>
      <c r="AI4" s="103" t="s">
        <v>1862</v>
      </c>
      <c r="AJ4" s="103" t="s">
        <v>1862</v>
      </c>
      <c r="AK4" s="103" t="s">
        <v>1862</v>
      </c>
      <c r="AL4" s="103" t="s">
        <v>1804</v>
      </c>
      <c r="AM4" s="103" t="s">
        <v>1862</v>
      </c>
      <c r="AN4" s="99" t="s">
        <v>4508</v>
      </c>
      <c r="AO4" s="103" t="s">
        <v>1862</v>
      </c>
      <c r="AP4" s="103">
        <v>1000</v>
      </c>
      <c r="AQ4" s="103" t="s">
        <v>4509</v>
      </c>
      <c r="AR4" s="103">
        <v>300000</v>
      </c>
      <c r="AS4" s="106">
        <v>500000</v>
      </c>
      <c r="AT4" s="103" t="s">
        <v>4510</v>
      </c>
      <c r="AU4" s="103"/>
      <c r="AV4" s="99"/>
      <c r="AW4" s="99"/>
      <c r="AX4" s="99"/>
      <c r="AY4" s="99"/>
      <c r="AZ4" s="99"/>
      <c r="BA4" s="103"/>
      <c r="BB4" s="99">
        <v>13000</v>
      </c>
      <c r="BC4" s="99">
        <v>2500</v>
      </c>
      <c r="BD4" s="99">
        <v>0</v>
      </c>
      <c r="BE4" s="99">
        <v>12800000</v>
      </c>
      <c r="BF4" s="103" t="s">
        <v>4511</v>
      </c>
      <c r="BG4" s="103" t="s">
        <v>1804</v>
      </c>
      <c r="BH4" s="103" t="s">
        <v>1862</v>
      </c>
      <c r="BI4" s="103" t="s">
        <v>1804</v>
      </c>
      <c r="BJ4" s="103" t="s">
        <v>1804</v>
      </c>
      <c r="BK4" s="103" t="s">
        <v>4478</v>
      </c>
      <c r="BL4" s="103" t="s">
        <v>4472</v>
      </c>
      <c r="BM4" s="103" t="s">
        <v>4461</v>
      </c>
      <c r="BN4" s="103" t="s">
        <v>4512</v>
      </c>
      <c r="BO4" s="103">
        <v>1200</v>
      </c>
      <c r="BP4" s="103" t="s">
        <v>4500</v>
      </c>
      <c r="BQ4" s="107" t="s">
        <v>4474</v>
      </c>
      <c r="BR4" s="99" t="s">
        <v>4474</v>
      </c>
      <c r="BS4" s="99" t="s">
        <v>4513</v>
      </c>
      <c r="BT4" s="103" t="s">
        <v>4513</v>
      </c>
      <c r="BU4" s="99" t="s">
        <v>4502</v>
      </c>
      <c r="BV4" s="103" t="s">
        <v>4476</v>
      </c>
      <c r="BW4" s="103" t="s">
        <v>4514</v>
      </c>
      <c r="BX4" s="103" t="s">
        <v>1548</v>
      </c>
      <c r="BY4" s="103" t="s">
        <v>4501</v>
      </c>
      <c r="BZ4" s="103" t="s">
        <v>4515</v>
      </c>
      <c r="CA4" s="103" t="s">
        <v>4509</v>
      </c>
      <c r="CB4" s="103">
        <v>60</v>
      </c>
      <c r="CC4" s="103" t="s">
        <v>4479</v>
      </c>
      <c r="CD4" s="103" t="s">
        <v>4475</v>
      </c>
      <c r="CE4" s="103" t="s">
        <v>4481</v>
      </c>
      <c r="CF4" s="103" t="s">
        <v>4482</v>
      </c>
      <c r="CG4" s="103" t="s">
        <v>4516</v>
      </c>
      <c r="CH4" s="103" t="s">
        <v>4517</v>
      </c>
      <c r="CI4" s="103">
        <v>73228576</v>
      </c>
      <c r="CJ4" s="103" t="s">
        <v>4518</v>
      </c>
      <c r="CK4" s="108">
        <v>43363.517060185186</v>
      </c>
      <c r="CL4" s="109">
        <v>43363.548888888887</v>
      </c>
      <c r="CM4" s="95">
        <v>11.165243200000001</v>
      </c>
      <c r="CN4" s="95">
        <v>-1.1400998</v>
      </c>
      <c r="CO4" s="99"/>
      <c r="CP4" s="99"/>
      <c r="CQ4" s="99"/>
      <c r="CR4" s="99"/>
      <c r="CS4" s="99"/>
      <c r="CT4" s="99"/>
      <c r="CU4" s="99"/>
      <c r="CV4" s="99"/>
      <c r="CW4" s="99"/>
      <c r="CX4" s="99"/>
      <c r="CY4" s="99"/>
      <c r="CZ4" s="99"/>
      <c r="DA4" s="99"/>
      <c r="DB4" s="99"/>
      <c r="DC4" s="99"/>
    </row>
    <row r="5" spans="1:107" ht="15.75" customHeight="1">
      <c r="A5" s="95">
        <v>4</v>
      </c>
      <c r="B5" s="99" t="s">
        <v>527</v>
      </c>
      <c r="C5" s="99" t="s">
        <v>528</v>
      </c>
      <c r="D5" s="110">
        <v>70274952</v>
      </c>
      <c r="E5" s="99" t="s">
        <v>13</v>
      </c>
      <c r="F5" s="95" t="s">
        <v>4519</v>
      </c>
      <c r="G5" s="95" t="s">
        <v>1047</v>
      </c>
      <c r="H5" s="95" t="s">
        <v>1048</v>
      </c>
      <c r="I5" s="95" t="s">
        <v>14</v>
      </c>
      <c r="J5" s="95"/>
      <c r="K5" s="99"/>
      <c r="L5" s="103" t="s">
        <v>4449</v>
      </c>
      <c r="M5" s="99" t="s">
        <v>4487</v>
      </c>
      <c r="N5" s="99" t="s">
        <v>4520</v>
      </c>
      <c r="O5" s="99" t="s">
        <v>4452</v>
      </c>
      <c r="P5" s="103">
        <v>2010</v>
      </c>
      <c r="Q5" s="103" t="s">
        <v>1548</v>
      </c>
      <c r="R5" s="99" t="s">
        <v>4521</v>
      </c>
      <c r="S5" s="103" t="s">
        <v>1541</v>
      </c>
      <c r="T5" s="103" t="s">
        <v>4522</v>
      </c>
      <c r="U5" s="99" t="s">
        <v>4523</v>
      </c>
      <c r="V5" s="95">
        <v>12.584050100000001</v>
      </c>
      <c r="W5" s="95">
        <v>-1.2987348999999999</v>
      </c>
      <c r="X5" s="104" t="s">
        <v>4524</v>
      </c>
      <c r="Y5" s="103" t="s">
        <v>1634</v>
      </c>
      <c r="Z5" s="103" t="s">
        <v>1634</v>
      </c>
      <c r="AA5" s="103" t="s">
        <v>1862</v>
      </c>
      <c r="AB5" s="103">
        <v>52</v>
      </c>
      <c r="AC5" s="103">
        <v>0</v>
      </c>
      <c r="AD5" s="103">
        <v>52</v>
      </c>
      <c r="AE5" s="103" t="s">
        <v>1634</v>
      </c>
      <c r="AF5" s="103" t="s">
        <v>4493</v>
      </c>
      <c r="AG5" s="99" t="s">
        <v>4525</v>
      </c>
      <c r="AH5" s="103" t="s">
        <v>1804</v>
      </c>
      <c r="AI5" s="103" t="s">
        <v>1862</v>
      </c>
      <c r="AJ5" s="103" t="s">
        <v>1862</v>
      </c>
      <c r="AK5" s="103" t="s">
        <v>1862</v>
      </c>
      <c r="AL5" s="103" t="s">
        <v>1862</v>
      </c>
      <c r="AM5" s="103" t="s">
        <v>1862</v>
      </c>
      <c r="AN5" s="99" t="s">
        <v>4526</v>
      </c>
      <c r="AO5" s="103" t="s">
        <v>1862</v>
      </c>
      <c r="AP5" s="103">
        <v>600</v>
      </c>
      <c r="AQ5" s="103" t="s">
        <v>4472</v>
      </c>
      <c r="AR5" s="105">
        <v>1100000</v>
      </c>
      <c r="AS5" s="106">
        <v>1200000</v>
      </c>
      <c r="AT5" s="103" t="s">
        <v>4527</v>
      </c>
      <c r="AU5" s="103" t="s">
        <v>1634</v>
      </c>
      <c r="AV5" s="99" t="s">
        <v>4463</v>
      </c>
      <c r="AW5" s="99" t="s">
        <v>4528</v>
      </c>
      <c r="AX5" s="99" t="s">
        <v>4529</v>
      </c>
      <c r="AY5" s="99" t="s">
        <v>4466</v>
      </c>
      <c r="AZ5" s="99" t="s">
        <v>4530</v>
      </c>
      <c r="BA5" s="103" t="s">
        <v>1634</v>
      </c>
      <c r="BB5" s="99">
        <v>10500</v>
      </c>
      <c r="BC5" s="99">
        <v>200000</v>
      </c>
      <c r="BD5" s="99">
        <v>1300000</v>
      </c>
      <c r="BE5" s="99">
        <v>1200000</v>
      </c>
      <c r="BF5" s="103" t="s">
        <v>4511</v>
      </c>
      <c r="BG5" s="103" t="s">
        <v>1804</v>
      </c>
      <c r="BH5" s="103" t="s">
        <v>1862</v>
      </c>
      <c r="BI5" s="103" t="s">
        <v>1804</v>
      </c>
      <c r="BJ5" s="103" t="s">
        <v>1804</v>
      </c>
      <c r="BK5" s="103" t="s">
        <v>4478</v>
      </c>
      <c r="BL5" s="103" t="s">
        <v>4472</v>
      </c>
      <c r="BM5" s="103" t="s">
        <v>4500</v>
      </c>
      <c r="BN5" s="103" t="s">
        <v>4531</v>
      </c>
      <c r="BO5" s="103">
        <v>8000</v>
      </c>
      <c r="BP5" s="103" t="s">
        <v>4532</v>
      </c>
      <c r="BQ5" s="99" t="s">
        <v>4476</v>
      </c>
      <c r="BR5" s="99" t="s">
        <v>4533</v>
      </c>
      <c r="BS5" s="99" t="s">
        <v>4534</v>
      </c>
      <c r="BT5" s="103" t="s">
        <v>3186</v>
      </c>
      <c r="BU5" s="99" t="s">
        <v>4476</v>
      </c>
      <c r="BV5" s="103" t="s">
        <v>4476</v>
      </c>
      <c r="BW5" s="103" t="s">
        <v>1548</v>
      </c>
      <c r="BX5" s="103" t="s">
        <v>4535</v>
      </c>
      <c r="BY5" s="103" t="s">
        <v>4515</v>
      </c>
      <c r="BZ5" s="103" t="s">
        <v>4509</v>
      </c>
      <c r="CA5" s="103">
        <v>300</v>
      </c>
      <c r="CB5" s="103" t="s">
        <v>4480</v>
      </c>
      <c r="CC5" s="103" t="s">
        <v>4502</v>
      </c>
      <c r="CD5" s="103" t="s">
        <v>4480</v>
      </c>
      <c r="CE5" s="103" t="s">
        <v>4480</v>
      </c>
      <c r="CF5" s="103"/>
      <c r="CG5" s="103" t="s">
        <v>537</v>
      </c>
      <c r="CH5" s="103" t="s">
        <v>3706</v>
      </c>
      <c r="CI5" s="111">
        <v>70274952</v>
      </c>
      <c r="CJ5" s="99"/>
      <c r="CK5" s="108">
        <v>43364.720972222225</v>
      </c>
      <c r="CL5" s="108">
        <v>43364.752233796295</v>
      </c>
      <c r="CM5" s="95">
        <v>12.584050100000001</v>
      </c>
      <c r="CN5" s="95">
        <v>-1.2987348999999999</v>
      </c>
      <c r="CO5" s="99"/>
      <c r="CP5" s="99"/>
      <c r="CQ5" s="99"/>
      <c r="CR5" s="99"/>
      <c r="CS5" s="99"/>
      <c r="CT5" s="99"/>
      <c r="CU5" s="99"/>
      <c r="CV5" s="99"/>
      <c r="CW5" s="99"/>
      <c r="CX5" s="99"/>
      <c r="CY5" s="99"/>
      <c r="CZ5" s="99"/>
      <c r="DA5" s="99"/>
      <c r="DB5" s="99"/>
      <c r="DC5" s="99"/>
    </row>
    <row r="6" spans="1:107" ht="15.75" customHeight="1">
      <c r="A6" s="95">
        <v>6</v>
      </c>
      <c r="B6" s="99" t="s">
        <v>529</v>
      </c>
      <c r="C6" s="99" t="s">
        <v>530</v>
      </c>
      <c r="D6" s="99"/>
      <c r="E6" s="99" t="s">
        <v>15</v>
      </c>
      <c r="F6" s="95" t="s">
        <v>4536</v>
      </c>
      <c r="G6" s="95" t="s">
        <v>1049</v>
      </c>
      <c r="H6" s="95" t="s">
        <v>1050</v>
      </c>
      <c r="I6" s="95" t="s">
        <v>16</v>
      </c>
      <c r="J6" s="95"/>
      <c r="K6" s="99"/>
      <c r="L6" s="103" t="s">
        <v>4449</v>
      </c>
      <c r="M6" s="99" t="s">
        <v>4450</v>
      </c>
      <c r="N6" s="99"/>
      <c r="O6" s="99"/>
      <c r="P6" s="103" t="s">
        <v>4537</v>
      </c>
      <c r="Q6" s="103" t="s">
        <v>1548</v>
      </c>
      <c r="R6" s="99" t="s">
        <v>4504</v>
      </c>
      <c r="S6" s="103" t="s">
        <v>1541</v>
      </c>
      <c r="T6" s="103" t="s">
        <v>4538</v>
      </c>
      <c r="U6" s="99" t="s">
        <v>4539</v>
      </c>
      <c r="V6" s="95">
        <v>11.547870400000001</v>
      </c>
      <c r="W6" s="95">
        <v>-1.7684869999999999</v>
      </c>
      <c r="X6" s="104" t="s">
        <v>4540</v>
      </c>
      <c r="Y6" s="103" t="s">
        <v>1634</v>
      </c>
      <c r="Z6" s="103" t="s">
        <v>4499</v>
      </c>
      <c r="AA6" s="103" t="s">
        <v>1548</v>
      </c>
      <c r="AB6" s="103"/>
      <c r="AC6" s="103"/>
      <c r="AD6" s="103"/>
      <c r="AE6" s="103" t="s">
        <v>1548</v>
      </c>
      <c r="AF6" s="103" t="s">
        <v>4493</v>
      </c>
      <c r="AG6" s="99" t="s">
        <v>4390</v>
      </c>
      <c r="AH6" s="103" t="s">
        <v>1634</v>
      </c>
      <c r="AI6" s="103" t="s">
        <v>1804</v>
      </c>
      <c r="AJ6" s="103" t="s">
        <v>1804</v>
      </c>
      <c r="AK6" s="103" t="s">
        <v>1804</v>
      </c>
      <c r="AL6" s="103" t="s">
        <v>1804</v>
      </c>
      <c r="AM6" s="103" t="s">
        <v>1804</v>
      </c>
      <c r="AN6" s="99" t="s">
        <v>4541</v>
      </c>
      <c r="AO6" s="103" t="s">
        <v>1548</v>
      </c>
      <c r="AP6" s="103"/>
      <c r="AQ6" s="103"/>
      <c r="AR6" s="103"/>
      <c r="AS6" s="99"/>
      <c r="AT6" s="103" t="s">
        <v>4542</v>
      </c>
      <c r="AU6" s="103" t="s">
        <v>1548</v>
      </c>
      <c r="AV6" s="99"/>
      <c r="AW6" s="99"/>
      <c r="AX6" s="99" t="s">
        <v>4543</v>
      </c>
      <c r="AY6" s="99"/>
      <c r="AZ6" s="99"/>
      <c r="BA6" s="103"/>
      <c r="BB6" s="99"/>
      <c r="BC6" s="99"/>
      <c r="BD6" s="99"/>
      <c r="BE6" s="99"/>
      <c r="BF6" s="103" t="s">
        <v>4544</v>
      </c>
      <c r="BG6" s="103" t="s">
        <v>1862</v>
      </c>
      <c r="BH6" s="103" t="s">
        <v>1862</v>
      </c>
      <c r="BI6" s="103" t="s">
        <v>1804</v>
      </c>
      <c r="BJ6" s="103" t="s">
        <v>1804</v>
      </c>
      <c r="BK6" s="103" t="s">
        <v>4499</v>
      </c>
      <c r="BL6" s="103" t="s">
        <v>4470</v>
      </c>
      <c r="BM6" s="103" t="s">
        <v>4461</v>
      </c>
      <c r="BN6" s="103" t="s">
        <v>4545</v>
      </c>
      <c r="BO6" s="103"/>
      <c r="BP6" s="103"/>
      <c r="BQ6" s="99" t="s">
        <v>4476</v>
      </c>
      <c r="BR6" s="99" t="s">
        <v>4476</v>
      </c>
      <c r="BS6" s="99" t="s">
        <v>4476</v>
      </c>
      <c r="BT6" s="103" t="s">
        <v>3186</v>
      </c>
      <c r="BU6" s="99" t="s">
        <v>4502</v>
      </c>
      <c r="BV6" s="103" t="s">
        <v>4476</v>
      </c>
      <c r="BW6" s="103" t="s">
        <v>4476</v>
      </c>
      <c r="BX6" s="103" t="s">
        <v>1634</v>
      </c>
      <c r="BY6" s="103" t="s">
        <v>4546</v>
      </c>
      <c r="BZ6" s="103" t="s">
        <v>4499</v>
      </c>
      <c r="CA6" s="103" t="s">
        <v>4500</v>
      </c>
      <c r="CB6" s="103"/>
      <c r="CC6" s="103" t="s">
        <v>4502</v>
      </c>
      <c r="CD6" s="103" t="s">
        <v>4502</v>
      </c>
      <c r="CE6" s="103"/>
      <c r="CF6" s="103"/>
      <c r="CG6" s="103"/>
      <c r="CH6" s="103"/>
      <c r="CI6" s="103"/>
      <c r="CJ6" s="103" t="s">
        <v>4547</v>
      </c>
      <c r="CK6" s="108">
        <v>43364.344537037039</v>
      </c>
      <c r="CL6" s="109">
        <v>43364.364340277774</v>
      </c>
      <c r="CM6" s="95">
        <v>11.547870400000001</v>
      </c>
      <c r="CN6" s="95">
        <v>-1.7684869999999999</v>
      </c>
      <c r="CO6" s="99"/>
      <c r="CP6" s="99"/>
      <c r="CQ6" s="99"/>
      <c r="CR6" s="99"/>
      <c r="CS6" s="99"/>
      <c r="CT6" s="99"/>
      <c r="CU6" s="99"/>
      <c r="CV6" s="99"/>
      <c r="CW6" s="99"/>
      <c r="CX6" s="99"/>
      <c r="CY6" s="99"/>
      <c r="CZ6" s="99"/>
      <c r="DA6" s="99"/>
      <c r="DB6" s="99"/>
      <c r="DC6" s="99"/>
    </row>
    <row r="7" spans="1:107" ht="15.75" customHeight="1">
      <c r="A7" s="95">
        <v>7</v>
      </c>
      <c r="B7" s="99" t="s">
        <v>531</v>
      </c>
      <c r="C7" s="99" t="s">
        <v>532</v>
      </c>
      <c r="D7" s="99">
        <v>70038573</v>
      </c>
      <c r="E7" s="99" t="s">
        <v>17</v>
      </c>
      <c r="F7" s="95" t="s">
        <v>4548</v>
      </c>
      <c r="G7" s="95" t="s">
        <v>1042</v>
      </c>
      <c r="H7" s="95" t="s">
        <v>1051</v>
      </c>
      <c r="I7" s="95" t="s">
        <v>18</v>
      </c>
      <c r="J7" s="95"/>
      <c r="K7" s="99"/>
      <c r="L7" s="103" t="s">
        <v>4549</v>
      </c>
      <c r="M7" s="99" t="s">
        <v>4450</v>
      </c>
      <c r="N7" s="99" t="s">
        <v>4520</v>
      </c>
      <c r="O7" s="99" t="s">
        <v>4550</v>
      </c>
      <c r="P7" s="103">
        <v>2000</v>
      </c>
      <c r="Q7" s="103" t="s">
        <v>1862</v>
      </c>
      <c r="R7" s="99" t="s">
        <v>4551</v>
      </c>
      <c r="S7" s="103" t="s">
        <v>1541</v>
      </c>
      <c r="T7" s="103" t="s">
        <v>4538</v>
      </c>
      <c r="U7" s="99" t="s">
        <v>4552</v>
      </c>
      <c r="V7" s="95">
        <v>12.074889900000001</v>
      </c>
      <c r="W7" s="95">
        <v>-1.5441290999999999</v>
      </c>
      <c r="X7" s="104" t="s">
        <v>4553</v>
      </c>
      <c r="Y7" s="103" t="s">
        <v>1634</v>
      </c>
      <c r="Z7" s="103" t="s">
        <v>1634</v>
      </c>
      <c r="AA7" s="103" t="s">
        <v>1862</v>
      </c>
      <c r="AB7" s="103">
        <v>750</v>
      </c>
      <c r="AC7" s="103">
        <v>238</v>
      </c>
      <c r="AD7" s="103">
        <v>512</v>
      </c>
      <c r="AE7" s="103" t="s">
        <v>1634</v>
      </c>
      <c r="AF7" s="103" t="s">
        <v>4493</v>
      </c>
      <c r="AG7" s="99" t="s">
        <v>4554</v>
      </c>
      <c r="AH7" s="103" t="s">
        <v>1862</v>
      </c>
      <c r="AI7" s="103" t="s">
        <v>1862</v>
      </c>
      <c r="AJ7" s="103" t="s">
        <v>1862</v>
      </c>
      <c r="AK7" s="103" t="s">
        <v>1862</v>
      </c>
      <c r="AL7" s="103" t="s">
        <v>1804</v>
      </c>
      <c r="AM7" s="103" t="s">
        <v>1862</v>
      </c>
      <c r="AN7" s="99" t="s">
        <v>4555</v>
      </c>
      <c r="AO7" s="103" t="s">
        <v>1862</v>
      </c>
      <c r="AP7" s="103">
        <v>1800</v>
      </c>
      <c r="AQ7" s="103" t="s">
        <v>4500</v>
      </c>
      <c r="AR7" s="103"/>
      <c r="AS7" s="106">
        <v>7000000</v>
      </c>
      <c r="AT7" s="103" t="s">
        <v>4556</v>
      </c>
      <c r="AU7" s="103" t="s">
        <v>1634</v>
      </c>
      <c r="AV7" s="99" t="s">
        <v>4557</v>
      </c>
      <c r="AW7" s="99" t="s">
        <v>4558</v>
      </c>
      <c r="AX7" s="99" t="s">
        <v>4559</v>
      </c>
      <c r="AY7" s="99" t="s">
        <v>4560</v>
      </c>
      <c r="AZ7" s="99" t="s">
        <v>4561</v>
      </c>
      <c r="BA7" s="103" t="s">
        <v>1634</v>
      </c>
      <c r="BB7" s="99">
        <v>10500</v>
      </c>
      <c r="BC7" s="99">
        <v>3500</v>
      </c>
      <c r="BD7" s="99">
        <v>7000000</v>
      </c>
      <c r="BE7" s="99"/>
      <c r="BF7" s="103" t="s">
        <v>4544</v>
      </c>
      <c r="BG7" s="103" t="s">
        <v>1862</v>
      </c>
      <c r="BH7" s="103" t="s">
        <v>1862</v>
      </c>
      <c r="BI7" s="103" t="s">
        <v>1804</v>
      </c>
      <c r="BJ7" s="103" t="s">
        <v>1804</v>
      </c>
      <c r="BK7" s="103" t="s">
        <v>4478</v>
      </c>
      <c r="BL7" s="103" t="s">
        <v>4472</v>
      </c>
      <c r="BM7" s="103" t="s">
        <v>4461</v>
      </c>
      <c r="BN7" s="103" t="s">
        <v>4562</v>
      </c>
      <c r="BO7" s="103">
        <v>400</v>
      </c>
      <c r="BP7" s="103" t="s">
        <v>4532</v>
      </c>
      <c r="BQ7" s="107" t="s">
        <v>4563</v>
      </c>
      <c r="BR7" s="99" t="s">
        <v>4564</v>
      </c>
      <c r="BS7" s="99" t="s">
        <v>4564</v>
      </c>
      <c r="BT7" s="103" t="s">
        <v>3186</v>
      </c>
      <c r="BU7" s="99" t="s">
        <v>4475</v>
      </c>
      <c r="BV7" s="103" t="s">
        <v>4514</v>
      </c>
      <c r="BW7" s="103" t="s">
        <v>4514</v>
      </c>
      <c r="BX7" s="103" t="s">
        <v>1548</v>
      </c>
      <c r="BY7" s="103" t="s">
        <v>4535</v>
      </c>
      <c r="BZ7" s="103" t="s">
        <v>4478</v>
      </c>
      <c r="CA7" s="103" t="s">
        <v>4461</v>
      </c>
      <c r="CB7" s="103">
        <v>41</v>
      </c>
      <c r="CC7" s="103" t="s">
        <v>4479</v>
      </c>
      <c r="CD7" s="103" t="s">
        <v>4475</v>
      </c>
      <c r="CE7" s="103" t="s">
        <v>4481</v>
      </c>
      <c r="CF7" s="103"/>
      <c r="CG7" s="103" t="s">
        <v>616</v>
      </c>
      <c r="CH7" s="103" t="s">
        <v>4565</v>
      </c>
      <c r="CI7" s="103">
        <v>70606709</v>
      </c>
      <c r="CJ7" s="103" t="s">
        <v>4566</v>
      </c>
      <c r="CK7" s="108">
        <v>43364.397164351853</v>
      </c>
      <c r="CL7" s="109">
        <v>43364.42695601852</v>
      </c>
      <c r="CM7" s="95">
        <v>12.074889900000001</v>
      </c>
      <c r="CN7" s="95">
        <v>-1.5441290999999999</v>
      </c>
      <c r="CO7" s="99"/>
      <c r="CP7" s="99"/>
      <c r="CQ7" s="99"/>
      <c r="CR7" s="99"/>
      <c r="CS7" s="99"/>
      <c r="CT7" s="99"/>
      <c r="CU7" s="99"/>
      <c r="CV7" s="99"/>
      <c r="CW7" s="99"/>
      <c r="CX7" s="99"/>
      <c r="CY7" s="99"/>
      <c r="CZ7" s="99"/>
      <c r="DA7" s="99"/>
      <c r="DB7" s="99"/>
      <c r="DC7" s="99"/>
    </row>
    <row r="8" spans="1:107" ht="15.75" customHeight="1">
      <c r="A8" s="95">
        <v>8</v>
      </c>
      <c r="B8" s="99" t="s">
        <v>533</v>
      </c>
      <c r="C8" s="99" t="s">
        <v>534</v>
      </c>
      <c r="D8" s="99">
        <v>60018363</v>
      </c>
      <c r="E8" s="99" t="s">
        <v>19</v>
      </c>
      <c r="F8" s="95" t="s">
        <v>4503</v>
      </c>
      <c r="G8" s="95" t="s">
        <v>1042</v>
      </c>
      <c r="H8" s="95" t="s">
        <v>1043</v>
      </c>
      <c r="I8" s="95" t="s">
        <v>6</v>
      </c>
      <c r="J8" s="95"/>
      <c r="K8" s="99"/>
      <c r="L8" s="103" t="s">
        <v>4449</v>
      </c>
      <c r="M8" s="99" t="s">
        <v>4567</v>
      </c>
      <c r="N8" s="99" t="s">
        <v>4568</v>
      </c>
      <c r="O8" s="99" t="s">
        <v>4452</v>
      </c>
      <c r="P8" s="103">
        <v>2002</v>
      </c>
      <c r="Q8" s="103" t="s">
        <v>1862</v>
      </c>
      <c r="R8" s="99" t="s">
        <v>4453</v>
      </c>
      <c r="S8" s="103" t="s">
        <v>1541</v>
      </c>
      <c r="T8" s="103" t="s">
        <v>4538</v>
      </c>
      <c r="U8" s="99" t="s">
        <v>4506</v>
      </c>
      <c r="V8" s="95">
        <v>11.165243200000001</v>
      </c>
      <c r="W8" s="95">
        <v>-1.1400998</v>
      </c>
      <c r="X8" s="104" t="s">
        <v>4457</v>
      </c>
      <c r="Y8" s="103" t="s">
        <v>1634</v>
      </c>
      <c r="Z8" s="103" t="s">
        <v>1634</v>
      </c>
      <c r="AA8" s="103" t="s">
        <v>1862</v>
      </c>
      <c r="AB8" s="103">
        <v>15</v>
      </c>
      <c r="AC8" s="103">
        <v>0</v>
      </c>
      <c r="AD8" s="103">
        <v>15</v>
      </c>
      <c r="AE8" s="103" t="s">
        <v>1634</v>
      </c>
      <c r="AF8" s="103" t="s">
        <v>4493</v>
      </c>
      <c r="AG8" s="99" t="s">
        <v>4569</v>
      </c>
      <c r="AH8" s="103" t="s">
        <v>1862</v>
      </c>
      <c r="AI8" s="103" t="s">
        <v>1862</v>
      </c>
      <c r="AJ8" s="103" t="s">
        <v>1862</v>
      </c>
      <c r="AK8" s="103" t="s">
        <v>1862</v>
      </c>
      <c r="AL8" s="103" t="s">
        <v>1862</v>
      </c>
      <c r="AM8" s="103" t="s">
        <v>1862</v>
      </c>
      <c r="AN8" s="99" t="s">
        <v>4570</v>
      </c>
      <c r="AO8" s="103" t="s">
        <v>1862</v>
      </c>
      <c r="AP8" s="103">
        <v>1500</v>
      </c>
      <c r="AQ8" s="103" t="s">
        <v>4461</v>
      </c>
      <c r="AR8" s="103">
        <v>210000</v>
      </c>
      <c r="AS8" s="106">
        <v>300000</v>
      </c>
      <c r="AT8" s="103" t="s">
        <v>4496</v>
      </c>
      <c r="AU8" s="103" t="s">
        <v>1634</v>
      </c>
      <c r="AV8" s="99" t="s">
        <v>4463</v>
      </c>
      <c r="AW8" s="99" t="s">
        <v>4571</v>
      </c>
      <c r="AX8" s="99" t="s">
        <v>4572</v>
      </c>
      <c r="AY8" s="99" t="s">
        <v>4560</v>
      </c>
      <c r="AZ8" s="99" t="s">
        <v>4467</v>
      </c>
      <c r="BA8" s="103" t="s">
        <v>1634</v>
      </c>
      <c r="BB8" s="99">
        <v>1200</v>
      </c>
      <c r="BC8" s="99">
        <v>2000</v>
      </c>
      <c r="BD8" s="99">
        <v>100000</v>
      </c>
      <c r="BE8" s="99">
        <v>200000</v>
      </c>
      <c r="BF8" s="103" t="s">
        <v>4468</v>
      </c>
      <c r="BG8" s="103" t="s">
        <v>1862</v>
      </c>
      <c r="BH8" s="103" t="s">
        <v>1862</v>
      </c>
      <c r="BI8" s="103" t="s">
        <v>1804</v>
      </c>
      <c r="BJ8" s="103" t="s">
        <v>1804</v>
      </c>
      <c r="BK8" s="103" t="s">
        <v>4478</v>
      </c>
      <c r="BL8" s="103" t="s">
        <v>4470</v>
      </c>
      <c r="BM8" s="103" t="s">
        <v>4472</v>
      </c>
      <c r="BN8" s="103" t="s">
        <v>4573</v>
      </c>
      <c r="BO8" s="103">
        <v>80</v>
      </c>
      <c r="BP8" s="103" t="s">
        <v>4472</v>
      </c>
      <c r="BQ8" s="99" t="s">
        <v>4473</v>
      </c>
      <c r="BR8" s="99" t="s">
        <v>4473</v>
      </c>
      <c r="BS8" s="99" t="s">
        <v>4473</v>
      </c>
      <c r="BT8" s="103" t="s">
        <v>3186</v>
      </c>
      <c r="BU8" s="99" t="s">
        <v>4475</v>
      </c>
      <c r="BV8" s="103" t="s">
        <v>4574</v>
      </c>
      <c r="BW8" s="103" t="s">
        <v>4476</v>
      </c>
      <c r="BX8" s="103" t="s">
        <v>1548</v>
      </c>
      <c r="BY8" s="103" t="s">
        <v>4575</v>
      </c>
      <c r="BZ8" s="103" t="s">
        <v>4478</v>
      </c>
      <c r="CA8" s="103" t="s">
        <v>4509</v>
      </c>
      <c r="CB8" s="103">
        <v>2000</v>
      </c>
      <c r="CC8" s="103" t="s">
        <v>4502</v>
      </c>
      <c r="CD8" s="103" t="s">
        <v>4475</v>
      </c>
      <c r="CE8" s="103" t="s">
        <v>4475</v>
      </c>
      <c r="CF8" s="103" t="s">
        <v>4482</v>
      </c>
      <c r="CG8" s="103" t="s">
        <v>4576</v>
      </c>
      <c r="CH8" s="103" t="s">
        <v>566</v>
      </c>
      <c r="CI8" s="103">
        <v>70347299</v>
      </c>
      <c r="CJ8" s="103" t="s">
        <v>4577</v>
      </c>
      <c r="CK8" s="108">
        <v>43364.414409722223</v>
      </c>
      <c r="CL8" s="109">
        <v>43364.437928240739</v>
      </c>
      <c r="CM8" s="95">
        <v>11.165243200000001</v>
      </c>
      <c r="CN8" s="95">
        <v>-1.1400998</v>
      </c>
      <c r="CO8" s="99"/>
      <c r="CP8" s="99"/>
      <c r="CQ8" s="99"/>
      <c r="CR8" s="99"/>
      <c r="CS8" s="99"/>
      <c r="CT8" s="99"/>
      <c r="CU8" s="99"/>
      <c r="CV8" s="99"/>
      <c r="CW8" s="99"/>
      <c r="CX8" s="99"/>
      <c r="CY8" s="99"/>
      <c r="CZ8" s="99"/>
      <c r="DA8" s="99"/>
      <c r="DB8" s="99"/>
      <c r="DC8" s="99"/>
    </row>
    <row r="9" spans="1:107" ht="15.75" customHeight="1">
      <c r="A9" s="95">
        <v>9</v>
      </c>
      <c r="B9" s="99" t="s">
        <v>535</v>
      </c>
      <c r="C9" s="99" t="s">
        <v>536</v>
      </c>
      <c r="D9" s="99">
        <v>66607348</v>
      </c>
      <c r="E9" s="99" t="s">
        <v>20</v>
      </c>
      <c r="F9" s="95" t="s">
        <v>4578</v>
      </c>
      <c r="G9" s="95" t="s">
        <v>1052</v>
      </c>
      <c r="H9" s="95" t="s">
        <v>1053</v>
      </c>
      <c r="I9" s="95" t="s">
        <v>21</v>
      </c>
      <c r="J9" s="95"/>
      <c r="K9" s="99"/>
      <c r="L9" s="103" t="s">
        <v>4449</v>
      </c>
      <c r="M9" s="99" t="s">
        <v>4487</v>
      </c>
      <c r="N9" s="99" t="s">
        <v>4520</v>
      </c>
      <c r="O9" s="99" t="s">
        <v>4579</v>
      </c>
      <c r="P9" s="103">
        <v>2002</v>
      </c>
      <c r="Q9" s="103" t="s">
        <v>1862</v>
      </c>
      <c r="R9" s="99" t="s">
        <v>4521</v>
      </c>
      <c r="S9" s="103" t="s">
        <v>1541</v>
      </c>
      <c r="T9" s="103" t="s">
        <v>4505</v>
      </c>
      <c r="U9" s="99" t="s">
        <v>4580</v>
      </c>
      <c r="V9" s="95">
        <v>11.5077529</v>
      </c>
      <c r="W9" s="95">
        <v>5.1324599999999998E-2</v>
      </c>
      <c r="X9" s="104" t="s">
        <v>4581</v>
      </c>
      <c r="Y9" s="103" t="s">
        <v>1634</v>
      </c>
      <c r="Z9" s="103" t="s">
        <v>1634</v>
      </c>
      <c r="AA9" s="103" t="s">
        <v>1862</v>
      </c>
      <c r="AB9" s="103">
        <v>30</v>
      </c>
      <c r="AC9" s="103">
        <v>1</v>
      </c>
      <c r="AD9" s="103">
        <v>29</v>
      </c>
      <c r="AE9" s="103" t="s">
        <v>1634</v>
      </c>
      <c r="AF9" s="103" t="s">
        <v>4582</v>
      </c>
      <c r="AG9" s="99" t="s">
        <v>4583</v>
      </c>
      <c r="AH9" s="103" t="s">
        <v>1804</v>
      </c>
      <c r="AI9" s="103" t="s">
        <v>1862</v>
      </c>
      <c r="AJ9" s="103" t="s">
        <v>1804</v>
      </c>
      <c r="AK9" s="103" t="s">
        <v>1862</v>
      </c>
      <c r="AL9" s="103" t="s">
        <v>1804</v>
      </c>
      <c r="AM9" s="103" t="s">
        <v>1862</v>
      </c>
      <c r="AN9" s="99" t="s">
        <v>4584</v>
      </c>
      <c r="AO9" s="103" t="s">
        <v>1862</v>
      </c>
      <c r="AP9" s="103">
        <v>1000</v>
      </c>
      <c r="AQ9" s="103" t="s">
        <v>4500</v>
      </c>
      <c r="AR9" s="103"/>
      <c r="AS9" s="106">
        <v>200000</v>
      </c>
      <c r="AT9" s="103" t="s">
        <v>4496</v>
      </c>
      <c r="AU9" s="103" t="s">
        <v>1548</v>
      </c>
      <c r="AV9" s="99"/>
      <c r="AW9" s="99" t="s">
        <v>4585</v>
      </c>
      <c r="AX9" s="99" t="s">
        <v>4543</v>
      </c>
      <c r="AY9" s="99" t="s">
        <v>4466</v>
      </c>
      <c r="AZ9" s="99" t="s">
        <v>4530</v>
      </c>
      <c r="BA9" s="103" t="s">
        <v>1634</v>
      </c>
      <c r="BB9" s="99"/>
      <c r="BC9" s="99">
        <v>20</v>
      </c>
      <c r="BD9" s="99"/>
      <c r="BE9" s="99">
        <v>250000</v>
      </c>
      <c r="BF9" s="103" t="s">
        <v>4468</v>
      </c>
      <c r="BG9" s="103" t="s">
        <v>1862</v>
      </c>
      <c r="BH9" s="103" t="s">
        <v>1862</v>
      </c>
      <c r="BI9" s="103" t="s">
        <v>1804</v>
      </c>
      <c r="BJ9" s="103" t="s">
        <v>1804</v>
      </c>
      <c r="BK9" s="103" t="s">
        <v>4586</v>
      </c>
      <c r="BL9" s="103" t="s">
        <v>4500</v>
      </c>
      <c r="BM9" s="103" t="s">
        <v>4500</v>
      </c>
      <c r="BN9" s="103" t="s">
        <v>4512</v>
      </c>
      <c r="BO9" s="103">
        <v>40</v>
      </c>
      <c r="BP9" s="103" t="s">
        <v>4500</v>
      </c>
      <c r="BQ9" s="107"/>
      <c r="BR9" s="99"/>
      <c r="BS9" s="99"/>
      <c r="BT9" s="103" t="s">
        <v>3186</v>
      </c>
      <c r="BU9" s="99" t="s">
        <v>4502</v>
      </c>
      <c r="BV9" s="103" t="s">
        <v>4476</v>
      </c>
      <c r="BW9" s="103" t="s">
        <v>4476</v>
      </c>
      <c r="BX9" s="103" t="s">
        <v>1634</v>
      </c>
      <c r="BY9" s="103" t="s">
        <v>4501</v>
      </c>
      <c r="BZ9" s="103" t="s">
        <v>4478</v>
      </c>
      <c r="CA9" s="103" t="s">
        <v>4500</v>
      </c>
      <c r="CB9" s="103"/>
      <c r="CC9" s="103"/>
      <c r="CD9" s="103"/>
      <c r="CE9" s="103"/>
      <c r="CF9" s="103"/>
      <c r="CG9" s="103" t="s">
        <v>4587</v>
      </c>
      <c r="CH9" s="103" t="s">
        <v>2889</v>
      </c>
      <c r="CI9" s="103">
        <v>71317042</v>
      </c>
      <c r="CJ9" s="103" t="s">
        <v>4588</v>
      </c>
      <c r="CK9" s="108">
        <v>43364.398935185185</v>
      </c>
      <c r="CL9" s="109">
        <v>43364.459143518521</v>
      </c>
      <c r="CM9" s="95">
        <v>11.5077529</v>
      </c>
      <c r="CN9" s="95">
        <v>5.1324599999999998E-2</v>
      </c>
      <c r="CO9" s="99"/>
      <c r="CP9" s="99"/>
      <c r="CQ9" s="99"/>
      <c r="CR9" s="99"/>
      <c r="CS9" s="99"/>
      <c r="CT9" s="99"/>
      <c r="CU9" s="99"/>
      <c r="CV9" s="99"/>
      <c r="CW9" s="99"/>
      <c r="CX9" s="99"/>
      <c r="CY9" s="99"/>
      <c r="CZ9" s="99"/>
      <c r="DA9" s="99"/>
      <c r="DB9" s="99"/>
      <c r="DC9" s="99"/>
    </row>
    <row r="10" spans="1:107" ht="15.75" customHeight="1">
      <c r="A10" s="95">
        <v>10</v>
      </c>
      <c r="B10" s="99" t="s">
        <v>537</v>
      </c>
      <c r="C10" s="99" t="s">
        <v>538</v>
      </c>
      <c r="D10" s="99">
        <v>75213008</v>
      </c>
      <c r="E10" s="99" t="s">
        <v>22</v>
      </c>
      <c r="F10" s="95" t="s">
        <v>4589</v>
      </c>
      <c r="G10" s="95" t="s">
        <v>1052</v>
      </c>
      <c r="H10" s="95" t="s">
        <v>1054</v>
      </c>
      <c r="I10" s="95" t="s">
        <v>23</v>
      </c>
      <c r="J10" s="95"/>
      <c r="K10" s="99"/>
      <c r="L10" s="103" t="s">
        <v>4549</v>
      </c>
      <c r="M10" s="99" t="s">
        <v>4567</v>
      </c>
      <c r="N10" s="99" t="s">
        <v>4451</v>
      </c>
      <c r="O10" s="99" t="s">
        <v>4590</v>
      </c>
      <c r="P10" s="103">
        <v>2013</v>
      </c>
      <c r="Q10" s="103" t="s">
        <v>1862</v>
      </c>
      <c r="R10" s="99" t="s">
        <v>4504</v>
      </c>
      <c r="S10" s="103" t="s">
        <v>1541</v>
      </c>
      <c r="T10" s="103" t="s">
        <v>4538</v>
      </c>
      <c r="U10" s="99" t="s">
        <v>4591</v>
      </c>
      <c r="V10" s="95">
        <v>11.5887615</v>
      </c>
      <c r="W10" s="95">
        <v>-1.0492599999999999E-2</v>
      </c>
      <c r="X10" s="104" t="s">
        <v>4592</v>
      </c>
      <c r="Y10" s="103" t="s">
        <v>1634</v>
      </c>
      <c r="Z10" s="103" t="s">
        <v>1634</v>
      </c>
      <c r="AA10" s="103" t="s">
        <v>1862</v>
      </c>
      <c r="AB10" s="103">
        <v>32</v>
      </c>
      <c r="AC10" s="103">
        <v>1</v>
      </c>
      <c r="AD10" s="103">
        <v>31</v>
      </c>
      <c r="AE10" s="103" t="s">
        <v>1634</v>
      </c>
      <c r="AF10" s="103" t="s">
        <v>4493</v>
      </c>
      <c r="AG10" s="99" t="s">
        <v>4390</v>
      </c>
      <c r="AH10" s="103" t="s">
        <v>1634</v>
      </c>
      <c r="AI10" s="103" t="s">
        <v>1804</v>
      </c>
      <c r="AJ10" s="103" t="s">
        <v>1804</v>
      </c>
      <c r="AK10" s="103" t="s">
        <v>1804</v>
      </c>
      <c r="AL10" s="103" t="s">
        <v>1804</v>
      </c>
      <c r="AM10" s="103" t="s">
        <v>1804</v>
      </c>
      <c r="AN10" s="99" t="s">
        <v>4593</v>
      </c>
      <c r="AO10" s="103" t="s">
        <v>1548</v>
      </c>
      <c r="AP10" s="103"/>
      <c r="AQ10" s="103" t="s">
        <v>4500</v>
      </c>
      <c r="AR10" s="103"/>
      <c r="AS10" s="99"/>
      <c r="AT10" s="103" t="s">
        <v>4594</v>
      </c>
      <c r="AU10" s="103" t="s">
        <v>1634</v>
      </c>
      <c r="AV10" s="99" t="s">
        <v>4557</v>
      </c>
      <c r="AW10" s="99"/>
      <c r="AX10" s="99" t="s">
        <v>4543</v>
      </c>
      <c r="AY10" s="99" t="s">
        <v>4466</v>
      </c>
      <c r="AZ10" s="99" t="s">
        <v>4530</v>
      </c>
      <c r="BA10" s="103" t="s">
        <v>1634</v>
      </c>
      <c r="BB10" s="99">
        <v>3000</v>
      </c>
      <c r="BC10" s="99"/>
      <c r="BD10" s="99">
        <v>1125000</v>
      </c>
      <c r="BE10" s="99"/>
      <c r="BF10" s="103" t="s">
        <v>4415</v>
      </c>
      <c r="BG10" s="103" t="s">
        <v>1862</v>
      </c>
      <c r="BH10" s="103" t="s">
        <v>1804</v>
      </c>
      <c r="BI10" s="103" t="s">
        <v>1804</v>
      </c>
      <c r="BJ10" s="103" t="s">
        <v>1804</v>
      </c>
      <c r="BK10" s="103" t="s">
        <v>4478</v>
      </c>
      <c r="BL10" s="103" t="s">
        <v>4470</v>
      </c>
      <c r="BM10" s="103" t="s">
        <v>4461</v>
      </c>
      <c r="BN10" s="103" t="s">
        <v>4531</v>
      </c>
      <c r="BO10" s="103">
        <v>45</v>
      </c>
      <c r="BP10" s="103" t="s">
        <v>4500</v>
      </c>
      <c r="BQ10" s="99" t="s">
        <v>4476</v>
      </c>
      <c r="BR10" s="99" t="s">
        <v>4476</v>
      </c>
      <c r="BS10" s="99" t="s">
        <v>4476</v>
      </c>
      <c r="BT10" s="103" t="s">
        <v>3186</v>
      </c>
      <c r="BU10" s="99" t="s">
        <v>4502</v>
      </c>
      <c r="BV10" s="103"/>
      <c r="BW10" s="103" t="s">
        <v>4476</v>
      </c>
      <c r="BX10" s="103" t="s">
        <v>1634</v>
      </c>
      <c r="BY10" s="103" t="s">
        <v>4595</v>
      </c>
      <c r="BZ10" s="103" t="s">
        <v>4499</v>
      </c>
      <c r="CA10" s="103" t="s">
        <v>4500</v>
      </c>
      <c r="CB10" s="103">
        <v>1000</v>
      </c>
      <c r="CC10" s="103" t="s">
        <v>4502</v>
      </c>
      <c r="CD10" s="103" t="s">
        <v>4502</v>
      </c>
      <c r="CE10" s="103"/>
      <c r="CF10" s="103"/>
      <c r="CG10" s="103" t="s">
        <v>4596</v>
      </c>
      <c r="CH10" s="103" t="s">
        <v>4597</v>
      </c>
      <c r="CI10" s="103">
        <v>72882300</v>
      </c>
      <c r="CJ10" s="103" t="s">
        <v>4598</v>
      </c>
      <c r="CK10" s="108">
        <v>43364.401400462964</v>
      </c>
      <c r="CL10" s="109">
        <v>43364.422013888892</v>
      </c>
      <c r="CM10" s="95">
        <v>11.5887615</v>
      </c>
      <c r="CN10" s="95">
        <v>-1.0492599999999999E-2</v>
      </c>
      <c r="CO10" s="99"/>
      <c r="CP10" s="99"/>
      <c r="CQ10" s="99"/>
      <c r="CR10" s="99"/>
      <c r="CS10" s="99"/>
      <c r="CT10" s="99"/>
      <c r="CU10" s="99"/>
      <c r="CV10" s="99"/>
      <c r="CW10" s="99"/>
      <c r="CX10" s="99"/>
      <c r="CY10" s="99"/>
      <c r="CZ10" s="99"/>
      <c r="DA10" s="99"/>
      <c r="DB10" s="99"/>
      <c r="DC10" s="99"/>
    </row>
    <row r="11" spans="1:107" ht="15.75" customHeight="1">
      <c r="A11" s="95">
        <v>11</v>
      </c>
      <c r="B11" s="99" t="s">
        <v>539</v>
      </c>
      <c r="C11" s="99" t="s">
        <v>540</v>
      </c>
      <c r="D11" s="99">
        <v>72223203</v>
      </c>
      <c r="E11" s="99" t="s">
        <v>24</v>
      </c>
      <c r="F11" s="95" t="s">
        <v>4599</v>
      </c>
      <c r="G11" s="95" t="s">
        <v>1052</v>
      </c>
      <c r="H11" s="95" t="s">
        <v>1053</v>
      </c>
      <c r="I11" s="95" t="s">
        <v>23</v>
      </c>
      <c r="J11" s="95" t="s">
        <v>1055</v>
      </c>
      <c r="K11" s="99"/>
      <c r="L11" s="103" t="s">
        <v>4449</v>
      </c>
      <c r="M11" s="99" t="s">
        <v>4450</v>
      </c>
      <c r="N11" s="99" t="s">
        <v>1565</v>
      </c>
      <c r="O11" s="99" t="s">
        <v>4600</v>
      </c>
      <c r="P11" s="103">
        <v>2011</v>
      </c>
      <c r="Q11" s="103" t="s">
        <v>1862</v>
      </c>
      <c r="R11" s="99"/>
      <c r="S11" s="103" t="s">
        <v>1541</v>
      </c>
      <c r="T11" s="103" t="s">
        <v>4505</v>
      </c>
      <c r="U11" s="99" t="s">
        <v>4601</v>
      </c>
      <c r="V11" s="95">
        <v>11.176885499999999</v>
      </c>
      <c r="W11" s="95">
        <v>0.1610502</v>
      </c>
      <c r="X11" s="104" t="s">
        <v>4602</v>
      </c>
      <c r="Y11" s="103" t="s">
        <v>1634</v>
      </c>
      <c r="Z11" s="103" t="s">
        <v>1548</v>
      </c>
      <c r="AA11" s="103" t="s">
        <v>1862</v>
      </c>
      <c r="AB11" s="103">
        <v>30</v>
      </c>
      <c r="AC11" s="103">
        <v>0</v>
      </c>
      <c r="AD11" s="103">
        <v>30</v>
      </c>
      <c r="AE11" s="103" t="s">
        <v>1634</v>
      </c>
      <c r="AF11" s="103" t="s">
        <v>4603</v>
      </c>
      <c r="AG11" s="99" t="s">
        <v>4494</v>
      </c>
      <c r="AH11" s="103" t="s">
        <v>1862</v>
      </c>
      <c r="AI11" s="103" t="s">
        <v>1862</v>
      </c>
      <c r="AJ11" s="103" t="s">
        <v>1804</v>
      </c>
      <c r="AK11" s="103" t="s">
        <v>1804</v>
      </c>
      <c r="AL11" s="103" t="s">
        <v>1862</v>
      </c>
      <c r="AM11" s="103" t="s">
        <v>1862</v>
      </c>
      <c r="AN11" s="99" t="s">
        <v>4604</v>
      </c>
      <c r="AO11" s="103" t="s">
        <v>1862</v>
      </c>
      <c r="AP11" s="103"/>
      <c r="AQ11" s="103" t="s">
        <v>4509</v>
      </c>
      <c r="AR11" s="103"/>
      <c r="AS11" s="99"/>
      <c r="AT11" s="103" t="s">
        <v>4542</v>
      </c>
      <c r="AU11" s="103" t="s">
        <v>1634</v>
      </c>
      <c r="AV11" s="99" t="s">
        <v>4463</v>
      </c>
      <c r="AW11" s="99" t="s">
        <v>4605</v>
      </c>
      <c r="AX11" s="99" t="s">
        <v>4606</v>
      </c>
      <c r="AY11" s="99" t="s">
        <v>4560</v>
      </c>
      <c r="AZ11" s="99" t="s">
        <v>4467</v>
      </c>
      <c r="BA11" s="103"/>
      <c r="BB11" s="99"/>
      <c r="BC11" s="99"/>
      <c r="BD11" s="99"/>
      <c r="BE11" s="99"/>
      <c r="BF11" s="103" t="s">
        <v>4415</v>
      </c>
      <c r="BG11" s="103" t="s">
        <v>1862</v>
      </c>
      <c r="BH11" s="103" t="s">
        <v>1804</v>
      </c>
      <c r="BI11" s="103" t="s">
        <v>1804</v>
      </c>
      <c r="BJ11" s="103" t="s">
        <v>1804</v>
      </c>
      <c r="BK11" s="103" t="s">
        <v>4499</v>
      </c>
      <c r="BL11" s="103" t="s">
        <v>4470</v>
      </c>
      <c r="BM11" s="103" t="s">
        <v>4500</v>
      </c>
      <c r="BN11" s="103" t="s">
        <v>4607</v>
      </c>
      <c r="BO11" s="103">
        <v>35</v>
      </c>
      <c r="BP11" s="103" t="s">
        <v>4500</v>
      </c>
      <c r="BQ11" s="99" t="s">
        <v>4476</v>
      </c>
      <c r="BR11" s="99" t="s">
        <v>4476</v>
      </c>
      <c r="BS11" s="99" t="s">
        <v>4476</v>
      </c>
      <c r="BT11" s="103" t="s">
        <v>3186</v>
      </c>
      <c r="BU11" s="99" t="s">
        <v>4608</v>
      </c>
      <c r="BV11" s="103" t="s">
        <v>4609</v>
      </c>
      <c r="BW11" s="103" t="s">
        <v>4476</v>
      </c>
      <c r="BX11" s="103" t="s">
        <v>1548</v>
      </c>
      <c r="BY11" s="103" t="s">
        <v>4610</v>
      </c>
      <c r="BZ11" s="103" t="s">
        <v>4499</v>
      </c>
      <c r="CA11" s="103" t="s">
        <v>4461</v>
      </c>
      <c r="CB11" s="103">
        <v>1500</v>
      </c>
      <c r="CC11" s="103" t="s">
        <v>4502</v>
      </c>
      <c r="CD11" s="103" t="s">
        <v>4502</v>
      </c>
      <c r="CE11" s="103" t="s">
        <v>4502</v>
      </c>
      <c r="CF11" s="103"/>
      <c r="CG11" s="103" t="s">
        <v>4611</v>
      </c>
      <c r="CH11" s="103" t="s">
        <v>4612</v>
      </c>
      <c r="CI11" s="103">
        <v>76052552</v>
      </c>
      <c r="CJ11" s="103" t="s">
        <v>4613</v>
      </c>
      <c r="CK11" s="108">
        <v>43364.459374999999</v>
      </c>
      <c r="CL11" s="109">
        <v>43364.475219907406</v>
      </c>
      <c r="CM11" s="95">
        <v>11.176885499999999</v>
      </c>
      <c r="CN11" s="95">
        <v>0.1610502</v>
      </c>
      <c r="CO11" s="99"/>
      <c r="CP11" s="99"/>
      <c r="CQ11" s="99"/>
      <c r="CR11" s="99"/>
      <c r="CS11" s="99"/>
      <c r="CT11" s="99"/>
      <c r="CU11" s="99"/>
      <c r="CV11" s="99"/>
      <c r="CW11" s="99"/>
      <c r="CX11" s="99"/>
      <c r="CY11" s="99"/>
      <c r="CZ11" s="99"/>
      <c r="DA11" s="99"/>
      <c r="DB11" s="99"/>
      <c r="DC11" s="99"/>
    </row>
    <row r="12" spans="1:107" ht="15.75" customHeight="1">
      <c r="A12" s="95">
        <v>12</v>
      </c>
      <c r="B12" s="99" t="s">
        <v>541</v>
      </c>
      <c r="C12" s="99" t="s">
        <v>542</v>
      </c>
      <c r="D12" s="99">
        <v>68063327</v>
      </c>
      <c r="E12" s="99" t="s">
        <v>25</v>
      </c>
      <c r="F12" s="95" t="s">
        <v>4614</v>
      </c>
      <c r="G12" s="95" t="s">
        <v>1047</v>
      </c>
      <c r="H12" s="95" t="s">
        <v>1056</v>
      </c>
      <c r="I12" s="95" t="s">
        <v>26</v>
      </c>
      <c r="J12" s="95"/>
      <c r="K12" s="99"/>
      <c r="L12" s="103" t="s">
        <v>4449</v>
      </c>
      <c r="M12" s="99" t="s">
        <v>4487</v>
      </c>
      <c r="N12" s="99" t="s">
        <v>1565</v>
      </c>
      <c r="O12" s="99" t="s">
        <v>4615</v>
      </c>
      <c r="P12" s="103">
        <v>2010</v>
      </c>
      <c r="Q12" s="103" t="s">
        <v>1862</v>
      </c>
      <c r="R12" s="99" t="s">
        <v>4616</v>
      </c>
      <c r="S12" s="103" t="s">
        <v>1541</v>
      </c>
      <c r="T12" s="103" t="s">
        <v>4522</v>
      </c>
      <c r="U12" s="99" t="s">
        <v>4617</v>
      </c>
      <c r="V12" s="95">
        <v>12.2483626</v>
      </c>
      <c r="W12" s="95">
        <v>-0.62515410000000005</v>
      </c>
      <c r="X12" s="104" t="s">
        <v>4618</v>
      </c>
      <c r="Y12" s="103"/>
      <c r="Z12" s="103"/>
      <c r="AA12" s="103"/>
      <c r="AB12" s="103"/>
      <c r="AC12" s="103"/>
      <c r="AD12" s="103"/>
      <c r="AE12" s="103"/>
      <c r="AF12" s="103"/>
      <c r="AG12" s="99"/>
      <c r="AH12" s="103"/>
      <c r="AI12" s="103"/>
      <c r="AJ12" s="103"/>
      <c r="AK12" s="103"/>
      <c r="AL12" s="103"/>
      <c r="AM12" s="103"/>
      <c r="AN12" s="99"/>
      <c r="AO12" s="103"/>
      <c r="AP12" s="103"/>
      <c r="AQ12" s="103"/>
      <c r="AR12" s="103"/>
      <c r="AS12" s="99"/>
      <c r="AT12" s="103"/>
      <c r="AU12" s="103"/>
      <c r="AV12" s="99"/>
      <c r="AW12" s="99"/>
      <c r="AX12" s="99"/>
      <c r="AY12" s="99"/>
      <c r="AZ12" s="99"/>
      <c r="BA12" s="103"/>
      <c r="BB12" s="99"/>
      <c r="BC12" s="99"/>
      <c r="BD12" s="99"/>
      <c r="BE12" s="99"/>
      <c r="BF12" s="103"/>
      <c r="BG12" s="103"/>
      <c r="BH12" s="103"/>
      <c r="BI12" s="103"/>
      <c r="BJ12" s="103"/>
      <c r="BK12" s="103" t="s">
        <v>4499</v>
      </c>
      <c r="BL12" s="103"/>
      <c r="BM12" s="103"/>
      <c r="BN12" s="103"/>
      <c r="BO12" s="103"/>
      <c r="BP12" s="103"/>
      <c r="BQ12" s="107"/>
      <c r="BR12" s="99"/>
      <c r="BS12" s="99"/>
      <c r="BT12" s="103" t="s">
        <v>3186</v>
      </c>
      <c r="BU12" s="99"/>
      <c r="BV12" s="103"/>
      <c r="BW12" s="103"/>
      <c r="BX12" s="103"/>
      <c r="BY12" s="103"/>
      <c r="BZ12" s="103"/>
      <c r="CA12" s="103"/>
      <c r="CB12" s="103"/>
      <c r="CC12" s="103"/>
      <c r="CD12" s="103"/>
      <c r="CE12" s="103"/>
      <c r="CF12" s="103"/>
      <c r="CG12" s="103"/>
      <c r="CH12" s="103"/>
      <c r="CI12" s="103">
        <v>68063327</v>
      </c>
      <c r="CJ12" s="103"/>
      <c r="CK12" s="108">
        <v>43364.481273148151</v>
      </c>
      <c r="CL12" s="109">
        <v>43364.487870370373</v>
      </c>
      <c r="CM12" s="95">
        <v>12.2483626</v>
      </c>
      <c r="CN12" s="95">
        <v>-0.62515410000000005</v>
      </c>
      <c r="CO12" s="99"/>
      <c r="CP12" s="99"/>
      <c r="CQ12" s="99"/>
      <c r="CR12" s="99"/>
      <c r="CS12" s="99"/>
      <c r="CT12" s="99"/>
      <c r="CU12" s="99"/>
      <c r="CV12" s="99"/>
      <c r="CW12" s="99"/>
      <c r="CX12" s="99"/>
      <c r="CY12" s="99"/>
      <c r="CZ12" s="99"/>
      <c r="DA12" s="99"/>
      <c r="DB12" s="99"/>
      <c r="DC12" s="99"/>
    </row>
    <row r="13" spans="1:107" ht="15.75" customHeight="1">
      <c r="A13" s="95">
        <v>13</v>
      </c>
      <c r="B13" s="99" t="s">
        <v>543</v>
      </c>
      <c r="C13" s="99" t="s">
        <v>544</v>
      </c>
      <c r="D13" s="99">
        <v>64096517</v>
      </c>
      <c r="E13" s="99" t="s">
        <v>27</v>
      </c>
      <c r="F13" s="95" t="s">
        <v>4619</v>
      </c>
      <c r="G13" s="95" t="s">
        <v>1057</v>
      </c>
      <c r="H13" s="95" t="s">
        <v>1058</v>
      </c>
      <c r="I13" s="95" t="s">
        <v>28</v>
      </c>
      <c r="J13" s="95"/>
      <c r="K13" s="99"/>
      <c r="L13" s="103" t="s">
        <v>4449</v>
      </c>
      <c r="M13" s="99" t="s">
        <v>4450</v>
      </c>
      <c r="N13" s="99"/>
      <c r="O13" s="99" t="s">
        <v>4620</v>
      </c>
      <c r="P13" s="103">
        <v>2013</v>
      </c>
      <c r="Q13" s="103" t="s">
        <v>1862</v>
      </c>
      <c r="R13" s="99" t="s">
        <v>4521</v>
      </c>
      <c r="S13" s="103" t="s">
        <v>1541</v>
      </c>
      <c r="T13" s="103" t="s">
        <v>4538</v>
      </c>
      <c r="U13" s="99" t="s">
        <v>4621</v>
      </c>
      <c r="V13" s="95">
        <v>13.1749923</v>
      </c>
      <c r="W13" s="95">
        <v>-3.4044962999999999</v>
      </c>
      <c r="X13" s="104" t="s">
        <v>4622</v>
      </c>
      <c r="Y13" s="103" t="s">
        <v>1634</v>
      </c>
      <c r="Z13" s="103" t="s">
        <v>1634</v>
      </c>
      <c r="AA13" s="103" t="s">
        <v>1862</v>
      </c>
      <c r="AB13" s="103">
        <v>15</v>
      </c>
      <c r="AC13" s="103">
        <v>0</v>
      </c>
      <c r="AD13" s="103">
        <v>15</v>
      </c>
      <c r="AE13" s="103" t="s">
        <v>1634</v>
      </c>
      <c r="AF13" s="103" t="s">
        <v>4623</v>
      </c>
      <c r="AG13" s="99" t="s">
        <v>4624</v>
      </c>
      <c r="AH13" s="103" t="s">
        <v>1862</v>
      </c>
      <c r="AI13" s="103" t="s">
        <v>1862</v>
      </c>
      <c r="AJ13" s="103" t="s">
        <v>1804</v>
      </c>
      <c r="AK13" s="103" t="s">
        <v>1804</v>
      </c>
      <c r="AL13" s="103" t="s">
        <v>1804</v>
      </c>
      <c r="AM13" s="103" t="s">
        <v>1804</v>
      </c>
      <c r="AN13" s="99" t="s">
        <v>1646</v>
      </c>
      <c r="AO13" s="103" t="s">
        <v>1862</v>
      </c>
      <c r="AP13" s="103">
        <v>600</v>
      </c>
      <c r="AQ13" s="103" t="s">
        <v>4461</v>
      </c>
      <c r="AR13" s="103">
        <v>55000</v>
      </c>
      <c r="AS13" s="106">
        <v>45000</v>
      </c>
      <c r="AT13" s="103" t="s">
        <v>4625</v>
      </c>
      <c r="AU13" s="103" t="s">
        <v>1548</v>
      </c>
      <c r="AV13" s="99"/>
      <c r="AW13" s="99" t="s">
        <v>4626</v>
      </c>
      <c r="AX13" s="99" t="s">
        <v>4543</v>
      </c>
      <c r="AY13" s="99" t="s">
        <v>4466</v>
      </c>
      <c r="AZ13" s="99" t="s">
        <v>4467</v>
      </c>
      <c r="BA13" s="103" t="s">
        <v>4499</v>
      </c>
      <c r="BB13" s="99">
        <v>300</v>
      </c>
      <c r="BC13" s="99">
        <v>150</v>
      </c>
      <c r="BD13" s="99">
        <v>0</v>
      </c>
      <c r="BE13" s="99">
        <v>350000</v>
      </c>
      <c r="BF13" s="103" t="s">
        <v>4544</v>
      </c>
      <c r="BG13" s="103" t="s">
        <v>1862</v>
      </c>
      <c r="BH13" s="103" t="s">
        <v>1862</v>
      </c>
      <c r="BI13" s="103" t="s">
        <v>1804</v>
      </c>
      <c r="BJ13" s="103" t="s">
        <v>1804</v>
      </c>
      <c r="BK13" s="103" t="s">
        <v>4478</v>
      </c>
      <c r="BL13" s="103" t="s">
        <v>4470</v>
      </c>
      <c r="BM13" s="103" t="s">
        <v>4461</v>
      </c>
      <c r="BN13" s="103" t="s">
        <v>4627</v>
      </c>
      <c r="BO13" s="103">
        <v>40</v>
      </c>
      <c r="BP13" s="103" t="s">
        <v>4499</v>
      </c>
      <c r="BQ13" s="107" t="s">
        <v>4476</v>
      </c>
      <c r="BR13" s="99" t="s">
        <v>4476</v>
      </c>
      <c r="BS13" s="99"/>
      <c r="BT13" s="103" t="s">
        <v>3186</v>
      </c>
      <c r="BU13" s="99" t="s">
        <v>4628</v>
      </c>
      <c r="BV13" s="103" t="s">
        <v>4476</v>
      </c>
      <c r="BW13" s="103" t="s">
        <v>4476</v>
      </c>
      <c r="BX13" s="103" t="s">
        <v>1548</v>
      </c>
      <c r="BY13" s="103" t="s">
        <v>4501</v>
      </c>
      <c r="BZ13" s="103" t="s">
        <v>4478</v>
      </c>
      <c r="CA13" s="103" t="s">
        <v>4509</v>
      </c>
      <c r="CB13" s="103">
        <v>20</v>
      </c>
      <c r="CC13" s="103" t="s">
        <v>4479</v>
      </c>
      <c r="CD13" s="103" t="s">
        <v>4480</v>
      </c>
      <c r="CE13" s="103" t="s">
        <v>4475</v>
      </c>
      <c r="CF13" s="103" t="s">
        <v>4482</v>
      </c>
      <c r="CG13" s="103" t="s">
        <v>4629</v>
      </c>
      <c r="CH13" s="103" t="s">
        <v>843</v>
      </c>
      <c r="CI13" s="103">
        <v>70606709</v>
      </c>
      <c r="CJ13" s="103" t="s">
        <v>4630</v>
      </c>
      <c r="CK13" s="108">
        <v>43364.499074074076</v>
      </c>
      <c r="CL13" s="109">
        <v>43364.50744212963</v>
      </c>
      <c r="CM13" s="95">
        <v>13.1749923</v>
      </c>
      <c r="CN13" s="95">
        <v>-3.4044962999999999</v>
      </c>
      <c r="CO13" s="99"/>
      <c r="CP13" s="99"/>
      <c r="CQ13" s="99"/>
      <c r="CR13" s="99"/>
      <c r="CS13" s="99"/>
      <c r="CT13" s="99"/>
      <c r="CU13" s="99"/>
      <c r="CV13" s="99"/>
      <c r="CW13" s="99"/>
      <c r="CX13" s="99"/>
      <c r="CY13" s="99"/>
      <c r="CZ13" s="99"/>
      <c r="DA13" s="99"/>
      <c r="DB13" s="99"/>
      <c r="DC13" s="99"/>
    </row>
    <row r="14" spans="1:107" ht="15.75" customHeight="1">
      <c r="A14" s="95">
        <v>14</v>
      </c>
      <c r="B14" s="99" t="s">
        <v>545</v>
      </c>
      <c r="C14" s="99" t="s">
        <v>546</v>
      </c>
      <c r="D14" s="99">
        <v>70711398</v>
      </c>
      <c r="E14" s="99" t="s">
        <v>29</v>
      </c>
      <c r="F14" s="95" t="s">
        <v>4631</v>
      </c>
      <c r="G14" s="95" t="s">
        <v>1057</v>
      </c>
      <c r="H14" s="95" t="s">
        <v>1059</v>
      </c>
      <c r="I14" s="95" t="s">
        <v>30</v>
      </c>
      <c r="J14" s="95"/>
      <c r="K14" s="99"/>
      <c r="L14" s="103" t="s">
        <v>4449</v>
      </c>
      <c r="M14" s="99" t="s">
        <v>4632</v>
      </c>
      <c r="N14" s="99" t="s">
        <v>4451</v>
      </c>
      <c r="O14" s="99" t="s">
        <v>4452</v>
      </c>
      <c r="P14" s="103">
        <v>1999</v>
      </c>
      <c r="Q14" s="103" t="s">
        <v>1862</v>
      </c>
      <c r="R14" s="99" t="s">
        <v>4633</v>
      </c>
      <c r="S14" s="103" t="s">
        <v>2282</v>
      </c>
      <c r="T14" s="103" t="s">
        <v>4634</v>
      </c>
      <c r="U14" s="99" t="s">
        <v>4635</v>
      </c>
      <c r="V14" s="95">
        <v>11.7459813</v>
      </c>
      <c r="W14" s="95">
        <v>-2.9300809999999999</v>
      </c>
      <c r="X14" s="104" t="s">
        <v>4636</v>
      </c>
      <c r="Y14" s="103" t="s">
        <v>1634</v>
      </c>
      <c r="Z14" s="103" t="s">
        <v>1634</v>
      </c>
      <c r="AA14" s="103" t="s">
        <v>1862</v>
      </c>
      <c r="AB14" s="103">
        <v>300</v>
      </c>
      <c r="AC14" s="103">
        <v>4</v>
      </c>
      <c r="AD14" s="103">
        <v>296</v>
      </c>
      <c r="AE14" s="103" t="s">
        <v>1634</v>
      </c>
      <c r="AF14" s="103" t="s">
        <v>4637</v>
      </c>
      <c r="AG14" s="99" t="s">
        <v>4554</v>
      </c>
      <c r="AH14" s="103" t="s">
        <v>1862</v>
      </c>
      <c r="AI14" s="103" t="s">
        <v>1862</v>
      </c>
      <c r="AJ14" s="103" t="s">
        <v>1862</v>
      </c>
      <c r="AK14" s="103" t="s">
        <v>1862</v>
      </c>
      <c r="AL14" s="103" t="s">
        <v>1804</v>
      </c>
      <c r="AM14" s="103" t="s">
        <v>1862</v>
      </c>
      <c r="AN14" s="99" t="s">
        <v>4638</v>
      </c>
      <c r="AO14" s="103" t="s">
        <v>1862</v>
      </c>
      <c r="AP14" s="103">
        <v>1500</v>
      </c>
      <c r="AQ14" s="112" t="s">
        <v>4461</v>
      </c>
      <c r="AR14" s="103"/>
      <c r="AS14" s="106">
        <v>40000000</v>
      </c>
      <c r="AT14" s="103" t="s">
        <v>4527</v>
      </c>
      <c r="AU14" s="103" t="s">
        <v>1634</v>
      </c>
      <c r="AV14" s="99" t="s">
        <v>4463</v>
      </c>
      <c r="AW14" s="99" t="s">
        <v>4639</v>
      </c>
      <c r="AX14" s="99" t="s">
        <v>4640</v>
      </c>
      <c r="AY14" s="99" t="s">
        <v>4641</v>
      </c>
      <c r="AZ14" s="99" t="s">
        <v>4530</v>
      </c>
      <c r="BA14" s="103" t="s">
        <v>1634</v>
      </c>
      <c r="BB14" s="99"/>
      <c r="BC14" s="99">
        <v>20500</v>
      </c>
      <c r="BD14" s="99"/>
      <c r="BE14" s="99">
        <v>41000000</v>
      </c>
      <c r="BF14" s="103" t="s">
        <v>4642</v>
      </c>
      <c r="BG14" s="103" t="s">
        <v>1862</v>
      </c>
      <c r="BH14" s="103" t="s">
        <v>1862</v>
      </c>
      <c r="BI14" s="103" t="s">
        <v>1862</v>
      </c>
      <c r="BJ14" s="103" t="s">
        <v>1862</v>
      </c>
      <c r="BK14" s="103" t="s">
        <v>4469</v>
      </c>
      <c r="BL14" s="103" t="s">
        <v>4472</v>
      </c>
      <c r="BM14" s="103" t="s">
        <v>4461</v>
      </c>
      <c r="BN14" s="103" t="s">
        <v>4643</v>
      </c>
      <c r="BO14" s="103">
        <v>400</v>
      </c>
      <c r="BP14" s="103" t="s">
        <v>4532</v>
      </c>
      <c r="BQ14" s="99" t="s">
        <v>4644</v>
      </c>
      <c r="BR14" s="99" t="s">
        <v>4644</v>
      </c>
      <c r="BS14" s="99" t="s">
        <v>4564</v>
      </c>
      <c r="BT14" s="103" t="s">
        <v>3186</v>
      </c>
      <c r="BU14" s="99"/>
      <c r="BV14" s="103" t="s">
        <v>4644</v>
      </c>
      <c r="BW14" s="103" t="s">
        <v>4644</v>
      </c>
      <c r="BX14" s="103"/>
      <c r="BY14" s="103"/>
      <c r="BZ14" s="103"/>
      <c r="CA14" s="103"/>
      <c r="CB14" s="103"/>
      <c r="CC14" s="103" t="s">
        <v>4502</v>
      </c>
      <c r="CD14" s="103" t="s">
        <v>4475</v>
      </c>
      <c r="CE14" s="112" t="s">
        <v>4475</v>
      </c>
      <c r="CF14" s="103"/>
      <c r="CG14" s="103" t="s">
        <v>4645</v>
      </c>
      <c r="CH14" s="103" t="s">
        <v>4646</v>
      </c>
      <c r="CI14" s="103">
        <v>70711398</v>
      </c>
      <c r="CJ14" s="103"/>
      <c r="CK14" s="108">
        <v>43364.693287037036</v>
      </c>
      <c r="CL14" s="109">
        <v>43364.732754629629</v>
      </c>
      <c r="CM14" s="95">
        <v>11.7459813</v>
      </c>
      <c r="CN14" s="95">
        <v>-2.9300809999999999</v>
      </c>
      <c r="CO14" s="99"/>
      <c r="CP14" s="99"/>
      <c r="CQ14" s="99"/>
      <c r="CR14" s="99"/>
      <c r="CS14" s="99"/>
      <c r="CT14" s="99"/>
      <c r="CU14" s="99"/>
      <c r="CV14" s="99"/>
      <c r="CW14" s="99"/>
      <c r="CX14" s="99"/>
      <c r="CY14" s="99"/>
      <c r="CZ14" s="99"/>
      <c r="DA14" s="99"/>
      <c r="DB14" s="99"/>
      <c r="DC14" s="99"/>
    </row>
    <row r="15" spans="1:107" ht="15.75" customHeight="1">
      <c r="A15" s="95">
        <v>15</v>
      </c>
      <c r="B15" s="99" t="s">
        <v>547</v>
      </c>
      <c r="C15" s="99" t="s">
        <v>548</v>
      </c>
      <c r="D15" s="99">
        <v>70347595</v>
      </c>
      <c r="E15" s="99" t="s">
        <v>31</v>
      </c>
      <c r="F15" s="95" t="s">
        <v>4647</v>
      </c>
      <c r="G15" s="95" t="s">
        <v>1057</v>
      </c>
      <c r="H15" s="95" t="s">
        <v>1058</v>
      </c>
      <c r="I15" s="95" t="s">
        <v>32</v>
      </c>
      <c r="J15" s="95"/>
      <c r="K15" s="99"/>
      <c r="L15" s="103" t="s">
        <v>4449</v>
      </c>
      <c r="M15" s="99" t="s">
        <v>4567</v>
      </c>
      <c r="N15" s="99" t="s">
        <v>4451</v>
      </c>
      <c r="O15" s="99" t="s">
        <v>4648</v>
      </c>
      <c r="P15" s="103">
        <v>2001</v>
      </c>
      <c r="Q15" s="103" t="s">
        <v>1862</v>
      </c>
      <c r="R15" s="99" t="s">
        <v>4521</v>
      </c>
      <c r="S15" s="103" t="s">
        <v>1541</v>
      </c>
      <c r="T15" s="103" t="s">
        <v>4490</v>
      </c>
      <c r="U15" s="99" t="s">
        <v>4649</v>
      </c>
      <c r="V15" s="95">
        <v>13.0695031</v>
      </c>
      <c r="W15" s="95">
        <v>-3.0626283999999999</v>
      </c>
      <c r="X15" s="104" t="s">
        <v>4650</v>
      </c>
      <c r="Y15" s="103" t="s">
        <v>1634</v>
      </c>
      <c r="Z15" s="103" t="s">
        <v>1634</v>
      </c>
      <c r="AA15" s="103" t="s">
        <v>1862</v>
      </c>
      <c r="AB15" s="103">
        <v>22</v>
      </c>
      <c r="AC15" s="103">
        <v>0</v>
      </c>
      <c r="AD15" s="103">
        <v>22</v>
      </c>
      <c r="AE15" s="103" t="s">
        <v>1634</v>
      </c>
      <c r="AF15" s="103" t="s">
        <v>4651</v>
      </c>
      <c r="AG15" s="99" t="s">
        <v>4624</v>
      </c>
      <c r="AH15" s="103" t="s">
        <v>1862</v>
      </c>
      <c r="AI15" s="103" t="s">
        <v>1862</v>
      </c>
      <c r="AJ15" s="103" t="s">
        <v>1804</v>
      </c>
      <c r="AK15" s="103" t="s">
        <v>1804</v>
      </c>
      <c r="AL15" s="103" t="s">
        <v>1804</v>
      </c>
      <c r="AM15" s="103" t="s">
        <v>1804</v>
      </c>
      <c r="AN15" s="99" t="s">
        <v>1646</v>
      </c>
      <c r="AO15" s="103" t="s">
        <v>1862</v>
      </c>
      <c r="AP15" s="103">
        <v>650</v>
      </c>
      <c r="AQ15" s="103" t="s">
        <v>4461</v>
      </c>
      <c r="AR15" s="103">
        <v>0</v>
      </c>
      <c r="AS15" s="106">
        <v>200000</v>
      </c>
      <c r="AT15" s="103" t="s">
        <v>4542</v>
      </c>
      <c r="AU15" s="103" t="s">
        <v>1548</v>
      </c>
      <c r="AV15" s="99"/>
      <c r="AW15" s="99" t="s">
        <v>4652</v>
      </c>
      <c r="AX15" s="99" t="s">
        <v>4543</v>
      </c>
      <c r="AY15" s="99" t="s">
        <v>4466</v>
      </c>
      <c r="AZ15" s="99" t="s">
        <v>4467</v>
      </c>
      <c r="BA15" s="103" t="s">
        <v>1548</v>
      </c>
      <c r="BB15" s="99">
        <v>200</v>
      </c>
      <c r="BC15" s="99">
        <v>100</v>
      </c>
      <c r="BD15" s="99">
        <v>150000</v>
      </c>
      <c r="BE15" s="99">
        <v>250000</v>
      </c>
      <c r="BF15" s="103" t="s">
        <v>4653</v>
      </c>
      <c r="BG15" s="103" t="s">
        <v>1862</v>
      </c>
      <c r="BH15" s="103" t="s">
        <v>1804</v>
      </c>
      <c r="BI15" s="103" t="s">
        <v>1862</v>
      </c>
      <c r="BJ15" s="103" t="s">
        <v>1804</v>
      </c>
      <c r="BK15" s="103" t="s">
        <v>4478</v>
      </c>
      <c r="BL15" s="103" t="s">
        <v>4470</v>
      </c>
      <c r="BM15" s="103" t="s">
        <v>4461</v>
      </c>
      <c r="BN15" s="103" t="s">
        <v>4627</v>
      </c>
      <c r="BO15" s="103">
        <v>20</v>
      </c>
      <c r="BP15" s="103" t="s">
        <v>4499</v>
      </c>
      <c r="BQ15" s="99" t="s">
        <v>4476</v>
      </c>
      <c r="BR15" s="99" t="s">
        <v>4476</v>
      </c>
      <c r="BS15" s="99"/>
      <c r="BT15" s="103" t="s">
        <v>3186</v>
      </c>
      <c r="BU15" s="99" t="s">
        <v>4628</v>
      </c>
      <c r="BV15" s="103" t="s">
        <v>4476</v>
      </c>
      <c r="BW15" s="103" t="s">
        <v>4574</v>
      </c>
      <c r="BX15" s="103" t="s">
        <v>1548</v>
      </c>
      <c r="BY15" s="103" t="s">
        <v>4501</v>
      </c>
      <c r="BZ15" s="103" t="s">
        <v>4478</v>
      </c>
      <c r="CA15" s="103" t="s">
        <v>4509</v>
      </c>
      <c r="CB15" s="103">
        <v>40</v>
      </c>
      <c r="CC15" s="103" t="s">
        <v>4502</v>
      </c>
      <c r="CD15" s="103" t="s">
        <v>4502</v>
      </c>
      <c r="CE15" s="103" t="s">
        <v>4475</v>
      </c>
      <c r="CF15" s="103" t="s">
        <v>4482</v>
      </c>
      <c r="CG15" s="103" t="s">
        <v>547</v>
      </c>
      <c r="CH15" s="103" t="s">
        <v>548</v>
      </c>
      <c r="CI15" s="103">
        <v>70347299</v>
      </c>
      <c r="CJ15" s="103"/>
      <c r="CK15" s="108">
        <v>43364.527060185188</v>
      </c>
      <c r="CL15" s="109">
        <v>43364.540173611109</v>
      </c>
      <c r="CM15" s="95">
        <v>13.0695031</v>
      </c>
      <c r="CN15" s="95">
        <v>-3.0626283999999999</v>
      </c>
      <c r="CO15" s="99"/>
      <c r="CP15" s="99"/>
      <c r="CQ15" s="99"/>
      <c r="CR15" s="99"/>
      <c r="CS15" s="99"/>
      <c r="CT15" s="99"/>
      <c r="CU15" s="99"/>
      <c r="CV15" s="99"/>
      <c r="CW15" s="99"/>
      <c r="CX15" s="99"/>
      <c r="CY15" s="99"/>
      <c r="CZ15" s="99"/>
      <c r="DA15" s="99"/>
      <c r="DB15" s="99"/>
      <c r="DC15" s="99"/>
    </row>
    <row r="16" spans="1:107" ht="15.75" customHeight="1">
      <c r="A16" s="95">
        <v>16</v>
      </c>
      <c r="B16" s="99" t="s">
        <v>549</v>
      </c>
      <c r="C16" s="99" t="s">
        <v>544</v>
      </c>
      <c r="D16" s="99">
        <v>73901751</v>
      </c>
      <c r="E16" s="99" t="s">
        <v>33</v>
      </c>
      <c r="F16" s="95" t="s">
        <v>4654</v>
      </c>
      <c r="G16" s="95" t="s">
        <v>1057</v>
      </c>
      <c r="H16" s="95" t="s">
        <v>1060</v>
      </c>
      <c r="I16" s="95" t="s">
        <v>34</v>
      </c>
      <c r="J16" s="95"/>
      <c r="K16" s="99"/>
      <c r="L16" s="103" t="s">
        <v>4449</v>
      </c>
      <c r="M16" s="99" t="s">
        <v>4632</v>
      </c>
      <c r="N16" s="99" t="s">
        <v>4451</v>
      </c>
      <c r="O16" s="99" t="s">
        <v>4452</v>
      </c>
      <c r="P16" s="103">
        <v>1999</v>
      </c>
      <c r="Q16" s="103" t="s">
        <v>1862</v>
      </c>
      <c r="R16" s="99" t="s">
        <v>4633</v>
      </c>
      <c r="S16" s="103" t="s">
        <v>2282</v>
      </c>
      <c r="T16" s="103" t="s">
        <v>4634</v>
      </c>
      <c r="U16" s="99" t="s">
        <v>4655</v>
      </c>
      <c r="V16" s="95">
        <v>12.743024399999999</v>
      </c>
      <c r="W16" s="95">
        <v>-3.8553506999999998</v>
      </c>
      <c r="X16" s="104" t="s">
        <v>4656</v>
      </c>
      <c r="Y16" s="103" t="s">
        <v>1634</v>
      </c>
      <c r="Z16" s="103" t="s">
        <v>1634</v>
      </c>
      <c r="AA16" s="103" t="s">
        <v>1862</v>
      </c>
      <c r="AB16" s="103">
        <v>300</v>
      </c>
      <c r="AC16" s="103">
        <v>4</v>
      </c>
      <c r="AD16" s="103">
        <v>296</v>
      </c>
      <c r="AE16" s="103" t="s">
        <v>1634</v>
      </c>
      <c r="AF16" s="103" t="s">
        <v>4637</v>
      </c>
      <c r="AG16" s="99" t="s">
        <v>4554</v>
      </c>
      <c r="AH16" s="103" t="s">
        <v>1862</v>
      </c>
      <c r="AI16" s="103" t="s">
        <v>1862</v>
      </c>
      <c r="AJ16" s="103" t="s">
        <v>1862</v>
      </c>
      <c r="AK16" s="103" t="s">
        <v>1862</v>
      </c>
      <c r="AL16" s="103" t="s">
        <v>1804</v>
      </c>
      <c r="AM16" s="103" t="s">
        <v>1862</v>
      </c>
      <c r="AN16" s="99" t="s">
        <v>4638</v>
      </c>
      <c r="AO16" s="103" t="s">
        <v>1862</v>
      </c>
      <c r="AP16" s="103">
        <v>1500</v>
      </c>
      <c r="AQ16" s="112" t="s">
        <v>4461</v>
      </c>
      <c r="AR16" s="103"/>
      <c r="AS16" s="106">
        <v>40000000</v>
      </c>
      <c r="AT16" s="103" t="s">
        <v>4527</v>
      </c>
      <c r="AU16" s="103" t="s">
        <v>1634</v>
      </c>
      <c r="AV16" s="99" t="s">
        <v>4463</v>
      </c>
      <c r="AW16" s="99" t="s">
        <v>4639</v>
      </c>
      <c r="AX16" s="99" t="s">
        <v>4640</v>
      </c>
      <c r="AY16" s="99" t="s">
        <v>4641</v>
      </c>
      <c r="AZ16" s="99" t="s">
        <v>4530</v>
      </c>
      <c r="BA16" s="103" t="s">
        <v>1634</v>
      </c>
      <c r="BB16" s="99"/>
      <c r="BC16" s="99">
        <v>20500</v>
      </c>
      <c r="BD16" s="99"/>
      <c r="BE16" s="99">
        <v>41000000</v>
      </c>
      <c r="BF16" s="103" t="s">
        <v>4642</v>
      </c>
      <c r="BG16" s="103" t="s">
        <v>1862</v>
      </c>
      <c r="BH16" s="103" t="s">
        <v>1862</v>
      </c>
      <c r="BI16" s="103" t="s">
        <v>1862</v>
      </c>
      <c r="BJ16" s="103" t="s">
        <v>1862</v>
      </c>
      <c r="BK16" s="103" t="s">
        <v>4469</v>
      </c>
      <c r="BL16" s="103" t="s">
        <v>4472</v>
      </c>
      <c r="BM16" s="103" t="s">
        <v>4461</v>
      </c>
      <c r="BN16" s="103" t="s">
        <v>4643</v>
      </c>
      <c r="BO16" s="103">
        <v>400</v>
      </c>
      <c r="BP16" s="103" t="s">
        <v>4532</v>
      </c>
      <c r="BQ16" s="99" t="s">
        <v>4644</v>
      </c>
      <c r="BR16" s="99" t="s">
        <v>4644</v>
      </c>
      <c r="BS16" s="99" t="s">
        <v>4564</v>
      </c>
      <c r="BT16" s="103" t="s">
        <v>3186</v>
      </c>
      <c r="BU16" s="99"/>
      <c r="BV16" s="103" t="s">
        <v>4644</v>
      </c>
      <c r="BW16" s="103" t="s">
        <v>4644</v>
      </c>
      <c r="BX16" s="103"/>
      <c r="BY16" s="103"/>
      <c r="BZ16" s="103"/>
      <c r="CA16" s="103"/>
      <c r="CB16" s="103"/>
      <c r="CC16" s="103" t="s">
        <v>4502</v>
      </c>
      <c r="CD16" s="103" t="s">
        <v>4475</v>
      </c>
      <c r="CE16" s="112" t="s">
        <v>4475</v>
      </c>
      <c r="CF16" s="103"/>
      <c r="CG16" s="103" t="s">
        <v>4657</v>
      </c>
      <c r="CH16" s="103" t="s">
        <v>843</v>
      </c>
      <c r="CI16" s="103">
        <v>73901751</v>
      </c>
      <c r="CJ16" s="103"/>
      <c r="CK16" s="108">
        <v>43364.693287037036</v>
      </c>
      <c r="CL16" s="109">
        <v>43364.732754629629</v>
      </c>
      <c r="CM16" s="95">
        <v>12.743024399999999</v>
      </c>
      <c r="CN16" s="95">
        <v>-3.8553506999999998</v>
      </c>
      <c r="CO16" s="99"/>
      <c r="CP16" s="99"/>
      <c r="CQ16" s="99"/>
      <c r="CR16" s="99"/>
      <c r="CS16" s="99"/>
      <c r="CT16" s="99"/>
      <c r="CU16" s="99"/>
      <c r="CV16" s="99"/>
      <c r="CW16" s="99"/>
      <c r="CX16" s="99"/>
      <c r="CY16" s="99"/>
      <c r="CZ16" s="99"/>
      <c r="DA16" s="99"/>
      <c r="DB16" s="99"/>
      <c r="DC16" s="99"/>
    </row>
    <row r="17" spans="1:107" ht="15.75" customHeight="1">
      <c r="A17" s="95">
        <v>17</v>
      </c>
      <c r="B17" s="99" t="s">
        <v>550</v>
      </c>
      <c r="C17" s="99" t="s">
        <v>534</v>
      </c>
      <c r="D17" s="99">
        <v>76282754</v>
      </c>
      <c r="E17" s="99" t="s">
        <v>4658</v>
      </c>
      <c r="F17" s="95" t="s">
        <v>4503</v>
      </c>
      <c r="G17" s="95" t="s">
        <v>1042</v>
      </c>
      <c r="H17" s="95" t="s">
        <v>1043</v>
      </c>
      <c r="I17" s="95" t="s">
        <v>6</v>
      </c>
      <c r="J17" s="95"/>
      <c r="K17" s="99"/>
      <c r="L17" s="103" t="s">
        <v>4449</v>
      </c>
      <c r="M17" s="99" t="s">
        <v>4487</v>
      </c>
      <c r="N17" s="99"/>
      <c r="O17" s="99" t="s">
        <v>4452</v>
      </c>
      <c r="P17" s="103">
        <v>2007</v>
      </c>
      <c r="Q17" s="103" t="s">
        <v>1862</v>
      </c>
      <c r="R17" s="99" t="s">
        <v>4659</v>
      </c>
      <c r="S17" s="103" t="s">
        <v>1541</v>
      </c>
      <c r="T17" s="103" t="s">
        <v>4634</v>
      </c>
      <c r="U17" s="99" t="s">
        <v>4506</v>
      </c>
      <c r="V17" s="95">
        <v>11.165243200000001</v>
      </c>
      <c r="W17" s="95">
        <v>-1.1400998</v>
      </c>
      <c r="X17" s="104" t="s">
        <v>4457</v>
      </c>
      <c r="Y17" s="103" t="s">
        <v>1634</v>
      </c>
      <c r="Z17" s="103" t="s">
        <v>1634</v>
      </c>
      <c r="AA17" s="103" t="s">
        <v>1862</v>
      </c>
      <c r="AB17" s="103">
        <v>37</v>
      </c>
      <c r="AC17" s="103">
        <v>2</v>
      </c>
      <c r="AD17" s="103">
        <v>35</v>
      </c>
      <c r="AE17" s="103" t="s">
        <v>1634</v>
      </c>
      <c r="AF17" s="103" t="s">
        <v>4458</v>
      </c>
      <c r="AG17" s="99" t="s">
        <v>4459</v>
      </c>
      <c r="AH17" s="103" t="s">
        <v>1862</v>
      </c>
      <c r="AI17" s="103" t="s">
        <v>1862</v>
      </c>
      <c r="AJ17" s="103" t="s">
        <v>1862</v>
      </c>
      <c r="AK17" s="103" t="s">
        <v>1862</v>
      </c>
      <c r="AL17" s="103" t="s">
        <v>1862</v>
      </c>
      <c r="AM17" s="103" t="s">
        <v>1862</v>
      </c>
      <c r="AN17" s="99" t="s">
        <v>4660</v>
      </c>
      <c r="AO17" s="103" t="s">
        <v>1862</v>
      </c>
      <c r="AP17" s="103">
        <v>1000</v>
      </c>
      <c r="AQ17" s="103" t="s">
        <v>4461</v>
      </c>
      <c r="AR17" s="103">
        <v>10000</v>
      </c>
      <c r="AS17" s="106">
        <v>20000</v>
      </c>
      <c r="AT17" s="103" t="s">
        <v>4661</v>
      </c>
      <c r="AU17" s="103" t="s">
        <v>1634</v>
      </c>
      <c r="AV17" s="99" t="s">
        <v>4463</v>
      </c>
      <c r="AW17" s="99" t="s">
        <v>4662</v>
      </c>
      <c r="AX17" s="99" t="s">
        <v>4663</v>
      </c>
      <c r="AY17" s="99" t="s">
        <v>4560</v>
      </c>
      <c r="AZ17" s="99" t="s">
        <v>4467</v>
      </c>
      <c r="BA17" s="103" t="s">
        <v>1634</v>
      </c>
      <c r="BB17" s="99">
        <v>10000</v>
      </c>
      <c r="BC17" s="99">
        <v>5000</v>
      </c>
      <c r="BD17" s="99">
        <v>2000000</v>
      </c>
      <c r="BE17" s="99">
        <v>5000000</v>
      </c>
      <c r="BF17" s="103" t="s">
        <v>4468</v>
      </c>
      <c r="BG17" s="103" t="s">
        <v>1862</v>
      </c>
      <c r="BH17" s="103" t="s">
        <v>1862</v>
      </c>
      <c r="BI17" s="103" t="s">
        <v>1804</v>
      </c>
      <c r="BJ17" s="103" t="s">
        <v>1804</v>
      </c>
      <c r="BK17" s="103" t="s">
        <v>4499</v>
      </c>
      <c r="BL17" s="103" t="s">
        <v>4470</v>
      </c>
      <c r="BM17" s="103" t="s">
        <v>4470</v>
      </c>
      <c r="BN17" s="103" t="s">
        <v>4664</v>
      </c>
      <c r="BO17" s="103">
        <v>80</v>
      </c>
      <c r="BP17" s="103" t="s">
        <v>4461</v>
      </c>
      <c r="BQ17" s="99" t="s">
        <v>4476</v>
      </c>
      <c r="BR17" s="99" t="s">
        <v>4476</v>
      </c>
      <c r="BS17" s="99" t="s">
        <v>4476</v>
      </c>
      <c r="BT17" s="103" t="s">
        <v>3186</v>
      </c>
      <c r="BU17" s="99" t="s">
        <v>4475</v>
      </c>
      <c r="BV17" s="103" t="s">
        <v>4476</v>
      </c>
      <c r="BW17" s="103" t="s">
        <v>4476</v>
      </c>
      <c r="BX17" s="103" t="s">
        <v>1548</v>
      </c>
      <c r="BY17" s="103" t="s">
        <v>4477</v>
      </c>
      <c r="BZ17" s="103" t="s">
        <v>4478</v>
      </c>
      <c r="CA17" s="103" t="s">
        <v>4461</v>
      </c>
      <c r="CB17" s="103">
        <v>2000</v>
      </c>
      <c r="CC17" s="103" t="s">
        <v>4502</v>
      </c>
      <c r="CD17" s="103" t="s">
        <v>4475</v>
      </c>
      <c r="CE17" s="103" t="s">
        <v>4480</v>
      </c>
      <c r="CF17" s="103" t="s">
        <v>4482</v>
      </c>
      <c r="CG17" s="103" t="s">
        <v>4483</v>
      </c>
      <c r="CH17" s="103" t="s">
        <v>4665</v>
      </c>
      <c r="CI17" s="103">
        <v>71317042</v>
      </c>
      <c r="CJ17" s="103"/>
      <c r="CK17" s="108">
        <v>43364.518611111111</v>
      </c>
      <c r="CL17" s="109">
        <v>43364.566678240742</v>
      </c>
      <c r="CM17" s="95">
        <v>11.165243200000001</v>
      </c>
      <c r="CN17" s="95">
        <v>-1.1400998</v>
      </c>
      <c r="CO17" s="99"/>
      <c r="CP17" s="99"/>
      <c r="CQ17" s="99"/>
      <c r="CR17" s="99"/>
      <c r="CS17" s="99"/>
      <c r="CT17" s="99"/>
      <c r="CU17" s="99"/>
      <c r="CV17" s="99"/>
      <c r="CW17" s="99"/>
      <c r="CX17" s="99"/>
      <c r="CY17" s="99"/>
      <c r="CZ17" s="99"/>
      <c r="DA17" s="99"/>
      <c r="DB17" s="99"/>
      <c r="DC17" s="99"/>
    </row>
    <row r="18" spans="1:107" ht="15.75" customHeight="1">
      <c r="A18" s="95">
        <v>18</v>
      </c>
      <c r="B18" s="99" t="s">
        <v>551</v>
      </c>
      <c r="C18" s="99" t="s">
        <v>552</v>
      </c>
      <c r="D18" s="99">
        <v>75677882</v>
      </c>
      <c r="E18" s="99" t="s">
        <v>36</v>
      </c>
      <c r="F18" s="95" t="s">
        <v>4666</v>
      </c>
      <c r="G18" s="95" t="s">
        <v>1057</v>
      </c>
      <c r="H18" s="95" t="s">
        <v>1061</v>
      </c>
      <c r="I18" s="95" t="s">
        <v>37</v>
      </c>
      <c r="J18" s="95"/>
      <c r="K18" s="99"/>
      <c r="L18" s="103" t="s">
        <v>4449</v>
      </c>
      <c r="M18" s="99" t="s">
        <v>4450</v>
      </c>
      <c r="N18" s="99" t="s">
        <v>1565</v>
      </c>
      <c r="O18" s="99" t="s">
        <v>4452</v>
      </c>
      <c r="P18" s="103">
        <v>2013</v>
      </c>
      <c r="Q18" s="103" t="s">
        <v>1862</v>
      </c>
      <c r="R18" s="99" t="s">
        <v>4521</v>
      </c>
      <c r="S18" s="103" t="s">
        <v>1541</v>
      </c>
      <c r="T18" s="103" t="s">
        <v>4538</v>
      </c>
      <c r="U18" s="99" t="s">
        <v>4667</v>
      </c>
      <c r="V18" s="95">
        <v>12.184640699999999</v>
      </c>
      <c r="W18" s="95">
        <v>-4.0848788999999996</v>
      </c>
      <c r="X18" s="104" t="s">
        <v>4668</v>
      </c>
      <c r="Y18" s="103" t="s">
        <v>1634</v>
      </c>
      <c r="Z18" s="103" t="s">
        <v>1634</v>
      </c>
      <c r="AA18" s="103" t="s">
        <v>1862</v>
      </c>
      <c r="AB18" s="103">
        <v>25</v>
      </c>
      <c r="AC18" s="103">
        <v>2</v>
      </c>
      <c r="AD18" s="103">
        <v>23</v>
      </c>
      <c r="AE18" s="103" t="s">
        <v>1634</v>
      </c>
      <c r="AF18" s="103" t="s">
        <v>4493</v>
      </c>
      <c r="AG18" s="99" t="s">
        <v>4669</v>
      </c>
      <c r="AH18" s="103" t="s">
        <v>1862</v>
      </c>
      <c r="AI18" s="103" t="s">
        <v>1862</v>
      </c>
      <c r="AJ18" s="103" t="s">
        <v>1862</v>
      </c>
      <c r="AK18" s="103" t="s">
        <v>1862</v>
      </c>
      <c r="AL18" s="103" t="s">
        <v>1804</v>
      </c>
      <c r="AM18" s="103" t="s">
        <v>1862</v>
      </c>
      <c r="AN18" s="99" t="s">
        <v>4670</v>
      </c>
      <c r="AO18" s="103" t="s">
        <v>1862</v>
      </c>
      <c r="AP18" s="103">
        <v>750</v>
      </c>
      <c r="AQ18" s="103" t="s">
        <v>4500</v>
      </c>
      <c r="AR18" s="103">
        <v>500000</v>
      </c>
      <c r="AS18" s="106">
        <v>800000</v>
      </c>
      <c r="AT18" s="103" t="s">
        <v>4496</v>
      </c>
      <c r="AU18" s="103" t="s">
        <v>1634</v>
      </c>
      <c r="AV18" s="99" t="s">
        <v>4671</v>
      </c>
      <c r="AW18" s="99" t="s">
        <v>4672</v>
      </c>
      <c r="AX18" s="99" t="s">
        <v>4673</v>
      </c>
      <c r="AY18" s="99" t="s">
        <v>4560</v>
      </c>
      <c r="AZ18" s="99" t="s">
        <v>4530</v>
      </c>
      <c r="BA18" s="103" t="s">
        <v>1634</v>
      </c>
      <c r="BB18" s="99">
        <v>300</v>
      </c>
      <c r="BC18" s="99">
        <v>400</v>
      </c>
      <c r="BD18" s="99">
        <v>800000</v>
      </c>
      <c r="BE18" s="99">
        <v>1500000</v>
      </c>
      <c r="BF18" s="103" t="s">
        <v>4653</v>
      </c>
      <c r="BG18" s="103" t="s">
        <v>1862</v>
      </c>
      <c r="BH18" s="103" t="s">
        <v>1804</v>
      </c>
      <c r="BI18" s="103" t="s">
        <v>1862</v>
      </c>
      <c r="BJ18" s="103" t="s">
        <v>1804</v>
      </c>
      <c r="BK18" s="103" t="s">
        <v>4478</v>
      </c>
      <c r="BL18" s="103" t="s">
        <v>4500</v>
      </c>
      <c r="BM18" s="103" t="s">
        <v>4500</v>
      </c>
      <c r="BN18" s="103" t="s">
        <v>4512</v>
      </c>
      <c r="BO18" s="103">
        <v>600</v>
      </c>
      <c r="BP18" s="103" t="s">
        <v>4500</v>
      </c>
      <c r="BQ18" s="99" t="s">
        <v>4476</v>
      </c>
      <c r="BR18" s="99" t="s">
        <v>4476</v>
      </c>
      <c r="BS18" s="99"/>
      <c r="BT18" s="103" t="s">
        <v>3186</v>
      </c>
      <c r="BU18" s="99" t="s">
        <v>4475</v>
      </c>
      <c r="BV18" s="103" t="s">
        <v>4476</v>
      </c>
      <c r="BW18" s="103" t="s">
        <v>4476</v>
      </c>
      <c r="BX18" s="103" t="s">
        <v>1634</v>
      </c>
      <c r="BY18" s="103" t="s">
        <v>4535</v>
      </c>
      <c r="BZ18" s="103" t="s">
        <v>4478</v>
      </c>
      <c r="CA18" s="103" t="s">
        <v>4472</v>
      </c>
      <c r="CB18" s="103">
        <v>40</v>
      </c>
      <c r="CC18" s="103" t="s">
        <v>4479</v>
      </c>
      <c r="CD18" s="103" t="s">
        <v>4475</v>
      </c>
      <c r="CE18" s="103" t="s">
        <v>4502</v>
      </c>
      <c r="CF18" s="103"/>
      <c r="CG18" s="103" t="s">
        <v>551</v>
      </c>
      <c r="CH18" s="103" t="s">
        <v>4674</v>
      </c>
      <c r="CI18" s="103">
        <v>72882300</v>
      </c>
      <c r="CJ18" s="103" t="s">
        <v>4675</v>
      </c>
      <c r="CK18" s="108">
        <v>43364.514918981484</v>
      </c>
      <c r="CL18" s="109">
        <v>43364.573055555556</v>
      </c>
      <c r="CM18" s="95">
        <v>12.184640699999999</v>
      </c>
      <c r="CN18" s="95">
        <v>-4.0848788999999996</v>
      </c>
      <c r="CO18" s="99"/>
      <c r="CP18" s="99"/>
      <c r="CQ18" s="99"/>
      <c r="CR18" s="99"/>
      <c r="CS18" s="99"/>
      <c r="CT18" s="99"/>
      <c r="CU18" s="99"/>
      <c r="CV18" s="99"/>
      <c r="CW18" s="99"/>
      <c r="CX18" s="99"/>
      <c r="CY18" s="99"/>
      <c r="CZ18" s="99"/>
      <c r="DA18" s="99"/>
      <c r="DB18" s="99"/>
      <c r="DC18" s="99"/>
    </row>
    <row r="19" spans="1:107" ht="15.75" customHeight="1">
      <c r="A19" s="95">
        <v>19</v>
      </c>
      <c r="B19" s="99" t="s">
        <v>553</v>
      </c>
      <c r="C19" s="99" t="s">
        <v>554</v>
      </c>
      <c r="D19" s="99">
        <v>76625978</v>
      </c>
      <c r="E19" s="99" t="s">
        <v>38</v>
      </c>
      <c r="F19" s="95" t="s">
        <v>4631</v>
      </c>
      <c r="G19" s="95" t="s">
        <v>1057</v>
      </c>
      <c r="H19" s="95" t="s">
        <v>1059</v>
      </c>
      <c r="I19" s="95" t="s">
        <v>30</v>
      </c>
      <c r="J19" s="95"/>
      <c r="K19" s="99"/>
      <c r="L19" s="103" t="s">
        <v>4449</v>
      </c>
      <c r="M19" s="99" t="s">
        <v>4450</v>
      </c>
      <c r="N19" s="99" t="s">
        <v>4451</v>
      </c>
      <c r="O19" s="99" t="s">
        <v>4452</v>
      </c>
      <c r="P19" s="103">
        <v>2000</v>
      </c>
      <c r="Q19" s="103" t="s">
        <v>1862</v>
      </c>
      <c r="R19" s="99" t="s">
        <v>4633</v>
      </c>
      <c r="S19" s="103" t="s">
        <v>1541</v>
      </c>
      <c r="T19" s="103" t="s">
        <v>4634</v>
      </c>
      <c r="U19" s="99" t="s">
        <v>4635</v>
      </c>
      <c r="V19" s="95">
        <v>11.7459813</v>
      </c>
      <c r="W19" s="95">
        <v>-2.9300809999999999</v>
      </c>
      <c r="X19" s="104" t="s">
        <v>4636</v>
      </c>
      <c r="Y19" s="103" t="s">
        <v>1634</v>
      </c>
      <c r="Z19" s="103" t="s">
        <v>1634</v>
      </c>
      <c r="AA19" s="103" t="s">
        <v>1862</v>
      </c>
      <c r="AB19" s="103">
        <v>358</v>
      </c>
      <c r="AC19" s="103">
        <v>3</v>
      </c>
      <c r="AD19" s="103">
        <v>355</v>
      </c>
      <c r="AE19" s="103" t="s">
        <v>1634</v>
      </c>
      <c r="AF19" s="103" t="s">
        <v>4637</v>
      </c>
      <c r="AG19" s="99" t="s">
        <v>4554</v>
      </c>
      <c r="AH19" s="103" t="s">
        <v>1862</v>
      </c>
      <c r="AI19" s="103" t="s">
        <v>1862</v>
      </c>
      <c r="AJ19" s="103" t="s">
        <v>1862</v>
      </c>
      <c r="AK19" s="103" t="s">
        <v>1862</v>
      </c>
      <c r="AL19" s="103" t="s">
        <v>1804</v>
      </c>
      <c r="AM19" s="103" t="s">
        <v>1862</v>
      </c>
      <c r="AN19" s="99" t="s">
        <v>4638</v>
      </c>
      <c r="AO19" s="103" t="s">
        <v>1862</v>
      </c>
      <c r="AP19" s="103">
        <v>1600</v>
      </c>
      <c r="AQ19" s="112" t="s">
        <v>4461</v>
      </c>
      <c r="AR19" s="103"/>
      <c r="AS19" s="106">
        <v>50000000</v>
      </c>
      <c r="AT19" s="103" t="s">
        <v>4527</v>
      </c>
      <c r="AU19" s="103" t="s">
        <v>1634</v>
      </c>
      <c r="AV19" s="99" t="s">
        <v>4463</v>
      </c>
      <c r="AW19" s="99" t="s">
        <v>4639</v>
      </c>
      <c r="AX19" s="99" t="s">
        <v>4640</v>
      </c>
      <c r="AY19" s="99" t="s">
        <v>4641</v>
      </c>
      <c r="AZ19" s="99" t="s">
        <v>4530</v>
      </c>
      <c r="BA19" s="103" t="s">
        <v>1634</v>
      </c>
      <c r="BB19" s="99"/>
      <c r="BC19" s="99">
        <v>22000</v>
      </c>
      <c r="BD19" s="99"/>
      <c r="BE19" s="99">
        <v>37500000</v>
      </c>
      <c r="BF19" s="103" t="s">
        <v>4642</v>
      </c>
      <c r="BG19" s="103" t="s">
        <v>1862</v>
      </c>
      <c r="BH19" s="103" t="s">
        <v>1862</v>
      </c>
      <c r="BI19" s="103" t="s">
        <v>1862</v>
      </c>
      <c r="BJ19" s="103" t="s">
        <v>1862</v>
      </c>
      <c r="BK19" s="103" t="s">
        <v>4469</v>
      </c>
      <c r="BL19" s="103" t="s">
        <v>4472</v>
      </c>
      <c r="BM19" s="103" t="s">
        <v>4461</v>
      </c>
      <c r="BN19" s="103" t="s">
        <v>4643</v>
      </c>
      <c r="BO19" s="103">
        <v>450</v>
      </c>
      <c r="BP19" s="103" t="s">
        <v>4532</v>
      </c>
      <c r="BQ19" s="99" t="s">
        <v>4644</v>
      </c>
      <c r="BR19" s="99" t="s">
        <v>4644</v>
      </c>
      <c r="BS19" s="99" t="s">
        <v>4564</v>
      </c>
      <c r="BT19" s="103" t="s">
        <v>3186</v>
      </c>
      <c r="BU19" s="99"/>
      <c r="BV19" s="103" t="s">
        <v>4644</v>
      </c>
      <c r="BW19" s="103" t="s">
        <v>4644</v>
      </c>
      <c r="BX19" s="103"/>
      <c r="BY19" s="103"/>
      <c r="BZ19" s="103"/>
      <c r="CA19" s="103"/>
      <c r="CB19" s="103"/>
      <c r="CC19" s="103" t="s">
        <v>4502</v>
      </c>
      <c r="CD19" s="103" t="s">
        <v>4475</v>
      </c>
      <c r="CE19" s="112" t="s">
        <v>4475</v>
      </c>
      <c r="CF19" s="103"/>
      <c r="CG19" s="103" t="s">
        <v>553</v>
      </c>
      <c r="CH19" s="103" t="s">
        <v>4676</v>
      </c>
      <c r="CI19" s="103">
        <v>76625978</v>
      </c>
      <c r="CJ19" s="103"/>
      <c r="CK19" s="108">
        <v>43364.693287037036</v>
      </c>
      <c r="CL19" s="109">
        <v>43364.732754629629</v>
      </c>
      <c r="CM19" s="95">
        <v>11.7459813</v>
      </c>
      <c r="CN19" s="95">
        <v>-2.9300809999999999</v>
      </c>
      <c r="CO19" s="99"/>
      <c r="CP19" s="99"/>
      <c r="CQ19" s="99"/>
      <c r="CR19" s="99"/>
      <c r="CS19" s="99"/>
      <c r="CT19" s="99"/>
      <c r="CU19" s="99"/>
      <c r="CV19" s="99"/>
      <c r="CW19" s="99"/>
      <c r="CX19" s="99"/>
      <c r="CY19" s="99"/>
      <c r="CZ19" s="99"/>
      <c r="DA19" s="99"/>
      <c r="DB19" s="99"/>
      <c r="DC19" s="99"/>
    </row>
    <row r="20" spans="1:107" ht="15.75" customHeight="1">
      <c r="A20" s="95">
        <v>20</v>
      </c>
      <c r="B20" s="99" t="s">
        <v>555</v>
      </c>
      <c r="C20" s="99" t="s">
        <v>556</v>
      </c>
      <c r="D20" s="99">
        <v>73230113</v>
      </c>
      <c r="E20" s="99" t="s">
        <v>39</v>
      </c>
      <c r="F20" s="95" t="s">
        <v>4677</v>
      </c>
      <c r="G20" s="95" t="s">
        <v>1057</v>
      </c>
      <c r="H20" s="95" t="s">
        <v>1058</v>
      </c>
      <c r="I20" s="95" t="s">
        <v>40</v>
      </c>
      <c r="J20" s="95"/>
      <c r="K20" s="99"/>
      <c r="L20" s="103" t="s">
        <v>4449</v>
      </c>
      <c r="M20" s="99" t="s">
        <v>4450</v>
      </c>
      <c r="N20" s="99" t="s">
        <v>1565</v>
      </c>
      <c r="O20" s="99" t="s">
        <v>4488</v>
      </c>
      <c r="P20" s="103">
        <v>2002</v>
      </c>
      <c r="Q20" s="103" t="s">
        <v>1862</v>
      </c>
      <c r="R20" s="99" t="s">
        <v>4521</v>
      </c>
      <c r="S20" s="103" t="s">
        <v>1541</v>
      </c>
      <c r="T20" s="103" t="s">
        <v>4538</v>
      </c>
      <c r="U20" s="99" t="s">
        <v>4678</v>
      </c>
      <c r="V20" s="95">
        <v>13.0695031</v>
      </c>
      <c r="W20" s="95">
        <v>-3.0626283999999999</v>
      </c>
      <c r="X20" s="104" t="s">
        <v>4650</v>
      </c>
      <c r="Y20" s="103" t="s">
        <v>1634</v>
      </c>
      <c r="Z20" s="103" t="s">
        <v>1634</v>
      </c>
      <c r="AA20" s="103" t="s">
        <v>1862</v>
      </c>
      <c r="AB20" s="103">
        <v>8</v>
      </c>
      <c r="AC20" s="103">
        <v>0</v>
      </c>
      <c r="AD20" s="103">
        <v>8</v>
      </c>
      <c r="AE20" s="103" t="s">
        <v>4499</v>
      </c>
      <c r="AF20" s="103" t="s">
        <v>4679</v>
      </c>
      <c r="AG20" s="99" t="s">
        <v>4391</v>
      </c>
      <c r="AH20" s="103" t="s">
        <v>1804</v>
      </c>
      <c r="AI20" s="103" t="s">
        <v>1862</v>
      </c>
      <c r="AJ20" s="103" t="s">
        <v>1862</v>
      </c>
      <c r="AK20" s="103" t="s">
        <v>1804</v>
      </c>
      <c r="AL20" s="103" t="s">
        <v>1804</v>
      </c>
      <c r="AM20" s="103" t="s">
        <v>1804</v>
      </c>
      <c r="AN20" s="99" t="s">
        <v>1646</v>
      </c>
      <c r="AO20" s="103" t="s">
        <v>4499</v>
      </c>
      <c r="AP20" s="103">
        <v>550</v>
      </c>
      <c r="AQ20" s="103" t="s">
        <v>4461</v>
      </c>
      <c r="AR20" s="103">
        <v>0</v>
      </c>
      <c r="AS20" s="106">
        <v>160000</v>
      </c>
      <c r="AT20" s="103" t="s">
        <v>4625</v>
      </c>
      <c r="AU20" s="103" t="s">
        <v>1548</v>
      </c>
      <c r="AV20" s="99"/>
      <c r="AW20" s="99" t="s">
        <v>4680</v>
      </c>
      <c r="AX20" s="99" t="s">
        <v>4543</v>
      </c>
      <c r="AY20" s="99" t="s">
        <v>4466</v>
      </c>
      <c r="AZ20" s="99" t="s">
        <v>4467</v>
      </c>
      <c r="BA20" s="103" t="s">
        <v>4499</v>
      </c>
      <c r="BB20" s="99">
        <v>2000</v>
      </c>
      <c r="BC20" s="99">
        <v>110</v>
      </c>
      <c r="BD20" s="99">
        <v>0</v>
      </c>
      <c r="BE20" s="99">
        <v>280000</v>
      </c>
      <c r="BF20" s="103" t="s">
        <v>4544</v>
      </c>
      <c r="BG20" s="103" t="s">
        <v>1862</v>
      </c>
      <c r="BH20" s="103" t="s">
        <v>1862</v>
      </c>
      <c r="BI20" s="103" t="s">
        <v>1804</v>
      </c>
      <c r="BJ20" s="103" t="s">
        <v>1804</v>
      </c>
      <c r="BK20" s="103" t="s">
        <v>4478</v>
      </c>
      <c r="BL20" s="103" t="s">
        <v>4470</v>
      </c>
      <c r="BM20" s="103"/>
      <c r="BN20" s="103"/>
      <c r="BO20" s="103">
        <v>40</v>
      </c>
      <c r="BP20" s="103" t="s">
        <v>4532</v>
      </c>
      <c r="BQ20" s="99" t="s">
        <v>4476</v>
      </c>
      <c r="BR20" s="99" t="s">
        <v>4476</v>
      </c>
      <c r="BS20" s="99"/>
      <c r="BT20" s="103" t="s">
        <v>3186</v>
      </c>
      <c r="BU20" s="99" t="s">
        <v>4628</v>
      </c>
      <c r="BV20" s="103" t="s">
        <v>4476</v>
      </c>
      <c r="BW20" s="103" t="s">
        <v>4476</v>
      </c>
      <c r="BX20" s="103" t="s">
        <v>1548</v>
      </c>
      <c r="BY20" s="103" t="s">
        <v>4501</v>
      </c>
      <c r="BZ20" s="103" t="s">
        <v>4478</v>
      </c>
      <c r="CA20" s="103" t="s">
        <v>4509</v>
      </c>
      <c r="CB20" s="103">
        <v>40</v>
      </c>
      <c r="CC20" s="103" t="s">
        <v>4502</v>
      </c>
      <c r="CD20" s="103" t="s">
        <v>4480</v>
      </c>
      <c r="CE20" s="103" t="s">
        <v>4480</v>
      </c>
      <c r="CF20" s="103" t="s">
        <v>4482</v>
      </c>
      <c r="CG20" s="103" t="s">
        <v>4681</v>
      </c>
      <c r="CH20" s="103" t="s">
        <v>652</v>
      </c>
      <c r="CI20" s="103">
        <v>76052552</v>
      </c>
      <c r="CJ20" s="103" t="s">
        <v>4682</v>
      </c>
      <c r="CK20" s="108">
        <v>43364.553078703706</v>
      </c>
      <c r="CL20" s="109">
        <v>43364.561319444445</v>
      </c>
      <c r="CM20" s="95">
        <v>13.0695031</v>
      </c>
      <c r="CN20" s="95">
        <v>-3.0626283999999999</v>
      </c>
      <c r="CO20" s="99"/>
      <c r="CP20" s="99"/>
      <c r="CQ20" s="99"/>
      <c r="CR20" s="99"/>
      <c r="CS20" s="99"/>
      <c r="CT20" s="99"/>
      <c r="CU20" s="99"/>
      <c r="CV20" s="99"/>
      <c r="CW20" s="99"/>
      <c r="CX20" s="99"/>
      <c r="CY20" s="99"/>
      <c r="CZ20" s="99"/>
      <c r="DA20" s="99"/>
      <c r="DB20" s="99"/>
      <c r="DC20" s="99"/>
    </row>
    <row r="21" spans="1:107" ht="15.75" customHeight="1">
      <c r="A21" s="95">
        <v>21</v>
      </c>
      <c r="B21" s="99" t="s">
        <v>557</v>
      </c>
      <c r="C21" s="99" t="s">
        <v>558</v>
      </c>
      <c r="D21" s="99">
        <v>70957671</v>
      </c>
      <c r="E21" s="99" t="s">
        <v>41</v>
      </c>
      <c r="F21" s="95" t="s">
        <v>4683</v>
      </c>
      <c r="G21" s="95" t="s">
        <v>1044</v>
      </c>
      <c r="H21" s="95" t="s">
        <v>1045</v>
      </c>
      <c r="I21" s="95" t="s">
        <v>42</v>
      </c>
      <c r="J21" s="95"/>
      <c r="K21" s="99"/>
      <c r="L21" s="103" t="s">
        <v>4449</v>
      </c>
      <c r="M21" s="99" t="s">
        <v>4450</v>
      </c>
      <c r="N21" s="99" t="s">
        <v>4451</v>
      </c>
      <c r="O21" s="99" t="s">
        <v>4684</v>
      </c>
      <c r="P21" s="103">
        <v>2000</v>
      </c>
      <c r="Q21" s="103" t="s">
        <v>1862</v>
      </c>
      <c r="R21" s="99" t="s">
        <v>4633</v>
      </c>
      <c r="S21" s="103" t="s">
        <v>1541</v>
      </c>
      <c r="T21" s="103" t="s">
        <v>4634</v>
      </c>
      <c r="U21" s="99" t="s">
        <v>4685</v>
      </c>
      <c r="V21" s="95">
        <v>13.0373891</v>
      </c>
      <c r="W21" s="95">
        <v>-1.9370871000000001</v>
      </c>
      <c r="X21" s="104" t="s">
        <v>4686</v>
      </c>
      <c r="Y21" s="103" t="s">
        <v>1634</v>
      </c>
      <c r="Z21" s="103" t="s">
        <v>1634</v>
      </c>
      <c r="AA21" s="103" t="s">
        <v>1862</v>
      </c>
      <c r="AB21" s="103">
        <v>358</v>
      </c>
      <c r="AC21" s="103">
        <v>3</v>
      </c>
      <c r="AD21" s="103">
        <v>355</v>
      </c>
      <c r="AE21" s="103" t="s">
        <v>1634</v>
      </c>
      <c r="AF21" s="103" t="s">
        <v>4637</v>
      </c>
      <c r="AG21" s="99" t="s">
        <v>4554</v>
      </c>
      <c r="AH21" s="103" t="s">
        <v>1862</v>
      </c>
      <c r="AI21" s="103" t="s">
        <v>1862</v>
      </c>
      <c r="AJ21" s="103" t="s">
        <v>1862</v>
      </c>
      <c r="AK21" s="103" t="s">
        <v>1862</v>
      </c>
      <c r="AL21" s="103" t="s">
        <v>1804</v>
      </c>
      <c r="AM21" s="103" t="s">
        <v>1862</v>
      </c>
      <c r="AN21" s="99" t="s">
        <v>4638</v>
      </c>
      <c r="AO21" s="103" t="s">
        <v>1862</v>
      </c>
      <c r="AP21" s="103">
        <v>1600</v>
      </c>
      <c r="AQ21" s="112" t="s">
        <v>4461</v>
      </c>
      <c r="AR21" s="103"/>
      <c r="AS21" s="106">
        <v>50000000</v>
      </c>
      <c r="AT21" s="103" t="s">
        <v>4527</v>
      </c>
      <c r="AU21" s="103" t="s">
        <v>1634</v>
      </c>
      <c r="AV21" s="99" t="s">
        <v>4463</v>
      </c>
      <c r="AW21" s="99" t="s">
        <v>4639</v>
      </c>
      <c r="AX21" s="99" t="s">
        <v>4640</v>
      </c>
      <c r="AY21" s="99" t="s">
        <v>4641</v>
      </c>
      <c r="AZ21" s="99" t="s">
        <v>4530</v>
      </c>
      <c r="BA21" s="103" t="s">
        <v>1634</v>
      </c>
      <c r="BB21" s="99"/>
      <c r="BC21" s="99">
        <v>22000</v>
      </c>
      <c r="BD21" s="99"/>
      <c r="BE21" s="99">
        <v>37500000</v>
      </c>
      <c r="BF21" s="103" t="s">
        <v>4642</v>
      </c>
      <c r="BG21" s="103" t="s">
        <v>1862</v>
      </c>
      <c r="BH21" s="103" t="s">
        <v>1862</v>
      </c>
      <c r="BI21" s="103" t="s">
        <v>1862</v>
      </c>
      <c r="BJ21" s="103" t="s">
        <v>1862</v>
      </c>
      <c r="BK21" s="103" t="s">
        <v>4469</v>
      </c>
      <c r="BL21" s="103" t="s">
        <v>4472</v>
      </c>
      <c r="BM21" s="103" t="s">
        <v>4461</v>
      </c>
      <c r="BN21" s="103" t="s">
        <v>4643</v>
      </c>
      <c r="BO21" s="103">
        <v>450</v>
      </c>
      <c r="BP21" s="103" t="s">
        <v>4532</v>
      </c>
      <c r="BQ21" s="99" t="s">
        <v>4644</v>
      </c>
      <c r="BR21" s="99" t="s">
        <v>4644</v>
      </c>
      <c r="BS21" s="99" t="s">
        <v>4564</v>
      </c>
      <c r="BT21" s="103" t="s">
        <v>3186</v>
      </c>
      <c r="BU21" s="99"/>
      <c r="BV21" s="103" t="s">
        <v>4644</v>
      </c>
      <c r="BW21" s="103" t="s">
        <v>4644</v>
      </c>
      <c r="BX21" s="103"/>
      <c r="BY21" s="103"/>
      <c r="BZ21" s="103"/>
      <c r="CA21" s="103"/>
      <c r="CB21" s="103"/>
      <c r="CC21" s="103" t="s">
        <v>4502</v>
      </c>
      <c r="CD21" s="103" t="s">
        <v>4475</v>
      </c>
      <c r="CE21" s="112" t="s">
        <v>4475</v>
      </c>
      <c r="CF21" s="103"/>
      <c r="CG21" s="103" t="s">
        <v>557</v>
      </c>
      <c r="CH21" s="103" t="s">
        <v>558</v>
      </c>
      <c r="CI21" s="103">
        <v>70957671</v>
      </c>
      <c r="CJ21" s="103"/>
      <c r="CK21" s="108">
        <v>43364.693287037036</v>
      </c>
      <c r="CL21" s="109">
        <v>43364.732754629629</v>
      </c>
      <c r="CM21" s="95">
        <v>13.0373891</v>
      </c>
      <c r="CN21" s="95">
        <v>-1.9370871000000001</v>
      </c>
      <c r="CO21" s="99"/>
      <c r="CP21" s="99"/>
      <c r="CQ21" s="99"/>
      <c r="CR21" s="99"/>
      <c r="CS21" s="99"/>
      <c r="CT21" s="99"/>
      <c r="CU21" s="99"/>
      <c r="CV21" s="99"/>
      <c r="CW21" s="99"/>
      <c r="CX21" s="99"/>
      <c r="CY21" s="99"/>
      <c r="CZ21" s="99"/>
      <c r="DA21" s="99"/>
      <c r="DB21" s="99"/>
      <c r="DC21" s="99"/>
    </row>
    <row r="22" spans="1:107" ht="15.75" customHeight="1">
      <c r="A22" s="95">
        <v>22</v>
      </c>
      <c r="B22" s="99" t="s">
        <v>541</v>
      </c>
      <c r="C22" s="99" t="s">
        <v>559</v>
      </c>
      <c r="D22" s="99">
        <v>72049346</v>
      </c>
      <c r="E22" s="99" t="s">
        <v>43</v>
      </c>
      <c r="F22" s="95" t="s">
        <v>4614</v>
      </c>
      <c r="G22" s="95" t="s">
        <v>1047</v>
      </c>
      <c r="H22" s="95" t="s">
        <v>1056</v>
      </c>
      <c r="I22" s="95" t="s">
        <v>26</v>
      </c>
      <c r="J22" s="95"/>
      <c r="K22" s="99"/>
      <c r="L22" s="103" t="s">
        <v>4449</v>
      </c>
      <c r="M22" s="99" t="s">
        <v>4450</v>
      </c>
      <c r="N22" s="99" t="s">
        <v>1565</v>
      </c>
      <c r="O22" s="99" t="s">
        <v>4615</v>
      </c>
      <c r="P22" s="103">
        <v>2004</v>
      </c>
      <c r="Q22" s="103" t="s">
        <v>1862</v>
      </c>
      <c r="R22" s="99" t="s">
        <v>4687</v>
      </c>
      <c r="S22" s="103" t="s">
        <v>1541</v>
      </c>
      <c r="T22" s="103" t="s">
        <v>4490</v>
      </c>
      <c r="U22" s="99" t="s">
        <v>4617</v>
      </c>
      <c r="V22" s="95">
        <v>12.2483626</v>
      </c>
      <c r="W22" s="95">
        <v>-0.62515410000000005</v>
      </c>
      <c r="X22" s="104" t="s">
        <v>4618</v>
      </c>
      <c r="Y22" s="103" t="s">
        <v>1634</v>
      </c>
      <c r="Z22" s="103" t="s">
        <v>1548</v>
      </c>
      <c r="AA22" s="103" t="s">
        <v>1862</v>
      </c>
      <c r="AB22" s="103">
        <v>40</v>
      </c>
      <c r="AC22" s="103">
        <v>0</v>
      </c>
      <c r="AD22" s="103">
        <v>40</v>
      </c>
      <c r="AE22" s="103" t="s">
        <v>1634</v>
      </c>
      <c r="AF22" s="103" t="s">
        <v>4493</v>
      </c>
      <c r="AG22" s="99" t="s">
        <v>4688</v>
      </c>
      <c r="AH22" s="103" t="s">
        <v>1862</v>
      </c>
      <c r="AI22" s="103" t="s">
        <v>1862</v>
      </c>
      <c r="AJ22" s="103" t="s">
        <v>1804</v>
      </c>
      <c r="AK22" s="103" t="s">
        <v>1804</v>
      </c>
      <c r="AL22" s="103" t="s">
        <v>1804</v>
      </c>
      <c r="AM22" s="103" t="s">
        <v>1862</v>
      </c>
      <c r="AN22" s="99" t="s">
        <v>4604</v>
      </c>
      <c r="AO22" s="103" t="s">
        <v>1862</v>
      </c>
      <c r="AP22" s="103">
        <v>500</v>
      </c>
      <c r="AQ22" s="103" t="s">
        <v>4461</v>
      </c>
      <c r="AR22" s="103">
        <v>0</v>
      </c>
      <c r="AS22" s="106">
        <v>1000000</v>
      </c>
      <c r="AT22" s="103" t="s">
        <v>4625</v>
      </c>
      <c r="AU22" s="103" t="s">
        <v>1548</v>
      </c>
      <c r="AV22" s="99"/>
      <c r="AW22" s="99" t="s">
        <v>4626</v>
      </c>
      <c r="AX22" s="99" t="s">
        <v>4543</v>
      </c>
      <c r="AY22" s="99" t="s">
        <v>4466</v>
      </c>
      <c r="AZ22" s="99" t="s">
        <v>4467</v>
      </c>
      <c r="BA22" s="103" t="s">
        <v>1548</v>
      </c>
      <c r="BB22" s="99">
        <v>6000</v>
      </c>
      <c r="BC22" s="99">
        <v>2000</v>
      </c>
      <c r="BD22" s="99">
        <v>0</v>
      </c>
      <c r="BE22" s="99">
        <v>1025000</v>
      </c>
      <c r="BF22" s="103" t="s">
        <v>4689</v>
      </c>
      <c r="BG22" s="103" t="s">
        <v>1804</v>
      </c>
      <c r="BH22" s="103" t="s">
        <v>1804</v>
      </c>
      <c r="BI22" s="103" t="s">
        <v>1862</v>
      </c>
      <c r="BJ22" s="103" t="s">
        <v>1862</v>
      </c>
      <c r="BK22" s="103" t="s">
        <v>4478</v>
      </c>
      <c r="BL22" s="103" t="s">
        <v>4470</v>
      </c>
      <c r="BM22" s="103" t="s">
        <v>4461</v>
      </c>
      <c r="BN22" s="103" t="s">
        <v>4690</v>
      </c>
      <c r="BO22" s="103">
        <v>1000</v>
      </c>
      <c r="BP22" s="103" t="s">
        <v>4500</v>
      </c>
      <c r="BQ22" s="99" t="s">
        <v>4476</v>
      </c>
      <c r="BR22" s="99"/>
      <c r="BS22" s="99"/>
      <c r="BT22" s="103" t="s">
        <v>3186</v>
      </c>
      <c r="BU22" s="99" t="s">
        <v>4502</v>
      </c>
      <c r="BV22" s="103" t="s">
        <v>4476</v>
      </c>
      <c r="BW22" s="103" t="s">
        <v>4476</v>
      </c>
      <c r="BX22" s="103" t="s">
        <v>1548</v>
      </c>
      <c r="BY22" s="103" t="s">
        <v>4535</v>
      </c>
      <c r="BZ22" s="103" t="s">
        <v>4515</v>
      </c>
      <c r="CA22" s="103" t="s">
        <v>4509</v>
      </c>
      <c r="CB22" s="103">
        <v>350</v>
      </c>
      <c r="CC22" s="103" t="s">
        <v>4502</v>
      </c>
      <c r="CD22" s="103" t="s">
        <v>4502</v>
      </c>
      <c r="CE22" s="103" t="s">
        <v>4475</v>
      </c>
      <c r="CF22" s="103" t="s">
        <v>4691</v>
      </c>
      <c r="CG22" s="103" t="s">
        <v>4692</v>
      </c>
      <c r="CH22" s="103" t="s">
        <v>4693</v>
      </c>
      <c r="CI22" s="103">
        <v>75104151</v>
      </c>
      <c r="CJ22" s="103"/>
      <c r="CK22" s="108">
        <v>43364.539305555554</v>
      </c>
      <c r="CL22" s="109">
        <v>43364.585590277777</v>
      </c>
      <c r="CM22" s="95">
        <v>12.2483626</v>
      </c>
      <c r="CN22" s="95">
        <v>-0.62515410000000005</v>
      </c>
      <c r="CO22" s="99"/>
      <c r="CP22" s="99"/>
      <c r="CQ22" s="99"/>
      <c r="CR22" s="99"/>
      <c r="CS22" s="99"/>
      <c r="CT22" s="99"/>
      <c r="CU22" s="99"/>
      <c r="CV22" s="99"/>
      <c r="CW22" s="99"/>
      <c r="CX22" s="99"/>
      <c r="CY22" s="99"/>
      <c r="CZ22" s="99"/>
      <c r="DA22" s="99"/>
      <c r="DB22" s="99"/>
      <c r="DC22" s="99"/>
    </row>
    <row r="23" spans="1:107" ht="15.75" customHeight="1">
      <c r="A23" s="95">
        <v>23</v>
      </c>
      <c r="B23" s="99" t="s">
        <v>560</v>
      </c>
      <c r="C23" s="99" t="s">
        <v>561</v>
      </c>
      <c r="D23" s="99">
        <v>70132484</v>
      </c>
      <c r="E23" s="99" t="s">
        <v>44</v>
      </c>
      <c r="F23" s="95" t="s">
        <v>4677</v>
      </c>
      <c r="G23" s="95" t="s">
        <v>1057</v>
      </c>
      <c r="H23" s="95" t="s">
        <v>1058</v>
      </c>
      <c r="I23" s="95" t="s">
        <v>40</v>
      </c>
      <c r="J23" s="95"/>
      <c r="K23" s="99"/>
      <c r="L23" s="103" t="s">
        <v>4449</v>
      </c>
      <c r="M23" s="99" t="s">
        <v>4450</v>
      </c>
      <c r="N23" s="99" t="s">
        <v>4520</v>
      </c>
      <c r="O23" s="99" t="s">
        <v>4694</v>
      </c>
      <c r="P23" s="103">
        <v>2005</v>
      </c>
      <c r="Q23" s="103" t="s">
        <v>1862</v>
      </c>
      <c r="R23" s="99" t="s">
        <v>4521</v>
      </c>
      <c r="S23" s="103" t="s">
        <v>1541</v>
      </c>
      <c r="T23" s="103" t="s">
        <v>4522</v>
      </c>
      <c r="U23" s="99" t="s">
        <v>4678</v>
      </c>
      <c r="V23" s="95">
        <v>13.0695031</v>
      </c>
      <c r="W23" s="95">
        <v>-3.0626283999999999</v>
      </c>
      <c r="X23" s="104" t="s">
        <v>4650</v>
      </c>
      <c r="Y23" s="103" t="s">
        <v>1548</v>
      </c>
      <c r="Z23" s="103" t="s">
        <v>1548</v>
      </c>
      <c r="AA23" s="103" t="s">
        <v>1862</v>
      </c>
      <c r="AB23" s="103">
        <v>40</v>
      </c>
      <c r="AC23" s="103">
        <v>0</v>
      </c>
      <c r="AD23" s="103">
        <v>40</v>
      </c>
      <c r="AE23" s="103" t="s">
        <v>1634</v>
      </c>
      <c r="AF23" s="103" t="s">
        <v>4651</v>
      </c>
      <c r="AG23" s="99" t="s">
        <v>4695</v>
      </c>
      <c r="AH23" s="103" t="s">
        <v>1862</v>
      </c>
      <c r="AI23" s="103" t="s">
        <v>1862</v>
      </c>
      <c r="AJ23" s="103" t="s">
        <v>1804</v>
      </c>
      <c r="AK23" s="103" t="s">
        <v>1804</v>
      </c>
      <c r="AL23" s="103" t="s">
        <v>1804</v>
      </c>
      <c r="AM23" s="103" t="s">
        <v>1804</v>
      </c>
      <c r="AN23" s="99" t="s">
        <v>1646</v>
      </c>
      <c r="AO23" s="103" t="s">
        <v>1862</v>
      </c>
      <c r="AP23" s="103">
        <v>750</v>
      </c>
      <c r="AQ23" s="103" t="s">
        <v>4509</v>
      </c>
      <c r="AR23" s="103">
        <v>0</v>
      </c>
      <c r="AS23" s="106">
        <v>350000</v>
      </c>
      <c r="AT23" s="103" t="s">
        <v>4625</v>
      </c>
      <c r="AU23" s="103" t="s">
        <v>1548</v>
      </c>
      <c r="AV23" s="99"/>
      <c r="AW23" s="99" t="s">
        <v>4680</v>
      </c>
      <c r="AX23" s="99" t="s">
        <v>4543</v>
      </c>
      <c r="AY23" s="99" t="s">
        <v>4466</v>
      </c>
      <c r="AZ23" s="99" t="s">
        <v>4467</v>
      </c>
      <c r="BA23" s="103" t="s">
        <v>1634</v>
      </c>
      <c r="BB23" s="99">
        <v>500</v>
      </c>
      <c r="BC23" s="99">
        <v>42</v>
      </c>
      <c r="BD23" s="99">
        <v>0</v>
      </c>
      <c r="BE23" s="99">
        <v>42</v>
      </c>
      <c r="BF23" s="103" t="s">
        <v>4511</v>
      </c>
      <c r="BG23" s="103" t="s">
        <v>1804</v>
      </c>
      <c r="BH23" s="103" t="s">
        <v>1862</v>
      </c>
      <c r="BI23" s="103" t="s">
        <v>1804</v>
      </c>
      <c r="BJ23" s="103" t="s">
        <v>1804</v>
      </c>
      <c r="BK23" s="103" t="s">
        <v>4478</v>
      </c>
      <c r="BL23" s="103" t="s">
        <v>4470</v>
      </c>
      <c r="BM23" s="103" t="s">
        <v>4461</v>
      </c>
      <c r="BN23" s="103" t="s">
        <v>4512</v>
      </c>
      <c r="BO23" s="103">
        <v>50</v>
      </c>
      <c r="BP23" s="103" t="s">
        <v>4509</v>
      </c>
      <c r="BQ23" s="99" t="s">
        <v>4476</v>
      </c>
      <c r="BR23" s="99" t="s">
        <v>4476</v>
      </c>
      <c r="BS23" s="99"/>
      <c r="BT23" s="103" t="s">
        <v>3186</v>
      </c>
      <c r="BU23" s="99" t="s">
        <v>4475</v>
      </c>
      <c r="BV23" s="103" t="s">
        <v>4514</v>
      </c>
      <c r="BW23" s="103" t="s">
        <v>4476</v>
      </c>
      <c r="BX23" s="103" t="s">
        <v>1548</v>
      </c>
      <c r="BY23" s="103" t="s">
        <v>4501</v>
      </c>
      <c r="BZ23" s="103" t="s">
        <v>4478</v>
      </c>
      <c r="CA23" s="103" t="s">
        <v>4509</v>
      </c>
      <c r="CB23" s="103">
        <v>15</v>
      </c>
      <c r="CC23" s="103" t="s">
        <v>4502</v>
      </c>
      <c r="CD23" s="103" t="s">
        <v>4475</v>
      </c>
      <c r="CE23" s="103" t="s">
        <v>4475</v>
      </c>
      <c r="CF23" s="103" t="s">
        <v>4482</v>
      </c>
      <c r="CG23" s="103" t="s">
        <v>4696</v>
      </c>
      <c r="CH23" s="103" t="s">
        <v>534</v>
      </c>
      <c r="CI23" s="103">
        <v>73372912</v>
      </c>
      <c r="CJ23" s="103"/>
      <c r="CK23" s="108">
        <v>43364.601354166669</v>
      </c>
      <c r="CL23" s="109">
        <v>43364.61478009259</v>
      </c>
      <c r="CM23" s="95">
        <v>13.0695031</v>
      </c>
      <c r="CN23" s="95">
        <v>-3.0626283999999999</v>
      </c>
      <c r="CO23" s="99"/>
      <c r="CP23" s="99"/>
      <c r="CQ23" s="99"/>
      <c r="CR23" s="99"/>
      <c r="CS23" s="99"/>
      <c r="CT23" s="99"/>
      <c r="CU23" s="99"/>
      <c r="CV23" s="99"/>
      <c r="CW23" s="99"/>
      <c r="CX23" s="99"/>
      <c r="CY23" s="99"/>
      <c r="CZ23" s="99"/>
      <c r="DA23" s="99"/>
      <c r="DB23" s="99"/>
      <c r="DC23" s="99"/>
    </row>
    <row r="24" spans="1:107" ht="15.75" customHeight="1">
      <c r="A24" s="95">
        <v>24</v>
      </c>
      <c r="B24" s="99" t="s">
        <v>562</v>
      </c>
      <c r="C24" s="99" t="s">
        <v>563</v>
      </c>
      <c r="D24" s="99">
        <v>78026664</v>
      </c>
      <c r="E24" s="99" t="s">
        <v>45</v>
      </c>
      <c r="F24" s="95" t="s">
        <v>4697</v>
      </c>
      <c r="G24" s="95" t="s">
        <v>1062</v>
      </c>
      <c r="H24" s="95" t="s">
        <v>96</v>
      </c>
      <c r="I24" s="95" t="s">
        <v>46</v>
      </c>
      <c r="J24" s="95"/>
      <c r="K24" s="99"/>
      <c r="L24" s="103" t="s">
        <v>4449</v>
      </c>
      <c r="M24" s="99" t="s">
        <v>4567</v>
      </c>
      <c r="N24" s="99" t="s">
        <v>4698</v>
      </c>
      <c r="O24" s="99" t="s">
        <v>4452</v>
      </c>
      <c r="P24" s="103">
        <v>2011</v>
      </c>
      <c r="Q24" s="103" t="s">
        <v>1862</v>
      </c>
      <c r="R24" s="99" t="s">
        <v>4699</v>
      </c>
      <c r="S24" s="103" t="s">
        <v>1541</v>
      </c>
      <c r="T24" s="103" t="s">
        <v>4455</v>
      </c>
      <c r="U24" s="99" t="s">
        <v>4700</v>
      </c>
      <c r="V24" s="95">
        <v>12.3714277</v>
      </c>
      <c r="W24" s="95">
        <v>-1.5196603</v>
      </c>
      <c r="X24" s="104" t="s">
        <v>4701</v>
      </c>
      <c r="Y24" s="103" t="s">
        <v>1634</v>
      </c>
      <c r="Z24" s="103" t="s">
        <v>1634</v>
      </c>
      <c r="AA24" s="103" t="s">
        <v>1862</v>
      </c>
      <c r="AB24" s="103">
        <v>25</v>
      </c>
      <c r="AC24" s="103">
        <v>4</v>
      </c>
      <c r="AD24" s="103">
        <v>21</v>
      </c>
      <c r="AE24" s="103" t="s">
        <v>1634</v>
      </c>
      <c r="AF24" s="103" t="s">
        <v>4493</v>
      </c>
      <c r="AG24" s="99" t="s">
        <v>4554</v>
      </c>
      <c r="AH24" s="103" t="s">
        <v>1862</v>
      </c>
      <c r="AI24" s="103" t="s">
        <v>1862</v>
      </c>
      <c r="AJ24" s="103" t="s">
        <v>1862</v>
      </c>
      <c r="AK24" s="103" t="s">
        <v>1862</v>
      </c>
      <c r="AL24" s="103" t="s">
        <v>1804</v>
      </c>
      <c r="AM24" s="103" t="s">
        <v>1862</v>
      </c>
      <c r="AN24" s="99" t="s">
        <v>4702</v>
      </c>
      <c r="AO24" s="103" t="s">
        <v>1862</v>
      </c>
      <c r="AP24" s="103">
        <v>800</v>
      </c>
      <c r="AQ24" s="103" t="s">
        <v>4500</v>
      </c>
      <c r="AR24" s="103"/>
      <c r="AS24" s="106">
        <v>400000</v>
      </c>
      <c r="AT24" s="103" t="s">
        <v>4462</v>
      </c>
      <c r="AU24" s="103" t="s">
        <v>1634</v>
      </c>
      <c r="AV24" s="99" t="s">
        <v>4463</v>
      </c>
      <c r="AW24" s="99" t="s">
        <v>4703</v>
      </c>
      <c r="AX24" s="99" t="s">
        <v>4704</v>
      </c>
      <c r="AY24" s="99" t="s">
        <v>4466</v>
      </c>
      <c r="AZ24" s="99" t="s">
        <v>4561</v>
      </c>
      <c r="BA24" s="103" t="s">
        <v>1634</v>
      </c>
      <c r="BB24" s="99">
        <v>14400</v>
      </c>
      <c r="BC24" s="99">
        <v>6000</v>
      </c>
      <c r="BD24" s="99"/>
      <c r="BE24" s="99">
        <v>4800000</v>
      </c>
      <c r="BF24" s="103" t="s">
        <v>4544</v>
      </c>
      <c r="BG24" s="103" t="s">
        <v>1862</v>
      </c>
      <c r="BH24" s="103" t="s">
        <v>1862</v>
      </c>
      <c r="BI24" s="103" t="s">
        <v>1804</v>
      </c>
      <c r="BJ24" s="103" t="s">
        <v>1804</v>
      </c>
      <c r="BK24" s="103" t="s">
        <v>4586</v>
      </c>
      <c r="BL24" s="103" t="s">
        <v>4470</v>
      </c>
      <c r="BM24" s="103" t="s">
        <v>4461</v>
      </c>
      <c r="BN24" s="103" t="s">
        <v>4512</v>
      </c>
      <c r="BO24" s="103">
        <v>200</v>
      </c>
      <c r="BP24" s="103" t="s">
        <v>4461</v>
      </c>
      <c r="BQ24" s="99" t="s">
        <v>4705</v>
      </c>
      <c r="BR24" s="99" t="s">
        <v>4513</v>
      </c>
      <c r="BS24" s="99"/>
      <c r="BT24" s="103" t="s">
        <v>3186</v>
      </c>
      <c r="BU24" s="99" t="s">
        <v>4628</v>
      </c>
      <c r="BV24" s="103" t="s">
        <v>4476</v>
      </c>
      <c r="BW24" s="103" t="s">
        <v>4476</v>
      </c>
      <c r="BX24" s="103" t="s">
        <v>1634</v>
      </c>
      <c r="BY24" s="103" t="s">
        <v>4501</v>
      </c>
      <c r="BZ24" s="103" t="s">
        <v>4515</v>
      </c>
      <c r="CA24" s="103" t="s">
        <v>4500</v>
      </c>
      <c r="CB24" s="103">
        <v>30</v>
      </c>
      <c r="CC24" s="103" t="s">
        <v>4502</v>
      </c>
      <c r="CD24" s="103" t="s">
        <v>4480</v>
      </c>
      <c r="CE24" s="103" t="s">
        <v>4706</v>
      </c>
      <c r="CF24" s="103"/>
      <c r="CG24" s="103" t="s">
        <v>4707</v>
      </c>
      <c r="CH24" s="103" t="s">
        <v>563</v>
      </c>
      <c r="CI24" s="103">
        <v>56401645</v>
      </c>
      <c r="CJ24" s="103" t="s">
        <v>4708</v>
      </c>
      <c r="CK24" s="108">
        <v>43364.534166666665</v>
      </c>
      <c r="CL24" s="109">
        <v>43364.615532407406</v>
      </c>
      <c r="CM24" s="95">
        <v>12.3714277</v>
      </c>
      <c r="CN24" s="95">
        <v>-1.5196603</v>
      </c>
      <c r="CO24" s="99"/>
      <c r="CP24" s="99"/>
      <c r="CQ24" s="99"/>
      <c r="CR24" s="99"/>
      <c r="CS24" s="99"/>
      <c r="CT24" s="99"/>
      <c r="CU24" s="99"/>
      <c r="CV24" s="99"/>
      <c r="CW24" s="99"/>
      <c r="CX24" s="99"/>
      <c r="CY24" s="99"/>
      <c r="CZ24" s="99"/>
      <c r="DA24" s="99"/>
      <c r="DB24" s="99"/>
      <c r="DC24" s="99"/>
    </row>
    <row r="25" spans="1:107" ht="15.75" customHeight="1">
      <c r="A25" s="95">
        <v>25</v>
      </c>
      <c r="B25" s="99" t="s">
        <v>541</v>
      </c>
      <c r="C25" s="99" t="s">
        <v>564</v>
      </c>
      <c r="D25" s="99">
        <v>60179724</v>
      </c>
      <c r="E25" s="99" t="s">
        <v>47</v>
      </c>
      <c r="F25" s="95" t="s">
        <v>1047</v>
      </c>
      <c r="G25" s="95" t="s">
        <v>1047</v>
      </c>
      <c r="H25" s="95"/>
      <c r="I25" s="95"/>
      <c r="J25" s="95"/>
      <c r="K25" s="99"/>
      <c r="L25" s="103" t="s">
        <v>4449</v>
      </c>
      <c r="M25" s="99" t="s">
        <v>4450</v>
      </c>
      <c r="N25" s="99" t="s">
        <v>1565</v>
      </c>
      <c r="O25" s="99" t="s">
        <v>4615</v>
      </c>
      <c r="P25" s="103">
        <v>2002</v>
      </c>
      <c r="Q25" s="103" t="s">
        <v>1862</v>
      </c>
      <c r="R25" s="99" t="s">
        <v>4709</v>
      </c>
      <c r="S25" s="103" t="s">
        <v>1541</v>
      </c>
      <c r="T25" s="103" t="s">
        <v>4634</v>
      </c>
      <c r="U25" s="99" t="s">
        <v>4710</v>
      </c>
      <c r="V25" s="95">
        <v>12.253764800000001</v>
      </c>
      <c r="W25" s="95">
        <v>-0.75328090000000003</v>
      </c>
      <c r="X25" s="104" t="s">
        <v>4711</v>
      </c>
      <c r="Y25" s="103" t="s">
        <v>1634</v>
      </c>
      <c r="Z25" s="103" t="s">
        <v>1634</v>
      </c>
      <c r="AA25" s="103" t="s">
        <v>1862</v>
      </c>
      <c r="AB25" s="103">
        <v>90</v>
      </c>
      <c r="AC25" s="103">
        <v>1</v>
      </c>
      <c r="AD25" s="103">
        <v>89</v>
      </c>
      <c r="AE25" s="103" t="s">
        <v>1634</v>
      </c>
      <c r="AF25" s="103" t="s">
        <v>4493</v>
      </c>
      <c r="AG25" s="99" t="s">
        <v>4554</v>
      </c>
      <c r="AH25" s="103" t="s">
        <v>1862</v>
      </c>
      <c r="AI25" s="103" t="s">
        <v>1862</v>
      </c>
      <c r="AJ25" s="103" t="s">
        <v>1862</v>
      </c>
      <c r="AK25" s="103" t="s">
        <v>1862</v>
      </c>
      <c r="AL25" s="103" t="s">
        <v>1804</v>
      </c>
      <c r="AM25" s="103" t="s">
        <v>1862</v>
      </c>
      <c r="AN25" s="99" t="s">
        <v>4712</v>
      </c>
      <c r="AO25" s="103" t="s">
        <v>1862</v>
      </c>
      <c r="AP25" s="103">
        <v>700</v>
      </c>
      <c r="AQ25" s="103" t="s">
        <v>4461</v>
      </c>
      <c r="AR25" s="103">
        <v>0</v>
      </c>
      <c r="AS25" s="106">
        <v>1300000</v>
      </c>
      <c r="AT25" s="103" t="s">
        <v>4625</v>
      </c>
      <c r="AU25" s="103" t="s">
        <v>1634</v>
      </c>
      <c r="AV25" s="99" t="s">
        <v>4463</v>
      </c>
      <c r="AW25" s="99" t="s">
        <v>4713</v>
      </c>
      <c r="AX25" s="99" t="s">
        <v>4714</v>
      </c>
      <c r="AY25" s="99" t="s">
        <v>4560</v>
      </c>
      <c r="AZ25" s="99" t="s">
        <v>4530</v>
      </c>
      <c r="BA25" s="103" t="s">
        <v>1634</v>
      </c>
      <c r="BB25" s="99">
        <v>7000</v>
      </c>
      <c r="BC25" s="99">
        <v>8000</v>
      </c>
      <c r="BD25" s="99">
        <v>0</v>
      </c>
      <c r="BE25" s="99">
        <v>1400000</v>
      </c>
      <c r="BF25" s="103" t="s">
        <v>4715</v>
      </c>
      <c r="BG25" s="103" t="s">
        <v>1862</v>
      </c>
      <c r="BH25" s="103" t="s">
        <v>1862</v>
      </c>
      <c r="BI25" s="103" t="s">
        <v>1862</v>
      </c>
      <c r="BJ25" s="103" t="s">
        <v>1804</v>
      </c>
      <c r="BK25" s="103" t="s">
        <v>4586</v>
      </c>
      <c r="BL25" s="103" t="s">
        <v>4472</v>
      </c>
      <c r="BM25" s="103" t="s">
        <v>4461</v>
      </c>
      <c r="BN25" s="103" t="s">
        <v>4607</v>
      </c>
      <c r="BO25" s="103">
        <v>1200</v>
      </c>
      <c r="BP25" s="103" t="s">
        <v>4500</v>
      </c>
      <c r="BQ25" s="99" t="s">
        <v>4476</v>
      </c>
      <c r="BR25" s="99" t="s">
        <v>4476</v>
      </c>
      <c r="BS25" s="99"/>
      <c r="BT25" s="103" t="s">
        <v>3186</v>
      </c>
      <c r="BU25" s="99" t="s">
        <v>4502</v>
      </c>
      <c r="BV25" s="103" t="s">
        <v>4476</v>
      </c>
      <c r="BW25" s="103" t="s">
        <v>4476</v>
      </c>
      <c r="BX25" s="103" t="s">
        <v>1548</v>
      </c>
      <c r="BY25" s="103" t="s">
        <v>4535</v>
      </c>
      <c r="BZ25" s="103" t="s">
        <v>4515</v>
      </c>
      <c r="CA25" s="103" t="s">
        <v>4461</v>
      </c>
      <c r="CB25" s="103">
        <v>450</v>
      </c>
      <c r="CC25" s="103" t="s">
        <v>4716</v>
      </c>
      <c r="CD25" s="103" t="s">
        <v>4475</v>
      </c>
      <c r="CE25" s="103" t="s">
        <v>4479</v>
      </c>
      <c r="CF25" s="103" t="s">
        <v>4691</v>
      </c>
      <c r="CG25" s="103" t="s">
        <v>588</v>
      </c>
      <c r="CH25" s="103" t="s">
        <v>4717</v>
      </c>
      <c r="CI25" s="103">
        <v>70382677</v>
      </c>
      <c r="CJ25" s="103"/>
      <c r="CK25" s="108">
        <v>43364.634467592594</v>
      </c>
      <c r="CL25" s="109">
        <v>43364.660277777781</v>
      </c>
      <c r="CM25" s="95">
        <v>12.253764800000001</v>
      </c>
      <c r="CN25" s="95">
        <v>-0.75328090000000003</v>
      </c>
      <c r="CO25" s="99"/>
      <c r="CP25" s="99"/>
      <c r="CQ25" s="99"/>
      <c r="CR25" s="99"/>
      <c r="CS25" s="99"/>
      <c r="CT25" s="99"/>
      <c r="CU25" s="99"/>
      <c r="CV25" s="99"/>
      <c r="CW25" s="99"/>
      <c r="CX25" s="99"/>
      <c r="CY25" s="99"/>
      <c r="CZ25" s="99"/>
      <c r="DA25" s="99"/>
      <c r="DB25" s="99"/>
      <c r="DC25" s="99"/>
    </row>
    <row r="26" spans="1:107" ht="15.75" customHeight="1">
      <c r="A26" s="95">
        <v>26</v>
      </c>
      <c r="B26" s="99" t="s">
        <v>565</v>
      </c>
      <c r="C26" s="99" t="s">
        <v>566</v>
      </c>
      <c r="D26" s="99">
        <v>72047199</v>
      </c>
      <c r="E26" s="99" t="s">
        <v>48</v>
      </c>
      <c r="F26" s="95" t="s">
        <v>4654</v>
      </c>
      <c r="G26" s="95" t="s">
        <v>1057</v>
      </c>
      <c r="H26" s="95" t="s">
        <v>1060</v>
      </c>
      <c r="I26" s="95" t="s">
        <v>34</v>
      </c>
      <c r="J26" s="95"/>
      <c r="K26" s="99"/>
      <c r="L26" s="103" t="s">
        <v>4449</v>
      </c>
      <c r="M26" s="99" t="s">
        <v>4450</v>
      </c>
      <c r="N26" s="99" t="s">
        <v>4718</v>
      </c>
      <c r="O26" s="99" t="s">
        <v>4684</v>
      </c>
      <c r="P26" s="103">
        <v>2001</v>
      </c>
      <c r="Q26" s="103" t="s">
        <v>1862</v>
      </c>
      <c r="R26" s="99" t="s">
        <v>4633</v>
      </c>
      <c r="S26" s="103" t="s">
        <v>4454</v>
      </c>
      <c r="T26" s="103" t="s">
        <v>4634</v>
      </c>
      <c r="U26" s="99" t="s">
        <v>4655</v>
      </c>
      <c r="V26" s="95">
        <v>12.743024399999999</v>
      </c>
      <c r="W26" s="95">
        <v>-3.8553506999999998</v>
      </c>
      <c r="X26" s="104" t="s">
        <v>4656</v>
      </c>
      <c r="Y26" s="103" t="s">
        <v>1634</v>
      </c>
      <c r="Z26" s="103" t="s">
        <v>1634</v>
      </c>
      <c r="AA26" s="103" t="s">
        <v>1862</v>
      </c>
      <c r="AB26" s="103">
        <v>300</v>
      </c>
      <c r="AC26" s="103">
        <v>4</v>
      </c>
      <c r="AD26" s="103">
        <v>296</v>
      </c>
      <c r="AE26" s="103" t="s">
        <v>1634</v>
      </c>
      <c r="AF26" s="103" t="s">
        <v>4637</v>
      </c>
      <c r="AG26" s="99" t="s">
        <v>4554</v>
      </c>
      <c r="AH26" s="103" t="s">
        <v>1862</v>
      </c>
      <c r="AI26" s="103" t="s">
        <v>1862</v>
      </c>
      <c r="AJ26" s="103" t="s">
        <v>1862</v>
      </c>
      <c r="AK26" s="103" t="s">
        <v>1862</v>
      </c>
      <c r="AL26" s="103" t="s">
        <v>1804</v>
      </c>
      <c r="AM26" s="103" t="s">
        <v>1862</v>
      </c>
      <c r="AN26" s="99" t="s">
        <v>4638</v>
      </c>
      <c r="AO26" s="103" t="s">
        <v>1862</v>
      </c>
      <c r="AP26" s="103">
        <v>1500</v>
      </c>
      <c r="AQ26" s="112" t="s">
        <v>4461</v>
      </c>
      <c r="AR26" s="103"/>
      <c r="AS26" s="106">
        <v>50000000</v>
      </c>
      <c r="AT26" s="103" t="s">
        <v>4527</v>
      </c>
      <c r="AU26" s="103" t="s">
        <v>1634</v>
      </c>
      <c r="AV26" s="99" t="s">
        <v>4463</v>
      </c>
      <c r="AW26" s="99" t="s">
        <v>4639</v>
      </c>
      <c r="AX26" s="99" t="s">
        <v>4640</v>
      </c>
      <c r="AY26" s="99" t="s">
        <v>4641</v>
      </c>
      <c r="AZ26" s="99" t="s">
        <v>4530</v>
      </c>
      <c r="BA26" s="103" t="s">
        <v>1634</v>
      </c>
      <c r="BB26" s="99"/>
      <c r="BC26" s="99">
        <v>3000</v>
      </c>
      <c r="BD26" s="99"/>
      <c r="BE26" s="99">
        <v>41000000</v>
      </c>
      <c r="BF26" s="103" t="s">
        <v>4642</v>
      </c>
      <c r="BG26" s="103" t="s">
        <v>1862</v>
      </c>
      <c r="BH26" s="103" t="s">
        <v>1862</v>
      </c>
      <c r="BI26" s="103" t="s">
        <v>1862</v>
      </c>
      <c r="BJ26" s="103" t="s">
        <v>1862</v>
      </c>
      <c r="BK26" s="103" t="s">
        <v>4469</v>
      </c>
      <c r="BL26" s="103" t="s">
        <v>4472</v>
      </c>
      <c r="BM26" s="103" t="s">
        <v>4461</v>
      </c>
      <c r="BN26" s="103" t="s">
        <v>4643</v>
      </c>
      <c r="BO26" s="103">
        <v>375</v>
      </c>
      <c r="BP26" s="103" t="s">
        <v>4532</v>
      </c>
      <c r="BQ26" s="99" t="s">
        <v>4644</v>
      </c>
      <c r="BR26" s="99" t="s">
        <v>4644</v>
      </c>
      <c r="BS26" s="99" t="s">
        <v>4564</v>
      </c>
      <c r="BT26" s="103" t="s">
        <v>3186</v>
      </c>
      <c r="BU26" s="99"/>
      <c r="BV26" s="103" t="s">
        <v>4644</v>
      </c>
      <c r="BW26" s="103" t="s">
        <v>4644</v>
      </c>
      <c r="BX26" s="103"/>
      <c r="BY26" s="103"/>
      <c r="BZ26" s="103"/>
      <c r="CA26" s="103"/>
      <c r="CB26" s="103"/>
      <c r="CC26" s="103" t="s">
        <v>4502</v>
      </c>
      <c r="CD26" s="103" t="s">
        <v>4475</v>
      </c>
      <c r="CE26" s="112" t="s">
        <v>4475</v>
      </c>
      <c r="CF26" s="103"/>
      <c r="CG26" s="103" t="s">
        <v>683</v>
      </c>
      <c r="CH26" s="103" t="s">
        <v>3183</v>
      </c>
      <c r="CI26" s="103">
        <v>72047199</v>
      </c>
      <c r="CJ26" s="103"/>
      <c r="CK26" s="108">
        <v>43364.693287037036</v>
      </c>
      <c r="CL26" s="109">
        <v>43364.732754629629</v>
      </c>
      <c r="CM26" s="95">
        <v>12.743024399999999</v>
      </c>
      <c r="CN26" s="95">
        <v>-3.8553506999999998</v>
      </c>
      <c r="CO26" s="99"/>
      <c r="CP26" s="99"/>
      <c r="CQ26" s="99"/>
      <c r="CR26" s="99"/>
      <c r="CS26" s="99"/>
      <c r="CT26" s="99"/>
      <c r="CU26" s="99"/>
      <c r="CV26" s="99"/>
      <c r="CW26" s="99"/>
      <c r="CX26" s="99"/>
      <c r="CY26" s="99"/>
      <c r="CZ26" s="99"/>
      <c r="DA26" s="99"/>
      <c r="DB26" s="99"/>
      <c r="DC26" s="99"/>
    </row>
    <row r="27" spans="1:107" ht="15.75" customHeight="1">
      <c r="A27" s="95">
        <v>27</v>
      </c>
      <c r="B27" s="99" t="s">
        <v>567</v>
      </c>
      <c r="C27" s="99" t="s">
        <v>568</v>
      </c>
      <c r="D27" s="99">
        <v>70337977</v>
      </c>
      <c r="E27" s="99" t="s">
        <v>4719</v>
      </c>
      <c r="F27" s="95" t="s">
        <v>4720</v>
      </c>
      <c r="G27" s="95" t="s">
        <v>1057</v>
      </c>
      <c r="H27" s="95" t="s">
        <v>1063</v>
      </c>
      <c r="I27" s="95" t="s">
        <v>50</v>
      </c>
      <c r="J27" s="95"/>
      <c r="K27" s="99"/>
      <c r="L27" s="103" t="s">
        <v>4449</v>
      </c>
      <c r="M27" s="99" t="s">
        <v>4450</v>
      </c>
      <c r="N27" s="99" t="s">
        <v>4520</v>
      </c>
      <c r="O27" s="99" t="s">
        <v>4721</v>
      </c>
      <c r="P27" s="103">
        <v>1999</v>
      </c>
      <c r="Q27" s="103" t="s">
        <v>1862</v>
      </c>
      <c r="R27" s="99" t="s">
        <v>4551</v>
      </c>
      <c r="S27" s="103" t="s">
        <v>2282</v>
      </c>
      <c r="T27" s="103" t="s">
        <v>4490</v>
      </c>
      <c r="U27" s="99" t="s">
        <v>4722</v>
      </c>
      <c r="V27" s="95">
        <v>12.765364099999999</v>
      </c>
      <c r="W27" s="95">
        <v>-2.9000651999999998</v>
      </c>
      <c r="X27" s="104" t="s">
        <v>4723</v>
      </c>
      <c r="Y27" s="103" t="s">
        <v>1634</v>
      </c>
      <c r="Z27" s="103" t="s">
        <v>1634</v>
      </c>
      <c r="AA27" s="103" t="s">
        <v>1862</v>
      </c>
      <c r="AB27" s="103">
        <v>70</v>
      </c>
      <c r="AC27" s="103">
        <v>3</v>
      </c>
      <c r="AD27" s="103">
        <v>67</v>
      </c>
      <c r="AE27" s="103" t="s">
        <v>1634</v>
      </c>
      <c r="AF27" s="103" t="s">
        <v>4679</v>
      </c>
      <c r="AG27" s="99" t="s">
        <v>4724</v>
      </c>
      <c r="AH27" s="103" t="s">
        <v>1804</v>
      </c>
      <c r="AI27" s="103" t="s">
        <v>1804</v>
      </c>
      <c r="AJ27" s="103" t="s">
        <v>1804</v>
      </c>
      <c r="AK27" s="103" t="s">
        <v>1804</v>
      </c>
      <c r="AL27" s="103" t="s">
        <v>1804</v>
      </c>
      <c r="AM27" s="103" t="s">
        <v>1804</v>
      </c>
      <c r="AN27" s="99" t="s">
        <v>4584</v>
      </c>
      <c r="AO27" s="103" t="s">
        <v>1862</v>
      </c>
      <c r="AP27" s="103">
        <v>2000</v>
      </c>
      <c r="AQ27" s="103" t="s">
        <v>4509</v>
      </c>
      <c r="AR27" s="103">
        <v>800000</v>
      </c>
      <c r="AS27" s="106">
        <v>450000</v>
      </c>
      <c r="AT27" s="103" t="s">
        <v>4496</v>
      </c>
      <c r="AU27" s="103" t="s">
        <v>1634</v>
      </c>
      <c r="AV27" s="99" t="s">
        <v>4671</v>
      </c>
      <c r="AW27" s="99" t="s">
        <v>4725</v>
      </c>
      <c r="AX27" s="99" t="s">
        <v>4726</v>
      </c>
      <c r="AY27" s="99" t="s">
        <v>4560</v>
      </c>
      <c r="AZ27" s="99" t="s">
        <v>4467</v>
      </c>
      <c r="BA27" s="103" t="s">
        <v>1634</v>
      </c>
      <c r="BB27" s="99">
        <v>6000</v>
      </c>
      <c r="BC27" s="99">
        <v>400</v>
      </c>
      <c r="BD27" s="99">
        <v>48000</v>
      </c>
      <c r="BE27" s="99">
        <v>400000</v>
      </c>
      <c r="BF27" s="103" t="s">
        <v>4727</v>
      </c>
      <c r="BG27" s="103" t="s">
        <v>1804</v>
      </c>
      <c r="BH27" s="103" t="s">
        <v>1862</v>
      </c>
      <c r="BI27" s="103" t="s">
        <v>1862</v>
      </c>
      <c r="BJ27" s="103" t="s">
        <v>1862</v>
      </c>
      <c r="BK27" s="103" t="s">
        <v>4728</v>
      </c>
      <c r="BL27" s="103" t="s">
        <v>4470</v>
      </c>
      <c r="BM27" s="103" t="s">
        <v>4461</v>
      </c>
      <c r="BN27" s="103" t="s">
        <v>4607</v>
      </c>
      <c r="BO27" s="103">
        <v>600</v>
      </c>
      <c r="BP27" s="103" t="s">
        <v>4500</v>
      </c>
      <c r="BQ27" s="107" t="s">
        <v>4474</v>
      </c>
      <c r="BR27" s="99" t="s">
        <v>4474</v>
      </c>
      <c r="BS27" s="99" t="s">
        <v>4564</v>
      </c>
      <c r="BT27" s="103" t="s">
        <v>3186</v>
      </c>
      <c r="BU27" s="99"/>
      <c r="BV27" s="103" t="s">
        <v>4514</v>
      </c>
      <c r="BW27" s="103" t="s">
        <v>4514</v>
      </c>
      <c r="BX27" s="103" t="s">
        <v>1548</v>
      </c>
      <c r="BY27" s="103" t="s">
        <v>4729</v>
      </c>
      <c r="BZ27" s="103" t="s">
        <v>4478</v>
      </c>
      <c r="CA27" s="103" t="s">
        <v>4509</v>
      </c>
      <c r="CB27" s="103">
        <v>1</v>
      </c>
      <c r="CC27" s="103" t="s">
        <v>4730</v>
      </c>
      <c r="CD27" s="103" t="s">
        <v>4480</v>
      </c>
      <c r="CE27" s="103" t="s">
        <v>4481</v>
      </c>
      <c r="CF27" s="103" t="s">
        <v>4482</v>
      </c>
      <c r="CG27" s="103" t="s">
        <v>4731</v>
      </c>
      <c r="CH27" s="103" t="s">
        <v>4732</v>
      </c>
      <c r="CI27" s="103">
        <v>76504536</v>
      </c>
      <c r="CJ27" s="103"/>
      <c r="CK27" s="108">
        <v>43364.657025462962</v>
      </c>
      <c r="CL27" s="109">
        <v>43364.691423611112</v>
      </c>
      <c r="CM27" s="95">
        <v>12.765364099999999</v>
      </c>
      <c r="CN27" s="95">
        <v>-2.9000651999999998</v>
      </c>
      <c r="CO27" s="99"/>
      <c r="CP27" s="99"/>
      <c r="CQ27" s="99"/>
      <c r="CR27" s="99"/>
      <c r="CS27" s="99"/>
      <c r="CT27" s="99"/>
      <c r="CU27" s="99"/>
      <c r="CV27" s="99"/>
      <c r="CW27" s="99"/>
      <c r="CX27" s="99"/>
      <c r="CY27" s="99"/>
      <c r="CZ27" s="99"/>
      <c r="DA27" s="99"/>
      <c r="DB27" s="99"/>
      <c r="DC27" s="99"/>
    </row>
    <row r="28" spans="1:107" ht="15.75" customHeight="1">
      <c r="A28" s="95">
        <v>28</v>
      </c>
      <c r="B28" s="99" t="s">
        <v>569</v>
      </c>
      <c r="C28" s="99" t="s">
        <v>570</v>
      </c>
      <c r="D28" s="99">
        <v>78828660</v>
      </c>
      <c r="E28" s="99" t="s">
        <v>516</v>
      </c>
      <c r="F28" s="95" t="s">
        <v>4733</v>
      </c>
      <c r="G28" s="95" t="s">
        <v>1062</v>
      </c>
      <c r="H28" s="95" t="s">
        <v>1064</v>
      </c>
      <c r="I28" s="95" t="s">
        <v>96</v>
      </c>
      <c r="J28" s="95"/>
      <c r="K28" s="99"/>
      <c r="L28" s="103" t="s">
        <v>4449</v>
      </c>
      <c r="M28" s="99" t="s">
        <v>4450</v>
      </c>
      <c r="N28" s="99" t="s">
        <v>4698</v>
      </c>
      <c r="O28" s="99" t="s">
        <v>4452</v>
      </c>
      <c r="P28" s="103">
        <v>1994</v>
      </c>
      <c r="Q28" s="103" t="s">
        <v>1862</v>
      </c>
      <c r="R28" s="99" t="s">
        <v>4633</v>
      </c>
      <c r="S28" s="103" t="s">
        <v>2282</v>
      </c>
      <c r="T28" s="103" t="s">
        <v>4634</v>
      </c>
      <c r="U28" s="99" t="s">
        <v>4734</v>
      </c>
      <c r="V28" s="95">
        <v>12.3714277</v>
      </c>
      <c r="W28" s="95">
        <v>-1.5196603</v>
      </c>
      <c r="X28" s="104" t="s">
        <v>4701</v>
      </c>
      <c r="Y28" s="103" t="s">
        <v>1634</v>
      </c>
      <c r="Z28" s="103" t="s">
        <v>1634</v>
      </c>
      <c r="AA28" s="103" t="s">
        <v>1862</v>
      </c>
      <c r="AB28" s="103">
        <v>403</v>
      </c>
      <c r="AC28" s="103">
        <v>5</v>
      </c>
      <c r="AD28" s="103">
        <v>398</v>
      </c>
      <c r="AE28" s="103" t="s">
        <v>1634</v>
      </c>
      <c r="AF28" s="103" t="s">
        <v>4493</v>
      </c>
      <c r="AG28" s="99" t="s">
        <v>4554</v>
      </c>
      <c r="AH28" s="103" t="s">
        <v>1862</v>
      </c>
      <c r="AI28" s="103" t="s">
        <v>1862</v>
      </c>
      <c r="AJ28" s="103" t="s">
        <v>1862</v>
      </c>
      <c r="AK28" s="103" t="s">
        <v>1862</v>
      </c>
      <c r="AL28" s="103" t="s">
        <v>1804</v>
      </c>
      <c r="AM28" s="103" t="s">
        <v>1862</v>
      </c>
      <c r="AN28" s="99" t="s">
        <v>4638</v>
      </c>
      <c r="AO28" s="103" t="s">
        <v>1862</v>
      </c>
      <c r="AP28" s="103">
        <v>2000</v>
      </c>
      <c r="AQ28" s="103" t="s">
        <v>4461</v>
      </c>
      <c r="AR28" s="103"/>
      <c r="AS28" s="106">
        <v>60000000</v>
      </c>
      <c r="AT28" s="103" t="s">
        <v>4527</v>
      </c>
      <c r="AU28" s="103" t="s">
        <v>1634</v>
      </c>
      <c r="AV28" s="99" t="s">
        <v>4463</v>
      </c>
      <c r="AW28" s="99" t="s">
        <v>4639</v>
      </c>
      <c r="AX28" s="99" t="s">
        <v>4640</v>
      </c>
      <c r="AY28" s="99" t="s">
        <v>4641</v>
      </c>
      <c r="AZ28" s="99" t="s">
        <v>4530</v>
      </c>
      <c r="BA28" s="103" t="s">
        <v>1634</v>
      </c>
      <c r="BB28" s="99"/>
      <c r="BC28" s="99">
        <v>25000</v>
      </c>
      <c r="BD28" s="99"/>
      <c r="BE28" s="99">
        <v>50000000</v>
      </c>
      <c r="BF28" s="103" t="s">
        <v>4642</v>
      </c>
      <c r="BG28" s="103" t="s">
        <v>1862</v>
      </c>
      <c r="BH28" s="103" t="s">
        <v>1862</v>
      </c>
      <c r="BI28" s="103" t="s">
        <v>1862</v>
      </c>
      <c r="BJ28" s="103" t="s">
        <v>1862</v>
      </c>
      <c r="BK28" s="103" t="s">
        <v>4469</v>
      </c>
      <c r="BL28" s="103" t="s">
        <v>4472</v>
      </c>
      <c r="BM28" s="103" t="s">
        <v>4461</v>
      </c>
      <c r="BN28" s="103" t="s">
        <v>4643</v>
      </c>
      <c r="BO28" s="103">
        <v>400</v>
      </c>
      <c r="BP28" s="103" t="s">
        <v>4532</v>
      </c>
      <c r="BQ28" s="99" t="s">
        <v>4644</v>
      </c>
      <c r="BR28" s="99" t="s">
        <v>4644</v>
      </c>
      <c r="BS28" s="99" t="s">
        <v>4564</v>
      </c>
      <c r="BT28" s="103" t="s">
        <v>3186</v>
      </c>
      <c r="BU28" s="99"/>
      <c r="BV28" s="103" t="s">
        <v>4644</v>
      </c>
      <c r="BW28" s="103" t="s">
        <v>4644</v>
      </c>
      <c r="BX28" s="103"/>
      <c r="BY28" s="103"/>
      <c r="BZ28" s="103"/>
      <c r="CA28" s="103"/>
      <c r="CB28" s="103"/>
      <c r="CC28" s="103" t="s">
        <v>4502</v>
      </c>
      <c r="CD28" s="103" t="s">
        <v>4475</v>
      </c>
      <c r="CE28" s="103" t="s">
        <v>4475</v>
      </c>
      <c r="CF28" s="103"/>
      <c r="CG28" s="103" t="s">
        <v>569</v>
      </c>
      <c r="CH28" s="103" t="s">
        <v>570</v>
      </c>
      <c r="CI28" s="103">
        <v>76038781</v>
      </c>
      <c r="CJ28" s="103"/>
      <c r="CK28" s="108">
        <v>43364.693287037036</v>
      </c>
      <c r="CL28" s="109">
        <v>43364.732754629629</v>
      </c>
      <c r="CM28" s="95">
        <v>12.3714277</v>
      </c>
      <c r="CN28" s="95">
        <v>-1.5196603</v>
      </c>
      <c r="CO28" s="99"/>
      <c r="CP28" s="99"/>
      <c r="CQ28" s="99"/>
      <c r="CR28" s="99"/>
      <c r="CS28" s="99"/>
      <c r="CT28" s="99"/>
      <c r="CU28" s="99"/>
      <c r="CV28" s="99"/>
      <c r="CW28" s="99"/>
      <c r="CX28" s="99"/>
      <c r="CY28" s="99"/>
      <c r="CZ28" s="99"/>
      <c r="DA28" s="99"/>
      <c r="DB28" s="99"/>
      <c r="DC28" s="99"/>
    </row>
    <row r="29" spans="1:107" ht="15.75" customHeight="1">
      <c r="A29" s="95">
        <v>29</v>
      </c>
      <c r="B29" s="99" t="s">
        <v>571</v>
      </c>
      <c r="C29" s="99" t="s">
        <v>572</v>
      </c>
      <c r="D29" s="99">
        <v>70346564</v>
      </c>
      <c r="E29" s="99" t="s">
        <v>54</v>
      </c>
      <c r="F29" s="95" t="s">
        <v>4720</v>
      </c>
      <c r="G29" s="95" t="s">
        <v>1057</v>
      </c>
      <c r="H29" s="95" t="s">
        <v>1063</v>
      </c>
      <c r="I29" s="95" t="s">
        <v>50</v>
      </c>
      <c r="J29" s="95"/>
      <c r="K29" s="99"/>
      <c r="L29" s="103" t="s">
        <v>4449</v>
      </c>
      <c r="M29" s="99" t="s">
        <v>4567</v>
      </c>
      <c r="N29" s="99" t="s">
        <v>4520</v>
      </c>
      <c r="O29" s="99" t="s">
        <v>4452</v>
      </c>
      <c r="P29" s="103">
        <v>2011</v>
      </c>
      <c r="Q29" s="103" t="s">
        <v>1862</v>
      </c>
      <c r="R29" s="99" t="s">
        <v>4551</v>
      </c>
      <c r="S29" s="103" t="s">
        <v>2282</v>
      </c>
      <c r="T29" s="103" t="s">
        <v>4505</v>
      </c>
      <c r="U29" s="99" t="s">
        <v>4722</v>
      </c>
      <c r="V29" s="95">
        <v>12.765364099999999</v>
      </c>
      <c r="W29" s="95">
        <v>-2.9000651999999998</v>
      </c>
      <c r="X29" s="104" t="s">
        <v>4723</v>
      </c>
      <c r="Y29" s="103" t="s">
        <v>1634</v>
      </c>
      <c r="Z29" s="103" t="s">
        <v>1634</v>
      </c>
      <c r="AA29" s="103" t="s">
        <v>1862</v>
      </c>
      <c r="AB29" s="103">
        <v>30</v>
      </c>
      <c r="AC29" s="103"/>
      <c r="AD29" s="103">
        <v>30</v>
      </c>
      <c r="AE29" s="103" t="s">
        <v>1634</v>
      </c>
      <c r="AF29" s="103" t="s">
        <v>4679</v>
      </c>
      <c r="AG29" s="99" t="s">
        <v>4724</v>
      </c>
      <c r="AH29" s="103" t="s">
        <v>1804</v>
      </c>
      <c r="AI29" s="103" t="s">
        <v>1804</v>
      </c>
      <c r="AJ29" s="103" t="s">
        <v>1804</v>
      </c>
      <c r="AK29" s="103" t="s">
        <v>1804</v>
      </c>
      <c r="AL29" s="103" t="s">
        <v>1804</v>
      </c>
      <c r="AM29" s="103" t="s">
        <v>1804</v>
      </c>
      <c r="AN29" s="99" t="s">
        <v>4735</v>
      </c>
      <c r="AO29" s="103" t="s">
        <v>1862</v>
      </c>
      <c r="AP29" s="103">
        <v>900</v>
      </c>
      <c r="AQ29" s="103" t="s">
        <v>4461</v>
      </c>
      <c r="AR29" s="103"/>
      <c r="AS29" s="106">
        <v>89100</v>
      </c>
      <c r="AT29" s="103" t="s">
        <v>4496</v>
      </c>
      <c r="AU29" s="103" t="s">
        <v>1634</v>
      </c>
      <c r="AV29" s="99" t="s">
        <v>4463</v>
      </c>
      <c r="AW29" s="99" t="s">
        <v>4736</v>
      </c>
      <c r="AX29" s="99" t="s">
        <v>4737</v>
      </c>
      <c r="AY29" s="99" t="s">
        <v>4466</v>
      </c>
      <c r="AZ29" s="99" t="s">
        <v>4530</v>
      </c>
      <c r="BA29" s="103" t="s">
        <v>1634</v>
      </c>
      <c r="BB29" s="99">
        <v>1000</v>
      </c>
      <c r="BC29" s="99">
        <v>44</v>
      </c>
      <c r="BD29" s="99"/>
      <c r="BE29" s="99">
        <v>175000</v>
      </c>
      <c r="BF29" s="103" t="s">
        <v>4738</v>
      </c>
      <c r="BG29" s="103" t="s">
        <v>1862</v>
      </c>
      <c r="BH29" s="103" t="s">
        <v>1862</v>
      </c>
      <c r="BI29" s="103" t="s">
        <v>1862</v>
      </c>
      <c r="BJ29" s="103" t="s">
        <v>1862</v>
      </c>
      <c r="BK29" s="103" t="s">
        <v>4478</v>
      </c>
      <c r="BL29" s="103" t="s">
        <v>4470</v>
      </c>
      <c r="BM29" s="103" t="s">
        <v>4461</v>
      </c>
      <c r="BN29" s="103" t="s">
        <v>4545</v>
      </c>
      <c r="BO29" s="103">
        <v>600</v>
      </c>
      <c r="BP29" s="103"/>
      <c r="BQ29" s="107" t="s">
        <v>4476</v>
      </c>
      <c r="BR29" s="99" t="s">
        <v>4476</v>
      </c>
      <c r="BS29" s="99"/>
      <c r="BT29" s="103" t="s">
        <v>3186</v>
      </c>
      <c r="BU29" s="99" t="s">
        <v>4480</v>
      </c>
      <c r="BV29" s="103" t="s">
        <v>4476</v>
      </c>
      <c r="BW29" s="103" t="s">
        <v>4476</v>
      </c>
      <c r="BX29" s="103" t="s">
        <v>1548</v>
      </c>
      <c r="BY29" s="103" t="s">
        <v>4739</v>
      </c>
      <c r="BZ29" s="103" t="s">
        <v>4478</v>
      </c>
      <c r="CA29" s="103" t="s">
        <v>4461</v>
      </c>
      <c r="CB29" s="103">
        <v>1</v>
      </c>
      <c r="CC29" s="103" t="s">
        <v>4716</v>
      </c>
      <c r="CD29" s="103" t="s">
        <v>4480</v>
      </c>
      <c r="CE29" s="103" t="s">
        <v>4480</v>
      </c>
      <c r="CF29" s="103" t="s">
        <v>4482</v>
      </c>
      <c r="CG29" s="103" t="s">
        <v>571</v>
      </c>
      <c r="CH29" s="103" t="s">
        <v>572</v>
      </c>
      <c r="CI29" s="103">
        <v>78189928</v>
      </c>
      <c r="CJ29" s="103" t="s">
        <v>4740</v>
      </c>
      <c r="CK29" s="108">
        <v>43364.714861111112</v>
      </c>
      <c r="CL29" s="109">
        <v>43364.752881944441</v>
      </c>
      <c r="CM29" s="95">
        <v>12.765364099999999</v>
      </c>
      <c r="CN29" s="95">
        <v>-2.9000651999999998</v>
      </c>
      <c r="CO29" s="99"/>
      <c r="CP29" s="99"/>
      <c r="CQ29" s="99"/>
      <c r="CR29" s="99"/>
      <c r="CS29" s="99"/>
      <c r="CT29" s="99"/>
      <c r="CU29" s="99"/>
      <c r="CV29" s="99"/>
      <c r="CW29" s="99"/>
      <c r="CX29" s="99"/>
      <c r="CY29" s="99"/>
      <c r="CZ29" s="99"/>
      <c r="DA29" s="99"/>
      <c r="DB29" s="99"/>
      <c r="DC29" s="99"/>
    </row>
    <row r="30" spans="1:107" ht="15.75" customHeight="1">
      <c r="A30" s="95">
        <v>30</v>
      </c>
      <c r="B30" s="99" t="s">
        <v>573</v>
      </c>
      <c r="C30" s="99" t="s">
        <v>574</v>
      </c>
      <c r="D30" s="99">
        <v>55550908</v>
      </c>
      <c r="E30" s="99" t="s">
        <v>55</v>
      </c>
      <c r="F30" s="95" t="s">
        <v>4741</v>
      </c>
      <c r="G30" s="95" t="s">
        <v>1049</v>
      </c>
      <c r="H30" s="95" t="s">
        <v>1065</v>
      </c>
      <c r="I30" s="95" t="s">
        <v>56</v>
      </c>
      <c r="J30" s="95"/>
      <c r="K30" s="99"/>
      <c r="L30" s="103" t="s">
        <v>4449</v>
      </c>
      <c r="M30" s="99" t="s">
        <v>4450</v>
      </c>
      <c r="N30" s="99" t="s">
        <v>4451</v>
      </c>
      <c r="O30" s="99" t="s">
        <v>4452</v>
      </c>
      <c r="P30" s="103">
        <v>2014</v>
      </c>
      <c r="Q30" s="103" t="s">
        <v>1862</v>
      </c>
      <c r="R30" s="99" t="s">
        <v>4709</v>
      </c>
      <c r="S30" s="103" t="s">
        <v>1541</v>
      </c>
      <c r="T30" s="103" t="s">
        <v>4538</v>
      </c>
      <c r="U30" s="99" t="s">
        <v>4742</v>
      </c>
      <c r="V30" s="95">
        <v>12.44477</v>
      </c>
      <c r="W30" s="95">
        <v>-2.688158</v>
      </c>
      <c r="X30" s="104" t="s">
        <v>4743</v>
      </c>
      <c r="Y30" s="103" t="s">
        <v>1634</v>
      </c>
      <c r="Z30" s="103" t="s">
        <v>1634</v>
      </c>
      <c r="AA30" s="103" t="s">
        <v>1862</v>
      </c>
      <c r="AB30" s="103">
        <v>75</v>
      </c>
      <c r="AC30" s="103">
        <v>0</v>
      </c>
      <c r="AD30" s="103">
        <v>75</v>
      </c>
      <c r="AE30" s="103" t="s">
        <v>1634</v>
      </c>
      <c r="AF30" s="103" t="s">
        <v>4744</v>
      </c>
      <c r="AG30" s="99" t="s">
        <v>4745</v>
      </c>
      <c r="AH30" s="103" t="s">
        <v>1862</v>
      </c>
      <c r="AI30" s="103" t="s">
        <v>1862</v>
      </c>
      <c r="AJ30" s="103" t="s">
        <v>1862</v>
      </c>
      <c r="AK30" s="103" t="s">
        <v>1862</v>
      </c>
      <c r="AL30" s="103" t="s">
        <v>1862</v>
      </c>
      <c r="AM30" s="103" t="s">
        <v>1862</v>
      </c>
      <c r="AN30" s="99" t="s">
        <v>4746</v>
      </c>
      <c r="AO30" s="103" t="s">
        <v>1862</v>
      </c>
      <c r="AP30" s="103">
        <v>650</v>
      </c>
      <c r="AQ30" s="103" t="s">
        <v>4461</v>
      </c>
      <c r="AR30" s="103">
        <v>800000</v>
      </c>
      <c r="AS30" s="106">
        <v>1200000</v>
      </c>
      <c r="AT30" s="103" t="s">
        <v>4594</v>
      </c>
      <c r="AU30" s="103" t="s">
        <v>1634</v>
      </c>
      <c r="AV30" s="99" t="s">
        <v>4671</v>
      </c>
      <c r="AW30" s="99" t="s">
        <v>4747</v>
      </c>
      <c r="AX30" s="99" t="s">
        <v>4748</v>
      </c>
      <c r="AY30" s="99" t="s">
        <v>4466</v>
      </c>
      <c r="AZ30" s="99" t="s">
        <v>4561</v>
      </c>
      <c r="BA30" s="103" t="s">
        <v>1634</v>
      </c>
      <c r="BB30" s="99">
        <v>12000</v>
      </c>
      <c r="BC30" s="99">
        <v>9000</v>
      </c>
      <c r="BD30" s="99">
        <v>800000</v>
      </c>
      <c r="BE30" s="99">
        <v>1300000</v>
      </c>
      <c r="BF30" s="103" t="s">
        <v>4749</v>
      </c>
      <c r="BG30" s="103" t="s">
        <v>1804</v>
      </c>
      <c r="BH30" s="103" t="s">
        <v>1862</v>
      </c>
      <c r="BI30" s="103" t="s">
        <v>1862</v>
      </c>
      <c r="BJ30" s="103" t="s">
        <v>1804</v>
      </c>
      <c r="BK30" s="103" t="s">
        <v>4478</v>
      </c>
      <c r="BL30" s="103" t="s">
        <v>4472</v>
      </c>
      <c r="BM30" s="103" t="s">
        <v>4461</v>
      </c>
      <c r="BN30" s="103" t="s">
        <v>4512</v>
      </c>
      <c r="BO30" s="103">
        <v>500</v>
      </c>
      <c r="BP30" s="103" t="s">
        <v>4500</v>
      </c>
      <c r="BQ30" s="107" t="s">
        <v>4476</v>
      </c>
      <c r="BR30" s="99" t="s">
        <v>4476</v>
      </c>
      <c r="BS30" s="99" t="s">
        <v>4750</v>
      </c>
      <c r="BT30" s="103" t="s">
        <v>3186</v>
      </c>
      <c r="BU30" s="99" t="s">
        <v>4475</v>
      </c>
      <c r="BV30" s="103" t="s">
        <v>4476</v>
      </c>
      <c r="BW30" s="103" t="s">
        <v>4476</v>
      </c>
      <c r="BX30" s="103" t="s">
        <v>1548</v>
      </c>
      <c r="BY30" s="103" t="s">
        <v>4535</v>
      </c>
      <c r="BZ30" s="103" t="s">
        <v>4499</v>
      </c>
      <c r="CA30" s="103" t="s">
        <v>4461</v>
      </c>
      <c r="CB30" s="103">
        <v>120</v>
      </c>
      <c r="CC30" s="103" t="s">
        <v>4716</v>
      </c>
      <c r="CD30" s="103" t="s">
        <v>4480</v>
      </c>
      <c r="CE30" s="103" t="s">
        <v>4481</v>
      </c>
      <c r="CF30" s="103"/>
      <c r="CG30" s="103" t="s">
        <v>573</v>
      </c>
      <c r="CH30" s="103" t="s">
        <v>574</v>
      </c>
      <c r="CI30" s="103">
        <v>64072690</v>
      </c>
      <c r="CJ30" s="103" t="s">
        <v>4751</v>
      </c>
      <c r="CK30" s="108">
        <v>43364.631377314814</v>
      </c>
      <c r="CL30" s="109">
        <v>43364.759120370371</v>
      </c>
      <c r="CM30" s="95">
        <v>12.44477</v>
      </c>
      <c r="CN30" s="95">
        <v>-2.688158</v>
      </c>
      <c r="CO30" s="99"/>
      <c r="CP30" s="99"/>
      <c r="CQ30" s="99"/>
      <c r="CR30" s="99"/>
      <c r="CS30" s="99"/>
      <c r="CT30" s="99"/>
      <c r="CU30" s="99"/>
      <c r="CV30" s="99"/>
      <c r="CW30" s="99"/>
      <c r="CX30" s="99"/>
      <c r="CY30" s="99"/>
      <c r="CZ30" s="99"/>
      <c r="DA30" s="99"/>
      <c r="DB30" s="99"/>
      <c r="DC30" s="99"/>
    </row>
    <row r="31" spans="1:107" ht="15.75" customHeight="1">
      <c r="A31" s="95">
        <v>31</v>
      </c>
      <c r="B31" s="99" t="s">
        <v>575</v>
      </c>
      <c r="C31" s="99" t="s">
        <v>576</v>
      </c>
      <c r="D31" s="99">
        <v>52531264</v>
      </c>
      <c r="E31" s="99" t="s">
        <v>4752</v>
      </c>
      <c r="F31" s="95" t="s">
        <v>4753</v>
      </c>
      <c r="G31" s="95" t="s">
        <v>1049</v>
      </c>
      <c r="H31" s="95" t="s">
        <v>1066</v>
      </c>
      <c r="I31" s="95" t="s">
        <v>519</v>
      </c>
      <c r="J31" s="95"/>
      <c r="K31" s="99"/>
      <c r="L31" s="113" t="s">
        <v>4449</v>
      </c>
      <c r="M31" s="114" t="s">
        <v>4450</v>
      </c>
      <c r="N31" s="114" t="s">
        <v>4451</v>
      </c>
      <c r="O31" s="114" t="s">
        <v>4754</v>
      </c>
      <c r="P31" s="103">
        <v>2009</v>
      </c>
      <c r="Q31" s="103" t="s">
        <v>1862</v>
      </c>
      <c r="R31" s="99" t="s">
        <v>4755</v>
      </c>
      <c r="S31" s="103" t="s">
        <v>1541</v>
      </c>
      <c r="T31" s="103" t="s">
        <v>4538</v>
      </c>
      <c r="U31" s="99" t="s">
        <v>4756</v>
      </c>
      <c r="V31" s="95">
        <v>12.0601301</v>
      </c>
      <c r="W31" s="95">
        <v>-2.2261264999999999</v>
      </c>
      <c r="X31" s="104" t="s">
        <v>4757</v>
      </c>
      <c r="Y31" s="103" t="s">
        <v>1634</v>
      </c>
      <c r="Z31" s="103" t="s">
        <v>1548</v>
      </c>
      <c r="AA31" s="103" t="s">
        <v>1862</v>
      </c>
      <c r="AB31" s="103">
        <v>30</v>
      </c>
      <c r="AC31" s="103">
        <v>1</v>
      </c>
      <c r="AD31" s="103">
        <v>29</v>
      </c>
      <c r="AE31" s="103" t="s">
        <v>1548</v>
      </c>
      <c r="AF31" s="103" t="s">
        <v>4493</v>
      </c>
      <c r="AG31" s="99" t="s">
        <v>4554</v>
      </c>
      <c r="AH31" s="103" t="s">
        <v>1862</v>
      </c>
      <c r="AI31" s="103" t="s">
        <v>1862</v>
      </c>
      <c r="AJ31" s="103" t="s">
        <v>1862</v>
      </c>
      <c r="AK31" s="103" t="s">
        <v>1862</v>
      </c>
      <c r="AL31" s="103" t="s">
        <v>1804</v>
      </c>
      <c r="AM31" s="103" t="s">
        <v>1862</v>
      </c>
      <c r="AN31" s="99" t="s">
        <v>4735</v>
      </c>
      <c r="AO31" s="103" t="s">
        <v>1862</v>
      </c>
      <c r="AP31" s="103">
        <v>650</v>
      </c>
      <c r="AQ31" s="103" t="s">
        <v>4472</v>
      </c>
      <c r="AR31" s="103"/>
      <c r="AS31" s="99"/>
      <c r="AT31" s="103" t="s">
        <v>4542</v>
      </c>
      <c r="AU31" s="103" t="s">
        <v>1634</v>
      </c>
      <c r="AV31" s="99" t="s">
        <v>4463</v>
      </c>
      <c r="AW31" s="99" t="s">
        <v>4758</v>
      </c>
      <c r="AX31" s="99" t="s">
        <v>4759</v>
      </c>
      <c r="AY31" s="99" t="s">
        <v>4560</v>
      </c>
      <c r="AZ31" s="99" t="s">
        <v>4530</v>
      </c>
      <c r="BA31" s="103" t="s">
        <v>1634</v>
      </c>
      <c r="BB31" s="99">
        <v>1125</v>
      </c>
      <c r="BC31" s="99">
        <v>1425</v>
      </c>
      <c r="BD31" s="99">
        <v>337500</v>
      </c>
      <c r="BE31" s="99">
        <v>926250</v>
      </c>
      <c r="BF31" s="103" t="s">
        <v>4715</v>
      </c>
      <c r="BG31" s="103" t="s">
        <v>1862</v>
      </c>
      <c r="BH31" s="103" t="s">
        <v>1862</v>
      </c>
      <c r="BI31" s="103" t="s">
        <v>1862</v>
      </c>
      <c r="BJ31" s="103" t="s">
        <v>1804</v>
      </c>
      <c r="BK31" s="103" t="s">
        <v>4499</v>
      </c>
      <c r="BL31" s="103" t="s">
        <v>4509</v>
      </c>
      <c r="BM31" s="103" t="s">
        <v>4461</v>
      </c>
      <c r="BN31" s="103" t="s">
        <v>4607</v>
      </c>
      <c r="BO31" s="103">
        <v>300</v>
      </c>
      <c r="BP31" s="103" t="s">
        <v>4500</v>
      </c>
      <c r="BQ31" s="99" t="s">
        <v>4760</v>
      </c>
      <c r="BR31" s="99" t="s">
        <v>4760</v>
      </c>
      <c r="BS31" s="99" t="s">
        <v>4476</v>
      </c>
      <c r="BT31" s="103" t="s">
        <v>3186</v>
      </c>
      <c r="BU31" s="99" t="s">
        <v>4608</v>
      </c>
      <c r="BV31" s="103" t="s">
        <v>4476</v>
      </c>
      <c r="BW31" s="103" t="s">
        <v>4476</v>
      </c>
      <c r="BX31" s="103" t="s">
        <v>1548</v>
      </c>
      <c r="BY31" s="103" t="s">
        <v>4761</v>
      </c>
      <c r="BZ31" s="103" t="s">
        <v>4499</v>
      </c>
      <c r="CA31" s="103" t="s">
        <v>4472</v>
      </c>
      <c r="CB31" s="103"/>
      <c r="CC31" s="103" t="s">
        <v>4479</v>
      </c>
      <c r="CD31" s="103" t="s">
        <v>4502</v>
      </c>
      <c r="CE31" s="103" t="s">
        <v>4502</v>
      </c>
      <c r="CF31" s="103"/>
      <c r="CG31" s="103" t="s">
        <v>4762</v>
      </c>
      <c r="CH31" s="103" t="s">
        <v>4763</v>
      </c>
      <c r="CI31" s="103">
        <v>76563683</v>
      </c>
      <c r="CJ31" s="103" t="s">
        <v>4764</v>
      </c>
      <c r="CK31" s="108">
        <v>43364.823182870372</v>
      </c>
      <c r="CL31" s="109">
        <v>43364.845347222225</v>
      </c>
      <c r="CM31" s="95">
        <v>12.0601301</v>
      </c>
      <c r="CN31" s="95">
        <v>-2.2261264999999999</v>
      </c>
      <c r="CO31" s="99"/>
      <c r="CP31" s="99"/>
      <c r="CQ31" s="99"/>
      <c r="CR31" s="99"/>
      <c r="CS31" s="99"/>
      <c r="CT31" s="99"/>
      <c r="CU31" s="99"/>
      <c r="CV31" s="99"/>
      <c r="CW31" s="99"/>
      <c r="CX31" s="99"/>
      <c r="CY31" s="99"/>
      <c r="CZ31" s="99"/>
      <c r="DA31" s="99"/>
      <c r="DB31" s="99"/>
      <c r="DC31" s="99"/>
    </row>
    <row r="32" spans="1:107" ht="15.75" customHeight="1">
      <c r="A32" s="95">
        <v>32</v>
      </c>
      <c r="B32" s="99" t="s">
        <v>577</v>
      </c>
      <c r="C32" s="99" t="s">
        <v>578</v>
      </c>
      <c r="D32" s="99">
        <v>76683867</v>
      </c>
      <c r="E32" s="99" t="s">
        <v>4765</v>
      </c>
      <c r="F32" s="95" t="s">
        <v>4766</v>
      </c>
      <c r="G32" s="95" t="s">
        <v>1047</v>
      </c>
      <c r="H32" s="95" t="s">
        <v>1048</v>
      </c>
      <c r="I32" s="95" t="s">
        <v>60</v>
      </c>
      <c r="J32" s="95" t="s">
        <v>1067</v>
      </c>
      <c r="K32" s="99"/>
      <c r="L32" s="103" t="s">
        <v>4549</v>
      </c>
      <c r="M32" s="99" t="s">
        <v>4450</v>
      </c>
      <c r="N32" s="99" t="s">
        <v>4568</v>
      </c>
      <c r="O32" s="99" t="s">
        <v>4550</v>
      </c>
      <c r="P32" s="103">
        <v>1992</v>
      </c>
      <c r="Q32" s="103" t="s">
        <v>1862</v>
      </c>
      <c r="R32" s="99" t="s">
        <v>4767</v>
      </c>
      <c r="S32" s="103" t="s">
        <v>1541</v>
      </c>
      <c r="T32" s="103" t="s">
        <v>4768</v>
      </c>
      <c r="U32" s="99" t="s">
        <v>4769</v>
      </c>
      <c r="V32" s="95">
        <v>13.4044387</v>
      </c>
      <c r="W32" s="95">
        <v>-2.1552452999999998</v>
      </c>
      <c r="X32" s="104" t="s">
        <v>4770</v>
      </c>
      <c r="Y32" s="103" t="s">
        <v>1634</v>
      </c>
      <c r="Z32" s="103" t="s">
        <v>1634</v>
      </c>
      <c r="AA32" s="103" t="s">
        <v>1862</v>
      </c>
      <c r="AB32" s="105">
        <v>3517</v>
      </c>
      <c r="AC32" s="103">
        <v>1600</v>
      </c>
      <c r="AD32" s="103">
        <v>1917</v>
      </c>
      <c r="AE32" s="103" t="s">
        <v>1548</v>
      </c>
      <c r="AF32" s="103" t="s">
        <v>4493</v>
      </c>
      <c r="AG32" s="99" t="s">
        <v>4771</v>
      </c>
      <c r="AH32" s="103" t="s">
        <v>1804</v>
      </c>
      <c r="AI32" s="103" t="s">
        <v>1862</v>
      </c>
      <c r="AJ32" s="103" t="s">
        <v>1862</v>
      </c>
      <c r="AK32" s="103" t="s">
        <v>1862</v>
      </c>
      <c r="AL32" s="103" t="s">
        <v>1804</v>
      </c>
      <c r="AM32" s="103" t="s">
        <v>1862</v>
      </c>
      <c r="AN32" s="99" t="s">
        <v>4772</v>
      </c>
      <c r="AO32" s="103" t="s">
        <v>1862</v>
      </c>
      <c r="AP32" s="103">
        <v>500</v>
      </c>
      <c r="AQ32" s="103" t="s">
        <v>4461</v>
      </c>
      <c r="AR32" s="103"/>
      <c r="AS32" s="106">
        <v>250000</v>
      </c>
      <c r="AT32" s="103" t="s">
        <v>4499</v>
      </c>
      <c r="AU32" s="103" t="s">
        <v>1634</v>
      </c>
      <c r="AV32" s="99" t="s">
        <v>4463</v>
      </c>
      <c r="AW32" s="99" t="s">
        <v>4773</v>
      </c>
      <c r="AX32" s="99" t="s">
        <v>4774</v>
      </c>
      <c r="AY32" s="99" t="s">
        <v>4466</v>
      </c>
      <c r="AZ32" s="99" t="s">
        <v>4467</v>
      </c>
      <c r="BA32" s="103" t="s">
        <v>1548</v>
      </c>
      <c r="BB32" s="99"/>
      <c r="BC32" s="99">
        <v>400</v>
      </c>
      <c r="BD32" s="99"/>
      <c r="BE32" s="99">
        <v>250000</v>
      </c>
      <c r="BF32" s="103" t="s">
        <v>4775</v>
      </c>
      <c r="BG32" s="103" t="s">
        <v>1862</v>
      </c>
      <c r="BH32" s="103" t="s">
        <v>1804</v>
      </c>
      <c r="BI32" s="103" t="s">
        <v>1804</v>
      </c>
      <c r="BJ32" s="103" t="s">
        <v>1862</v>
      </c>
      <c r="BK32" s="103" t="s">
        <v>4478</v>
      </c>
      <c r="BL32" s="103" t="s">
        <v>4470</v>
      </c>
      <c r="BM32" s="103" t="s">
        <v>4461</v>
      </c>
      <c r="BN32" s="103" t="s">
        <v>4531</v>
      </c>
      <c r="BO32" s="103">
        <v>200</v>
      </c>
      <c r="BP32" s="103" t="s">
        <v>4532</v>
      </c>
      <c r="BQ32" s="99" t="s">
        <v>4563</v>
      </c>
      <c r="BR32" s="99" t="s">
        <v>4563</v>
      </c>
      <c r="BS32" s="99"/>
      <c r="BT32" s="103" t="s">
        <v>3186</v>
      </c>
      <c r="BU32" s="99" t="s">
        <v>4475</v>
      </c>
      <c r="BV32" s="103" t="s">
        <v>4476</v>
      </c>
      <c r="BW32" s="103" t="s">
        <v>4476</v>
      </c>
      <c r="BX32" s="103" t="s">
        <v>1634</v>
      </c>
      <c r="BY32" s="103" t="s">
        <v>4595</v>
      </c>
      <c r="BZ32" s="103" t="s">
        <v>4478</v>
      </c>
      <c r="CA32" s="103" t="s">
        <v>4461</v>
      </c>
      <c r="CB32" s="103">
        <v>35</v>
      </c>
      <c r="CC32" s="103" t="s">
        <v>4502</v>
      </c>
      <c r="CD32" s="103" t="s">
        <v>4502</v>
      </c>
      <c r="CE32" s="103" t="s">
        <v>4475</v>
      </c>
      <c r="CF32" s="103"/>
      <c r="CG32" s="103" t="s">
        <v>577</v>
      </c>
      <c r="CH32" s="103" t="s">
        <v>3792</v>
      </c>
      <c r="CI32" s="103">
        <v>78455390</v>
      </c>
      <c r="CJ32" s="103"/>
      <c r="CK32" s="108">
        <v>43364.436261574076</v>
      </c>
      <c r="CL32" s="109">
        <v>43364.855115740742</v>
      </c>
      <c r="CM32" s="95">
        <v>13.4044387</v>
      </c>
      <c r="CN32" s="95">
        <v>-2.1552452999999998</v>
      </c>
      <c r="CO32" s="99"/>
      <c r="CP32" s="99"/>
      <c r="CQ32" s="99"/>
      <c r="CR32" s="99"/>
      <c r="CS32" s="99"/>
      <c r="CT32" s="99"/>
      <c r="CU32" s="99"/>
      <c r="CV32" s="99"/>
      <c r="CW32" s="99"/>
      <c r="CX32" s="99"/>
      <c r="CY32" s="99"/>
      <c r="CZ32" s="99"/>
      <c r="DA32" s="99"/>
      <c r="DB32" s="99"/>
      <c r="DC32" s="99"/>
    </row>
    <row r="33" spans="1:107" ht="15.75" customHeight="1">
      <c r="A33" s="95">
        <v>33</v>
      </c>
      <c r="B33" s="99" t="s">
        <v>579</v>
      </c>
      <c r="C33" s="99" t="s">
        <v>580</v>
      </c>
      <c r="D33" s="110">
        <v>70744535</v>
      </c>
      <c r="E33" s="99" t="s">
        <v>61</v>
      </c>
      <c r="F33" s="95" t="s">
        <v>4776</v>
      </c>
      <c r="G33" s="95" t="s">
        <v>1068</v>
      </c>
      <c r="H33" s="95" t="s">
        <v>1069</v>
      </c>
      <c r="I33" s="95" t="s">
        <v>62</v>
      </c>
      <c r="J33" s="95"/>
      <c r="K33" s="99"/>
      <c r="L33" s="103" t="s">
        <v>4449</v>
      </c>
      <c r="M33" s="99" t="s">
        <v>4632</v>
      </c>
      <c r="N33" s="99" t="s">
        <v>4451</v>
      </c>
      <c r="O33" s="99" t="s">
        <v>4452</v>
      </c>
      <c r="P33" s="103">
        <v>2003</v>
      </c>
      <c r="Q33" s="103" t="s">
        <v>1862</v>
      </c>
      <c r="R33" s="99" t="s">
        <v>4633</v>
      </c>
      <c r="S33" s="103" t="s">
        <v>2282</v>
      </c>
      <c r="T33" s="103" t="s">
        <v>4634</v>
      </c>
      <c r="U33" s="99" t="s">
        <v>4777</v>
      </c>
      <c r="V33" s="95">
        <v>10.7632686</v>
      </c>
      <c r="W33" s="95">
        <v>-3.2558482</v>
      </c>
      <c r="X33" s="104" t="s">
        <v>4778</v>
      </c>
      <c r="Y33" s="103" t="s">
        <v>1634</v>
      </c>
      <c r="Z33" s="103" t="s">
        <v>1634</v>
      </c>
      <c r="AA33" s="103" t="s">
        <v>1862</v>
      </c>
      <c r="AB33" s="103">
        <v>300</v>
      </c>
      <c r="AC33" s="103">
        <v>4</v>
      </c>
      <c r="AD33" s="103">
        <v>296</v>
      </c>
      <c r="AE33" s="103" t="s">
        <v>1634</v>
      </c>
      <c r="AF33" s="103" t="s">
        <v>4779</v>
      </c>
      <c r="AG33" s="99" t="s">
        <v>4554</v>
      </c>
      <c r="AH33" s="103" t="s">
        <v>1862</v>
      </c>
      <c r="AI33" s="103" t="s">
        <v>1862</v>
      </c>
      <c r="AJ33" s="103" t="s">
        <v>1862</v>
      </c>
      <c r="AK33" s="103" t="s">
        <v>1862</v>
      </c>
      <c r="AL33" s="103" t="s">
        <v>1804</v>
      </c>
      <c r="AM33" s="103" t="s">
        <v>1862</v>
      </c>
      <c r="AN33" s="99" t="s">
        <v>4638</v>
      </c>
      <c r="AO33" s="103" t="s">
        <v>1862</v>
      </c>
      <c r="AP33" s="103">
        <v>1500</v>
      </c>
      <c r="AQ33" s="112" t="s">
        <v>4461</v>
      </c>
      <c r="AR33" s="103"/>
      <c r="AS33" s="106">
        <v>40000000</v>
      </c>
      <c r="AT33" s="103" t="s">
        <v>4527</v>
      </c>
      <c r="AU33" s="103" t="s">
        <v>1634</v>
      </c>
      <c r="AV33" s="99" t="s">
        <v>4463</v>
      </c>
      <c r="AW33" s="99" t="s">
        <v>4639</v>
      </c>
      <c r="AX33" s="99" t="s">
        <v>4640</v>
      </c>
      <c r="AY33" s="99" t="s">
        <v>4641</v>
      </c>
      <c r="AZ33" s="99" t="s">
        <v>4530</v>
      </c>
      <c r="BA33" s="103" t="s">
        <v>1634</v>
      </c>
      <c r="BB33" s="99"/>
      <c r="BC33" s="99">
        <v>20500</v>
      </c>
      <c r="BD33" s="99"/>
      <c r="BE33" s="99">
        <v>41000000</v>
      </c>
      <c r="BF33" s="103" t="s">
        <v>4642</v>
      </c>
      <c r="BG33" s="103" t="s">
        <v>1862</v>
      </c>
      <c r="BH33" s="103" t="s">
        <v>1862</v>
      </c>
      <c r="BI33" s="103" t="s">
        <v>1862</v>
      </c>
      <c r="BJ33" s="103" t="s">
        <v>1862</v>
      </c>
      <c r="BK33" s="103" t="s">
        <v>4469</v>
      </c>
      <c r="BL33" s="103" t="s">
        <v>4472</v>
      </c>
      <c r="BM33" s="103" t="s">
        <v>4461</v>
      </c>
      <c r="BN33" s="103" t="s">
        <v>4643</v>
      </c>
      <c r="BO33" s="103">
        <v>400</v>
      </c>
      <c r="BP33" s="103" t="s">
        <v>4532</v>
      </c>
      <c r="BQ33" s="99" t="s">
        <v>4644</v>
      </c>
      <c r="BR33" s="99" t="s">
        <v>4644</v>
      </c>
      <c r="BS33" s="99" t="s">
        <v>4564</v>
      </c>
      <c r="BT33" s="103" t="s">
        <v>3186</v>
      </c>
      <c r="BU33" s="99"/>
      <c r="BV33" s="103" t="s">
        <v>4644</v>
      </c>
      <c r="BW33" s="103" t="s">
        <v>4644</v>
      </c>
      <c r="BX33" s="103"/>
      <c r="BY33" s="103"/>
      <c r="BZ33" s="103"/>
      <c r="CA33" s="103"/>
      <c r="CB33" s="103"/>
      <c r="CC33" s="103" t="s">
        <v>4502</v>
      </c>
      <c r="CD33" s="103" t="s">
        <v>4475</v>
      </c>
      <c r="CE33" s="112" t="s">
        <v>4475</v>
      </c>
      <c r="CF33" s="103"/>
      <c r="CG33" s="103" t="s">
        <v>579</v>
      </c>
      <c r="CH33" s="103" t="s">
        <v>580</v>
      </c>
      <c r="CI33" s="111">
        <v>70744535</v>
      </c>
      <c r="CJ33" s="103"/>
      <c r="CK33" s="108">
        <v>43364.693287037036</v>
      </c>
      <c r="CL33" s="109">
        <v>43364.732754629629</v>
      </c>
      <c r="CM33" s="95">
        <v>10.7632686</v>
      </c>
      <c r="CN33" s="95">
        <v>-3.2558482</v>
      </c>
      <c r="CO33" s="99"/>
      <c r="CP33" s="99"/>
      <c r="CQ33" s="99"/>
      <c r="CR33" s="99"/>
      <c r="CS33" s="99"/>
      <c r="CT33" s="99"/>
      <c r="CU33" s="99"/>
      <c r="CV33" s="99"/>
      <c r="CW33" s="99"/>
      <c r="CX33" s="99"/>
      <c r="CY33" s="99"/>
      <c r="CZ33" s="99"/>
      <c r="DA33" s="99"/>
      <c r="DB33" s="99"/>
      <c r="DC33" s="99"/>
    </row>
    <row r="34" spans="1:107" ht="15.75" customHeight="1">
      <c r="A34" s="95">
        <v>34</v>
      </c>
      <c r="B34" s="99" t="s">
        <v>581</v>
      </c>
      <c r="C34" s="99" t="s">
        <v>582</v>
      </c>
      <c r="D34" s="99">
        <v>78693092</v>
      </c>
      <c r="E34" s="99" t="s">
        <v>63</v>
      </c>
      <c r="F34" s="95" t="s">
        <v>4519</v>
      </c>
      <c r="G34" s="95" t="s">
        <v>1047</v>
      </c>
      <c r="H34" s="95" t="s">
        <v>1048</v>
      </c>
      <c r="I34" s="95" t="s">
        <v>14</v>
      </c>
      <c r="J34" s="95"/>
      <c r="K34" s="99"/>
      <c r="L34" s="103" t="s">
        <v>4449</v>
      </c>
      <c r="M34" s="99" t="s">
        <v>4567</v>
      </c>
      <c r="N34" s="99" t="s">
        <v>4451</v>
      </c>
      <c r="O34" s="99" t="s">
        <v>4754</v>
      </c>
      <c r="P34" s="103">
        <v>2012</v>
      </c>
      <c r="Q34" s="103" t="s">
        <v>1862</v>
      </c>
      <c r="R34" s="99" t="s">
        <v>4780</v>
      </c>
      <c r="S34" s="103" t="s">
        <v>1541</v>
      </c>
      <c r="T34" s="103" t="s">
        <v>4768</v>
      </c>
      <c r="U34" s="99" t="s">
        <v>4523</v>
      </c>
      <c r="V34" s="95">
        <v>12.584050100000001</v>
      </c>
      <c r="W34" s="95">
        <v>-1.2987348999999999</v>
      </c>
      <c r="X34" s="104" t="s">
        <v>4524</v>
      </c>
      <c r="Y34" s="103" t="s">
        <v>1634</v>
      </c>
      <c r="Z34" s="103" t="s">
        <v>1634</v>
      </c>
      <c r="AA34" s="103" t="s">
        <v>1862</v>
      </c>
      <c r="AB34" s="103">
        <v>13</v>
      </c>
      <c r="AC34" s="103">
        <v>0</v>
      </c>
      <c r="AD34" s="103">
        <v>13</v>
      </c>
      <c r="AE34" s="103" t="s">
        <v>1634</v>
      </c>
      <c r="AF34" s="103" t="s">
        <v>4493</v>
      </c>
      <c r="AG34" s="99" t="s">
        <v>4781</v>
      </c>
      <c r="AH34" s="103" t="s">
        <v>1804</v>
      </c>
      <c r="AI34" s="103" t="s">
        <v>1862</v>
      </c>
      <c r="AJ34" s="103" t="s">
        <v>1862</v>
      </c>
      <c r="AK34" s="103" t="s">
        <v>1862</v>
      </c>
      <c r="AL34" s="103" t="s">
        <v>1804</v>
      </c>
      <c r="AM34" s="103" t="s">
        <v>1862</v>
      </c>
      <c r="AN34" s="99" t="s">
        <v>4782</v>
      </c>
      <c r="AO34" s="103" t="s">
        <v>1862</v>
      </c>
      <c r="AP34" s="103">
        <v>2000</v>
      </c>
      <c r="AQ34" s="103" t="s">
        <v>4461</v>
      </c>
      <c r="AR34" s="103"/>
      <c r="AS34" s="106">
        <v>3000000</v>
      </c>
      <c r="AT34" s="103" t="s">
        <v>4510</v>
      </c>
      <c r="AU34" s="103" t="s">
        <v>1634</v>
      </c>
      <c r="AV34" s="99" t="s">
        <v>4671</v>
      </c>
      <c r="AW34" s="99" t="s">
        <v>4783</v>
      </c>
      <c r="AX34" s="99" t="s">
        <v>4784</v>
      </c>
      <c r="AY34" s="99" t="s">
        <v>4466</v>
      </c>
      <c r="AZ34" s="99" t="s">
        <v>4530</v>
      </c>
      <c r="BA34" s="103" t="s">
        <v>1634</v>
      </c>
      <c r="BB34" s="99"/>
      <c r="BC34" s="99">
        <v>9000</v>
      </c>
      <c r="BD34" s="99"/>
      <c r="BE34" s="99">
        <v>3000000</v>
      </c>
      <c r="BF34" s="103" t="s">
        <v>4785</v>
      </c>
      <c r="BG34" s="103" t="s">
        <v>1804</v>
      </c>
      <c r="BH34" s="103" t="s">
        <v>1804</v>
      </c>
      <c r="BI34" s="103" t="s">
        <v>1804</v>
      </c>
      <c r="BJ34" s="103" t="s">
        <v>1862</v>
      </c>
      <c r="BK34" s="103" t="s">
        <v>4478</v>
      </c>
      <c r="BL34" s="103" t="s">
        <v>4461</v>
      </c>
      <c r="BM34" s="103" t="s">
        <v>4461</v>
      </c>
      <c r="BN34" s="103" t="s">
        <v>4512</v>
      </c>
      <c r="BO34" s="103">
        <v>600</v>
      </c>
      <c r="BP34" s="103" t="s">
        <v>4500</v>
      </c>
      <c r="BQ34" s="99"/>
      <c r="BR34" s="99" t="s">
        <v>4476</v>
      </c>
      <c r="BS34" s="99"/>
      <c r="BT34" s="103" t="s">
        <v>3186</v>
      </c>
      <c r="BU34" s="99"/>
      <c r="BV34" s="103" t="s">
        <v>4514</v>
      </c>
      <c r="BW34" s="103" t="s">
        <v>4514</v>
      </c>
      <c r="BX34" s="103" t="s">
        <v>1634</v>
      </c>
      <c r="BY34" s="103" t="s">
        <v>4501</v>
      </c>
      <c r="BZ34" s="103" t="s">
        <v>4478</v>
      </c>
      <c r="CA34" s="103" t="s">
        <v>4461</v>
      </c>
      <c r="CB34" s="103">
        <v>300</v>
      </c>
      <c r="CC34" s="103" t="s">
        <v>4502</v>
      </c>
      <c r="CD34" s="103" t="s">
        <v>4480</v>
      </c>
      <c r="CE34" s="103" t="s">
        <v>4475</v>
      </c>
      <c r="CF34" s="103"/>
      <c r="CG34" s="103" t="s">
        <v>4288</v>
      </c>
      <c r="CH34" s="103" t="s">
        <v>887</v>
      </c>
      <c r="CI34" s="103">
        <v>60549604</v>
      </c>
      <c r="CJ34" s="103"/>
      <c r="CK34" s="108">
        <v>43364.606145833335</v>
      </c>
      <c r="CL34" s="109">
        <v>43364.634895833333</v>
      </c>
      <c r="CM34" s="95">
        <v>12.584050100000001</v>
      </c>
      <c r="CN34" s="95">
        <v>-1.2987348999999999</v>
      </c>
      <c r="CO34" s="99"/>
      <c r="CP34" s="99"/>
      <c r="CQ34" s="99"/>
      <c r="CR34" s="99"/>
      <c r="CS34" s="99"/>
      <c r="CT34" s="99"/>
      <c r="CU34" s="99"/>
      <c r="CV34" s="99"/>
      <c r="CW34" s="99"/>
      <c r="CX34" s="99"/>
      <c r="CY34" s="99"/>
      <c r="CZ34" s="99"/>
      <c r="DA34" s="99"/>
      <c r="DB34" s="99"/>
      <c r="DC34" s="99"/>
    </row>
    <row r="35" spans="1:107" ht="15.75" customHeight="1">
      <c r="A35" s="95">
        <v>35</v>
      </c>
      <c r="B35" s="99" t="s">
        <v>583</v>
      </c>
      <c r="C35" s="99" t="s">
        <v>584</v>
      </c>
      <c r="D35" s="99">
        <v>70988231</v>
      </c>
      <c r="E35" s="99" t="s">
        <v>64</v>
      </c>
      <c r="F35" s="95" t="s">
        <v>4786</v>
      </c>
      <c r="G35" s="95" t="s">
        <v>1049</v>
      </c>
      <c r="H35" s="95" t="s">
        <v>1070</v>
      </c>
      <c r="I35" s="95" t="s">
        <v>65</v>
      </c>
      <c r="J35" s="95"/>
      <c r="K35" s="99"/>
      <c r="L35" s="103" t="s">
        <v>4449</v>
      </c>
      <c r="M35" s="99" t="s">
        <v>4787</v>
      </c>
      <c r="N35" s="99" t="s">
        <v>4718</v>
      </c>
      <c r="O35" s="99" t="s">
        <v>4452</v>
      </c>
      <c r="P35" s="103">
        <v>1999</v>
      </c>
      <c r="Q35" s="103" t="s">
        <v>1862</v>
      </c>
      <c r="R35" s="99" t="s">
        <v>4633</v>
      </c>
      <c r="S35" s="103" t="s">
        <v>1541</v>
      </c>
      <c r="T35" s="103" t="s">
        <v>4634</v>
      </c>
      <c r="U35" s="99" t="s">
        <v>4788</v>
      </c>
      <c r="V35" s="95">
        <v>12.556169799999999</v>
      </c>
      <c r="W35" s="95">
        <v>-1.8879868</v>
      </c>
      <c r="X35" s="104" t="s">
        <v>4789</v>
      </c>
      <c r="Y35" s="103" t="s">
        <v>1634</v>
      </c>
      <c r="Z35" s="103" t="s">
        <v>1634</v>
      </c>
      <c r="AA35" s="103" t="s">
        <v>1862</v>
      </c>
      <c r="AB35" s="103">
        <v>350</v>
      </c>
      <c r="AC35" s="103">
        <v>3</v>
      </c>
      <c r="AD35" s="103">
        <v>347</v>
      </c>
      <c r="AE35" s="103" t="s">
        <v>1634</v>
      </c>
      <c r="AF35" s="103" t="s">
        <v>4493</v>
      </c>
      <c r="AG35" s="99" t="s">
        <v>4554</v>
      </c>
      <c r="AH35" s="103" t="s">
        <v>1862</v>
      </c>
      <c r="AI35" s="103" t="s">
        <v>1862</v>
      </c>
      <c r="AJ35" s="103" t="s">
        <v>1862</v>
      </c>
      <c r="AK35" s="103" t="s">
        <v>1862</v>
      </c>
      <c r="AL35" s="103" t="s">
        <v>1804</v>
      </c>
      <c r="AM35" s="103" t="s">
        <v>1862</v>
      </c>
      <c r="AN35" s="99" t="s">
        <v>4638</v>
      </c>
      <c r="AO35" s="103" t="s">
        <v>1862</v>
      </c>
      <c r="AP35" s="103">
        <v>1750</v>
      </c>
      <c r="AQ35" s="112" t="s">
        <v>4461</v>
      </c>
      <c r="AR35" s="103"/>
      <c r="AS35" s="106">
        <v>55000000</v>
      </c>
      <c r="AT35" s="103" t="s">
        <v>4527</v>
      </c>
      <c r="AU35" s="103" t="s">
        <v>1634</v>
      </c>
      <c r="AV35" s="99" t="s">
        <v>4463</v>
      </c>
      <c r="AW35" s="99" t="s">
        <v>4639</v>
      </c>
      <c r="AX35" s="99" t="s">
        <v>4640</v>
      </c>
      <c r="AY35" s="99" t="s">
        <v>4641</v>
      </c>
      <c r="AZ35" s="99" t="s">
        <v>4530</v>
      </c>
      <c r="BA35" s="103" t="s">
        <v>1634</v>
      </c>
      <c r="BB35" s="99"/>
      <c r="BC35" s="99">
        <v>30000</v>
      </c>
      <c r="BD35" s="99"/>
      <c r="BE35" s="99">
        <v>45000000</v>
      </c>
      <c r="BF35" s="103" t="s">
        <v>4642</v>
      </c>
      <c r="BG35" s="103" t="s">
        <v>1862</v>
      </c>
      <c r="BH35" s="103" t="s">
        <v>1862</v>
      </c>
      <c r="BI35" s="103" t="s">
        <v>1862</v>
      </c>
      <c r="BJ35" s="103" t="s">
        <v>1862</v>
      </c>
      <c r="BK35" s="103" t="s">
        <v>4469</v>
      </c>
      <c r="BL35" s="103" t="s">
        <v>4472</v>
      </c>
      <c r="BM35" s="103" t="s">
        <v>4461</v>
      </c>
      <c r="BN35" s="103" t="s">
        <v>4643</v>
      </c>
      <c r="BO35" s="103">
        <v>500</v>
      </c>
      <c r="BP35" s="103" t="s">
        <v>4532</v>
      </c>
      <c r="BQ35" s="99" t="s">
        <v>4644</v>
      </c>
      <c r="BR35" s="99" t="s">
        <v>4644</v>
      </c>
      <c r="BS35" s="99" t="s">
        <v>4564</v>
      </c>
      <c r="BT35" s="103" t="s">
        <v>3186</v>
      </c>
      <c r="BU35" s="99"/>
      <c r="BV35" s="103" t="s">
        <v>4644</v>
      </c>
      <c r="BW35" s="103" t="s">
        <v>4644</v>
      </c>
      <c r="BX35" s="103"/>
      <c r="BY35" s="103"/>
      <c r="BZ35" s="103"/>
      <c r="CA35" s="103"/>
      <c r="CB35" s="103"/>
      <c r="CC35" s="103" t="s">
        <v>4502</v>
      </c>
      <c r="CD35" s="103" t="s">
        <v>4475</v>
      </c>
      <c r="CE35" s="112" t="s">
        <v>4475</v>
      </c>
      <c r="CF35" s="103"/>
      <c r="CG35" s="103" t="s">
        <v>583</v>
      </c>
      <c r="CH35" s="103" t="s">
        <v>584</v>
      </c>
      <c r="CI35" s="103">
        <v>70988231</v>
      </c>
      <c r="CJ35" s="103"/>
      <c r="CK35" s="108">
        <v>43364.693287037036</v>
      </c>
      <c r="CL35" s="109">
        <v>43364.732754629629</v>
      </c>
      <c r="CM35" s="95">
        <v>12.556169799999999</v>
      </c>
      <c r="CN35" s="95">
        <v>-1.8879868</v>
      </c>
      <c r="CO35" s="99"/>
      <c r="CP35" s="99"/>
      <c r="CQ35" s="99"/>
      <c r="CR35" s="99"/>
      <c r="CS35" s="99"/>
      <c r="CT35" s="99"/>
      <c r="CU35" s="99"/>
      <c r="CV35" s="99"/>
      <c r="CW35" s="99"/>
      <c r="CX35" s="99"/>
      <c r="CY35" s="99"/>
      <c r="CZ35" s="99"/>
      <c r="DA35" s="99"/>
      <c r="DB35" s="99"/>
      <c r="DC35" s="99"/>
    </row>
    <row r="36" spans="1:107" ht="15.75" customHeight="1">
      <c r="A36" s="95">
        <v>36</v>
      </c>
      <c r="B36" s="99" t="s">
        <v>585</v>
      </c>
      <c r="C36" s="99" t="s">
        <v>582</v>
      </c>
      <c r="D36" s="99">
        <v>70128520</v>
      </c>
      <c r="E36" s="99" t="s">
        <v>66</v>
      </c>
      <c r="F36" s="95" t="s">
        <v>4519</v>
      </c>
      <c r="G36" s="95" t="s">
        <v>1047</v>
      </c>
      <c r="H36" s="95" t="s">
        <v>1048</v>
      </c>
      <c r="I36" s="95" t="s">
        <v>14</v>
      </c>
      <c r="J36" s="95"/>
      <c r="K36" s="99"/>
      <c r="L36" s="103" t="s">
        <v>4449</v>
      </c>
      <c r="M36" s="99" t="s">
        <v>4567</v>
      </c>
      <c r="N36" s="99" t="s">
        <v>4451</v>
      </c>
      <c r="O36" s="99" t="s">
        <v>4754</v>
      </c>
      <c r="P36" s="103">
        <v>2014</v>
      </c>
      <c r="Q36" s="103" t="s">
        <v>1862</v>
      </c>
      <c r="R36" s="99" t="s">
        <v>4521</v>
      </c>
      <c r="S36" s="103" t="s">
        <v>1541</v>
      </c>
      <c r="T36" s="103" t="s">
        <v>4538</v>
      </c>
      <c r="U36" s="99" t="s">
        <v>4523</v>
      </c>
      <c r="V36" s="95">
        <v>12.584050100000001</v>
      </c>
      <c r="W36" s="95">
        <v>-1.2987348999999999</v>
      </c>
      <c r="X36" s="104" t="s">
        <v>4524</v>
      </c>
      <c r="Y36" s="103" t="s">
        <v>1634</v>
      </c>
      <c r="Z36" s="103" t="s">
        <v>1634</v>
      </c>
      <c r="AA36" s="103" t="s">
        <v>1862</v>
      </c>
      <c r="AB36" s="103">
        <v>21</v>
      </c>
      <c r="AC36" s="103">
        <v>0</v>
      </c>
      <c r="AD36" s="103">
        <v>21</v>
      </c>
      <c r="AE36" s="103" t="s">
        <v>1634</v>
      </c>
      <c r="AF36" s="103" t="s">
        <v>4493</v>
      </c>
      <c r="AG36" s="99" t="s">
        <v>4790</v>
      </c>
      <c r="AH36" s="103" t="s">
        <v>1804</v>
      </c>
      <c r="AI36" s="103" t="s">
        <v>1862</v>
      </c>
      <c r="AJ36" s="103" t="s">
        <v>1862</v>
      </c>
      <c r="AK36" s="103" t="s">
        <v>1862</v>
      </c>
      <c r="AL36" s="103" t="s">
        <v>1804</v>
      </c>
      <c r="AM36" s="103" t="s">
        <v>1862</v>
      </c>
      <c r="AN36" s="99" t="s">
        <v>4702</v>
      </c>
      <c r="AO36" s="103" t="s">
        <v>1862</v>
      </c>
      <c r="AP36" s="103">
        <v>850</v>
      </c>
      <c r="AQ36" s="103" t="s">
        <v>4461</v>
      </c>
      <c r="AR36" s="103"/>
      <c r="AS36" s="106">
        <v>300000</v>
      </c>
      <c r="AT36" s="103" t="s">
        <v>4625</v>
      </c>
      <c r="AU36" s="103" t="s">
        <v>1634</v>
      </c>
      <c r="AV36" s="99" t="s">
        <v>4671</v>
      </c>
      <c r="AW36" s="99" t="s">
        <v>4791</v>
      </c>
      <c r="AX36" s="99" t="s">
        <v>4792</v>
      </c>
      <c r="AY36" s="99" t="s">
        <v>4466</v>
      </c>
      <c r="AZ36" s="99" t="s">
        <v>4530</v>
      </c>
      <c r="BA36" s="103" t="s">
        <v>1634</v>
      </c>
      <c r="BB36" s="99"/>
      <c r="BC36" s="99">
        <v>400</v>
      </c>
      <c r="BD36" s="99"/>
      <c r="BE36" s="99">
        <v>300000</v>
      </c>
      <c r="BF36" s="103" t="s">
        <v>4793</v>
      </c>
      <c r="BG36" s="103" t="s">
        <v>1804</v>
      </c>
      <c r="BH36" s="103" t="s">
        <v>1804</v>
      </c>
      <c r="BI36" s="103" t="s">
        <v>1862</v>
      </c>
      <c r="BJ36" s="103" t="s">
        <v>1804</v>
      </c>
      <c r="BK36" s="103" t="s">
        <v>4478</v>
      </c>
      <c r="BL36" s="103" t="s">
        <v>4470</v>
      </c>
      <c r="BM36" s="103" t="s">
        <v>4461</v>
      </c>
      <c r="BN36" s="103" t="s">
        <v>4512</v>
      </c>
      <c r="BO36" s="103">
        <v>200</v>
      </c>
      <c r="BP36" s="103" t="s">
        <v>4500</v>
      </c>
      <c r="BQ36" s="99"/>
      <c r="BR36" s="99"/>
      <c r="BS36" s="99"/>
      <c r="BT36" s="103" t="s">
        <v>3186</v>
      </c>
      <c r="BU36" s="99" t="s">
        <v>4475</v>
      </c>
      <c r="BV36" s="103" t="s">
        <v>4476</v>
      </c>
      <c r="BW36" s="103" t="s">
        <v>4476</v>
      </c>
      <c r="BX36" s="103" t="s">
        <v>1634</v>
      </c>
      <c r="BY36" s="103" t="s">
        <v>4501</v>
      </c>
      <c r="BZ36" s="103" t="s">
        <v>4478</v>
      </c>
      <c r="CA36" s="103" t="s">
        <v>4509</v>
      </c>
      <c r="CB36" s="103">
        <v>45</v>
      </c>
      <c r="CC36" s="103" t="s">
        <v>4502</v>
      </c>
      <c r="CD36" s="103" t="s">
        <v>4475</v>
      </c>
      <c r="CE36" s="103" t="s">
        <v>4475</v>
      </c>
      <c r="CF36" s="103"/>
      <c r="CG36" s="103" t="s">
        <v>651</v>
      </c>
      <c r="CH36" s="103" t="s">
        <v>617</v>
      </c>
      <c r="CI36" s="103">
        <v>70729514</v>
      </c>
      <c r="CJ36" s="103" t="s">
        <v>4794</v>
      </c>
      <c r="CK36" s="108">
        <v>43364.566331018519</v>
      </c>
      <c r="CL36" s="109">
        <v>43364.858090277776</v>
      </c>
      <c r="CM36" s="95">
        <v>12.584050100000001</v>
      </c>
      <c r="CN36" s="95">
        <v>-1.2987348999999999</v>
      </c>
      <c r="CO36" s="99"/>
      <c r="CP36" s="99"/>
      <c r="CQ36" s="99"/>
      <c r="CR36" s="99"/>
      <c r="CS36" s="99"/>
      <c r="CT36" s="99"/>
      <c r="CU36" s="99"/>
      <c r="CV36" s="99"/>
      <c r="CW36" s="99"/>
      <c r="CX36" s="99"/>
      <c r="CY36" s="99"/>
      <c r="CZ36" s="99"/>
      <c r="DA36" s="99"/>
      <c r="DB36" s="99"/>
      <c r="DC36" s="99"/>
    </row>
    <row r="37" spans="1:107" ht="15.75" customHeight="1">
      <c r="A37" s="95">
        <v>37</v>
      </c>
      <c r="B37" s="99" t="s">
        <v>586</v>
      </c>
      <c r="C37" s="99" t="s">
        <v>587</v>
      </c>
      <c r="D37" s="99">
        <v>65706891</v>
      </c>
      <c r="E37" s="99" t="s">
        <v>67</v>
      </c>
      <c r="F37" s="95" t="s">
        <v>4795</v>
      </c>
      <c r="G37" s="95" t="s">
        <v>1042</v>
      </c>
      <c r="H37" s="95" t="s">
        <v>1071</v>
      </c>
      <c r="I37" s="95" t="s">
        <v>68</v>
      </c>
      <c r="J37" s="95" t="s">
        <v>1072</v>
      </c>
      <c r="K37" s="99"/>
      <c r="L37" s="103" t="s">
        <v>4449</v>
      </c>
      <c r="M37" s="99" t="s">
        <v>4567</v>
      </c>
      <c r="N37" s="99" t="s">
        <v>1565</v>
      </c>
      <c r="O37" s="99" t="s">
        <v>4488</v>
      </c>
      <c r="P37" s="103">
        <v>2007</v>
      </c>
      <c r="Q37" s="103" t="s">
        <v>1862</v>
      </c>
      <c r="R37" s="99" t="s">
        <v>4687</v>
      </c>
      <c r="S37" s="103" t="s">
        <v>2282</v>
      </c>
      <c r="T37" s="103" t="s">
        <v>4490</v>
      </c>
      <c r="U37" s="99" t="s">
        <v>4796</v>
      </c>
      <c r="V37" s="115">
        <v>11.68333</v>
      </c>
      <c r="W37" s="115">
        <v>-1.1666700000000001</v>
      </c>
      <c r="X37" s="104" t="s">
        <v>4797</v>
      </c>
      <c r="Y37" s="103" t="s">
        <v>1634</v>
      </c>
      <c r="Z37" s="103" t="s">
        <v>1634</v>
      </c>
      <c r="AA37" s="103" t="s">
        <v>1548</v>
      </c>
      <c r="AB37" s="103">
        <v>12</v>
      </c>
      <c r="AC37" s="103">
        <v>4</v>
      </c>
      <c r="AD37" s="103">
        <v>8</v>
      </c>
      <c r="AE37" s="103" t="s">
        <v>1634</v>
      </c>
      <c r="AF37" s="103" t="s">
        <v>4493</v>
      </c>
      <c r="AG37" s="99" t="s">
        <v>4494</v>
      </c>
      <c r="AH37" s="103" t="s">
        <v>1862</v>
      </c>
      <c r="AI37" s="103" t="s">
        <v>1862</v>
      </c>
      <c r="AJ37" s="103" t="s">
        <v>1804</v>
      </c>
      <c r="AK37" s="103" t="s">
        <v>1804</v>
      </c>
      <c r="AL37" s="103" t="s">
        <v>1862</v>
      </c>
      <c r="AM37" s="103" t="s">
        <v>1862</v>
      </c>
      <c r="AN37" s="99" t="s">
        <v>4495</v>
      </c>
      <c r="AO37" s="103" t="s">
        <v>1862</v>
      </c>
      <c r="AP37" s="103">
        <v>1500</v>
      </c>
      <c r="AQ37" s="103" t="s">
        <v>4472</v>
      </c>
      <c r="AR37" s="103">
        <v>1440000</v>
      </c>
      <c r="AS37" s="106">
        <v>900000</v>
      </c>
      <c r="AT37" s="103" t="s">
        <v>4496</v>
      </c>
      <c r="AU37" s="103" t="s">
        <v>1548</v>
      </c>
      <c r="AV37" s="99"/>
      <c r="AW37" s="99" t="s">
        <v>4798</v>
      </c>
      <c r="AX37" s="99" t="s">
        <v>4799</v>
      </c>
      <c r="AY37" s="99" t="s">
        <v>4466</v>
      </c>
      <c r="AZ37" s="99" t="s">
        <v>4530</v>
      </c>
      <c r="BA37" s="103" t="s">
        <v>1548</v>
      </c>
      <c r="BB37" s="99">
        <v>9000</v>
      </c>
      <c r="BC37" s="99">
        <v>1800</v>
      </c>
      <c r="BD37" s="99">
        <v>5400000</v>
      </c>
      <c r="BE37" s="99">
        <v>2700000</v>
      </c>
      <c r="BF37" s="103" t="s">
        <v>4793</v>
      </c>
      <c r="BG37" s="103" t="s">
        <v>1804</v>
      </c>
      <c r="BH37" s="103" t="s">
        <v>1804</v>
      </c>
      <c r="BI37" s="103" t="s">
        <v>1862</v>
      </c>
      <c r="BJ37" s="103" t="s">
        <v>1804</v>
      </c>
      <c r="BK37" s="103" t="s">
        <v>4586</v>
      </c>
      <c r="BL37" s="103" t="s">
        <v>4470</v>
      </c>
      <c r="BM37" s="103" t="s">
        <v>4461</v>
      </c>
      <c r="BN37" s="103" t="s">
        <v>4545</v>
      </c>
      <c r="BO37" s="103">
        <v>240</v>
      </c>
      <c r="BP37" s="103" t="s">
        <v>4500</v>
      </c>
      <c r="BQ37" s="99" t="s">
        <v>4574</v>
      </c>
      <c r="BR37" s="99" t="s">
        <v>4574</v>
      </c>
      <c r="BS37" s="99" t="s">
        <v>4574</v>
      </c>
      <c r="BT37" s="103" t="s">
        <v>3186</v>
      </c>
      <c r="BU37" s="99" t="s">
        <v>4475</v>
      </c>
      <c r="BV37" s="103" t="s">
        <v>4574</v>
      </c>
      <c r="BW37" s="103" t="s">
        <v>4574</v>
      </c>
      <c r="BX37" s="103" t="s">
        <v>1548</v>
      </c>
      <c r="BY37" s="103" t="s">
        <v>4535</v>
      </c>
      <c r="BZ37" s="103" t="s">
        <v>4478</v>
      </c>
      <c r="CA37" s="103" t="s">
        <v>4461</v>
      </c>
      <c r="CB37" s="103">
        <v>2000</v>
      </c>
      <c r="CC37" s="103" t="s">
        <v>4502</v>
      </c>
      <c r="CD37" s="103" t="s">
        <v>4475</v>
      </c>
      <c r="CE37" s="103" t="s">
        <v>4475</v>
      </c>
      <c r="CF37" s="103" t="s">
        <v>4691</v>
      </c>
      <c r="CG37" s="103" t="s">
        <v>692</v>
      </c>
      <c r="CH37" s="103" t="s">
        <v>4800</v>
      </c>
      <c r="CI37" s="103">
        <v>74854295</v>
      </c>
      <c r="CJ37" s="103"/>
      <c r="CK37" s="108">
        <v>43364.822175925925</v>
      </c>
      <c r="CL37" s="109">
        <v>43364.874675925923</v>
      </c>
      <c r="CM37" s="95">
        <v>11.68333</v>
      </c>
      <c r="CN37" s="95">
        <v>-1.1666700000000001</v>
      </c>
      <c r="CO37" s="99"/>
      <c r="CP37" s="99"/>
      <c r="CQ37" s="99"/>
      <c r="CR37" s="99"/>
      <c r="CS37" s="99"/>
      <c r="CT37" s="99"/>
      <c r="CU37" s="99"/>
      <c r="CV37" s="99"/>
      <c r="CW37" s="99"/>
      <c r="CX37" s="99"/>
      <c r="CY37" s="99"/>
      <c r="CZ37" s="99"/>
      <c r="DA37" s="99"/>
      <c r="DB37" s="99"/>
      <c r="DC37" s="99"/>
    </row>
    <row r="38" spans="1:107" ht="15.75" customHeight="1">
      <c r="A38" s="95">
        <v>38</v>
      </c>
      <c r="B38" s="99" t="s">
        <v>588</v>
      </c>
      <c r="C38" s="99" t="s">
        <v>589</v>
      </c>
      <c r="D38" s="99">
        <v>79497177</v>
      </c>
      <c r="E38" s="99" t="s">
        <v>69</v>
      </c>
      <c r="F38" s="95" t="s">
        <v>4795</v>
      </c>
      <c r="G38" s="95" t="s">
        <v>1042</v>
      </c>
      <c r="H38" s="95" t="s">
        <v>1071</v>
      </c>
      <c r="I38" s="95" t="s">
        <v>68</v>
      </c>
      <c r="J38" s="95" t="s">
        <v>1072</v>
      </c>
      <c r="K38" s="99"/>
      <c r="L38" s="103" t="s">
        <v>4449</v>
      </c>
      <c r="M38" s="99" t="s">
        <v>4487</v>
      </c>
      <c r="N38" s="99" t="s">
        <v>4451</v>
      </c>
      <c r="O38" s="99" t="s">
        <v>4488</v>
      </c>
      <c r="P38" s="103">
        <v>2016</v>
      </c>
      <c r="Q38" s="103" t="s">
        <v>1862</v>
      </c>
      <c r="R38" s="99" t="s">
        <v>4489</v>
      </c>
      <c r="S38" s="103" t="s">
        <v>1541</v>
      </c>
      <c r="T38" s="103" t="s">
        <v>4490</v>
      </c>
      <c r="U38" s="99" t="s">
        <v>4796</v>
      </c>
      <c r="V38" s="115">
        <v>11.68333</v>
      </c>
      <c r="W38" s="115">
        <v>-1.1666700000000001</v>
      </c>
      <c r="X38" s="104" t="s">
        <v>4797</v>
      </c>
      <c r="Y38" s="103" t="s">
        <v>1634</v>
      </c>
      <c r="Z38" s="103" t="s">
        <v>1634</v>
      </c>
      <c r="AA38" s="103" t="s">
        <v>1862</v>
      </c>
      <c r="AB38" s="103">
        <v>17</v>
      </c>
      <c r="AC38" s="103">
        <v>2</v>
      </c>
      <c r="AD38" s="103">
        <v>15</v>
      </c>
      <c r="AE38" s="103" t="s">
        <v>1634</v>
      </c>
      <c r="AF38" s="103" t="s">
        <v>4493</v>
      </c>
      <c r="AG38" s="99" t="s">
        <v>4494</v>
      </c>
      <c r="AH38" s="103" t="s">
        <v>1862</v>
      </c>
      <c r="AI38" s="103" t="s">
        <v>1862</v>
      </c>
      <c r="AJ38" s="103" t="s">
        <v>1804</v>
      </c>
      <c r="AK38" s="103" t="s">
        <v>1804</v>
      </c>
      <c r="AL38" s="103" t="s">
        <v>1862</v>
      </c>
      <c r="AM38" s="103" t="s">
        <v>1862</v>
      </c>
      <c r="AN38" s="99" t="s">
        <v>4495</v>
      </c>
      <c r="AO38" s="103" t="s">
        <v>1862</v>
      </c>
      <c r="AP38" s="103">
        <v>1500</v>
      </c>
      <c r="AQ38" s="103"/>
      <c r="AR38" s="103">
        <v>2160000</v>
      </c>
      <c r="AS38" s="106">
        <v>700000</v>
      </c>
      <c r="AT38" s="103" t="s">
        <v>4496</v>
      </c>
      <c r="AU38" s="103" t="s">
        <v>1548</v>
      </c>
      <c r="AV38" s="99"/>
      <c r="AW38" s="99" t="s">
        <v>4497</v>
      </c>
      <c r="AX38" s="99" t="s">
        <v>4498</v>
      </c>
      <c r="AY38" s="99"/>
      <c r="AZ38" s="99"/>
      <c r="BA38" s="103"/>
      <c r="BB38" s="99">
        <v>4320</v>
      </c>
      <c r="BC38" s="99">
        <v>3000</v>
      </c>
      <c r="BD38" s="99">
        <v>2592000</v>
      </c>
      <c r="BE38" s="99">
        <v>750000</v>
      </c>
      <c r="BF38" s="103"/>
      <c r="BG38" s="103"/>
      <c r="BH38" s="103"/>
      <c r="BI38" s="103"/>
      <c r="BJ38" s="103"/>
      <c r="BK38" s="103" t="s">
        <v>4499</v>
      </c>
      <c r="BL38" s="103"/>
      <c r="BM38" s="103"/>
      <c r="BN38" s="103"/>
      <c r="BO38" s="103">
        <v>240</v>
      </c>
      <c r="BP38" s="103" t="s">
        <v>4500</v>
      </c>
      <c r="BQ38" s="99" t="s">
        <v>4476</v>
      </c>
      <c r="BR38" s="99" t="s">
        <v>4476</v>
      </c>
      <c r="BS38" s="99" t="s">
        <v>4476</v>
      </c>
      <c r="BT38" s="103" t="s">
        <v>3186</v>
      </c>
      <c r="BU38" s="99" t="s">
        <v>4475</v>
      </c>
      <c r="BV38" s="103" t="s">
        <v>4476</v>
      </c>
      <c r="BW38" s="103" t="s">
        <v>4476</v>
      </c>
      <c r="BX38" s="103" t="s">
        <v>1548</v>
      </c>
      <c r="BY38" s="103" t="s">
        <v>4501</v>
      </c>
      <c r="BZ38" s="103" t="s">
        <v>4478</v>
      </c>
      <c r="CA38" s="103" t="s">
        <v>4500</v>
      </c>
      <c r="CB38" s="103">
        <v>1000</v>
      </c>
      <c r="CC38" s="103" t="s">
        <v>4502</v>
      </c>
      <c r="CD38" s="103" t="s">
        <v>4475</v>
      </c>
      <c r="CE38" s="103" t="s">
        <v>4475</v>
      </c>
      <c r="CF38" s="103"/>
      <c r="CG38" s="103" t="s">
        <v>692</v>
      </c>
      <c r="CH38" s="103" t="s">
        <v>589</v>
      </c>
      <c r="CI38" s="103">
        <v>72490971</v>
      </c>
      <c r="CJ38" s="103"/>
      <c r="CK38" s="108">
        <v>43364.920868055553</v>
      </c>
      <c r="CL38" s="109">
        <v>43364.966238425928</v>
      </c>
      <c r="CM38" s="95">
        <v>11.68333</v>
      </c>
      <c r="CN38" s="95">
        <v>-1.1666700000000001</v>
      </c>
      <c r="CO38" s="99"/>
      <c r="CP38" s="99"/>
      <c r="CQ38" s="99"/>
      <c r="CR38" s="99"/>
      <c r="CS38" s="99"/>
      <c r="CT38" s="99"/>
      <c r="CU38" s="99"/>
      <c r="CV38" s="99"/>
      <c r="CW38" s="99"/>
      <c r="CX38" s="99"/>
      <c r="CY38" s="99"/>
      <c r="CZ38" s="99"/>
      <c r="DA38" s="99"/>
      <c r="DB38" s="99"/>
      <c r="DC38" s="99"/>
    </row>
    <row r="39" spans="1:107" ht="15.75" customHeight="1">
      <c r="A39" s="95">
        <v>39</v>
      </c>
      <c r="B39" s="99" t="s">
        <v>565</v>
      </c>
      <c r="C39" s="99" t="s">
        <v>590</v>
      </c>
      <c r="D39" s="99" t="s">
        <v>591</v>
      </c>
      <c r="E39" s="99" t="s">
        <v>70</v>
      </c>
      <c r="F39" s="95" t="s">
        <v>4801</v>
      </c>
      <c r="G39" s="95" t="s">
        <v>1073</v>
      </c>
      <c r="H39" s="95" t="s">
        <v>1074</v>
      </c>
      <c r="I39" s="95" t="s">
        <v>71</v>
      </c>
      <c r="J39" s="95" t="s">
        <v>71</v>
      </c>
      <c r="K39" s="99"/>
      <c r="L39" s="103" t="s">
        <v>4549</v>
      </c>
      <c r="M39" s="99" t="s">
        <v>4450</v>
      </c>
      <c r="N39" s="99" t="s">
        <v>4520</v>
      </c>
      <c r="O39" s="99" t="s">
        <v>4802</v>
      </c>
      <c r="P39" s="103">
        <v>2001</v>
      </c>
      <c r="Q39" s="103" t="s">
        <v>1862</v>
      </c>
      <c r="R39" s="99" t="s">
        <v>4521</v>
      </c>
      <c r="S39" s="103" t="s">
        <v>4803</v>
      </c>
      <c r="T39" s="103" t="s">
        <v>4634</v>
      </c>
      <c r="U39" s="99" t="s">
        <v>4804</v>
      </c>
      <c r="V39" s="95">
        <v>11.1320447</v>
      </c>
      <c r="W39" s="95">
        <v>-4.2333354999999999</v>
      </c>
      <c r="X39" s="104" t="s">
        <v>4805</v>
      </c>
      <c r="Y39" s="103"/>
      <c r="Z39" s="103"/>
      <c r="AA39" s="103"/>
      <c r="AB39" s="105">
        <v>4422</v>
      </c>
      <c r="AC39" s="103">
        <v>6</v>
      </c>
      <c r="AD39" s="103">
        <v>16</v>
      </c>
      <c r="AE39" s="103" t="s">
        <v>1634</v>
      </c>
      <c r="AF39" s="103" t="s">
        <v>4651</v>
      </c>
      <c r="AG39" s="99" t="s">
        <v>4494</v>
      </c>
      <c r="AH39" s="103" t="s">
        <v>1862</v>
      </c>
      <c r="AI39" s="103" t="s">
        <v>1862</v>
      </c>
      <c r="AJ39" s="103" t="s">
        <v>1804</v>
      </c>
      <c r="AK39" s="103" t="s">
        <v>1804</v>
      </c>
      <c r="AL39" s="103" t="s">
        <v>1862</v>
      </c>
      <c r="AM39" s="103" t="s">
        <v>1862</v>
      </c>
      <c r="AN39" s="99" t="s">
        <v>4806</v>
      </c>
      <c r="AO39" s="103" t="s">
        <v>1862</v>
      </c>
      <c r="AP39" s="103">
        <v>1600</v>
      </c>
      <c r="AQ39" s="103" t="s">
        <v>4500</v>
      </c>
      <c r="AR39" s="103">
        <v>0</v>
      </c>
      <c r="AS39" s="106">
        <v>15000000</v>
      </c>
      <c r="AT39" s="103" t="s">
        <v>4594</v>
      </c>
      <c r="AU39" s="103" t="s">
        <v>1634</v>
      </c>
      <c r="AV39" s="99" t="s">
        <v>4463</v>
      </c>
      <c r="AW39" s="99" t="s">
        <v>4807</v>
      </c>
      <c r="AX39" s="99" t="s">
        <v>4808</v>
      </c>
      <c r="AY39" s="99" t="s">
        <v>4560</v>
      </c>
      <c r="AZ39" s="99" t="s">
        <v>4561</v>
      </c>
      <c r="BA39" s="103" t="s">
        <v>1634</v>
      </c>
      <c r="BB39" s="99">
        <v>0</v>
      </c>
      <c r="BC39" s="99">
        <v>125000</v>
      </c>
      <c r="BD39" s="99">
        <v>0</v>
      </c>
      <c r="BE39" s="99">
        <v>1500000000</v>
      </c>
      <c r="BF39" s="103" t="s">
        <v>4415</v>
      </c>
      <c r="BG39" s="103" t="s">
        <v>1862</v>
      </c>
      <c r="BH39" s="103" t="s">
        <v>1804</v>
      </c>
      <c r="BI39" s="103" t="s">
        <v>1804</v>
      </c>
      <c r="BJ39" s="103" t="s">
        <v>1804</v>
      </c>
      <c r="BK39" s="103" t="s">
        <v>4586</v>
      </c>
      <c r="BL39" s="103" t="s">
        <v>4470</v>
      </c>
      <c r="BM39" s="103" t="s">
        <v>4500</v>
      </c>
      <c r="BN39" s="103" t="s">
        <v>4562</v>
      </c>
      <c r="BO39" s="103">
        <v>200</v>
      </c>
      <c r="BP39" s="103" t="s">
        <v>4532</v>
      </c>
      <c r="BQ39" s="107" t="s">
        <v>4563</v>
      </c>
      <c r="BR39" s="99" t="s">
        <v>4809</v>
      </c>
      <c r="BS39" s="99" t="s">
        <v>4809</v>
      </c>
      <c r="BT39" s="103" t="s">
        <v>3186</v>
      </c>
      <c r="BU39" s="99" t="s">
        <v>4475</v>
      </c>
      <c r="BV39" s="103" t="s">
        <v>4514</v>
      </c>
      <c r="BW39" s="103" t="s">
        <v>4514</v>
      </c>
      <c r="BX39" s="103" t="s">
        <v>1548</v>
      </c>
      <c r="BY39" s="103" t="s">
        <v>4810</v>
      </c>
      <c r="BZ39" s="103" t="s">
        <v>4515</v>
      </c>
      <c r="CA39" s="103" t="s">
        <v>4470</v>
      </c>
      <c r="CB39" s="103">
        <v>100</v>
      </c>
      <c r="CC39" s="103" t="s">
        <v>4716</v>
      </c>
      <c r="CD39" s="103" t="s">
        <v>4475</v>
      </c>
      <c r="CE39" s="103" t="s">
        <v>4481</v>
      </c>
      <c r="CF39" s="103"/>
      <c r="CG39" s="103" t="s">
        <v>565</v>
      </c>
      <c r="CH39" s="103" t="s">
        <v>4811</v>
      </c>
      <c r="CI39" s="103">
        <v>76525082</v>
      </c>
      <c r="CJ39" s="103"/>
      <c r="CK39" s="108">
        <v>43364.7346875</v>
      </c>
      <c r="CL39" s="109">
        <v>43364.775856481479</v>
      </c>
      <c r="CM39" s="95">
        <v>11.1320447</v>
      </c>
      <c r="CN39" s="95">
        <v>-4.2333354999999999</v>
      </c>
      <c r="CO39" s="99"/>
      <c r="CP39" s="99"/>
      <c r="CQ39" s="99"/>
      <c r="CR39" s="99"/>
      <c r="CS39" s="99"/>
      <c r="CT39" s="99"/>
      <c r="CU39" s="99"/>
      <c r="CV39" s="99"/>
      <c r="CW39" s="99"/>
      <c r="CX39" s="99"/>
      <c r="CY39" s="99"/>
      <c r="CZ39" s="99"/>
      <c r="DA39" s="99"/>
      <c r="DB39" s="99"/>
      <c r="DC39" s="99"/>
    </row>
    <row r="40" spans="1:107" ht="15.75" customHeight="1">
      <c r="A40" s="95">
        <v>40</v>
      </c>
      <c r="B40" s="99" t="s">
        <v>592</v>
      </c>
      <c r="C40" s="99" t="s">
        <v>593</v>
      </c>
      <c r="D40" s="99">
        <v>70606709</v>
      </c>
      <c r="E40" s="99" t="s">
        <v>72</v>
      </c>
      <c r="F40" s="95" t="s">
        <v>4812</v>
      </c>
      <c r="G40" s="95" t="s">
        <v>1047</v>
      </c>
      <c r="H40" s="95" t="s">
        <v>1056</v>
      </c>
      <c r="I40" s="95" t="s">
        <v>73</v>
      </c>
      <c r="J40" s="95"/>
      <c r="K40" s="99"/>
      <c r="L40" s="103" t="s">
        <v>4449</v>
      </c>
      <c r="M40" s="99" t="s">
        <v>4450</v>
      </c>
      <c r="N40" s="99" t="s">
        <v>4451</v>
      </c>
      <c r="O40" s="99" t="s">
        <v>4813</v>
      </c>
      <c r="P40" s="103">
        <v>2000</v>
      </c>
      <c r="Q40" s="103" t="s">
        <v>1862</v>
      </c>
      <c r="R40" s="99" t="s">
        <v>4616</v>
      </c>
      <c r="S40" s="103" t="s">
        <v>1541</v>
      </c>
      <c r="T40" s="103" t="s">
        <v>4490</v>
      </c>
      <c r="U40" s="99" t="s">
        <v>4814</v>
      </c>
      <c r="V40" s="95">
        <v>12.734802200000001</v>
      </c>
      <c r="W40" s="95">
        <v>-1.3711017000000001</v>
      </c>
      <c r="X40" s="104" t="s">
        <v>4815</v>
      </c>
      <c r="Y40" s="103"/>
      <c r="Z40" s="103"/>
      <c r="AA40" s="103"/>
      <c r="AB40" s="103"/>
      <c r="AC40" s="103"/>
      <c r="AD40" s="103"/>
      <c r="AE40" s="103"/>
      <c r="AF40" s="103"/>
      <c r="AG40" s="99"/>
      <c r="AH40" s="103"/>
      <c r="AI40" s="103"/>
      <c r="AJ40" s="103"/>
      <c r="AK40" s="103"/>
      <c r="AL40" s="103"/>
      <c r="AM40" s="103"/>
      <c r="AN40" s="99"/>
      <c r="AO40" s="103"/>
      <c r="AP40" s="103"/>
      <c r="AQ40" s="103"/>
      <c r="AR40" s="103"/>
      <c r="AS40" s="99"/>
      <c r="AT40" s="103"/>
      <c r="AU40" s="103"/>
      <c r="AV40" s="99"/>
      <c r="AW40" s="99"/>
      <c r="AX40" s="99"/>
      <c r="AY40" s="99"/>
      <c r="AZ40" s="99"/>
      <c r="BA40" s="103"/>
      <c r="BB40" s="99"/>
      <c r="BC40" s="99"/>
      <c r="BD40" s="99"/>
      <c r="BE40" s="99"/>
      <c r="BF40" s="103"/>
      <c r="BG40" s="103"/>
      <c r="BH40" s="103"/>
      <c r="BI40" s="103"/>
      <c r="BJ40" s="103"/>
      <c r="BK40" s="103" t="s">
        <v>4499</v>
      </c>
      <c r="BL40" s="103"/>
      <c r="BM40" s="103"/>
      <c r="BN40" s="103"/>
      <c r="BO40" s="103"/>
      <c r="BP40" s="103"/>
      <c r="BQ40" s="107"/>
      <c r="BR40" s="99"/>
      <c r="BS40" s="99"/>
      <c r="BT40" s="103" t="s">
        <v>3186</v>
      </c>
      <c r="BU40" s="99"/>
      <c r="BV40" s="103"/>
      <c r="BW40" s="103"/>
      <c r="BX40" s="103"/>
      <c r="BY40" s="103"/>
      <c r="BZ40" s="103"/>
      <c r="CA40" s="103"/>
      <c r="CB40" s="103"/>
      <c r="CC40" s="103"/>
      <c r="CD40" s="103"/>
      <c r="CE40" s="103"/>
      <c r="CF40" s="103"/>
      <c r="CG40" s="103"/>
      <c r="CH40" s="103"/>
      <c r="CI40" s="103">
        <v>75752232</v>
      </c>
      <c r="CJ40" s="103"/>
      <c r="CK40" s="108">
        <v>43365.396678240744</v>
      </c>
      <c r="CL40" s="109">
        <v>43365.398611111108</v>
      </c>
      <c r="CM40" s="95">
        <v>12.734802200000001</v>
      </c>
      <c r="CN40" s="95">
        <v>-1.3711017000000001</v>
      </c>
      <c r="CO40" s="99"/>
      <c r="CP40" s="99"/>
      <c r="CQ40" s="99"/>
      <c r="CR40" s="99"/>
      <c r="CS40" s="99"/>
      <c r="CT40" s="99"/>
      <c r="CU40" s="99"/>
      <c r="CV40" s="99"/>
      <c r="CW40" s="99"/>
      <c r="CX40" s="99"/>
      <c r="CY40" s="99"/>
      <c r="CZ40" s="99"/>
      <c r="DA40" s="99"/>
      <c r="DB40" s="99"/>
      <c r="DC40" s="99"/>
    </row>
    <row r="41" spans="1:107" ht="15.75" customHeight="1">
      <c r="A41" s="95">
        <v>41</v>
      </c>
      <c r="B41" s="99" t="s">
        <v>594</v>
      </c>
      <c r="C41" s="99" t="s">
        <v>595</v>
      </c>
      <c r="D41" s="110">
        <v>79940091</v>
      </c>
      <c r="E41" s="99" t="s">
        <v>74</v>
      </c>
      <c r="F41" s="95" t="s">
        <v>4816</v>
      </c>
      <c r="G41" s="95" t="s">
        <v>1075</v>
      </c>
      <c r="H41" s="95" t="s">
        <v>1043</v>
      </c>
      <c r="I41" s="95" t="s">
        <v>75</v>
      </c>
      <c r="J41" s="95"/>
      <c r="K41" s="99"/>
      <c r="L41" s="103" t="s">
        <v>4449</v>
      </c>
      <c r="M41" s="99" t="s">
        <v>4450</v>
      </c>
      <c r="N41" s="99" t="s">
        <v>4817</v>
      </c>
      <c r="O41" s="99" t="s">
        <v>4818</v>
      </c>
      <c r="P41" s="103">
        <v>2004</v>
      </c>
      <c r="Q41" s="103" t="s">
        <v>1862</v>
      </c>
      <c r="R41" s="99" t="s">
        <v>4633</v>
      </c>
      <c r="S41" s="103" t="s">
        <v>4454</v>
      </c>
      <c r="T41" s="103" t="s">
        <v>4634</v>
      </c>
      <c r="U41" s="99" t="s">
        <v>4819</v>
      </c>
      <c r="V41" s="95">
        <v>11.0966798</v>
      </c>
      <c r="W41" s="95">
        <v>-0.96496879999999996</v>
      </c>
      <c r="X41" s="104" t="s">
        <v>4820</v>
      </c>
      <c r="Y41" s="103" t="s">
        <v>1634</v>
      </c>
      <c r="Z41" s="103" t="s">
        <v>1634</v>
      </c>
      <c r="AA41" s="103" t="s">
        <v>1862</v>
      </c>
      <c r="AB41" s="103">
        <v>358</v>
      </c>
      <c r="AC41" s="103">
        <v>3</v>
      </c>
      <c r="AD41" s="103">
        <v>355</v>
      </c>
      <c r="AE41" s="103" t="s">
        <v>1634</v>
      </c>
      <c r="AF41" s="103" t="s">
        <v>4637</v>
      </c>
      <c r="AG41" s="99" t="s">
        <v>4554</v>
      </c>
      <c r="AH41" s="103" t="s">
        <v>1862</v>
      </c>
      <c r="AI41" s="103" t="s">
        <v>1862</v>
      </c>
      <c r="AJ41" s="103" t="s">
        <v>1862</v>
      </c>
      <c r="AK41" s="103" t="s">
        <v>1862</v>
      </c>
      <c r="AL41" s="103" t="s">
        <v>1804</v>
      </c>
      <c r="AM41" s="103" t="s">
        <v>1862</v>
      </c>
      <c r="AN41" s="99" t="s">
        <v>4638</v>
      </c>
      <c r="AO41" s="103" t="s">
        <v>1862</v>
      </c>
      <c r="AP41" s="103">
        <v>1600</v>
      </c>
      <c r="AQ41" s="112" t="s">
        <v>4461</v>
      </c>
      <c r="AR41" s="103"/>
      <c r="AS41" s="106">
        <v>50000000</v>
      </c>
      <c r="AT41" s="103" t="s">
        <v>4527</v>
      </c>
      <c r="AU41" s="103" t="s">
        <v>1634</v>
      </c>
      <c r="AV41" s="99" t="s">
        <v>4463</v>
      </c>
      <c r="AW41" s="99" t="s">
        <v>4639</v>
      </c>
      <c r="AX41" s="99" t="s">
        <v>4640</v>
      </c>
      <c r="AY41" s="99" t="s">
        <v>4641</v>
      </c>
      <c r="AZ41" s="99" t="s">
        <v>4530</v>
      </c>
      <c r="BA41" s="103" t="s">
        <v>1634</v>
      </c>
      <c r="BB41" s="99"/>
      <c r="BC41" s="99">
        <v>22000</v>
      </c>
      <c r="BD41" s="99"/>
      <c r="BE41" s="99">
        <v>37500000</v>
      </c>
      <c r="BF41" s="103" t="s">
        <v>4642</v>
      </c>
      <c r="BG41" s="103" t="s">
        <v>1862</v>
      </c>
      <c r="BH41" s="103" t="s">
        <v>1862</v>
      </c>
      <c r="BI41" s="103" t="s">
        <v>1862</v>
      </c>
      <c r="BJ41" s="103" t="s">
        <v>1862</v>
      </c>
      <c r="BK41" s="103" t="s">
        <v>4469</v>
      </c>
      <c r="BL41" s="103" t="s">
        <v>4472</v>
      </c>
      <c r="BM41" s="103" t="s">
        <v>4461</v>
      </c>
      <c r="BN41" s="103" t="s">
        <v>4643</v>
      </c>
      <c r="BO41" s="103">
        <v>450</v>
      </c>
      <c r="BP41" s="103" t="s">
        <v>4532</v>
      </c>
      <c r="BQ41" s="99" t="s">
        <v>4644</v>
      </c>
      <c r="BR41" s="99" t="s">
        <v>4644</v>
      </c>
      <c r="BS41" s="99" t="s">
        <v>4564</v>
      </c>
      <c r="BT41" s="103" t="s">
        <v>3186</v>
      </c>
      <c r="BU41" s="99"/>
      <c r="BV41" s="103" t="s">
        <v>4644</v>
      </c>
      <c r="BW41" s="103" t="s">
        <v>4644</v>
      </c>
      <c r="BX41" s="103"/>
      <c r="BY41" s="103"/>
      <c r="BZ41" s="103"/>
      <c r="CA41" s="103"/>
      <c r="CB41" s="103"/>
      <c r="CC41" s="103" t="s">
        <v>4502</v>
      </c>
      <c r="CD41" s="103" t="s">
        <v>4475</v>
      </c>
      <c r="CE41" s="112" t="s">
        <v>4475</v>
      </c>
      <c r="CF41" s="103"/>
      <c r="CG41" s="103" t="s">
        <v>594</v>
      </c>
      <c r="CH41" s="103" t="s">
        <v>595</v>
      </c>
      <c r="CI41" s="111">
        <v>79940091</v>
      </c>
      <c r="CJ41" s="103"/>
      <c r="CK41" s="108">
        <v>43364.693287037036</v>
      </c>
      <c r="CL41" s="109">
        <v>43364.732754629629</v>
      </c>
      <c r="CM41" s="95">
        <v>11.0966798</v>
      </c>
      <c r="CN41" s="95">
        <v>-0.96496879999999996</v>
      </c>
      <c r="CO41" s="99"/>
      <c r="CP41" s="99"/>
      <c r="CQ41" s="99"/>
      <c r="CR41" s="99"/>
      <c r="CS41" s="99"/>
      <c r="CT41" s="99"/>
      <c r="CU41" s="99"/>
      <c r="CV41" s="99"/>
      <c r="CW41" s="99"/>
      <c r="CX41" s="99"/>
      <c r="CY41" s="99"/>
      <c r="CZ41" s="99"/>
      <c r="DA41" s="99"/>
      <c r="DB41" s="99"/>
      <c r="DC41" s="99"/>
    </row>
    <row r="42" spans="1:107" ht="15.75" customHeight="1">
      <c r="A42" s="95">
        <v>42</v>
      </c>
      <c r="B42" s="99" t="s">
        <v>596</v>
      </c>
      <c r="C42" s="99" t="s">
        <v>597</v>
      </c>
      <c r="D42" s="99">
        <v>70170679</v>
      </c>
      <c r="E42" s="99" t="s">
        <v>76</v>
      </c>
      <c r="F42" s="95" t="s">
        <v>4677</v>
      </c>
      <c r="G42" s="95" t="s">
        <v>1057</v>
      </c>
      <c r="H42" s="95" t="s">
        <v>1058</v>
      </c>
      <c r="I42" s="95" t="s">
        <v>40</v>
      </c>
      <c r="J42" s="95"/>
      <c r="K42" s="99"/>
      <c r="L42" s="103" t="s">
        <v>4449</v>
      </c>
      <c r="M42" s="99" t="s">
        <v>4450</v>
      </c>
      <c r="N42" s="99" t="s">
        <v>4520</v>
      </c>
      <c r="O42" s="99" t="s">
        <v>4488</v>
      </c>
      <c r="P42" s="103">
        <v>2006</v>
      </c>
      <c r="Q42" s="103" t="s">
        <v>1862</v>
      </c>
      <c r="R42" s="99" t="s">
        <v>4521</v>
      </c>
      <c r="S42" s="103" t="s">
        <v>1541</v>
      </c>
      <c r="T42" s="103" t="s">
        <v>4522</v>
      </c>
      <c r="U42" s="99" t="s">
        <v>4678</v>
      </c>
      <c r="V42" s="95">
        <v>13.0695031</v>
      </c>
      <c r="W42" s="95">
        <v>-3.0626283999999999</v>
      </c>
      <c r="X42" s="104" t="s">
        <v>4650</v>
      </c>
      <c r="Y42" s="103" t="s">
        <v>1634</v>
      </c>
      <c r="Z42" s="103" t="s">
        <v>1634</v>
      </c>
      <c r="AA42" s="103" t="s">
        <v>1862</v>
      </c>
      <c r="AB42" s="103">
        <v>25</v>
      </c>
      <c r="AC42" s="103">
        <v>4</v>
      </c>
      <c r="AD42" s="103">
        <v>19</v>
      </c>
      <c r="AE42" s="103" t="s">
        <v>1634</v>
      </c>
      <c r="AF42" s="103" t="s">
        <v>4679</v>
      </c>
      <c r="AG42" s="99" t="s">
        <v>4624</v>
      </c>
      <c r="AH42" s="103" t="s">
        <v>1862</v>
      </c>
      <c r="AI42" s="103" t="s">
        <v>1862</v>
      </c>
      <c r="AJ42" s="103" t="s">
        <v>1804</v>
      </c>
      <c r="AK42" s="103" t="s">
        <v>1804</v>
      </c>
      <c r="AL42" s="103" t="s">
        <v>1804</v>
      </c>
      <c r="AM42" s="103" t="s">
        <v>1804</v>
      </c>
      <c r="AN42" s="99" t="s">
        <v>1646</v>
      </c>
      <c r="AO42" s="103" t="s">
        <v>1862</v>
      </c>
      <c r="AP42" s="103">
        <v>600</v>
      </c>
      <c r="AQ42" s="103" t="s">
        <v>4461</v>
      </c>
      <c r="AR42" s="103">
        <v>150000</v>
      </c>
      <c r="AS42" s="106">
        <v>100000</v>
      </c>
      <c r="AT42" s="103" t="s">
        <v>4625</v>
      </c>
      <c r="AU42" s="103" t="s">
        <v>1548</v>
      </c>
      <c r="AV42" s="99"/>
      <c r="AW42" s="99" t="s">
        <v>4680</v>
      </c>
      <c r="AX42" s="99" t="s">
        <v>4543</v>
      </c>
      <c r="AY42" s="99" t="s">
        <v>4466</v>
      </c>
      <c r="AZ42" s="99" t="s">
        <v>4467</v>
      </c>
      <c r="BA42" s="103" t="s">
        <v>1548</v>
      </c>
      <c r="BB42" s="99">
        <v>160</v>
      </c>
      <c r="BC42" s="99">
        <v>40</v>
      </c>
      <c r="BD42" s="99">
        <v>150000</v>
      </c>
      <c r="BE42" s="99">
        <v>100000</v>
      </c>
      <c r="BF42" s="103" t="s">
        <v>4415</v>
      </c>
      <c r="BG42" s="103" t="s">
        <v>1862</v>
      </c>
      <c r="BH42" s="103" t="s">
        <v>1804</v>
      </c>
      <c r="BI42" s="103" t="s">
        <v>1804</v>
      </c>
      <c r="BJ42" s="103" t="s">
        <v>1804</v>
      </c>
      <c r="BK42" s="103" t="s">
        <v>4478</v>
      </c>
      <c r="BL42" s="103" t="s">
        <v>4470</v>
      </c>
      <c r="BM42" s="103" t="s">
        <v>4470</v>
      </c>
      <c r="BN42" s="103" t="s">
        <v>4545</v>
      </c>
      <c r="BO42" s="103">
        <v>35</v>
      </c>
      <c r="BP42" s="103" t="s">
        <v>4500</v>
      </c>
      <c r="BQ42" s="107" t="s">
        <v>4476</v>
      </c>
      <c r="BR42" s="99" t="s">
        <v>4476</v>
      </c>
      <c r="BS42" s="99"/>
      <c r="BT42" s="103" t="s">
        <v>3186</v>
      </c>
      <c r="BU42" s="99" t="s">
        <v>4502</v>
      </c>
      <c r="BV42" s="103" t="s">
        <v>4476</v>
      </c>
      <c r="BW42" s="103" t="s">
        <v>4476</v>
      </c>
      <c r="BX42" s="103" t="s">
        <v>1548</v>
      </c>
      <c r="BY42" s="103" t="s">
        <v>4501</v>
      </c>
      <c r="BZ42" s="103" t="s">
        <v>4515</v>
      </c>
      <c r="CA42" s="103" t="s">
        <v>4500</v>
      </c>
      <c r="CB42" s="103">
        <v>20</v>
      </c>
      <c r="CC42" s="103" t="s">
        <v>4479</v>
      </c>
      <c r="CD42" s="103" t="s">
        <v>4475</v>
      </c>
      <c r="CE42" s="103" t="s">
        <v>4475</v>
      </c>
      <c r="CF42" s="103" t="s">
        <v>4482</v>
      </c>
      <c r="CG42" s="103" t="s">
        <v>596</v>
      </c>
      <c r="CH42" s="103" t="s">
        <v>4821</v>
      </c>
      <c r="CI42" s="103">
        <v>66264259</v>
      </c>
      <c r="CJ42" s="103"/>
      <c r="CK42" s="108">
        <v>43365.387037037035</v>
      </c>
      <c r="CL42" s="109">
        <v>43365.399768518517</v>
      </c>
      <c r="CM42" s="95">
        <v>13.0695031</v>
      </c>
      <c r="CN42" s="95">
        <v>-3.0626283999999999</v>
      </c>
      <c r="CO42" s="99"/>
      <c r="CP42" s="99"/>
      <c r="CQ42" s="99"/>
      <c r="CR42" s="99"/>
      <c r="CS42" s="99"/>
      <c r="CT42" s="99"/>
      <c r="CU42" s="99"/>
      <c r="CV42" s="99"/>
      <c r="CW42" s="99"/>
      <c r="CX42" s="99"/>
      <c r="CY42" s="99"/>
      <c r="CZ42" s="99"/>
      <c r="DA42" s="99"/>
      <c r="DB42" s="99"/>
      <c r="DC42" s="99"/>
    </row>
    <row r="43" spans="1:107" ht="15.75" customHeight="1">
      <c r="A43" s="95">
        <v>43</v>
      </c>
      <c r="B43" s="99" t="s">
        <v>598</v>
      </c>
      <c r="C43" s="99" t="s">
        <v>599</v>
      </c>
      <c r="D43" s="99">
        <v>72193662</v>
      </c>
      <c r="E43" s="99" t="s">
        <v>77</v>
      </c>
      <c r="F43" s="95" t="s">
        <v>4666</v>
      </c>
      <c r="G43" s="95" t="s">
        <v>1057</v>
      </c>
      <c r="H43" s="95" t="s">
        <v>1061</v>
      </c>
      <c r="I43" s="95" t="s">
        <v>37</v>
      </c>
      <c r="J43" s="95"/>
      <c r="K43" s="99"/>
      <c r="L43" s="103" t="s">
        <v>4449</v>
      </c>
      <c r="M43" s="99" t="s">
        <v>4567</v>
      </c>
      <c r="N43" s="99" t="s">
        <v>1565</v>
      </c>
      <c r="O43" s="99" t="s">
        <v>4754</v>
      </c>
      <c r="P43" s="103">
        <v>2008</v>
      </c>
      <c r="Q43" s="103"/>
      <c r="R43" s="99"/>
      <c r="S43" s="103" t="s">
        <v>4454</v>
      </c>
      <c r="T43" s="103" t="s">
        <v>4822</v>
      </c>
      <c r="U43" s="99" t="s">
        <v>4667</v>
      </c>
      <c r="V43" s="95">
        <v>12.184640699999999</v>
      </c>
      <c r="W43" s="95">
        <v>-4.0848788999999996</v>
      </c>
      <c r="X43" s="104" t="s">
        <v>4668</v>
      </c>
      <c r="Y43" s="103"/>
      <c r="Z43" s="103"/>
      <c r="AA43" s="103"/>
      <c r="AB43" s="103"/>
      <c r="AC43" s="103"/>
      <c r="AD43" s="103"/>
      <c r="AE43" s="103"/>
      <c r="AF43" s="103"/>
      <c r="AG43" s="99"/>
      <c r="AH43" s="103"/>
      <c r="AI43" s="103"/>
      <c r="AJ43" s="103"/>
      <c r="AK43" s="103"/>
      <c r="AL43" s="103"/>
      <c r="AM43" s="103"/>
      <c r="AN43" s="99"/>
      <c r="AO43" s="103"/>
      <c r="AP43" s="103"/>
      <c r="AQ43" s="103"/>
      <c r="AR43" s="103"/>
      <c r="AS43" s="99"/>
      <c r="AT43" s="103"/>
      <c r="AU43" s="103"/>
      <c r="AV43" s="99"/>
      <c r="AW43" s="99"/>
      <c r="AX43" s="99"/>
      <c r="AY43" s="99"/>
      <c r="AZ43" s="99"/>
      <c r="BA43" s="103"/>
      <c r="BB43" s="99"/>
      <c r="BC43" s="99"/>
      <c r="BD43" s="99"/>
      <c r="BE43" s="99"/>
      <c r="BF43" s="103"/>
      <c r="BG43" s="103"/>
      <c r="BH43" s="103"/>
      <c r="BI43" s="103"/>
      <c r="BJ43" s="103"/>
      <c r="BK43" s="103" t="s">
        <v>4499</v>
      </c>
      <c r="BL43" s="103"/>
      <c r="BM43" s="103"/>
      <c r="BN43" s="103"/>
      <c r="BO43" s="103"/>
      <c r="BP43" s="103"/>
      <c r="BQ43" s="107"/>
      <c r="BR43" s="99"/>
      <c r="BS43" s="99"/>
      <c r="BT43" s="103" t="s">
        <v>3186</v>
      </c>
      <c r="BU43" s="99"/>
      <c r="BV43" s="103"/>
      <c r="BW43" s="103"/>
      <c r="BX43" s="103"/>
      <c r="BY43" s="103"/>
      <c r="BZ43" s="103"/>
      <c r="CA43" s="103"/>
      <c r="CB43" s="103"/>
      <c r="CC43" s="103"/>
      <c r="CD43" s="103"/>
      <c r="CE43" s="103"/>
      <c r="CF43" s="103"/>
      <c r="CG43" s="103" t="s">
        <v>598</v>
      </c>
      <c r="CH43" s="103" t="s">
        <v>599</v>
      </c>
      <c r="CI43" s="103">
        <v>70341790</v>
      </c>
      <c r="CJ43" s="103"/>
      <c r="CK43" s="108">
        <v>43364.588923611111</v>
      </c>
      <c r="CL43" s="109">
        <v>43365.280509259261</v>
      </c>
      <c r="CM43" s="95">
        <v>12.184640699999999</v>
      </c>
      <c r="CN43" s="95">
        <v>-4.0848788999999996</v>
      </c>
      <c r="CO43" s="99"/>
      <c r="CP43" s="99"/>
      <c r="CQ43" s="99"/>
      <c r="CR43" s="99"/>
      <c r="CS43" s="99"/>
      <c r="CT43" s="99"/>
      <c r="CU43" s="99"/>
      <c r="CV43" s="99"/>
      <c r="CW43" s="99"/>
      <c r="CX43" s="99"/>
      <c r="CY43" s="99"/>
      <c r="CZ43" s="99"/>
      <c r="DA43" s="99"/>
      <c r="DB43" s="99"/>
      <c r="DC43" s="99"/>
    </row>
    <row r="44" spans="1:107" ht="15.75" customHeight="1">
      <c r="A44" s="95">
        <v>44</v>
      </c>
      <c r="B44" s="99" t="s">
        <v>600</v>
      </c>
      <c r="C44" s="99" t="s">
        <v>601</v>
      </c>
      <c r="D44" s="99">
        <v>70265307</v>
      </c>
      <c r="E44" s="99" t="s">
        <v>78</v>
      </c>
      <c r="F44" s="95" t="s">
        <v>4733</v>
      </c>
      <c r="G44" s="95" t="s">
        <v>1062</v>
      </c>
      <c r="H44" s="95" t="s">
        <v>1064</v>
      </c>
      <c r="I44" s="95" t="s">
        <v>96</v>
      </c>
      <c r="J44" s="95"/>
      <c r="K44" s="99"/>
      <c r="L44" s="103" t="s">
        <v>4449</v>
      </c>
      <c r="M44" s="99" t="s">
        <v>4450</v>
      </c>
      <c r="N44" s="99" t="s">
        <v>4698</v>
      </c>
      <c r="O44" s="99" t="s">
        <v>4452</v>
      </c>
      <c r="P44" s="103">
        <v>1999</v>
      </c>
      <c r="Q44" s="103" t="s">
        <v>1862</v>
      </c>
      <c r="R44" s="99" t="s">
        <v>4551</v>
      </c>
      <c r="S44" s="103" t="s">
        <v>1541</v>
      </c>
      <c r="T44" s="103" t="s">
        <v>4768</v>
      </c>
      <c r="U44" s="99" t="s">
        <v>4734</v>
      </c>
      <c r="V44" s="95">
        <v>12.3714277</v>
      </c>
      <c r="W44" s="95">
        <v>-1.5196603</v>
      </c>
      <c r="X44" s="104" t="s">
        <v>4701</v>
      </c>
      <c r="Y44" s="103" t="s">
        <v>1634</v>
      </c>
      <c r="Z44" s="103" t="s">
        <v>1634</v>
      </c>
      <c r="AA44" s="103" t="s">
        <v>1862</v>
      </c>
      <c r="AB44" s="103">
        <v>72</v>
      </c>
      <c r="AC44" s="103">
        <v>10</v>
      </c>
      <c r="AD44" s="103">
        <v>62</v>
      </c>
      <c r="AE44" s="103" t="s">
        <v>1634</v>
      </c>
      <c r="AF44" s="103" t="s">
        <v>4493</v>
      </c>
      <c r="AG44" s="99" t="s">
        <v>4554</v>
      </c>
      <c r="AH44" s="103" t="s">
        <v>1862</v>
      </c>
      <c r="AI44" s="103" t="s">
        <v>1862</v>
      </c>
      <c r="AJ44" s="103" t="s">
        <v>1862</v>
      </c>
      <c r="AK44" s="103" t="s">
        <v>1862</v>
      </c>
      <c r="AL44" s="103" t="s">
        <v>1804</v>
      </c>
      <c r="AM44" s="103" t="s">
        <v>1862</v>
      </c>
      <c r="AN44" s="99" t="s">
        <v>4638</v>
      </c>
      <c r="AO44" s="103" t="s">
        <v>1862</v>
      </c>
      <c r="AP44" s="103">
        <v>1250</v>
      </c>
      <c r="AQ44" s="103" t="s">
        <v>4509</v>
      </c>
      <c r="AR44" s="103"/>
      <c r="AS44" s="106">
        <v>50000000</v>
      </c>
      <c r="AT44" s="103" t="s">
        <v>4462</v>
      </c>
      <c r="AU44" s="103" t="s">
        <v>1634</v>
      </c>
      <c r="AV44" s="99" t="s">
        <v>4463</v>
      </c>
      <c r="AW44" s="99" t="s">
        <v>4823</v>
      </c>
      <c r="AX44" s="99" t="s">
        <v>4824</v>
      </c>
      <c r="AY44" s="99" t="s">
        <v>4560</v>
      </c>
      <c r="AZ44" s="99" t="s">
        <v>4561</v>
      </c>
      <c r="BA44" s="103" t="s">
        <v>1634</v>
      </c>
      <c r="BB44" s="99"/>
      <c r="BC44" s="99">
        <v>40000</v>
      </c>
      <c r="BD44" s="99"/>
      <c r="BE44" s="99">
        <v>50000000</v>
      </c>
      <c r="BF44" s="103" t="s">
        <v>4785</v>
      </c>
      <c r="BG44" s="103" t="s">
        <v>1804</v>
      </c>
      <c r="BH44" s="103" t="s">
        <v>1804</v>
      </c>
      <c r="BI44" s="103" t="s">
        <v>1804</v>
      </c>
      <c r="BJ44" s="103" t="s">
        <v>1862</v>
      </c>
      <c r="BK44" s="103" t="s">
        <v>4586</v>
      </c>
      <c r="BL44" s="103" t="s">
        <v>4470</v>
      </c>
      <c r="BM44" s="103" t="s">
        <v>4461</v>
      </c>
      <c r="BN44" s="103" t="s">
        <v>4643</v>
      </c>
      <c r="BO44" s="103">
        <v>600</v>
      </c>
      <c r="BP44" s="103" t="s">
        <v>4532</v>
      </c>
      <c r="BQ44" s="107"/>
      <c r="BR44" s="99" t="s">
        <v>4513</v>
      </c>
      <c r="BS44" s="99" t="s">
        <v>4513</v>
      </c>
      <c r="BT44" s="103" t="s">
        <v>4513</v>
      </c>
      <c r="BU44" s="99"/>
      <c r="BV44" s="103" t="s">
        <v>4513</v>
      </c>
      <c r="BW44" s="103" t="s">
        <v>4644</v>
      </c>
      <c r="BX44" s="103" t="s">
        <v>1634</v>
      </c>
      <c r="BY44" s="103" t="s">
        <v>4535</v>
      </c>
      <c r="BZ44" s="103" t="s">
        <v>4515</v>
      </c>
      <c r="CA44" s="103" t="s">
        <v>4509</v>
      </c>
      <c r="CB44" s="103">
        <v>50</v>
      </c>
      <c r="CC44" s="103" t="s">
        <v>4716</v>
      </c>
      <c r="CD44" s="103" t="s">
        <v>4475</v>
      </c>
      <c r="CE44" s="103" t="s">
        <v>4481</v>
      </c>
      <c r="CF44" s="103"/>
      <c r="CG44" s="103" t="s">
        <v>4825</v>
      </c>
      <c r="CH44" s="103" t="s">
        <v>4826</v>
      </c>
      <c r="CI44" s="103">
        <v>71101922</v>
      </c>
      <c r="CJ44" s="103"/>
      <c r="CK44" s="108">
        <v>43365.422164351854</v>
      </c>
      <c r="CL44" s="109">
        <v>43365.442858796298</v>
      </c>
      <c r="CM44" s="95">
        <v>12.3714277</v>
      </c>
      <c r="CN44" s="95">
        <v>-1.5196603</v>
      </c>
      <c r="CO44" s="99"/>
      <c r="CP44" s="99"/>
      <c r="CQ44" s="99"/>
      <c r="CR44" s="99"/>
      <c r="CS44" s="99"/>
      <c r="CT44" s="99"/>
      <c r="CU44" s="99"/>
      <c r="CV44" s="99"/>
      <c r="CW44" s="99"/>
      <c r="CX44" s="99"/>
      <c r="CY44" s="99"/>
      <c r="CZ44" s="99"/>
      <c r="DA44" s="99"/>
      <c r="DB44" s="99"/>
      <c r="DC44" s="99"/>
    </row>
    <row r="45" spans="1:107" ht="15.75" customHeight="1">
      <c r="A45" s="95">
        <v>45</v>
      </c>
      <c r="B45" s="99" t="s">
        <v>602</v>
      </c>
      <c r="C45" s="99" t="s">
        <v>603</v>
      </c>
      <c r="D45" s="99">
        <v>71722212</v>
      </c>
      <c r="E45" s="99" t="s">
        <v>79</v>
      </c>
      <c r="F45" s="95" t="s">
        <v>4827</v>
      </c>
      <c r="G45" s="95" t="s">
        <v>1076</v>
      </c>
      <c r="H45" s="95" t="s">
        <v>1077</v>
      </c>
      <c r="I45" s="95" t="s">
        <v>80</v>
      </c>
      <c r="J45" s="95"/>
      <c r="K45" s="95"/>
      <c r="L45" s="103" t="s">
        <v>4449</v>
      </c>
      <c r="M45" s="99" t="s">
        <v>4567</v>
      </c>
      <c r="N45" s="99" t="s">
        <v>4451</v>
      </c>
      <c r="O45" s="99" t="s">
        <v>4648</v>
      </c>
      <c r="P45" s="103">
        <v>2001</v>
      </c>
      <c r="Q45" s="103" t="s">
        <v>1862</v>
      </c>
      <c r="R45" s="99" t="s">
        <v>4521</v>
      </c>
      <c r="S45" s="103" t="s">
        <v>1541</v>
      </c>
      <c r="T45" s="103" t="s">
        <v>4490</v>
      </c>
      <c r="U45" s="95" t="s">
        <v>4828</v>
      </c>
      <c r="V45" s="95">
        <v>12.719223299999999</v>
      </c>
      <c r="W45" s="95">
        <v>-0.13545860000000001</v>
      </c>
      <c r="X45" s="104" t="s">
        <v>4829</v>
      </c>
      <c r="Y45" s="103" t="s">
        <v>1634</v>
      </c>
      <c r="Z45" s="103" t="s">
        <v>1634</v>
      </c>
      <c r="AA45" s="103" t="s">
        <v>1862</v>
      </c>
      <c r="AB45" s="103">
        <v>22</v>
      </c>
      <c r="AC45" s="103">
        <v>0</v>
      </c>
      <c r="AD45" s="103">
        <v>22</v>
      </c>
      <c r="AE45" s="103" t="s">
        <v>1634</v>
      </c>
      <c r="AF45" s="103" t="s">
        <v>4830</v>
      </c>
      <c r="AG45" s="99" t="s">
        <v>4624</v>
      </c>
      <c r="AH45" s="103" t="s">
        <v>1862</v>
      </c>
      <c r="AI45" s="103" t="s">
        <v>1862</v>
      </c>
      <c r="AJ45" s="103" t="s">
        <v>1804</v>
      </c>
      <c r="AK45" s="103" t="s">
        <v>1804</v>
      </c>
      <c r="AL45" s="103" t="s">
        <v>1804</v>
      </c>
      <c r="AM45" s="103" t="s">
        <v>1804</v>
      </c>
      <c r="AN45" s="99" t="s">
        <v>1646</v>
      </c>
      <c r="AO45" s="103" t="s">
        <v>1862</v>
      </c>
      <c r="AP45" s="103">
        <v>650</v>
      </c>
      <c r="AQ45" s="103" t="s">
        <v>4461</v>
      </c>
      <c r="AR45" s="103" t="s">
        <v>4831</v>
      </c>
      <c r="AS45" s="106">
        <v>200000</v>
      </c>
      <c r="AT45" s="103" t="s">
        <v>4542</v>
      </c>
      <c r="AU45" s="103" t="s">
        <v>1548</v>
      </c>
      <c r="AV45" s="99"/>
      <c r="AW45" s="99" t="s">
        <v>4652</v>
      </c>
      <c r="AX45" s="99" t="s">
        <v>4543</v>
      </c>
      <c r="AY45" s="99" t="s">
        <v>4466</v>
      </c>
      <c r="AZ45" s="99" t="s">
        <v>4467</v>
      </c>
      <c r="BA45" s="103" t="s">
        <v>1548</v>
      </c>
      <c r="BB45" s="99">
        <v>200</v>
      </c>
      <c r="BC45" s="99">
        <v>100</v>
      </c>
      <c r="BD45" s="99">
        <v>150000</v>
      </c>
      <c r="BE45" s="99">
        <v>250000</v>
      </c>
      <c r="BF45" s="103" t="s">
        <v>4653</v>
      </c>
      <c r="BG45" s="103" t="s">
        <v>1862</v>
      </c>
      <c r="BH45" s="103" t="s">
        <v>1804</v>
      </c>
      <c r="BI45" s="103" t="s">
        <v>1862</v>
      </c>
      <c r="BJ45" s="103" t="s">
        <v>1804</v>
      </c>
      <c r="BK45" s="103" t="s">
        <v>4478</v>
      </c>
      <c r="BL45" s="103" t="s">
        <v>4470</v>
      </c>
      <c r="BM45" s="103" t="s">
        <v>4461</v>
      </c>
      <c r="BN45" s="103" t="s">
        <v>4627</v>
      </c>
      <c r="BO45" s="103">
        <v>20</v>
      </c>
      <c r="BP45" s="103" t="s">
        <v>4499</v>
      </c>
      <c r="BQ45" s="107" t="s">
        <v>4476</v>
      </c>
      <c r="BR45" s="99" t="s">
        <v>4476</v>
      </c>
      <c r="BS45" s="99"/>
      <c r="BT45" s="103" t="s">
        <v>3186</v>
      </c>
      <c r="BU45" s="107" t="s">
        <v>4476</v>
      </c>
      <c r="BV45" s="103" t="s">
        <v>4574</v>
      </c>
      <c r="BW45" s="103" t="s">
        <v>1548</v>
      </c>
      <c r="BX45" s="103" t="s">
        <v>4501</v>
      </c>
      <c r="BY45" s="103" t="s">
        <v>4478</v>
      </c>
      <c r="BZ45" s="103" t="s">
        <v>4509</v>
      </c>
      <c r="CA45" s="103">
        <v>40</v>
      </c>
      <c r="CB45" s="103" t="s">
        <v>4628</v>
      </c>
      <c r="CC45" s="103" t="s">
        <v>4502</v>
      </c>
      <c r="CD45" s="103" t="s">
        <v>4502</v>
      </c>
      <c r="CE45" s="103" t="s">
        <v>4475</v>
      </c>
      <c r="CF45" s="103" t="s">
        <v>4482</v>
      </c>
      <c r="CG45" s="103" t="s">
        <v>4832</v>
      </c>
      <c r="CH45" s="103" t="s">
        <v>3966</v>
      </c>
      <c r="CI45" s="103">
        <v>71722212</v>
      </c>
      <c r="CJ45" s="99"/>
      <c r="CK45" s="108">
        <v>43364.527060185188</v>
      </c>
      <c r="CL45" s="108">
        <v>43364.540173611109</v>
      </c>
      <c r="CM45" s="95">
        <v>12.719223299999999</v>
      </c>
      <c r="CN45" s="95">
        <v>-0.13545860000000001</v>
      </c>
      <c r="CO45" s="99"/>
      <c r="CP45" s="99"/>
      <c r="CQ45" s="99"/>
      <c r="CR45" s="99"/>
      <c r="CS45" s="99"/>
      <c r="CT45" s="99"/>
      <c r="CU45" s="99"/>
      <c r="CV45" s="99"/>
      <c r="CW45" s="99"/>
      <c r="CX45" s="99"/>
      <c r="CY45" s="99"/>
      <c r="CZ45" s="99"/>
      <c r="DA45" s="99"/>
      <c r="DB45" s="99"/>
      <c r="DC45" s="99"/>
    </row>
    <row r="46" spans="1:107" ht="15.75" customHeight="1">
      <c r="A46" s="95">
        <v>46</v>
      </c>
      <c r="B46" s="99" t="s">
        <v>604</v>
      </c>
      <c r="C46" s="99" t="s">
        <v>558</v>
      </c>
      <c r="D46" s="99">
        <v>60982363</v>
      </c>
      <c r="E46" s="99" t="s">
        <v>81</v>
      </c>
      <c r="F46" s="95" t="s">
        <v>4833</v>
      </c>
      <c r="G46" s="95" t="s">
        <v>1075</v>
      </c>
      <c r="H46" s="95" t="s">
        <v>1078</v>
      </c>
      <c r="I46" s="95" t="s">
        <v>82</v>
      </c>
      <c r="J46" s="95"/>
      <c r="K46" s="99"/>
      <c r="L46" s="103" t="s">
        <v>4449</v>
      </c>
      <c r="M46" s="99" t="s">
        <v>4632</v>
      </c>
      <c r="N46" s="99" t="s">
        <v>4718</v>
      </c>
      <c r="O46" s="99" t="s">
        <v>4818</v>
      </c>
      <c r="P46" s="103">
        <v>1998</v>
      </c>
      <c r="Q46" s="103" t="s">
        <v>1862</v>
      </c>
      <c r="R46" s="99" t="s">
        <v>4633</v>
      </c>
      <c r="S46" s="103" t="s">
        <v>4454</v>
      </c>
      <c r="T46" s="103" t="s">
        <v>4634</v>
      </c>
      <c r="U46" s="99" t="s">
        <v>4834</v>
      </c>
      <c r="V46" s="95">
        <v>11.5567756</v>
      </c>
      <c r="W46" s="95">
        <v>-1.201775</v>
      </c>
      <c r="X46" s="104" t="s">
        <v>4835</v>
      </c>
      <c r="Y46" s="103" t="s">
        <v>1634</v>
      </c>
      <c r="Z46" s="103" t="s">
        <v>1634</v>
      </c>
      <c r="AA46" s="103" t="s">
        <v>1862</v>
      </c>
      <c r="AB46" s="103">
        <v>255</v>
      </c>
      <c r="AC46" s="103">
        <v>5</v>
      </c>
      <c r="AD46" s="103">
        <v>250</v>
      </c>
      <c r="AE46" s="103" t="s">
        <v>1634</v>
      </c>
      <c r="AF46" s="103" t="s">
        <v>4493</v>
      </c>
      <c r="AG46" s="99" t="s">
        <v>4554</v>
      </c>
      <c r="AH46" s="103" t="s">
        <v>1862</v>
      </c>
      <c r="AI46" s="103" t="s">
        <v>1862</v>
      </c>
      <c r="AJ46" s="103" t="s">
        <v>1862</v>
      </c>
      <c r="AK46" s="103" t="s">
        <v>1862</v>
      </c>
      <c r="AL46" s="103" t="s">
        <v>1804</v>
      </c>
      <c r="AM46" s="103" t="s">
        <v>1862</v>
      </c>
      <c r="AN46" s="99" t="s">
        <v>4638</v>
      </c>
      <c r="AO46" s="103" t="s">
        <v>1862</v>
      </c>
      <c r="AP46" s="103">
        <v>1500</v>
      </c>
      <c r="AQ46" s="112" t="s">
        <v>4461</v>
      </c>
      <c r="AR46" s="103"/>
      <c r="AS46" s="106">
        <v>39500000</v>
      </c>
      <c r="AT46" s="103" t="s">
        <v>4527</v>
      </c>
      <c r="AU46" s="103" t="s">
        <v>1634</v>
      </c>
      <c r="AV46" s="99" t="s">
        <v>4463</v>
      </c>
      <c r="AW46" s="99" t="s">
        <v>4639</v>
      </c>
      <c r="AX46" s="99" t="s">
        <v>4640</v>
      </c>
      <c r="AY46" s="99" t="s">
        <v>4641</v>
      </c>
      <c r="AZ46" s="99" t="s">
        <v>4530</v>
      </c>
      <c r="BA46" s="103" t="s">
        <v>1634</v>
      </c>
      <c r="BB46" s="99"/>
      <c r="BC46" s="99">
        <v>22000</v>
      </c>
      <c r="BD46" s="99"/>
      <c r="BE46" s="99">
        <v>41000000</v>
      </c>
      <c r="BF46" s="103" t="s">
        <v>4642</v>
      </c>
      <c r="BG46" s="103" t="s">
        <v>1862</v>
      </c>
      <c r="BH46" s="103" t="s">
        <v>1862</v>
      </c>
      <c r="BI46" s="103" t="s">
        <v>1862</v>
      </c>
      <c r="BJ46" s="103" t="s">
        <v>1862</v>
      </c>
      <c r="BK46" s="103" t="s">
        <v>4469</v>
      </c>
      <c r="BL46" s="103" t="s">
        <v>4472</v>
      </c>
      <c r="BM46" s="103" t="s">
        <v>4461</v>
      </c>
      <c r="BN46" s="103" t="s">
        <v>4643</v>
      </c>
      <c r="BO46" s="103">
        <v>390</v>
      </c>
      <c r="BP46" s="103" t="s">
        <v>4532</v>
      </c>
      <c r="BQ46" s="99" t="s">
        <v>4644</v>
      </c>
      <c r="BR46" s="99" t="s">
        <v>4644</v>
      </c>
      <c r="BS46" s="99" t="s">
        <v>4564</v>
      </c>
      <c r="BT46" s="103" t="s">
        <v>3186</v>
      </c>
      <c r="BU46" s="99"/>
      <c r="BV46" s="103" t="s">
        <v>4644</v>
      </c>
      <c r="BW46" s="103" t="s">
        <v>4644</v>
      </c>
      <c r="BX46" s="103"/>
      <c r="BY46" s="103"/>
      <c r="BZ46" s="103"/>
      <c r="CA46" s="103"/>
      <c r="CB46" s="103"/>
      <c r="CC46" s="103" t="s">
        <v>4502</v>
      </c>
      <c r="CD46" s="103" t="s">
        <v>4475</v>
      </c>
      <c r="CE46" s="112" t="s">
        <v>4475</v>
      </c>
      <c r="CF46" s="103"/>
      <c r="CG46" s="103" t="s">
        <v>698</v>
      </c>
      <c r="CH46" s="103" t="s">
        <v>699</v>
      </c>
      <c r="CI46" s="103">
        <v>60982363</v>
      </c>
      <c r="CJ46" s="103"/>
      <c r="CK46" s="108">
        <v>43364.693287037036</v>
      </c>
      <c r="CL46" s="109">
        <v>43364.732754629629</v>
      </c>
      <c r="CM46" s="95">
        <v>11.5567756</v>
      </c>
      <c r="CN46" s="95">
        <v>-1.201775</v>
      </c>
      <c r="CO46" s="99"/>
      <c r="CP46" s="99"/>
      <c r="CQ46" s="99"/>
      <c r="CR46" s="99"/>
      <c r="CS46" s="99"/>
      <c r="CT46" s="99"/>
      <c r="CU46" s="99"/>
      <c r="CV46" s="99"/>
      <c r="CW46" s="99"/>
      <c r="CX46" s="99"/>
      <c r="CY46" s="99"/>
      <c r="CZ46" s="99"/>
      <c r="DA46" s="99"/>
      <c r="DB46" s="99"/>
      <c r="DC46" s="99"/>
    </row>
    <row r="47" spans="1:107" ht="15.75" customHeight="1">
      <c r="A47" s="95">
        <v>47</v>
      </c>
      <c r="B47" s="99" t="s">
        <v>529</v>
      </c>
      <c r="C47" s="99" t="s">
        <v>605</v>
      </c>
      <c r="D47" s="99">
        <v>70529979</v>
      </c>
      <c r="E47" s="99" t="s">
        <v>83</v>
      </c>
      <c r="F47" s="95" t="s">
        <v>4836</v>
      </c>
      <c r="G47" s="95" t="s">
        <v>1049</v>
      </c>
      <c r="H47" s="95" t="s">
        <v>1066</v>
      </c>
      <c r="I47" s="95" t="s">
        <v>84</v>
      </c>
      <c r="J47" s="95"/>
      <c r="K47" s="99"/>
      <c r="L47" s="103" t="s">
        <v>4449</v>
      </c>
      <c r="M47" s="99" t="s">
        <v>4450</v>
      </c>
      <c r="N47" s="99" t="s">
        <v>4451</v>
      </c>
      <c r="O47" s="99" t="s">
        <v>4837</v>
      </c>
      <c r="P47" s="103">
        <v>1997</v>
      </c>
      <c r="Q47" s="103" t="s">
        <v>1862</v>
      </c>
      <c r="R47" s="99" t="s">
        <v>4633</v>
      </c>
      <c r="S47" s="103" t="s">
        <v>2282</v>
      </c>
      <c r="T47" s="103" t="s">
        <v>4505</v>
      </c>
      <c r="U47" s="99" t="s">
        <v>4838</v>
      </c>
      <c r="V47" s="95">
        <v>12.2562183</v>
      </c>
      <c r="W47" s="95">
        <v>-2.3517526000000002</v>
      </c>
      <c r="X47" s="104" t="s">
        <v>4839</v>
      </c>
      <c r="Y47" s="103" t="s">
        <v>1634</v>
      </c>
      <c r="Z47" s="103" t="s">
        <v>1634</v>
      </c>
      <c r="AA47" s="103" t="s">
        <v>1862</v>
      </c>
      <c r="AB47" s="103">
        <v>80</v>
      </c>
      <c r="AC47" s="103">
        <v>1</v>
      </c>
      <c r="AD47" s="103">
        <v>79</v>
      </c>
      <c r="AE47" s="103" t="s">
        <v>1634</v>
      </c>
      <c r="AF47" s="103" t="s">
        <v>4493</v>
      </c>
      <c r="AG47" s="99" t="s">
        <v>4554</v>
      </c>
      <c r="AH47" s="103" t="s">
        <v>1862</v>
      </c>
      <c r="AI47" s="103" t="s">
        <v>1862</v>
      </c>
      <c r="AJ47" s="103" t="s">
        <v>1862</v>
      </c>
      <c r="AK47" s="103" t="s">
        <v>1862</v>
      </c>
      <c r="AL47" s="103" t="s">
        <v>1804</v>
      </c>
      <c r="AM47" s="103" t="s">
        <v>1862</v>
      </c>
      <c r="AN47" s="99" t="s">
        <v>4604</v>
      </c>
      <c r="AO47" s="103" t="s">
        <v>1862</v>
      </c>
      <c r="AP47" s="103">
        <v>1200</v>
      </c>
      <c r="AQ47" s="103" t="s">
        <v>4500</v>
      </c>
      <c r="AR47" s="103"/>
      <c r="AS47" s="99"/>
      <c r="AT47" s="103" t="s">
        <v>4496</v>
      </c>
      <c r="AU47" s="103" t="s">
        <v>1634</v>
      </c>
      <c r="AV47" s="99" t="s">
        <v>4671</v>
      </c>
      <c r="AW47" s="99" t="s">
        <v>4840</v>
      </c>
      <c r="AX47" s="99" t="s">
        <v>4841</v>
      </c>
      <c r="AY47" s="99" t="s">
        <v>4560</v>
      </c>
      <c r="AZ47" s="99" t="s">
        <v>4530</v>
      </c>
      <c r="BA47" s="103" t="s">
        <v>1634</v>
      </c>
      <c r="BB47" s="99"/>
      <c r="BC47" s="99">
        <v>4000</v>
      </c>
      <c r="BD47" s="99"/>
      <c r="BE47" s="99">
        <v>48000000</v>
      </c>
      <c r="BF47" s="103" t="s">
        <v>4842</v>
      </c>
      <c r="BG47" s="103" t="s">
        <v>1804</v>
      </c>
      <c r="BH47" s="103" t="s">
        <v>1862</v>
      </c>
      <c r="BI47" s="103" t="s">
        <v>1862</v>
      </c>
      <c r="BJ47" s="103" t="s">
        <v>1862</v>
      </c>
      <c r="BK47" s="103" t="s">
        <v>4499</v>
      </c>
      <c r="BL47" s="103" t="s">
        <v>4470</v>
      </c>
      <c r="BM47" s="103" t="s">
        <v>4461</v>
      </c>
      <c r="BN47" s="103" t="s">
        <v>4643</v>
      </c>
      <c r="BO47" s="103">
        <v>400</v>
      </c>
      <c r="BP47" s="103" t="s">
        <v>4500</v>
      </c>
      <c r="BQ47" s="107" t="s">
        <v>4843</v>
      </c>
      <c r="BR47" s="99" t="s">
        <v>4844</v>
      </c>
      <c r="BS47" s="99" t="s">
        <v>4844</v>
      </c>
      <c r="BT47" s="103" t="s">
        <v>3186</v>
      </c>
      <c r="BU47" s="99"/>
      <c r="BV47" s="103" t="s">
        <v>4564</v>
      </c>
      <c r="BW47" s="103" t="s">
        <v>4564</v>
      </c>
      <c r="BX47" s="103" t="s">
        <v>1548</v>
      </c>
      <c r="BY47" s="103" t="s">
        <v>4610</v>
      </c>
      <c r="BZ47" s="103" t="s">
        <v>4499</v>
      </c>
      <c r="CA47" s="103" t="s">
        <v>4509</v>
      </c>
      <c r="CB47" s="103">
        <v>2</v>
      </c>
      <c r="CC47" s="103" t="s">
        <v>4479</v>
      </c>
      <c r="CD47" s="103" t="s">
        <v>4475</v>
      </c>
      <c r="CE47" s="103" t="s">
        <v>4475</v>
      </c>
      <c r="CF47" s="103"/>
      <c r="CG47" s="103" t="s">
        <v>4845</v>
      </c>
      <c r="CH47" s="103" t="s">
        <v>4846</v>
      </c>
      <c r="CI47" s="103">
        <v>71245810</v>
      </c>
      <c r="CJ47" s="103" t="s">
        <v>4847</v>
      </c>
      <c r="CK47" s="108">
        <v>43365.38853009259</v>
      </c>
      <c r="CL47" s="109">
        <v>43365.432627314818</v>
      </c>
      <c r="CM47" s="95">
        <v>12.2562183</v>
      </c>
      <c r="CN47" s="95">
        <v>-2.3517526000000002</v>
      </c>
      <c r="CO47" s="99"/>
      <c r="CP47" s="99"/>
      <c r="CQ47" s="99"/>
      <c r="CR47" s="99"/>
      <c r="CS47" s="99"/>
      <c r="CT47" s="99"/>
      <c r="CU47" s="99"/>
      <c r="CV47" s="99"/>
      <c r="CW47" s="99"/>
      <c r="CX47" s="99"/>
      <c r="CY47" s="99"/>
      <c r="CZ47" s="99"/>
      <c r="DA47" s="99"/>
      <c r="DB47" s="99"/>
      <c r="DC47" s="99"/>
    </row>
    <row r="48" spans="1:107" ht="15.75" customHeight="1">
      <c r="A48" s="95">
        <v>48</v>
      </c>
      <c r="B48" s="99" t="s">
        <v>606</v>
      </c>
      <c r="C48" s="99" t="s">
        <v>607</v>
      </c>
      <c r="D48" s="99">
        <v>79243651</v>
      </c>
      <c r="E48" s="99" t="s">
        <v>85</v>
      </c>
      <c r="F48" s="95" t="s">
        <v>4848</v>
      </c>
      <c r="G48" s="95" t="s">
        <v>1047</v>
      </c>
      <c r="H48" s="95" t="s">
        <v>1056</v>
      </c>
      <c r="I48" s="95" t="s">
        <v>26</v>
      </c>
      <c r="J48" s="95"/>
      <c r="K48" s="99"/>
      <c r="L48" s="103" t="s">
        <v>4449</v>
      </c>
      <c r="M48" s="99" t="s">
        <v>4567</v>
      </c>
      <c r="N48" s="99" t="s">
        <v>4451</v>
      </c>
      <c r="O48" s="99" t="s">
        <v>4648</v>
      </c>
      <c r="P48" s="103">
        <v>2001</v>
      </c>
      <c r="Q48" s="103" t="s">
        <v>1862</v>
      </c>
      <c r="R48" s="99" t="s">
        <v>4521</v>
      </c>
      <c r="S48" s="103" t="s">
        <v>1541</v>
      </c>
      <c r="T48" s="103" t="s">
        <v>4490</v>
      </c>
      <c r="U48" s="99" t="s">
        <v>4617</v>
      </c>
      <c r="V48" s="95">
        <v>12.2483626</v>
      </c>
      <c r="W48" s="95">
        <v>-0.62515410000000005</v>
      </c>
      <c r="X48" s="104" t="s">
        <v>4618</v>
      </c>
      <c r="Y48" s="103" t="s">
        <v>1634</v>
      </c>
      <c r="Z48" s="103" t="s">
        <v>1634</v>
      </c>
      <c r="AA48" s="103" t="s">
        <v>1862</v>
      </c>
      <c r="AB48" s="103">
        <v>22</v>
      </c>
      <c r="AC48" s="103">
        <v>0</v>
      </c>
      <c r="AD48" s="103">
        <v>22</v>
      </c>
      <c r="AE48" s="103" t="s">
        <v>1634</v>
      </c>
      <c r="AF48" s="103" t="s">
        <v>4493</v>
      </c>
      <c r="AG48" s="99" t="s">
        <v>4624</v>
      </c>
      <c r="AH48" s="103" t="s">
        <v>1862</v>
      </c>
      <c r="AI48" s="103" t="s">
        <v>1862</v>
      </c>
      <c r="AJ48" s="103" t="s">
        <v>1804</v>
      </c>
      <c r="AK48" s="103" t="s">
        <v>1804</v>
      </c>
      <c r="AL48" s="103" t="s">
        <v>1804</v>
      </c>
      <c r="AM48" s="103" t="s">
        <v>1804</v>
      </c>
      <c r="AN48" s="99" t="s">
        <v>1646</v>
      </c>
      <c r="AO48" s="103" t="s">
        <v>1862</v>
      </c>
      <c r="AP48" s="103">
        <v>650</v>
      </c>
      <c r="AQ48" s="103" t="s">
        <v>4461</v>
      </c>
      <c r="AR48" s="103" t="s">
        <v>4831</v>
      </c>
      <c r="AS48" s="106">
        <v>200000</v>
      </c>
      <c r="AT48" s="103" t="s">
        <v>4542</v>
      </c>
      <c r="AU48" s="103" t="s">
        <v>1548</v>
      </c>
      <c r="AV48" s="99"/>
      <c r="AW48" s="99" t="s">
        <v>4652</v>
      </c>
      <c r="AX48" s="99" t="s">
        <v>4543</v>
      </c>
      <c r="AY48" s="99" t="s">
        <v>4466</v>
      </c>
      <c r="AZ48" s="99" t="s">
        <v>4467</v>
      </c>
      <c r="BA48" s="103" t="s">
        <v>1548</v>
      </c>
      <c r="BB48" s="99">
        <v>200</v>
      </c>
      <c r="BC48" s="99">
        <v>100</v>
      </c>
      <c r="BD48" s="99">
        <v>150000</v>
      </c>
      <c r="BE48" s="99">
        <v>250000</v>
      </c>
      <c r="BF48" s="103" t="s">
        <v>4653</v>
      </c>
      <c r="BG48" s="103" t="s">
        <v>1862</v>
      </c>
      <c r="BH48" s="103" t="s">
        <v>1804</v>
      </c>
      <c r="BI48" s="103" t="s">
        <v>1862</v>
      </c>
      <c r="BJ48" s="103" t="s">
        <v>1804</v>
      </c>
      <c r="BK48" s="103" t="s">
        <v>4478</v>
      </c>
      <c r="BL48" s="103" t="s">
        <v>4470</v>
      </c>
      <c r="BM48" s="103" t="s">
        <v>4461</v>
      </c>
      <c r="BN48" s="103" t="s">
        <v>4627</v>
      </c>
      <c r="BO48" s="103">
        <v>20</v>
      </c>
      <c r="BP48" s="103" t="s">
        <v>4499</v>
      </c>
      <c r="BQ48" s="107" t="s">
        <v>4476</v>
      </c>
      <c r="BR48" s="99" t="s">
        <v>4476</v>
      </c>
      <c r="BS48" s="99"/>
      <c r="BT48" s="103" t="s">
        <v>3186</v>
      </c>
      <c r="BU48" s="107" t="s">
        <v>4476</v>
      </c>
      <c r="BV48" s="103" t="s">
        <v>4574</v>
      </c>
      <c r="BW48" s="103" t="s">
        <v>1548</v>
      </c>
      <c r="BX48" s="103" t="s">
        <v>4501</v>
      </c>
      <c r="BY48" s="103" t="s">
        <v>4478</v>
      </c>
      <c r="BZ48" s="103" t="s">
        <v>4509</v>
      </c>
      <c r="CA48" s="103">
        <v>40</v>
      </c>
      <c r="CB48" s="103" t="s">
        <v>4628</v>
      </c>
      <c r="CC48" s="103" t="s">
        <v>4502</v>
      </c>
      <c r="CD48" s="103" t="s">
        <v>4502</v>
      </c>
      <c r="CE48" s="103" t="s">
        <v>4475</v>
      </c>
      <c r="CF48" s="103" t="s">
        <v>4482</v>
      </c>
      <c r="CG48" s="103" t="s">
        <v>4849</v>
      </c>
      <c r="CH48" s="103" t="s">
        <v>607</v>
      </c>
      <c r="CI48" s="103">
        <v>79243651</v>
      </c>
      <c r="CJ48" s="99"/>
      <c r="CK48" s="108">
        <v>43364.527060185188</v>
      </c>
      <c r="CL48" s="108">
        <v>43364.540173611109</v>
      </c>
      <c r="CM48" s="95">
        <v>12.2483626</v>
      </c>
      <c r="CN48" s="95">
        <v>-0.62515410000000005</v>
      </c>
      <c r="CO48" s="99"/>
      <c r="CP48" s="99"/>
      <c r="CQ48" s="99"/>
      <c r="CR48" s="99"/>
      <c r="CS48" s="99"/>
      <c r="CT48" s="99"/>
      <c r="CU48" s="99"/>
      <c r="CV48" s="99"/>
      <c r="CW48" s="99"/>
      <c r="CX48" s="99"/>
      <c r="CY48" s="99"/>
      <c r="CZ48" s="99"/>
      <c r="DA48" s="99"/>
      <c r="DB48" s="99"/>
      <c r="DC48" s="99"/>
    </row>
    <row r="49" spans="1:107" ht="15.75" customHeight="1">
      <c r="A49" s="95">
        <v>49</v>
      </c>
      <c r="B49" s="99" t="s">
        <v>608</v>
      </c>
      <c r="C49" s="99" t="s">
        <v>609</v>
      </c>
      <c r="D49" s="99">
        <v>75631477</v>
      </c>
      <c r="E49" s="99" t="s">
        <v>86</v>
      </c>
      <c r="F49" s="95" t="s">
        <v>4850</v>
      </c>
      <c r="G49" s="95" t="s">
        <v>1049</v>
      </c>
      <c r="H49" s="95" t="s">
        <v>1079</v>
      </c>
      <c r="I49" s="95" t="s">
        <v>87</v>
      </c>
      <c r="J49" s="95"/>
      <c r="K49" s="99"/>
      <c r="L49" s="103" t="s">
        <v>4449</v>
      </c>
      <c r="M49" s="99" t="s">
        <v>4450</v>
      </c>
      <c r="N49" s="99" t="s">
        <v>1565</v>
      </c>
      <c r="O49" s="99" t="s">
        <v>4754</v>
      </c>
      <c r="P49" s="103"/>
      <c r="Q49" s="103" t="s">
        <v>1548</v>
      </c>
      <c r="R49" s="99" t="s">
        <v>4709</v>
      </c>
      <c r="S49" s="103" t="s">
        <v>1541</v>
      </c>
      <c r="T49" s="103" t="s">
        <v>4538</v>
      </c>
      <c r="U49" s="99" t="s">
        <v>4851</v>
      </c>
      <c r="V49" s="95">
        <v>11.040326500000001</v>
      </c>
      <c r="W49" s="95">
        <v>-2.5020943</v>
      </c>
      <c r="X49" s="104" t="s">
        <v>4852</v>
      </c>
      <c r="Y49" s="103" t="s">
        <v>1548</v>
      </c>
      <c r="Z49" s="103" t="s">
        <v>1548</v>
      </c>
      <c r="AA49" s="103" t="s">
        <v>1862</v>
      </c>
      <c r="AB49" s="103">
        <v>77</v>
      </c>
      <c r="AC49" s="103">
        <v>0</v>
      </c>
      <c r="AD49" s="103">
        <v>77</v>
      </c>
      <c r="AE49" s="103" t="s">
        <v>1634</v>
      </c>
      <c r="AF49" s="103" t="s">
        <v>4744</v>
      </c>
      <c r="AG49" s="99" t="s">
        <v>4624</v>
      </c>
      <c r="AH49" s="103" t="s">
        <v>1862</v>
      </c>
      <c r="AI49" s="103" t="s">
        <v>1862</v>
      </c>
      <c r="AJ49" s="103" t="s">
        <v>1804</v>
      </c>
      <c r="AK49" s="103" t="s">
        <v>1804</v>
      </c>
      <c r="AL49" s="103" t="s">
        <v>1804</v>
      </c>
      <c r="AM49" s="103" t="s">
        <v>1804</v>
      </c>
      <c r="AN49" s="99" t="s">
        <v>4853</v>
      </c>
      <c r="AO49" s="103" t="s">
        <v>1862</v>
      </c>
      <c r="AP49" s="103">
        <v>1200</v>
      </c>
      <c r="AQ49" s="103" t="s">
        <v>4472</v>
      </c>
      <c r="AR49" s="103"/>
      <c r="AS49" s="99"/>
      <c r="AT49" s="103" t="s">
        <v>4625</v>
      </c>
      <c r="AU49" s="103" t="s">
        <v>1634</v>
      </c>
      <c r="AV49" s="99" t="s">
        <v>4463</v>
      </c>
      <c r="AW49" s="99" t="s">
        <v>4854</v>
      </c>
      <c r="AX49" s="99" t="s">
        <v>4855</v>
      </c>
      <c r="AY49" s="99" t="s">
        <v>4560</v>
      </c>
      <c r="AZ49" s="99" t="s">
        <v>4530</v>
      </c>
      <c r="BA49" s="103" t="s">
        <v>1548</v>
      </c>
      <c r="BB49" s="99"/>
      <c r="BC49" s="99"/>
      <c r="BD49" s="99"/>
      <c r="BE49" s="99">
        <v>32400000</v>
      </c>
      <c r="BF49" s="103" t="s">
        <v>4544</v>
      </c>
      <c r="BG49" s="103" t="s">
        <v>1862</v>
      </c>
      <c r="BH49" s="103" t="s">
        <v>1862</v>
      </c>
      <c r="BI49" s="103" t="s">
        <v>1804</v>
      </c>
      <c r="BJ49" s="103" t="s">
        <v>1804</v>
      </c>
      <c r="BK49" s="103" t="s">
        <v>4499</v>
      </c>
      <c r="BL49" s="103" t="s">
        <v>4470</v>
      </c>
      <c r="BM49" s="103" t="s">
        <v>4461</v>
      </c>
      <c r="BN49" s="103" t="s">
        <v>4531</v>
      </c>
      <c r="BO49" s="103">
        <v>400</v>
      </c>
      <c r="BP49" s="103" t="s">
        <v>4532</v>
      </c>
      <c r="BQ49" s="107" t="s">
        <v>4476</v>
      </c>
      <c r="BR49" s="99" t="s">
        <v>4476</v>
      </c>
      <c r="BS49" s="99" t="s">
        <v>4476</v>
      </c>
      <c r="BT49" s="103" t="s">
        <v>3186</v>
      </c>
      <c r="BU49" s="99" t="s">
        <v>4475</v>
      </c>
      <c r="BV49" s="103" t="s">
        <v>4476</v>
      </c>
      <c r="BW49" s="103" t="s">
        <v>4476</v>
      </c>
      <c r="BX49" s="103" t="s">
        <v>1634</v>
      </c>
      <c r="BY49" s="103" t="s">
        <v>4501</v>
      </c>
      <c r="BZ49" s="103" t="s">
        <v>4499</v>
      </c>
      <c r="CA49" s="103" t="s">
        <v>4500</v>
      </c>
      <c r="CB49" s="103"/>
      <c r="CC49" s="103"/>
      <c r="CD49" s="103" t="s">
        <v>4475</v>
      </c>
      <c r="CE49" s="103"/>
      <c r="CF49" s="103"/>
      <c r="CG49" s="103" t="s">
        <v>4856</v>
      </c>
      <c r="CH49" s="103" t="s">
        <v>4857</v>
      </c>
      <c r="CI49" s="103">
        <v>71577276</v>
      </c>
      <c r="CJ49" s="103" t="s">
        <v>4858</v>
      </c>
      <c r="CK49" s="108">
        <v>43365.336273148147</v>
      </c>
      <c r="CL49" s="109">
        <v>43365.352534722224</v>
      </c>
      <c r="CM49" s="95">
        <v>11.040326500000001</v>
      </c>
      <c r="CN49" s="95">
        <v>-2.5020943</v>
      </c>
      <c r="CO49" s="99"/>
      <c r="CP49" s="99"/>
      <c r="CQ49" s="99"/>
      <c r="CR49" s="99"/>
      <c r="CS49" s="99"/>
      <c r="CT49" s="99"/>
      <c r="CU49" s="99"/>
      <c r="CV49" s="99"/>
      <c r="CW49" s="99"/>
      <c r="CX49" s="99"/>
      <c r="CY49" s="99"/>
      <c r="CZ49" s="99"/>
      <c r="DA49" s="99"/>
      <c r="DB49" s="99"/>
      <c r="DC49" s="99"/>
    </row>
    <row r="50" spans="1:107" ht="15.75" customHeight="1">
      <c r="A50" s="95">
        <v>50</v>
      </c>
      <c r="B50" s="99" t="s">
        <v>610</v>
      </c>
      <c r="C50" s="99" t="s">
        <v>611</v>
      </c>
      <c r="D50" s="99">
        <v>75691234</v>
      </c>
      <c r="E50" s="99" t="s">
        <v>88</v>
      </c>
      <c r="F50" s="95" t="s">
        <v>4859</v>
      </c>
      <c r="G50" s="95" t="s">
        <v>1049</v>
      </c>
      <c r="H50" s="95" t="s">
        <v>1070</v>
      </c>
      <c r="I50" s="95" t="s">
        <v>89</v>
      </c>
      <c r="J50" s="95" t="s">
        <v>1080</v>
      </c>
      <c r="K50" s="99"/>
      <c r="L50" s="103" t="s">
        <v>4449</v>
      </c>
      <c r="M50" s="99" t="s">
        <v>4567</v>
      </c>
      <c r="N50" s="99" t="s">
        <v>4520</v>
      </c>
      <c r="O50" s="99" t="s">
        <v>4860</v>
      </c>
      <c r="P50" s="103">
        <v>2002</v>
      </c>
      <c r="Q50" s="103" t="s">
        <v>1862</v>
      </c>
      <c r="R50" s="99" t="s">
        <v>4551</v>
      </c>
      <c r="S50" s="103" t="s">
        <v>4861</v>
      </c>
      <c r="T50" s="103" t="s">
        <v>4505</v>
      </c>
      <c r="U50" s="99" t="s">
        <v>4862</v>
      </c>
      <c r="V50" s="95">
        <v>12.178797400000001</v>
      </c>
      <c r="W50" s="95">
        <v>-2.6934165999999999</v>
      </c>
      <c r="X50" s="104" t="s">
        <v>4863</v>
      </c>
      <c r="Y50" s="103" t="s">
        <v>1634</v>
      </c>
      <c r="Z50" s="103" t="s">
        <v>1548</v>
      </c>
      <c r="AA50" s="103" t="s">
        <v>1862</v>
      </c>
      <c r="AB50" s="103">
        <v>22</v>
      </c>
      <c r="AC50" s="103">
        <v>1</v>
      </c>
      <c r="AD50" s="103">
        <v>21</v>
      </c>
      <c r="AE50" s="103" t="s">
        <v>1634</v>
      </c>
      <c r="AF50" s="103" t="s">
        <v>4493</v>
      </c>
      <c r="AG50" s="99" t="s">
        <v>4864</v>
      </c>
      <c r="AH50" s="103" t="s">
        <v>1804</v>
      </c>
      <c r="AI50" s="103" t="s">
        <v>1862</v>
      </c>
      <c r="AJ50" s="103" t="s">
        <v>1862</v>
      </c>
      <c r="AK50" s="103" t="s">
        <v>1804</v>
      </c>
      <c r="AL50" s="103" t="s">
        <v>1804</v>
      </c>
      <c r="AM50" s="103" t="s">
        <v>1862</v>
      </c>
      <c r="AN50" s="99" t="s">
        <v>4865</v>
      </c>
      <c r="AO50" s="103" t="s">
        <v>1862</v>
      </c>
      <c r="AP50" s="103">
        <v>800</v>
      </c>
      <c r="AQ50" s="103" t="s">
        <v>4461</v>
      </c>
      <c r="AR50" s="103">
        <v>300000</v>
      </c>
      <c r="AS50" s="106">
        <v>1176000</v>
      </c>
      <c r="AT50" s="103" t="s">
        <v>4496</v>
      </c>
      <c r="AU50" s="103" t="s">
        <v>1634</v>
      </c>
      <c r="AV50" s="99"/>
      <c r="AW50" s="99" t="s">
        <v>4866</v>
      </c>
      <c r="AX50" s="99" t="s">
        <v>4867</v>
      </c>
      <c r="AY50" s="99" t="s">
        <v>4466</v>
      </c>
      <c r="AZ50" s="99" t="s">
        <v>4467</v>
      </c>
      <c r="BA50" s="103" t="s">
        <v>1634</v>
      </c>
      <c r="BB50" s="99">
        <v>42000</v>
      </c>
      <c r="BC50" s="99">
        <v>7000</v>
      </c>
      <c r="BD50" s="99">
        <v>630000</v>
      </c>
      <c r="BE50" s="99">
        <v>4500000</v>
      </c>
      <c r="BF50" s="103" t="s">
        <v>4749</v>
      </c>
      <c r="BG50" s="103" t="s">
        <v>1804</v>
      </c>
      <c r="BH50" s="103" t="s">
        <v>1862</v>
      </c>
      <c r="BI50" s="103" t="s">
        <v>1862</v>
      </c>
      <c r="BJ50" s="103" t="s">
        <v>1804</v>
      </c>
      <c r="BK50" s="103" t="s">
        <v>4499</v>
      </c>
      <c r="BL50" s="103" t="s">
        <v>4470</v>
      </c>
      <c r="BM50" s="103" t="s">
        <v>4461</v>
      </c>
      <c r="BN50" s="103" t="s">
        <v>4512</v>
      </c>
      <c r="BO50" s="103">
        <v>13200</v>
      </c>
      <c r="BP50" s="103" t="s">
        <v>4500</v>
      </c>
      <c r="BQ50" s="107" t="s">
        <v>4476</v>
      </c>
      <c r="BR50" s="99" t="s">
        <v>4476</v>
      </c>
      <c r="BS50" s="99" t="s">
        <v>4809</v>
      </c>
      <c r="BT50" s="103" t="s">
        <v>3186</v>
      </c>
      <c r="BU50" s="99" t="s">
        <v>4475</v>
      </c>
      <c r="BV50" s="103" t="s">
        <v>4514</v>
      </c>
      <c r="BW50" s="103" t="s">
        <v>4574</v>
      </c>
      <c r="BX50" s="103" t="s">
        <v>1548</v>
      </c>
      <c r="BY50" s="103" t="s">
        <v>4501</v>
      </c>
      <c r="BZ50" s="103" t="s">
        <v>4499</v>
      </c>
      <c r="CA50" s="103" t="s">
        <v>4509</v>
      </c>
      <c r="CB50" s="103">
        <v>5</v>
      </c>
      <c r="CC50" s="103" t="s">
        <v>4479</v>
      </c>
      <c r="CD50" s="103" t="s">
        <v>4475</v>
      </c>
      <c r="CE50" s="103" t="s">
        <v>4475</v>
      </c>
      <c r="CF50" s="103"/>
      <c r="CG50" s="103" t="s">
        <v>4868</v>
      </c>
      <c r="CH50" s="103" t="s">
        <v>611</v>
      </c>
      <c r="CI50" s="103">
        <v>71248931</v>
      </c>
      <c r="CJ50" s="103" t="s">
        <v>4869</v>
      </c>
      <c r="CK50" s="108">
        <v>43365.466666666667</v>
      </c>
      <c r="CL50" s="109">
        <v>43365.483206018522</v>
      </c>
      <c r="CM50" s="95">
        <v>12.178797400000001</v>
      </c>
      <c r="CN50" s="95">
        <v>-2.6934165999999999</v>
      </c>
      <c r="CO50" s="99"/>
      <c r="CP50" s="99"/>
      <c r="CQ50" s="99"/>
      <c r="CR50" s="99"/>
      <c r="CS50" s="99"/>
      <c r="CT50" s="99"/>
      <c r="CU50" s="99"/>
      <c r="CV50" s="99"/>
      <c r="CW50" s="99"/>
      <c r="CX50" s="99"/>
      <c r="CY50" s="99"/>
      <c r="CZ50" s="99"/>
      <c r="DA50" s="99"/>
      <c r="DB50" s="99"/>
      <c r="DC50" s="99"/>
    </row>
    <row r="51" spans="1:107" ht="15.75" customHeight="1">
      <c r="A51" s="95">
        <v>51</v>
      </c>
      <c r="B51" s="99" t="s">
        <v>612</v>
      </c>
      <c r="C51" s="99" t="s">
        <v>613</v>
      </c>
      <c r="D51" s="110">
        <v>60763598</v>
      </c>
      <c r="E51" s="99" t="s">
        <v>90</v>
      </c>
      <c r="F51" s="95" t="s">
        <v>4870</v>
      </c>
      <c r="G51" s="95" t="s">
        <v>1068</v>
      </c>
      <c r="H51" s="95" t="s">
        <v>1081</v>
      </c>
      <c r="I51" s="95" t="s">
        <v>91</v>
      </c>
      <c r="J51" s="95"/>
      <c r="K51" s="99"/>
      <c r="L51" s="103" t="s">
        <v>4449</v>
      </c>
      <c r="M51" s="99" t="s">
        <v>4487</v>
      </c>
      <c r="N51" s="99" t="s">
        <v>4520</v>
      </c>
      <c r="O51" s="99" t="s">
        <v>4452</v>
      </c>
      <c r="P51" s="103">
        <v>2010</v>
      </c>
      <c r="Q51" s="103" t="s">
        <v>1548</v>
      </c>
      <c r="R51" s="99" t="s">
        <v>4521</v>
      </c>
      <c r="S51" s="103" t="s">
        <v>1541</v>
      </c>
      <c r="T51" s="103" t="s">
        <v>4522</v>
      </c>
      <c r="U51" s="99" t="s">
        <v>4871</v>
      </c>
      <c r="V51" s="99">
        <v>10.3325996</v>
      </c>
      <c r="W51" s="99">
        <v>-3.3388917</v>
      </c>
      <c r="X51" s="104" t="s">
        <v>4872</v>
      </c>
      <c r="Y51" s="103" t="s">
        <v>1634</v>
      </c>
      <c r="Z51" s="103" t="s">
        <v>1634</v>
      </c>
      <c r="AA51" s="103" t="s">
        <v>1862</v>
      </c>
      <c r="AB51" s="103">
        <v>52</v>
      </c>
      <c r="AC51" s="103">
        <v>0</v>
      </c>
      <c r="AD51" s="103">
        <v>52</v>
      </c>
      <c r="AE51" s="103" t="s">
        <v>1634</v>
      </c>
      <c r="AF51" s="103" t="s">
        <v>4779</v>
      </c>
      <c r="AG51" s="99" t="s">
        <v>4525</v>
      </c>
      <c r="AH51" s="103" t="s">
        <v>1804</v>
      </c>
      <c r="AI51" s="103" t="s">
        <v>1862</v>
      </c>
      <c r="AJ51" s="103" t="s">
        <v>1862</v>
      </c>
      <c r="AK51" s="103" t="s">
        <v>1862</v>
      </c>
      <c r="AL51" s="103" t="s">
        <v>1862</v>
      </c>
      <c r="AM51" s="103" t="s">
        <v>1862</v>
      </c>
      <c r="AN51" s="99" t="s">
        <v>4526</v>
      </c>
      <c r="AO51" s="103" t="s">
        <v>1862</v>
      </c>
      <c r="AP51" s="103">
        <v>600</v>
      </c>
      <c r="AQ51" s="103" t="s">
        <v>4472</v>
      </c>
      <c r="AR51" s="105">
        <v>1100000</v>
      </c>
      <c r="AS51" s="106">
        <v>1200000</v>
      </c>
      <c r="AT51" s="103" t="s">
        <v>4527</v>
      </c>
      <c r="AU51" s="103" t="s">
        <v>1634</v>
      </c>
      <c r="AV51" s="99" t="s">
        <v>4463</v>
      </c>
      <c r="AW51" s="99" t="s">
        <v>4528</v>
      </c>
      <c r="AX51" s="99" t="s">
        <v>4529</v>
      </c>
      <c r="AY51" s="99" t="s">
        <v>4466</v>
      </c>
      <c r="AZ51" s="99" t="s">
        <v>4530</v>
      </c>
      <c r="BA51" s="103" t="s">
        <v>1634</v>
      </c>
      <c r="BB51" s="99">
        <v>10500</v>
      </c>
      <c r="BC51" s="99">
        <v>200000</v>
      </c>
      <c r="BD51" s="99">
        <v>1300000</v>
      </c>
      <c r="BE51" s="99">
        <v>1200000</v>
      </c>
      <c r="BF51" s="103" t="s">
        <v>4511</v>
      </c>
      <c r="BG51" s="103" t="s">
        <v>1804</v>
      </c>
      <c r="BH51" s="103" t="s">
        <v>1862</v>
      </c>
      <c r="BI51" s="103" t="s">
        <v>1804</v>
      </c>
      <c r="BJ51" s="103" t="s">
        <v>1804</v>
      </c>
      <c r="BK51" s="103" t="s">
        <v>4478</v>
      </c>
      <c r="BL51" s="103" t="s">
        <v>4472</v>
      </c>
      <c r="BM51" s="103" t="s">
        <v>4500</v>
      </c>
      <c r="BN51" s="103" t="s">
        <v>4531</v>
      </c>
      <c r="BO51" s="103">
        <v>8000</v>
      </c>
      <c r="BP51" s="103" t="s">
        <v>4532</v>
      </c>
      <c r="BQ51" s="99" t="s">
        <v>4476</v>
      </c>
      <c r="BR51" s="99" t="s">
        <v>4533</v>
      </c>
      <c r="BS51" s="99" t="s">
        <v>4534</v>
      </c>
      <c r="BT51" s="103" t="s">
        <v>3186</v>
      </c>
      <c r="BU51" s="99" t="s">
        <v>4476</v>
      </c>
      <c r="BV51" s="103" t="s">
        <v>4476</v>
      </c>
      <c r="BW51" s="103" t="s">
        <v>1548</v>
      </c>
      <c r="BX51" s="103" t="s">
        <v>4535</v>
      </c>
      <c r="BY51" s="103" t="s">
        <v>4515</v>
      </c>
      <c r="BZ51" s="103" t="s">
        <v>4509</v>
      </c>
      <c r="CA51" s="103">
        <v>300</v>
      </c>
      <c r="CB51" s="103" t="s">
        <v>4480</v>
      </c>
      <c r="CC51" s="103" t="s">
        <v>4502</v>
      </c>
      <c r="CD51" s="103" t="s">
        <v>4480</v>
      </c>
      <c r="CE51" s="103" t="s">
        <v>4480</v>
      </c>
      <c r="CF51" s="103"/>
      <c r="CG51" s="103" t="s">
        <v>4873</v>
      </c>
      <c r="CH51" s="103" t="s">
        <v>4874</v>
      </c>
      <c r="CI51" s="111">
        <v>60763598</v>
      </c>
      <c r="CJ51" s="99"/>
      <c r="CK51" s="108">
        <v>43364.720972222225</v>
      </c>
      <c r="CL51" s="108">
        <v>43364.752233796295</v>
      </c>
      <c r="CM51" s="95">
        <v>10.3325996</v>
      </c>
      <c r="CN51" s="95">
        <v>-3.3388917</v>
      </c>
      <c r="CO51" s="99"/>
      <c r="CP51" s="99"/>
      <c r="CQ51" s="99"/>
      <c r="CR51" s="99"/>
      <c r="CS51" s="99"/>
      <c r="CT51" s="99"/>
      <c r="CU51" s="99"/>
      <c r="CV51" s="99"/>
      <c r="CW51" s="99"/>
      <c r="CX51" s="99"/>
      <c r="CY51" s="99"/>
      <c r="CZ51" s="99"/>
      <c r="DA51" s="99"/>
      <c r="DB51" s="99"/>
      <c r="DC51" s="99"/>
    </row>
    <row r="52" spans="1:107" ht="15.75" customHeight="1">
      <c r="A52" s="95">
        <v>52</v>
      </c>
      <c r="B52" s="99" t="s">
        <v>614</v>
      </c>
      <c r="C52" s="99" t="s">
        <v>576</v>
      </c>
      <c r="D52" s="99">
        <v>73069159</v>
      </c>
      <c r="E52" s="99" t="s">
        <v>92</v>
      </c>
      <c r="F52" s="95" t="s">
        <v>4875</v>
      </c>
      <c r="G52" s="95" t="s">
        <v>1057</v>
      </c>
      <c r="H52" s="95" t="s">
        <v>1063</v>
      </c>
      <c r="I52" s="95" t="s">
        <v>50</v>
      </c>
      <c r="J52" s="95" t="s">
        <v>98</v>
      </c>
      <c r="K52" s="99"/>
      <c r="L52" s="103" t="s">
        <v>4449</v>
      </c>
      <c r="M52" s="99" t="s">
        <v>4450</v>
      </c>
      <c r="N52" s="99" t="s">
        <v>4451</v>
      </c>
      <c r="O52" s="99" t="s">
        <v>4452</v>
      </c>
      <c r="P52" s="103">
        <v>2013</v>
      </c>
      <c r="Q52" s="103" t="s">
        <v>1862</v>
      </c>
      <c r="R52" s="99" t="s">
        <v>4876</v>
      </c>
      <c r="S52" s="103" t="s">
        <v>1541</v>
      </c>
      <c r="T52" s="103" t="s">
        <v>4522</v>
      </c>
      <c r="U52" s="99" t="s">
        <v>4877</v>
      </c>
      <c r="V52" s="95">
        <v>12.523568300000001</v>
      </c>
      <c r="W52" s="95">
        <v>-2.8741984999999999</v>
      </c>
      <c r="X52" s="104" t="s">
        <v>4878</v>
      </c>
      <c r="Y52" s="103" t="s">
        <v>1634</v>
      </c>
      <c r="Z52" s="103" t="s">
        <v>1634</v>
      </c>
      <c r="AA52" s="103" t="s">
        <v>1862</v>
      </c>
      <c r="AB52" s="103">
        <v>70</v>
      </c>
      <c r="AC52" s="103"/>
      <c r="AD52" s="103">
        <v>70</v>
      </c>
      <c r="AE52" s="103" t="s">
        <v>1634</v>
      </c>
      <c r="AF52" s="103" t="s">
        <v>4679</v>
      </c>
      <c r="AG52" s="99" t="s">
        <v>4879</v>
      </c>
      <c r="AH52" s="103" t="s">
        <v>1862</v>
      </c>
      <c r="AI52" s="103" t="s">
        <v>1862</v>
      </c>
      <c r="AJ52" s="103" t="s">
        <v>1804</v>
      </c>
      <c r="AK52" s="103" t="s">
        <v>1804</v>
      </c>
      <c r="AL52" s="103" t="s">
        <v>1804</v>
      </c>
      <c r="AM52" s="103" t="s">
        <v>1862</v>
      </c>
      <c r="AN52" s="99" t="s">
        <v>4735</v>
      </c>
      <c r="AO52" s="103" t="s">
        <v>1862</v>
      </c>
      <c r="AP52" s="103">
        <v>1000</v>
      </c>
      <c r="AQ52" s="103" t="s">
        <v>4500</v>
      </c>
      <c r="AR52" s="103">
        <v>350000</v>
      </c>
      <c r="AS52" s="106">
        <v>400000</v>
      </c>
      <c r="AT52" s="103" t="s">
        <v>4496</v>
      </c>
      <c r="AU52" s="103" t="s">
        <v>1634</v>
      </c>
      <c r="AV52" s="99" t="s">
        <v>4671</v>
      </c>
      <c r="AW52" s="99" t="s">
        <v>4880</v>
      </c>
      <c r="AX52" s="99" t="s">
        <v>4881</v>
      </c>
      <c r="AY52" s="99" t="s">
        <v>4466</v>
      </c>
      <c r="AZ52" s="99" t="s">
        <v>4530</v>
      </c>
      <c r="BA52" s="103" t="s">
        <v>1634</v>
      </c>
      <c r="BB52" s="99"/>
      <c r="BC52" s="99">
        <v>2000</v>
      </c>
      <c r="BD52" s="99">
        <v>300000</v>
      </c>
      <c r="BE52" s="99">
        <v>250000</v>
      </c>
      <c r="BF52" s="103" t="s">
        <v>4415</v>
      </c>
      <c r="BG52" s="103" t="s">
        <v>1862</v>
      </c>
      <c r="BH52" s="103" t="s">
        <v>1804</v>
      </c>
      <c r="BI52" s="103" t="s">
        <v>1804</v>
      </c>
      <c r="BJ52" s="103" t="s">
        <v>1804</v>
      </c>
      <c r="BK52" s="103" t="s">
        <v>4478</v>
      </c>
      <c r="BL52" s="103" t="s">
        <v>4472</v>
      </c>
      <c r="BM52" s="103" t="s">
        <v>4461</v>
      </c>
      <c r="BN52" s="103" t="s">
        <v>4545</v>
      </c>
      <c r="BO52" s="103">
        <v>400</v>
      </c>
      <c r="BP52" s="103" t="s">
        <v>4532</v>
      </c>
      <c r="BQ52" s="99" t="s">
        <v>4476</v>
      </c>
      <c r="BR52" s="99" t="s">
        <v>4476</v>
      </c>
      <c r="BS52" s="99"/>
      <c r="BT52" s="103" t="s">
        <v>3186</v>
      </c>
      <c r="BU52" s="99" t="s">
        <v>4882</v>
      </c>
      <c r="BV52" s="103" t="s">
        <v>4476</v>
      </c>
      <c r="BW52" s="103" t="s">
        <v>4476</v>
      </c>
      <c r="BX52" s="103" t="s">
        <v>1548</v>
      </c>
      <c r="BY52" s="103" t="s">
        <v>4595</v>
      </c>
      <c r="BZ52" s="103" t="s">
        <v>4478</v>
      </c>
      <c r="CA52" s="103" t="s">
        <v>4461</v>
      </c>
      <c r="CB52" s="103">
        <v>1</v>
      </c>
      <c r="CC52" s="103" t="s">
        <v>4479</v>
      </c>
      <c r="CD52" s="103" t="s">
        <v>4475</v>
      </c>
      <c r="CE52" s="103" t="s">
        <v>4479</v>
      </c>
      <c r="CF52" s="103" t="s">
        <v>4482</v>
      </c>
      <c r="CG52" s="103" t="s">
        <v>4883</v>
      </c>
      <c r="CH52" s="103" t="s">
        <v>4884</v>
      </c>
      <c r="CI52" s="103">
        <v>75631477</v>
      </c>
      <c r="CJ52" s="103"/>
      <c r="CK52" s="108">
        <v>43365.472939814812</v>
      </c>
      <c r="CL52" s="109">
        <v>43365.510381944441</v>
      </c>
      <c r="CM52" s="95">
        <v>12.523568300000001</v>
      </c>
      <c r="CN52" s="95">
        <v>-2.8741984999999999</v>
      </c>
      <c r="CO52" s="99"/>
      <c r="CP52" s="99"/>
      <c r="CQ52" s="99"/>
      <c r="CR52" s="99"/>
      <c r="CS52" s="99"/>
      <c r="CT52" s="99"/>
      <c r="CU52" s="99"/>
      <c r="CV52" s="99"/>
      <c r="CW52" s="99"/>
      <c r="CX52" s="99"/>
      <c r="CY52" s="99"/>
      <c r="CZ52" s="99"/>
      <c r="DA52" s="99"/>
      <c r="DB52" s="99"/>
      <c r="DC52" s="99"/>
    </row>
    <row r="53" spans="1:107" ht="15.75" customHeight="1">
      <c r="A53" s="95">
        <v>53</v>
      </c>
      <c r="B53" s="99" t="s">
        <v>527</v>
      </c>
      <c r="C53" s="99" t="s">
        <v>615</v>
      </c>
      <c r="D53" s="110">
        <v>74343653</v>
      </c>
      <c r="E53" s="99" t="s">
        <v>93</v>
      </c>
      <c r="F53" s="95" t="s">
        <v>4885</v>
      </c>
      <c r="G53" s="95" t="s">
        <v>1044</v>
      </c>
      <c r="H53" s="95" t="s">
        <v>1082</v>
      </c>
      <c r="I53" s="95" t="s">
        <v>94</v>
      </c>
      <c r="J53" s="95"/>
      <c r="K53" s="99"/>
      <c r="L53" s="103" t="s">
        <v>4449</v>
      </c>
      <c r="M53" s="99" t="s">
        <v>4567</v>
      </c>
      <c r="N53" s="99" t="s">
        <v>1565</v>
      </c>
      <c r="O53" s="99" t="s">
        <v>4488</v>
      </c>
      <c r="P53" s="103">
        <v>2002</v>
      </c>
      <c r="Q53" s="103" t="s">
        <v>1862</v>
      </c>
      <c r="R53" s="99" t="s">
        <v>4521</v>
      </c>
      <c r="S53" s="103" t="s">
        <v>1541</v>
      </c>
      <c r="T53" s="103" t="s">
        <v>4522</v>
      </c>
      <c r="U53" s="99" t="s">
        <v>4886</v>
      </c>
      <c r="V53" s="95">
        <v>13.2036283</v>
      </c>
      <c r="W53" s="95">
        <v>-2.3566861000000001</v>
      </c>
      <c r="X53" s="104" t="s">
        <v>4887</v>
      </c>
      <c r="Y53" s="103" t="s">
        <v>1634</v>
      </c>
      <c r="Z53" s="103" t="s">
        <v>4499</v>
      </c>
      <c r="AA53" s="103" t="s">
        <v>1862</v>
      </c>
      <c r="AB53" s="103">
        <v>38</v>
      </c>
      <c r="AC53" s="103">
        <v>0</v>
      </c>
      <c r="AD53" s="103">
        <v>38</v>
      </c>
      <c r="AE53" s="103" t="s">
        <v>1634</v>
      </c>
      <c r="AF53" s="103" t="s">
        <v>4493</v>
      </c>
      <c r="AG53" s="99" t="s">
        <v>4494</v>
      </c>
      <c r="AH53" s="103" t="s">
        <v>1862</v>
      </c>
      <c r="AI53" s="103" t="s">
        <v>1862</v>
      </c>
      <c r="AJ53" s="103" t="s">
        <v>1804</v>
      </c>
      <c r="AK53" s="103" t="s">
        <v>1804</v>
      </c>
      <c r="AL53" s="103" t="s">
        <v>1862</v>
      </c>
      <c r="AM53" s="103" t="s">
        <v>1862</v>
      </c>
      <c r="AN53" s="99" t="s">
        <v>4735</v>
      </c>
      <c r="AO53" s="103" t="s">
        <v>1862</v>
      </c>
      <c r="AP53" s="103">
        <v>600</v>
      </c>
      <c r="AQ53" s="103" t="s">
        <v>4461</v>
      </c>
      <c r="AR53" s="103">
        <v>300000</v>
      </c>
      <c r="AS53" s="106">
        <v>200000</v>
      </c>
      <c r="AT53" s="103" t="s">
        <v>4496</v>
      </c>
      <c r="AU53" s="103" t="s">
        <v>1548</v>
      </c>
      <c r="AV53" s="99"/>
      <c r="AW53" s="99"/>
      <c r="AX53" s="99" t="s">
        <v>4888</v>
      </c>
      <c r="AY53" s="99" t="s">
        <v>4466</v>
      </c>
      <c r="AZ53" s="99" t="s">
        <v>4467</v>
      </c>
      <c r="BA53" s="103" t="s">
        <v>1548</v>
      </c>
      <c r="BB53" s="99">
        <v>19000</v>
      </c>
      <c r="BC53" s="99">
        <v>950</v>
      </c>
      <c r="BD53" s="99">
        <v>225000</v>
      </c>
      <c r="BE53" s="99">
        <v>175000</v>
      </c>
      <c r="BF53" s="103" t="s">
        <v>4889</v>
      </c>
      <c r="BG53" s="103" t="s">
        <v>1862</v>
      </c>
      <c r="BH53" s="103" t="s">
        <v>1862</v>
      </c>
      <c r="BI53" s="103" t="s">
        <v>1804</v>
      </c>
      <c r="BJ53" s="103" t="s">
        <v>1862</v>
      </c>
      <c r="BK53" s="103" t="s">
        <v>4478</v>
      </c>
      <c r="BL53" s="103" t="s">
        <v>4461</v>
      </c>
      <c r="BM53" s="103" t="s">
        <v>4461</v>
      </c>
      <c r="BN53" s="103" t="s">
        <v>4690</v>
      </c>
      <c r="BO53" s="103">
        <v>450</v>
      </c>
      <c r="BP53" s="103" t="s">
        <v>4532</v>
      </c>
      <c r="BQ53" s="99" t="s">
        <v>4476</v>
      </c>
      <c r="BR53" s="99" t="s">
        <v>4476</v>
      </c>
      <c r="BS53" s="99" t="s">
        <v>4476</v>
      </c>
      <c r="BT53" s="103" t="s">
        <v>3186</v>
      </c>
      <c r="BU53" s="99" t="s">
        <v>4476</v>
      </c>
      <c r="BV53" s="103" t="s">
        <v>4476</v>
      </c>
      <c r="BW53" s="103" t="s">
        <v>1548</v>
      </c>
      <c r="BX53" s="103" t="s">
        <v>4595</v>
      </c>
      <c r="BY53" s="103" t="s">
        <v>4478</v>
      </c>
      <c r="BZ53" s="103" t="s">
        <v>4461</v>
      </c>
      <c r="CA53" s="103">
        <v>500</v>
      </c>
      <c r="CB53" s="103" t="s">
        <v>4480</v>
      </c>
      <c r="CC53" s="103" t="s">
        <v>4716</v>
      </c>
      <c r="CD53" s="103" t="s">
        <v>4502</v>
      </c>
      <c r="CE53" s="103" t="s">
        <v>4502</v>
      </c>
      <c r="CF53" s="103"/>
      <c r="CG53" s="103" t="s">
        <v>792</v>
      </c>
      <c r="CH53" s="103" t="s">
        <v>893</v>
      </c>
      <c r="CI53" s="111">
        <v>74343653</v>
      </c>
      <c r="CJ53" s="99"/>
      <c r="CK53" s="108">
        <v>43366.502337962964</v>
      </c>
      <c r="CL53" s="108">
        <v>43366.511840277781</v>
      </c>
      <c r="CM53" s="95">
        <v>13.2036283</v>
      </c>
      <c r="CN53" s="95">
        <v>-2.3566861000000001</v>
      </c>
      <c r="CO53" s="99"/>
      <c r="CP53" s="99"/>
      <c r="CQ53" s="99"/>
      <c r="CR53" s="99"/>
      <c r="CS53" s="99"/>
      <c r="CT53" s="99"/>
      <c r="CU53" s="99"/>
      <c r="CV53" s="99"/>
      <c r="CW53" s="99"/>
      <c r="CX53" s="99"/>
      <c r="CY53" s="99"/>
      <c r="CZ53" s="99"/>
      <c r="DA53" s="99"/>
      <c r="DB53" s="99"/>
      <c r="DC53" s="99"/>
    </row>
    <row r="54" spans="1:107" ht="15.75" customHeight="1">
      <c r="A54" s="95">
        <v>54</v>
      </c>
      <c r="B54" s="99" t="s">
        <v>616</v>
      </c>
      <c r="C54" s="99" t="s">
        <v>617</v>
      </c>
      <c r="D54" s="99">
        <v>76769178</v>
      </c>
      <c r="E54" s="99" t="s">
        <v>95</v>
      </c>
      <c r="F54" s="95" t="s">
        <v>4733</v>
      </c>
      <c r="G54" s="95" t="s">
        <v>1062</v>
      </c>
      <c r="H54" s="95" t="s">
        <v>1064</v>
      </c>
      <c r="I54" s="95" t="s">
        <v>96</v>
      </c>
      <c r="J54" s="99"/>
      <c r="K54" s="99"/>
      <c r="L54" s="103" t="s">
        <v>4449</v>
      </c>
      <c r="M54" s="99" t="s">
        <v>4487</v>
      </c>
      <c r="N54" s="99" t="s">
        <v>4698</v>
      </c>
      <c r="O54" s="99" t="s">
        <v>4890</v>
      </c>
      <c r="P54" s="103">
        <v>1998</v>
      </c>
      <c r="Q54" s="103" t="s">
        <v>1862</v>
      </c>
      <c r="R54" s="99" t="s">
        <v>4891</v>
      </c>
      <c r="S54" s="103" t="s">
        <v>4892</v>
      </c>
      <c r="T54" s="103" t="s">
        <v>4455</v>
      </c>
      <c r="U54" s="99" t="s">
        <v>4734</v>
      </c>
      <c r="V54" s="95">
        <v>12.3714277</v>
      </c>
      <c r="W54" s="95">
        <v>-1.5196603</v>
      </c>
      <c r="X54" s="104" t="s">
        <v>4701</v>
      </c>
      <c r="Y54" s="103" t="s">
        <v>1634</v>
      </c>
      <c r="Z54" s="103" t="s">
        <v>1634</v>
      </c>
      <c r="AA54" s="103" t="s">
        <v>1862</v>
      </c>
      <c r="AB54" s="116">
        <v>400</v>
      </c>
      <c r="AC54" s="103">
        <v>24</v>
      </c>
      <c r="AD54" s="103">
        <v>376</v>
      </c>
      <c r="AE54" s="103" t="s">
        <v>1634</v>
      </c>
      <c r="AF54" s="103" t="s">
        <v>4493</v>
      </c>
      <c r="AG54" s="99" t="s">
        <v>4745</v>
      </c>
      <c r="AH54" s="103" t="s">
        <v>1862</v>
      </c>
      <c r="AI54" s="103" t="s">
        <v>1862</v>
      </c>
      <c r="AJ54" s="103" t="s">
        <v>1862</v>
      </c>
      <c r="AK54" s="103" t="s">
        <v>1862</v>
      </c>
      <c r="AL54" s="103" t="s">
        <v>1862</v>
      </c>
      <c r="AM54" s="103" t="s">
        <v>1862</v>
      </c>
      <c r="AN54" s="99" t="s">
        <v>4893</v>
      </c>
      <c r="AO54" s="103" t="s">
        <v>1862</v>
      </c>
      <c r="AP54" s="103">
        <v>1800</v>
      </c>
      <c r="AQ54" s="103" t="s">
        <v>4470</v>
      </c>
      <c r="AR54" s="103">
        <v>22500000</v>
      </c>
      <c r="AS54" s="106">
        <v>90000000</v>
      </c>
      <c r="AT54" s="103" t="s">
        <v>4527</v>
      </c>
      <c r="AU54" s="103" t="s">
        <v>1634</v>
      </c>
      <c r="AV54" s="99" t="s">
        <v>4463</v>
      </c>
      <c r="AW54" s="99" t="s">
        <v>4894</v>
      </c>
      <c r="AX54" s="99" t="s">
        <v>4895</v>
      </c>
      <c r="AY54" s="99" t="s">
        <v>4560</v>
      </c>
      <c r="AZ54" s="99" t="s">
        <v>4530</v>
      </c>
      <c r="BA54" s="103" t="s">
        <v>1634</v>
      </c>
      <c r="BB54" s="99">
        <v>75000</v>
      </c>
      <c r="BC54" s="99">
        <v>300000</v>
      </c>
      <c r="BD54" s="99">
        <v>100000</v>
      </c>
      <c r="BE54" s="99">
        <v>540000000</v>
      </c>
      <c r="BF54" s="103" t="s">
        <v>4544</v>
      </c>
      <c r="BG54" s="103" t="s">
        <v>1862</v>
      </c>
      <c r="BH54" s="103" t="s">
        <v>1862</v>
      </c>
      <c r="BI54" s="103" t="s">
        <v>1804</v>
      </c>
      <c r="BJ54" s="103" t="s">
        <v>1804</v>
      </c>
      <c r="BK54" s="103" t="s">
        <v>4728</v>
      </c>
      <c r="BL54" s="103" t="s">
        <v>4461</v>
      </c>
      <c r="BM54" s="103" t="s">
        <v>4461</v>
      </c>
      <c r="BN54" s="103" t="s">
        <v>4512</v>
      </c>
      <c r="BO54" s="103">
        <v>200</v>
      </c>
      <c r="BP54" s="103" t="s">
        <v>4500</v>
      </c>
      <c r="BQ54" s="107" t="s">
        <v>4809</v>
      </c>
      <c r="BR54" s="99" t="s">
        <v>4513</v>
      </c>
      <c r="BS54" s="99"/>
      <c r="BT54" s="103" t="s">
        <v>3186</v>
      </c>
      <c r="BU54" s="99" t="s">
        <v>4475</v>
      </c>
      <c r="BV54" s="103" t="s">
        <v>4514</v>
      </c>
      <c r="BW54" s="103" t="s">
        <v>4514</v>
      </c>
      <c r="BX54" s="103" t="s">
        <v>1548</v>
      </c>
      <c r="BY54" s="103" t="s">
        <v>4535</v>
      </c>
      <c r="BZ54" s="103" t="s">
        <v>4499</v>
      </c>
      <c r="CA54" s="103" t="s">
        <v>4499</v>
      </c>
      <c r="CB54" s="103">
        <v>30</v>
      </c>
      <c r="CC54" s="103" t="s">
        <v>4716</v>
      </c>
      <c r="CD54" s="103" t="s">
        <v>4475</v>
      </c>
      <c r="CE54" s="103" t="s">
        <v>4481</v>
      </c>
      <c r="CF54" s="103" t="s">
        <v>4691</v>
      </c>
      <c r="CG54" s="103" t="s">
        <v>4896</v>
      </c>
      <c r="CH54" s="103" t="s">
        <v>4897</v>
      </c>
      <c r="CI54" s="103">
        <v>70266566</v>
      </c>
      <c r="CJ54" s="103" t="s">
        <v>4898</v>
      </c>
      <c r="CK54" s="108">
        <v>43365.444062499999</v>
      </c>
      <c r="CL54" s="109">
        <v>43365.504062499997</v>
      </c>
      <c r="CM54" s="95">
        <v>12.3714277</v>
      </c>
      <c r="CN54" s="95">
        <v>-1.5196603</v>
      </c>
      <c r="CO54" s="99"/>
      <c r="CP54" s="99"/>
      <c r="CQ54" s="99"/>
      <c r="CR54" s="99"/>
      <c r="CS54" s="99"/>
      <c r="CT54" s="99"/>
      <c r="CU54" s="99"/>
      <c r="CV54" s="99"/>
      <c r="CW54" s="99"/>
      <c r="CX54" s="99"/>
      <c r="CY54" s="99"/>
      <c r="CZ54" s="99"/>
      <c r="DA54" s="99"/>
      <c r="DB54" s="99"/>
      <c r="DC54" s="99"/>
    </row>
    <row r="55" spans="1:107" ht="15.75" customHeight="1">
      <c r="A55" s="95">
        <v>55</v>
      </c>
      <c r="B55" s="99" t="s">
        <v>618</v>
      </c>
      <c r="C55" s="99" t="s">
        <v>619</v>
      </c>
      <c r="D55" s="99">
        <v>72849346</v>
      </c>
      <c r="E55" s="99" t="s">
        <v>4899</v>
      </c>
      <c r="F55" s="95" t="s">
        <v>4900</v>
      </c>
      <c r="G55" s="95" t="s">
        <v>1057</v>
      </c>
      <c r="H55" s="95" t="s">
        <v>1063</v>
      </c>
      <c r="I55" s="95" t="s">
        <v>98</v>
      </c>
      <c r="J55" s="95" t="s">
        <v>1083</v>
      </c>
      <c r="K55" s="99"/>
      <c r="L55" s="103" t="s">
        <v>4449</v>
      </c>
      <c r="M55" s="99" t="s">
        <v>4450</v>
      </c>
      <c r="N55" s="99" t="s">
        <v>4568</v>
      </c>
      <c r="O55" s="99" t="s">
        <v>4721</v>
      </c>
      <c r="P55" s="103">
        <v>2013</v>
      </c>
      <c r="Q55" s="103" t="s">
        <v>1862</v>
      </c>
      <c r="R55" s="99" t="s">
        <v>4551</v>
      </c>
      <c r="S55" s="103" t="s">
        <v>1541</v>
      </c>
      <c r="T55" s="103" t="s">
        <v>4538</v>
      </c>
      <c r="U55" s="99" t="s">
        <v>4901</v>
      </c>
      <c r="V55" s="95">
        <v>12.765364099999999</v>
      </c>
      <c r="W55" s="95">
        <v>-2.9000651999999998</v>
      </c>
      <c r="X55" s="104" t="s">
        <v>4723</v>
      </c>
      <c r="Y55" s="103" t="s">
        <v>1634</v>
      </c>
      <c r="Z55" s="103" t="s">
        <v>1634</v>
      </c>
      <c r="AA55" s="103" t="s">
        <v>1862</v>
      </c>
      <c r="AB55" s="103">
        <v>60</v>
      </c>
      <c r="AC55" s="103"/>
      <c r="AD55" s="103">
        <v>60</v>
      </c>
      <c r="AE55" s="103" t="s">
        <v>1634</v>
      </c>
      <c r="AF55" s="103" t="s">
        <v>4679</v>
      </c>
      <c r="AG55" s="99" t="s">
        <v>4902</v>
      </c>
      <c r="AH55" s="103" t="s">
        <v>1862</v>
      </c>
      <c r="AI55" s="103" t="s">
        <v>1862</v>
      </c>
      <c r="AJ55" s="103" t="s">
        <v>1804</v>
      </c>
      <c r="AK55" s="103" t="s">
        <v>1804</v>
      </c>
      <c r="AL55" s="103" t="s">
        <v>1862</v>
      </c>
      <c r="AM55" s="103" t="s">
        <v>1862</v>
      </c>
      <c r="AN55" s="99" t="s">
        <v>4584</v>
      </c>
      <c r="AO55" s="103" t="s">
        <v>1862</v>
      </c>
      <c r="AP55" s="103">
        <v>1000</v>
      </c>
      <c r="AQ55" s="103" t="s">
        <v>4461</v>
      </c>
      <c r="AR55" s="103">
        <v>400000</v>
      </c>
      <c r="AS55" s="106">
        <v>250000</v>
      </c>
      <c r="AT55" s="103" t="s">
        <v>4496</v>
      </c>
      <c r="AU55" s="103" t="s">
        <v>1634</v>
      </c>
      <c r="AV55" s="99" t="s">
        <v>4671</v>
      </c>
      <c r="AW55" s="99" t="s">
        <v>4545</v>
      </c>
      <c r="AX55" s="99" t="s">
        <v>4903</v>
      </c>
      <c r="AY55" s="99" t="s">
        <v>4466</v>
      </c>
      <c r="AZ55" s="99" t="s">
        <v>4530</v>
      </c>
      <c r="BA55" s="103" t="s">
        <v>1634</v>
      </c>
      <c r="BB55" s="99">
        <v>2000</v>
      </c>
      <c r="BC55" s="99">
        <v>40</v>
      </c>
      <c r="BD55" s="99">
        <v>60000</v>
      </c>
      <c r="BE55" s="99">
        <v>40000</v>
      </c>
      <c r="BF55" s="103" t="s">
        <v>4415</v>
      </c>
      <c r="BG55" s="103" t="s">
        <v>1862</v>
      </c>
      <c r="BH55" s="103" t="s">
        <v>1804</v>
      </c>
      <c r="BI55" s="103" t="s">
        <v>1804</v>
      </c>
      <c r="BJ55" s="103" t="s">
        <v>1804</v>
      </c>
      <c r="BK55" s="103" t="s">
        <v>4478</v>
      </c>
      <c r="BL55" s="103" t="s">
        <v>4472</v>
      </c>
      <c r="BM55" s="103" t="s">
        <v>4461</v>
      </c>
      <c r="BN55" s="103" t="s">
        <v>4545</v>
      </c>
      <c r="BO55" s="103">
        <v>400</v>
      </c>
      <c r="BP55" s="103" t="s">
        <v>4532</v>
      </c>
      <c r="BQ55" s="99" t="s">
        <v>4476</v>
      </c>
      <c r="BR55" s="99" t="s">
        <v>4476</v>
      </c>
      <c r="BS55" s="99" t="s">
        <v>4476</v>
      </c>
      <c r="BT55" s="103" t="s">
        <v>3186</v>
      </c>
      <c r="BU55" s="99" t="s">
        <v>4502</v>
      </c>
      <c r="BV55" s="103" t="s">
        <v>4476</v>
      </c>
      <c r="BW55" s="103" t="s">
        <v>4476</v>
      </c>
      <c r="BX55" s="103" t="s">
        <v>1548</v>
      </c>
      <c r="BY55" s="103" t="s">
        <v>4595</v>
      </c>
      <c r="BZ55" s="103" t="s">
        <v>4478</v>
      </c>
      <c r="CA55" s="103" t="s">
        <v>4461</v>
      </c>
      <c r="CB55" s="103">
        <v>1</v>
      </c>
      <c r="CC55" s="103" t="s">
        <v>4502</v>
      </c>
      <c r="CD55" s="103" t="s">
        <v>4475</v>
      </c>
      <c r="CE55" s="103" t="s">
        <v>4479</v>
      </c>
      <c r="CF55" s="103" t="s">
        <v>4482</v>
      </c>
      <c r="CG55" s="103" t="s">
        <v>4883</v>
      </c>
      <c r="CH55" s="103" t="s">
        <v>4884</v>
      </c>
      <c r="CI55" s="103">
        <v>70956483</v>
      </c>
      <c r="CJ55" s="103" t="s">
        <v>4904</v>
      </c>
      <c r="CK55" s="108">
        <v>43365.510763888888</v>
      </c>
      <c r="CL55" s="109">
        <v>43365.527962962966</v>
      </c>
      <c r="CM55" s="95">
        <v>12.765364099999999</v>
      </c>
      <c r="CN55" s="95">
        <v>-2.9000651999999998</v>
      </c>
      <c r="CO55" s="99"/>
      <c r="CP55" s="99"/>
      <c r="CQ55" s="99"/>
      <c r="CR55" s="99"/>
      <c r="CS55" s="99"/>
      <c r="CT55" s="99"/>
      <c r="CU55" s="99"/>
      <c r="CV55" s="99"/>
      <c r="CW55" s="99"/>
      <c r="CX55" s="99"/>
      <c r="CY55" s="99"/>
      <c r="CZ55" s="99"/>
      <c r="DA55" s="99"/>
      <c r="DB55" s="99"/>
      <c r="DC55" s="99"/>
    </row>
    <row r="56" spans="1:107" ht="15.75" customHeight="1">
      <c r="A56" s="95">
        <v>56</v>
      </c>
      <c r="B56" s="99" t="s">
        <v>614</v>
      </c>
      <c r="C56" s="99" t="s">
        <v>576</v>
      </c>
      <c r="D56" s="99">
        <v>70347299</v>
      </c>
      <c r="E56" s="99" t="s">
        <v>99</v>
      </c>
      <c r="F56" s="95" t="s">
        <v>4905</v>
      </c>
      <c r="G56" s="95" t="s">
        <v>1057</v>
      </c>
      <c r="H56" s="95" t="s">
        <v>1063</v>
      </c>
      <c r="I56" s="95" t="s">
        <v>98</v>
      </c>
      <c r="J56" s="99" t="s">
        <v>98</v>
      </c>
      <c r="K56" s="99"/>
      <c r="L56" s="103" t="s">
        <v>4449</v>
      </c>
      <c r="M56" s="99" t="s">
        <v>4450</v>
      </c>
      <c r="N56" s="99" t="s">
        <v>4451</v>
      </c>
      <c r="O56" s="99" t="s">
        <v>4754</v>
      </c>
      <c r="P56" s="103">
        <v>2013</v>
      </c>
      <c r="Q56" s="103" t="s">
        <v>1862</v>
      </c>
      <c r="R56" s="99" t="s">
        <v>4687</v>
      </c>
      <c r="S56" s="103" t="s">
        <v>1541</v>
      </c>
      <c r="T56" s="103" t="s">
        <v>4522</v>
      </c>
      <c r="U56" s="99" t="s">
        <v>4906</v>
      </c>
      <c r="V56" s="95">
        <v>12.523568300000001</v>
      </c>
      <c r="W56" s="95">
        <v>-2.8741984999999999</v>
      </c>
      <c r="X56" s="104" t="s">
        <v>4878</v>
      </c>
      <c r="Y56" s="103" t="s">
        <v>1634</v>
      </c>
      <c r="Z56" s="103" t="s">
        <v>1634</v>
      </c>
      <c r="AA56" s="103" t="s">
        <v>1862</v>
      </c>
      <c r="AB56" s="103">
        <v>490</v>
      </c>
      <c r="AC56" s="103"/>
      <c r="AD56" s="103"/>
      <c r="AE56" s="103" t="s">
        <v>1634</v>
      </c>
      <c r="AF56" s="103" t="s">
        <v>4679</v>
      </c>
      <c r="AG56" s="99"/>
      <c r="AH56" s="103"/>
      <c r="AI56" s="103"/>
      <c r="AJ56" s="103"/>
      <c r="AK56" s="103"/>
      <c r="AL56" s="103"/>
      <c r="AM56" s="103"/>
      <c r="AN56" s="99"/>
      <c r="AO56" s="103"/>
      <c r="AP56" s="103"/>
      <c r="AQ56" s="103"/>
      <c r="AR56" s="103"/>
      <c r="AS56" s="99"/>
      <c r="AT56" s="103"/>
      <c r="AU56" s="103"/>
      <c r="AV56" s="99"/>
      <c r="AW56" s="99"/>
      <c r="AX56" s="99"/>
      <c r="AY56" s="99"/>
      <c r="AZ56" s="99"/>
      <c r="BA56" s="103"/>
      <c r="BB56" s="99"/>
      <c r="BC56" s="99">
        <v>1800</v>
      </c>
      <c r="BD56" s="99"/>
      <c r="BE56" s="99"/>
      <c r="BF56" s="103"/>
      <c r="BG56" s="103"/>
      <c r="BH56" s="103"/>
      <c r="BI56" s="103"/>
      <c r="BJ56" s="103"/>
      <c r="BK56" s="103" t="s">
        <v>4499</v>
      </c>
      <c r="BL56" s="103"/>
      <c r="BM56" s="103"/>
      <c r="BN56" s="103"/>
      <c r="BO56" s="103"/>
      <c r="BP56" s="103"/>
      <c r="BQ56" s="107"/>
      <c r="BR56" s="99"/>
      <c r="BS56" s="99"/>
      <c r="BT56" s="103" t="s">
        <v>3186</v>
      </c>
      <c r="BU56" s="99"/>
      <c r="BV56" s="103"/>
      <c r="BW56" s="103"/>
      <c r="BX56" s="103"/>
      <c r="BY56" s="103"/>
      <c r="BZ56" s="103"/>
      <c r="CA56" s="103"/>
      <c r="CB56" s="103"/>
      <c r="CC56" s="103"/>
      <c r="CD56" s="103"/>
      <c r="CE56" s="103"/>
      <c r="CF56" s="103" t="s">
        <v>4482</v>
      </c>
      <c r="CG56" s="103"/>
      <c r="CH56" s="103"/>
      <c r="CI56" s="103">
        <v>70347299</v>
      </c>
      <c r="CJ56" s="103"/>
      <c r="CK56" s="108">
        <v>43365.528344907405</v>
      </c>
      <c r="CL56" s="109">
        <v>43365.54409722222</v>
      </c>
      <c r="CM56" s="95">
        <v>12.523568300000001</v>
      </c>
      <c r="CN56" s="95">
        <v>-2.8741984999999999</v>
      </c>
      <c r="CO56" s="99"/>
      <c r="CP56" s="99"/>
      <c r="CQ56" s="99"/>
      <c r="CR56" s="99"/>
      <c r="CS56" s="99"/>
      <c r="CT56" s="99"/>
      <c r="CU56" s="99"/>
      <c r="CV56" s="99"/>
      <c r="CW56" s="99"/>
      <c r="CX56" s="99"/>
      <c r="CY56" s="99"/>
      <c r="CZ56" s="99"/>
      <c r="DA56" s="99"/>
      <c r="DB56" s="99"/>
      <c r="DC56" s="99"/>
    </row>
    <row r="57" spans="1:107" ht="15.75" customHeight="1">
      <c r="A57" s="95">
        <v>57</v>
      </c>
      <c r="B57" s="117" t="s">
        <v>620</v>
      </c>
      <c r="C57" s="99" t="s">
        <v>621</v>
      </c>
      <c r="D57" s="99">
        <v>71147471</v>
      </c>
      <c r="E57" s="99" t="s">
        <v>4907</v>
      </c>
      <c r="F57" s="95" t="s">
        <v>4908</v>
      </c>
      <c r="G57" s="95" t="s">
        <v>1049</v>
      </c>
      <c r="H57" s="95" t="s">
        <v>1084</v>
      </c>
      <c r="I57" s="95" t="s">
        <v>518</v>
      </c>
      <c r="J57" s="95"/>
      <c r="K57" s="99"/>
      <c r="L57" s="103" t="s">
        <v>4449</v>
      </c>
      <c r="M57" s="99" t="s">
        <v>4450</v>
      </c>
      <c r="N57" s="99" t="s">
        <v>1565</v>
      </c>
      <c r="O57" s="99" t="s">
        <v>4452</v>
      </c>
      <c r="P57" s="103">
        <v>2013</v>
      </c>
      <c r="Q57" s="103" t="s">
        <v>1862</v>
      </c>
      <c r="R57" s="99" t="s">
        <v>4551</v>
      </c>
      <c r="S57" s="103" t="s">
        <v>1541</v>
      </c>
      <c r="T57" s="103" t="s">
        <v>4538</v>
      </c>
      <c r="U57" s="99" t="s">
        <v>4909</v>
      </c>
      <c r="V57" s="95">
        <v>12.150186100000001</v>
      </c>
      <c r="W57" s="95">
        <v>-2.6983868000000002</v>
      </c>
      <c r="X57" s="104" t="s">
        <v>4910</v>
      </c>
      <c r="Y57" s="103" t="s">
        <v>1634</v>
      </c>
      <c r="Z57" s="103" t="s">
        <v>1634</v>
      </c>
      <c r="AA57" s="103" t="s">
        <v>1862</v>
      </c>
      <c r="AB57" s="103">
        <v>50</v>
      </c>
      <c r="AC57" s="103">
        <v>0</v>
      </c>
      <c r="AD57" s="103">
        <v>50</v>
      </c>
      <c r="AE57" s="103" t="s">
        <v>1634</v>
      </c>
      <c r="AF57" s="103" t="s">
        <v>4744</v>
      </c>
      <c r="AG57" s="99" t="s">
        <v>4494</v>
      </c>
      <c r="AH57" s="103" t="s">
        <v>1862</v>
      </c>
      <c r="AI57" s="103" t="s">
        <v>1862</v>
      </c>
      <c r="AJ57" s="103" t="s">
        <v>1804</v>
      </c>
      <c r="AK57" s="103" t="s">
        <v>1804</v>
      </c>
      <c r="AL57" s="103" t="s">
        <v>1862</v>
      </c>
      <c r="AM57" s="103" t="s">
        <v>1862</v>
      </c>
      <c r="AN57" s="99" t="s">
        <v>4911</v>
      </c>
      <c r="AO57" s="103" t="s">
        <v>1862</v>
      </c>
      <c r="AP57" s="103">
        <v>600</v>
      </c>
      <c r="AQ57" s="103" t="s">
        <v>4500</v>
      </c>
      <c r="AR57" s="103">
        <v>600000</v>
      </c>
      <c r="AS57" s="106">
        <v>2000000</v>
      </c>
      <c r="AT57" s="103" t="s">
        <v>4625</v>
      </c>
      <c r="AU57" s="103" t="s">
        <v>1634</v>
      </c>
      <c r="AV57" s="99" t="s">
        <v>4463</v>
      </c>
      <c r="AW57" s="99" t="s">
        <v>4912</v>
      </c>
      <c r="AX57" s="99" t="s">
        <v>4913</v>
      </c>
      <c r="AY57" s="99" t="s">
        <v>4466</v>
      </c>
      <c r="AZ57" s="99" t="s">
        <v>4561</v>
      </c>
      <c r="BA57" s="103" t="s">
        <v>1634</v>
      </c>
      <c r="BB57" s="99">
        <v>1500000</v>
      </c>
      <c r="BC57" s="99">
        <v>1000</v>
      </c>
      <c r="BD57" s="99">
        <v>95000</v>
      </c>
      <c r="BE57" s="99">
        <v>1150000</v>
      </c>
      <c r="BF57" s="103" t="s">
        <v>4544</v>
      </c>
      <c r="BG57" s="103" t="s">
        <v>1862</v>
      </c>
      <c r="BH57" s="103" t="s">
        <v>1862</v>
      </c>
      <c r="BI57" s="103" t="s">
        <v>1804</v>
      </c>
      <c r="BJ57" s="103" t="s">
        <v>1804</v>
      </c>
      <c r="BK57" s="103" t="s">
        <v>4478</v>
      </c>
      <c r="BL57" s="103" t="s">
        <v>4472</v>
      </c>
      <c r="BM57" s="103" t="s">
        <v>4461</v>
      </c>
      <c r="BN57" s="103" t="s">
        <v>4531</v>
      </c>
      <c r="BO57" s="103">
        <v>650</v>
      </c>
      <c r="BP57" s="103" t="s">
        <v>4500</v>
      </c>
      <c r="BQ57" s="107" t="s">
        <v>4476</v>
      </c>
      <c r="BR57" s="99" t="s">
        <v>4476</v>
      </c>
      <c r="BS57" s="99" t="s">
        <v>4476</v>
      </c>
      <c r="BT57" s="103" t="s">
        <v>3186</v>
      </c>
      <c r="BU57" s="99" t="s">
        <v>4628</v>
      </c>
      <c r="BV57" s="103" t="s">
        <v>4476</v>
      </c>
      <c r="BW57" s="103" t="s">
        <v>4476</v>
      </c>
      <c r="BX57" s="103" t="s">
        <v>1634</v>
      </c>
      <c r="BY57" s="103" t="s">
        <v>4535</v>
      </c>
      <c r="BZ57" s="103" t="s">
        <v>4478</v>
      </c>
      <c r="CA57" s="103" t="s">
        <v>4461</v>
      </c>
      <c r="CB57" s="103">
        <v>500</v>
      </c>
      <c r="CC57" s="103" t="s">
        <v>4479</v>
      </c>
      <c r="CD57" s="103" t="s">
        <v>4480</v>
      </c>
      <c r="CE57" s="103" t="s">
        <v>4481</v>
      </c>
      <c r="CF57" s="103"/>
      <c r="CG57" s="103" t="s">
        <v>944</v>
      </c>
      <c r="CH57" s="103" t="s">
        <v>4914</v>
      </c>
      <c r="CI57" s="103">
        <v>71592200</v>
      </c>
      <c r="CJ57" s="103" t="s">
        <v>4915</v>
      </c>
      <c r="CK57" s="108">
        <v>43365.528379629628</v>
      </c>
      <c r="CL57" s="109">
        <v>43365.545185185183</v>
      </c>
      <c r="CM57" s="95">
        <v>12.150186100000001</v>
      </c>
      <c r="CN57" s="95">
        <v>-2.6983868000000002</v>
      </c>
      <c r="CO57" s="99"/>
      <c r="CP57" s="99"/>
      <c r="CQ57" s="99"/>
      <c r="CR57" s="99"/>
      <c r="CS57" s="99"/>
      <c r="CT57" s="99"/>
      <c r="CU57" s="99"/>
      <c r="CV57" s="99"/>
      <c r="CW57" s="99"/>
      <c r="CX57" s="99"/>
      <c r="CY57" s="99"/>
      <c r="CZ57" s="99"/>
      <c r="DA57" s="99"/>
      <c r="DB57" s="99"/>
      <c r="DC57" s="99"/>
    </row>
    <row r="58" spans="1:107" ht="15.75" customHeight="1">
      <c r="A58" s="95">
        <v>58</v>
      </c>
      <c r="B58" s="99" t="s">
        <v>622</v>
      </c>
      <c r="C58" s="99" t="s">
        <v>623</v>
      </c>
      <c r="D58" s="99">
        <v>70347299</v>
      </c>
      <c r="E58" s="99" t="s">
        <v>4916</v>
      </c>
      <c r="F58" s="95" t="s">
        <v>4720</v>
      </c>
      <c r="G58" s="95" t="s">
        <v>1057</v>
      </c>
      <c r="H58" s="95" t="s">
        <v>1063</v>
      </c>
      <c r="I58" s="95" t="s">
        <v>50</v>
      </c>
      <c r="J58" s="95"/>
      <c r="K58" s="99"/>
      <c r="L58" s="103" t="s">
        <v>4449</v>
      </c>
      <c r="M58" s="99" t="s">
        <v>4450</v>
      </c>
      <c r="N58" s="99" t="s">
        <v>4568</v>
      </c>
      <c r="O58" s="99" t="s">
        <v>4754</v>
      </c>
      <c r="P58" s="103">
        <v>2013</v>
      </c>
      <c r="Q58" s="103" t="s">
        <v>1548</v>
      </c>
      <c r="R58" s="99" t="s">
        <v>4521</v>
      </c>
      <c r="S58" s="103" t="s">
        <v>1541</v>
      </c>
      <c r="T58" s="103" t="s">
        <v>4522</v>
      </c>
      <c r="U58" s="99" t="s">
        <v>4722</v>
      </c>
      <c r="V58" s="95">
        <v>12.765364099999999</v>
      </c>
      <c r="W58" s="95">
        <v>-2.9000651999999998</v>
      </c>
      <c r="X58" s="104" t="s">
        <v>4723</v>
      </c>
      <c r="Y58" s="103" t="s">
        <v>1634</v>
      </c>
      <c r="Z58" s="103" t="s">
        <v>1634</v>
      </c>
      <c r="AA58" s="103" t="s">
        <v>1862</v>
      </c>
      <c r="AB58" s="103">
        <v>30</v>
      </c>
      <c r="AC58" s="103">
        <v>0</v>
      </c>
      <c r="AD58" s="103">
        <v>30</v>
      </c>
      <c r="AE58" s="103" t="s">
        <v>1634</v>
      </c>
      <c r="AF58" s="103" t="s">
        <v>4679</v>
      </c>
      <c r="AG58" s="99" t="s">
        <v>4902</v>
      </c>
      <c r="AH58" s="103" t="s">
        <v>1862</v>
      </c>
      <c r="AI58" s="103" t="s">
        <v>1862</v>
      </c>
      <c r="AJ58" s="103" t="s">
        <v>1804</v>
      </c>
      <c r="AK58" s="103" t="s">
        <v>1804</v>
      </c>
      <c r="AL58" s="103" t="s">
        <v>1862</v>
      </c>
      <c r="AM58" s="103" t="s">
        <v>1862</v>
      </c>
      <c r="AN58" s="99" t="s">
        <v>4584</v>
      </c>
      <c r="AO58" s="103" t="s">
        <v>1862</v>
      </c>
      <c r="AP58" s="103">
        <v>500</v>
      </c>
      <c r="AQ58" s="103" t="s">
        <v>4461</v>
      </c>
      <c r="AR58" s="103">
        <v>150000</v>
      </c>
      <c r="AS58" s="106">
        <v>75000</v>
      </c>
      <c r="AT58" s="103" t="s">
        <v>4496</v>
      </c>
      <c r="AU58" s="103" t="s">
        <v>1634</v>
      </c>
      <c r="AV58" s="99" t="s">
        <v>4671</v>
      </c>
      <c r="AW58" s="99" t="s">
        <v>4545</v>
      </c>
      <c r="AX58" s="99" t="s">
        <v>4881</v>
      </c>
      <c r="AY58" s="99" t="s">
        <v>4466</v>
      </c>
      <c r="AZ58" s="99" t="s">
        <v>4530</v>
      </c>
      <c r="BA58" s="103" t="s">
        <v>1634</v>
      </c>
      <c r="BB58" s="99">
        <v>2000</v>
      </c>
      <c r="BC58" s="99">
        <v>30</v>
      </c>
      <c r="BD58" s="99">
        <v>200000</v>
      </c>
      <c r="BE58" s="99">
        <v>85000</v>
      </c>
      <c r="BF58" s="103" t="s">
        <v>4415</v>
      </c>
      <c r="BG58" s="103" t="s">
        <v>1862</v>
      </c>
      <c r="BH58" s="103" t="s">
        <v>1804</v>
      </c>
      <c r="BI58" s="103" t="s">
        <v>1804</v>
      </c>
      <c r="BJ58" s="103" t="s">
        <v>1804</v>
      </c>
      <c r="BK58" s="103" t="s">
        <v>4478</v>
      </c>
      <c r="BL58" s="103" t="s">
        <v>4472</v>
      </c>
      <c r="BM58" s="103" t="s">
        <v>4461</v>
      </c>
      <c r="BN58" s="103" t="s">
        <v>4545</v>
      </c>
      <c r="BO58" s="103">
        <v>450</v>
      </c>
      <c r="BP58" s="103" t="s">
        <v>4532</v>
      </c>
      <c r="BQ58" s="99" t="s">
        <v>4476</v>
      </c>
      <c r="BR58" s="99" t="s">
        <v>4476</v>
      </c>
      <c r="BS58" s="99"/>
      <c r="BT58" s="103" t="s">
        <v>3186</v>
      </c>
      <c r="BU58" s="99" t="s">
        <v>4502</v>
      </c>
      <c r="BV58" s="103" t="s">
        <v>4476</v>
      </c>
      <c r="BW58" s="103" t="s">
        <v>4476</v>
      </c>
      <c r="BX58" s="103" t="s">
        <v>1548</v>
      </c>
      <c r="BY58" s="103" t="s">
        <v>4810</v>
      </c>
      <c r="BZ58" s="103" t="s">
        <v>4478</v>
      </c>
      <c r="CA58" s="103" t="s">
        <v>4461</v>
      </c>
      <c r="CB58" s="103">
        <v>1</v>
      </c>
      <c r="CC58" s="103" t="s">
        <v>4502</v>
      </c>
      <c r="CD58" s="103" t="s">
        <v>4502</v>
      </c>
      <c r="CE58" s="103" t="s">
        <v>4475</v>
      </c>
      <c r="CF58" s="103" t="s">
        <v>4482</v>
      </c>
      <c r="CG58" s="103" t="s">
        <v>4917</v>
      </c>
      <c r="CH58" s="103" t="s">
        <v>4918</v>
      </c>
      <c r="CI58" s="103">
        <v>70956483</v>
      </c>
      <c r="CJ58" s="103"/>
      <c r="CK58" s="108">
        <v>43365.549479166664</v>
      </c>
      <c r="CL58" s="109">
        <v>43365.565428240741</v>
      </c>
      <c r="CM58" s="95">
        <v>12.765364099999999</v>
      </c>
      <c r="CN58" s="95">
        <v>-2.9000651999999998</v>
      </c>
      <c r="CO58" s="99"/>
      <c r="CP58" s="99"/>
      <c r="CQ58" s="99"/>
      <c r="CR58" s="99"/>
      <c r="CS58" s="99"/>
      <c r="CT58" s="99"/>
      <c r="CU58" s="99"/>
      <c r="CV58" s="99"/>
      <c r="CW58" s="99"/>
      <c r="CX58" s="99"/>
      <c r="CY58" s="99"/>
      <c r="CZ58" s="99"/>
      <c r="DA58" s="99"/>
      <c r="DB58" s="99"/>
      <c r="DC58" s="99"/>
    </row>
    <row r="59" spans="1:107" ht="15.75" customHeight="1">
      <c r="A59" s="95">
        <v>59</v>
      </c>
      <c r="B59" s="99" t="s">
        <v>565</v>
      </c>
      <c r="C59" s="99" t="s">
        <v>624</v>
      </c>
      <c r="D59" s="99">
        <v>77354340</v>
      </c>
      <c r="E59" s="99" t="s">
        <v>103</v>
      </c>
      <c r="F59" s="95" t="s">
        <v>7120</v>
      </c>
      <c r="G59" s="95" t="s">
        <v>1085</v>
      </c>
      <c r="H59" s="95" t="s">
        <v>1074</v>
      </c>
      <c r="I59" s="95" t="s">
        <v>104</v>
      </c>
      <c r="J59" s="95" t="s">
        <v>104</v>
      </c>
      <c r="K59" s="99"/>
      <c r="L59" s="103" t="s">
        <v>4449</v>
      </c>
      <c r="M59" s="99" t="s">
        <v>4567</v>
      </c>
      <c r="N59" s="99" t="s">
        <v>4451</v>
      </c>
      <c r="O59" s="99"/>
      <c r="P59" s="103">
        <v>2009</v>
      </c>
      <c r="Q59" s="103" t="s">
        <v>1862</v>
      </c>
      <c r="R59" s="99" t="s">
        <v>4521</v>
      </c>
      <c r="S59" s="103" t="s">
        <v>2282</v>
      </c>
      <c r="T59" s="103" t="s">
        <v>4490</v>
      </c>
      <c r="U59" s="99" t="s">
        <v>4919</v>
      </c>
      <c r="V59" s="95">
        <v>11.1320447</v>
      </c>
      <c r="W59" s="95">
        <v>-4.2333354999999999</v>
      </c>
      <c r="X59" s="104" t="s">
        <v>4805</v>
      </c>
      <c r="Y59" s="103" t="s">
        <v>1634</v>
      </c>
      <c r="Z59" s="103" t="s">
        <v>1634</v>
      </c>
      <c r="AA59" s="103" t="s">
        <v>1862</v>
      </c>
      <c r="AB59" s="103">
        <v>148</v>
      </c>
      <c r="AC59" s="103">
        <v>0</v>
      </c>
      <c r="AD59" s="103">
        <v>148</v>
      </c>
      <c r="AE59" s="103" t="s">
        <v>1634</v>
      </c>
      <c r="AF59" s="103" t="s">
        <v>4651</v>
      </c>
      <c r="AG59" s="99" t="s">
        <v>4920</v>
      </c>
      <c r="AH59" s="103" t="s">
        <v>1634</v>
      </c>
      <c r="AI59" s="103" t="s">
        <v>1804</v>
      </c>
      <c r="AJ59" s="103" t="s">
        <v>1804</v>
      </c>
      <c r="AK59" s="103" t="s">
        <v>1804</v>
      </c>
      <c r="AL59" s="103" t="s">
        <v>1862</v>
      </c>
      <c r="AM59" s="103" t="s">
        <v>1804</v>
      </c>
      <c r="AN59" s="99" t="s">
        <v>4541</v>
      </c>
      <c r="AO59" s="103" t="s">
        <v>1862</v>
      </c>
      <c r="AP59" s="103">
        <v>0</v>
      </c>
      <c r="AQ59" s="103" t="s">
        <v>4500</v>
      </c>
      <c r="AR59" s="103">
        <v>2000000</v>
      </c>
      <c r="AS59" s="95" t="s">
        <v>4831</v>
      </c>
      <c r="AT59" s="103" t="s">
        <v>4496</v>
      </c>
      <c r="AU59" s="103" t="s">
        <v>1548</v>
      </c>
      <c r="AV59" s="99"/>
      <c r="AW59" s="99" t="s">
        <v>4921</v>
      </c>
      <c r="AX59" s="99" t="s">
        <v>4855</v>
      </c>
      <c r="AY59" s="99"/>
      <c r="AZ59" s="99"/>
      <c r="BA59" s="103" t="s">
        <v>1634</v>
      </c>
      <c r="BB59" s="99">
        <v>37600</v>
      </c>
      <c r="BC59" s="99">
        <v>0</v>
      </c>
      <c r="BD59" s="99">
        <v>2000000</v>
      </c>
      <c r="BE59" s="99">
        <v>0</v>
      </c>
      <c r="BF59" s="103" t="s">
        <v>4415</v>
      </c>
      <c r="BG59" s="103" t="s">
        <v>1862</v>
      </c>
      <c r="BH59" s="103" t="s">
        <v>1804</v>
      </c>
      <c r="BI59" s="103" t="s">
        <v>1804</v>
      </c>
      <c r="BJ59" s="103" t="s">
        <v>1804</v>
      </c>
      <c r="BK59" s="103" t="s">
        <v>4478</v>
      </c>
      <c r="BL59" s="103" t="s">
        <v>4472</v>
      </c>
      <c r="BM59" s="103" t="s">
        <v>4461</v>
      </c>
      <c r="BN59" s="103" t="s">
        <v>4922</v>
      </c>
      <c r="BO59" s="103">
        <v>100</v>
      </c>
      <c r="BP59" s="103" t="s">
        <v>4532</v>
      </c>
      <c r="BQ59" s="99" t="s">
        <v>4476</v>
      </c>
      <c r="BR59" s="99"/>
      <c r="BS59" s="99"/>
      <c r="BT59" s="103" t="s">
        <v>3186</v>
      </c>
      <c r="BU59" s="99" t="s">
        <v>4480</v>
      </c>
      <c r="BV59" s="103"/>
      <c r="BW59" s="103"/>
      <c r="BX59" s="103" t="s">
        <v>1634</v>
      </c>
      <c r="BY59" s="103" t="s">
        <v>4761</v>
      </c>
      <c r="BZ59" s="103" t="s">
        <v>4478</v>
      </c>
      <c r="CA59" s="103" t="s">
        <v>4500</v>
      </c>
      <c r="CB59" s="103">
        <v>100</v>
      </c>
      <c r="CC59" s="103" t="s">
        <v>4502</v>
      </c>
      <c r="CD59" s="103"/>
      <c r="CE59" s="103"/>
      <c r="CF59" s="103" t="s">
        <v>4691</v>
      </c>
      <c r="CG59" s="103" t="s">
        <v>565</v>
      </c>
      <c r="CH59" s="103" t="s">
        <v>4923</v>
      </c>
      <c r="CI59" s="103">
        <v>68120485</v>
      </c>
      <c r="CJ59" s="103"/>
      <c r="CK59" s="108">
        <v>43365.528715277775</v>
      </c>
      <c r="CL59" s="109">
        <v>43365.604375000003</v>
      </c>
      <c r="CM59" s="95">
        <v>11.1320447</v>
      </c>
      <c r="CN59" s="95">
        <v>-4.2333354999999999</v>
      </c>
      <c r="CO59" s="99"/>
      <c r="CP59" s="99"/>
      <c r="CQ59" s="99"/>
      <c r="CR59" s="99"/>
      <c r="CS59" s="99"/>
      <c r="CT59" s="99"/>
      <c r="CU59" s="99"/>
      <c r="CV59" s="99"/>
      <c r="CW59" s="99"/>
      <c r="CX59" s="99"/>
      <c r="CY59" s="99"/>
      <c r="CZ59" s="99"/>
      <c r="DA59" s="99"/>
      <c r="DB59" s="99"/>
      <c r="DC59" s="99"/>
    </row>
    <row r="60" spans="1:107" ht="15.75" customHeight="1">
      <c r="A60" s="95">
        <v>60</v>
      </c>
      <c r="B60" s="99" t="s">
        <v>625</v>
      </c>
      <c r="C60" s="99" t="s">
        <v>626</v>
      </c>
      <c r="D60" s="99">
        <v>54290593</v>
      </c>
      <c r="E60" s="99" t="s">
        <v>105</v>
      </c>
      <c r="F60" s="95" t="s">
        <v>4924</v>
      </c>
      <c r="G60" s="95" t="s">
        <v>1042</v>
      </c>
      <c r="H60" s="95" t="s">
        <v>1043</v>
      </c>
      <c r="I60" s="95" t="s">
        <v>106</v>
      </c>
      <c r="J60" s="95"/>
      <c r="K60" s="99"/>
      <c r="L60" s="103" t="s">
        <v>4449</v>
      </c>
      <c r="M60" s="99" t="s">
        <v>4567</v>
      </c>
      <c r="N60" s="99" t="s">
        <v>1565</v>
      </c>
      <c r="O60" s="99" t="s">
        <v>4452</v>
      </c>
      <c r="P60" s="103">
        <v>2008</v>
      </c>
      <c r="Q60" s="103" t="s">
        <v>1862</v>
      </c>
      <c r="R60" s="99" t="s">
        <v>4616</v>
      </c>
      <c r="S60" s="103" t="s">
        <v>1541</v>
      </c>
      <c r="T60" s="103" t="s">
        <v>4538</v>
      </c>
      <c r="U60" s="99" t="s">
        <v>4925</v>
      </c>
      <c r="V60" s="95">
        <v>11.250226700000001</v>
      </c>
      <c r="W60" s="95">
        <v>-1.135302</v>
      </c>
      <c r="X60" s="104" t="s">
        <v>4926</v>
      </c>
      <c r="Y60" s="103" t="s">
        <v>1634</v>
      </c>
      <c r="Z60" s="103" t="s">
        <v>1548</v>
      </c>
      <c r="AA60" s="103" t="s">
        <v>1548</v>
      </c>
      <c r="AB60" s="103"/>
      <c r="AC60" s="103"/>
      <c r="AD60" s="103"/>
      <c r="AE60" s="103" t="s">
        <v>1634</v>
      </c>
      <c r="AF60" s="103" t="s">
        <v>4927</v>
      </c>
      <c r="AG60" s="99" t="s">
        <v>4928</v>
      </c>
      <c r="AH60" s="103" t="s">
        <v>1804</v>
      </c>
      <c r="AI60" s="103" t="s">
        <v>1862</v>
      </c>
      <c r="AJ60" s="103" t="s">
        <v>1804</v>
      </c>
      <c r="AK60" s="103" t="s">
        <v>1804</v>
      </c>
      <c r="AL60" s="103" t="s">
        <v>1862</v>
      </c>
      <c r="AM60" s="103" t="s">
        <v>1862</v>
      </c>
      <c r="AN60" s="99" t="s">
        <v>4929</v>
      </c>
      <c r="AO60" s="103" t="s">
        <v>1862</v>
      </c>
      <c r="AP60" s="103">
        <v>750</v>
      </c>
      <c r="AQ60" s="103" t="s">
        <v>4500</v>
      </c>
      <c r="AR60" s="103">
        <v>360000</v>
      </c>
      <c r="AS60" s="106">
        <v>720000</v>
      </c>
      <c r="AT60" s="103" t="s">
        <v>4496</v>
      </c>
      <c r="AU60" s="103" t="s">
        <v>1548</v>
      </c>
      <c r="AV60" s="99"/>
      <c r="AW60" s="99"/>
      <c r="AX60" s="99" t="s">
        <v>4930</v>
      </c>
      <c r="AY60" s="99" t="s">
        <v>4466</v>
      </c>
      <c r="AZ60" s="99" t="s">
        <v>4530</v>
      </c>
      <c r="BA60" s="103" t="s">
        <v>1634</v>
      </c>
      <c r="BB60" s="99">
        <v>100</v>
      </c>
      <c r="BC60" s="99">
        <v>480</v>
      </c>
      <c r="BD60" s="99">
        <v>360000</v>
      </c>
      <c r="BE60" s="99">
        <v>720000</v>
      </c>
      <c r="BF60" s="103" t="s">
        <v>4511</v>
      </c>
      <c r="BG60" s="103" t="s">
        <v>1804</v>
      </c>
      <c r="BH60" s="103" t="s">
        <v>1862</v>
      </c>
      <c r="BI60" s="103" t="s">
        <v>1804</v>
      </c>
      <c r="BJ60" s="103" t="s">
        <v>1804</v>
      </c>
      <c r="BK60" s="103" t="s">
        <v>4478</v>
      </c>
      <c r="BL60" s="103" t="s">
        <v>4470</v>
      </c>
      <c r="BM60" s="103" t="s">
        <v>4461</v>
      </c>
      <c r="BN60" s="103" t="s">
        <v>4531</v>
      </c>
      <c r="BO60" s="103">
        <v>80</v>
      </c>
      <c r="BP60" s="103" t="s">
        <v>4532</v>
      </c>
      <c r="BQ60" s="107" t="s">
        <v>4474</v>
      </c>
      <c r="BR60" s="99" t="s">
        <v>4474</v>
      </c>
      <c r="BS60" s="99" t="s">
        <v>4474</v>
      </c>
      <c r="BT60" s="103" t="s">
        <v>3186</v>
      </c>
      <c r="BU60" s="99" t="s">
        <v>4475</v>
      </c>
      <c r="BV60" s="103" t="s">
        <v>4476</v>
      </c>
      <c r="BW60" s="103" t="s">
        <v>4476</v>
      </c>
      <c r="BX60" s="103" t="s">
        <v>1548</v>
      </c>
      <c r="BY60" s="103" t="s">
        <v>4501</v>
      </c>
      <c r="BZ60" s="103" t="s">
        <v>4499</v>
      </c>
      <c r="CA60" s="103" t="s">
        <v>4461</v>
      </c>
      <c r="CB60" s="103">
        <v>50</v>
      </c>
      <c r="CC60" s="103"/>
      <c r="CD60" s="103"/>
      <c r="CE60" s="103"/>
      <c r="CF60" s="103" t="s">
        <v>4482</v>
      </c>
      <c r="CG60" s="103" t="s">
        <v>625</v>
      </c>
      <c r="CH60" s="103" t="s">
        <v>626</v>
      </c>
      <c r="CI60" s="103">
        <v>54290593</v>
      </c>
      <c r="CJ60" s="103" t="s">
        <v>4931</v>
      </c>
      <c r="CK60" s="108">
        <v>43365.58898148148</v>
      </c>
      <c r="CL60" s="109">
        <v>43365.620196759257</v>
      </c>
      <c r="CM60" s="95">
        <v>11.250226700000001</v>
      </c>
      <c r="CN60" s="95">
        <v>-1.135302</v>
      </c>
      <c r="CO60" s="99"/>
      <c r="CP60" s="99"/>
      <c r="CQ60" s="99"/>
      <c r="CR60" s="99"/>
      <c r="CS60" s="99"/>
      <c r="CT60" s="99"/>
      <c r="CU60" s="99"/>
      <c r="CV60" s="99"/>
      <c r="CW60" s="99"/>
      <c r="CX60" s="99"/>
      <c r="CY60" s="99"/>
      <c r="CZ60" s="99"/>
      <c r="DA60" s="99"/>
      <c r="DB60" s="99"/>
      <c r="DC60" s="99"/>
    </row>
    <row r="61" spans="1:107" ht="15.75" customHeight="1">
      <c r="A61" s="95">
        <v>61</v>
      </c>
      <c r="B61" s="99" t="s">
        <v>627</v>
      </c>
      <c r="C61" s="99" t="s">
        <v>628</v>
      </c>
      <c r="D61" s="99">
        <v>71121640</v>
      </c>
      <c r="E61" s="99" t="s">
        <v>506</v>
      </c>
      <c r="F61" s="95" t="s">
        <v>4932</v>
      </c>
      <c r="G61" s="95" t="s">
        <v>1049</v>
      </c>
      <c r="H61" s="95" t="s">
        <v>1065</v>
      </c>
      <c r="I61" s="95" t="s">
        <v>507</v>
      </c>
      <c r="J61" s="95"/>
      <c r="K61" s="99"/>
      <c r="L61" s="103" t="s">
        <v>4449</v>
      </c>
      <c r="M61" s="99" t="s">
        <v>4450</v>
      </c>
      <c r="N61" s="99" t="s">
        <v>4451</v>
      </c>
      <c r="O61" s="99" t="s">
        <v>4452</v>
      </c>
      <c r="P61" s="103">
        <v>2015</v>
      </c>
      <c r="Q61" s="103" t="s">
        <v>1862</v>
      </c>
      <c r="R61" s="99" t="s">
        <v>4521</v>
      </c>
      <c r="S61" s="103" t="s">
        <v>1541</v>
      </c>
      <c r="T61" s="103" t="s">
        <v>4522</v>
      </c>
      <c r="U61" s="99" t="s">
        <v>4933</v>
      </c>
      <c r="V61" s="95">
        <v>12.185317299999999</v>
      </c>
      <c r="W61" s="95">
        <v>-2.6090043000000001</v>
      </c>
      <c r="X61" s="104" t="s">
        <v>4934</v>
      </c>
      <c r="Y61" s="103" t="s">
        <v>1634</v>
      </c>
      <c r="Z61" s="103" t="s">
        <v>1634</v>
      </c>
      <c r="AA61" s="103" t="s">
        <v>1862</v>
      </c>
      <c r="AB61" s="103">
        <v>17</v>
      </c>
      <c r="AC61" s="103">
        <v>2</v>
      </c>
      <c r="AD61" s="103">
        <v>15</v>
      </c>
      <c r="AE61" s="103" t="s">
        <v>1634</v>
      </c>
      <c r="AF61" s="103" t="s">
        <v>4935</v>
      </c>
      <c r="AG61" s="99" t="s">
        <v>4936</v>
      </c>
      <c r="AH61" s="103" t="s">
        <v>1862</v>
      </c>
      <c r="AI61" s="103" t="s">
        <v>1862</v>
      </c>
      <c r="AJ61" s="103" t="s">
        <v>1804</v>
      </c>
      <c r="AK61" s="103" t="s">
        <v>1862</v>
      </c>
      <c r="AL61" s="103" t="s">
        <v>1862</v>
      </c>
      <c r="AM61" s="103" t="s">
        <v>1862</v>
      </c>
      <c r="AN61" s="99" t="s">
        <v>4584</v>
      </c>
      <c r="AO61" s="103" t="s">
        <v>1862</v>
      </c>
      <c r="AP61" s="103">
        <v>1200</v>
      </c>
      <c r="AQ61" s="103" t="s">
        <v>4461</v>
      </c>
      <c r="AR61" s="103">
        <v>900000</v>
      </c>
      <c r="AS61" s="106">
        <v>400000</v>
      </c>
      <c r="AT61" s="103" t="s">
        <v>4625</v>
      </c>
      <c r="AU61" s="103" t="s">
        <v>1548</v>
      </c>
      <c r="AV61" s="99"/>
      <c r="AW61" s="99"/>
      <c r="AX61" s="99" t="s">
        <v>4937</v>
      </c>
      <c r="AY61" s="99" t="s">
        <v>4466</v>
      </c>
      <c r="AZ61" s="99" t="s">
        <v>4561</v>
      </c>
      <c r="BA61" s="103" t="s">
        <v>1548</v>
      </c>
      <c r="BB61" s="99">
        <v>1500</v>
      </c>
      <c r="BC61" s="99">
        <v>500</v>
      </c>
      <c r="BD61" s="99">
        <v>600000</v>
      </c>
      <c r="BE61" s="99">
        <v>350000</v>
      </c>
      <c r="BF61" s="103" t="s">
        <v>4653</v>
      </c>
      <c r="BG61" s="103" t="s">
        <v>1862</v>
      </c>
      <c r="BH61" s="103" t="s">
        <v>1804</v>
      </c>
      <c r="BI61" s="103" t="s">
        <v>1862</v>
      </c>
      <c r="BJ61" s="103" t="s">
        <v>1804</v>
      </c>
      <c r="BK61" s="103" t="s">
        <v>4478</v>
      </c>
      <c r="BL61" s="103" t="s">
        <v>4472</v>
      </c>
      <c r="BM61" s="103" t="s">
        <v>4461</v>
      </c>
      <c r="BN61" s="103" t="s">
        <v>4545</v>
      </c>
      <c r="BO61" s="103">
        <v>700</v>
      </c>
      <c r="BP61" s="103" t="s">
        <v>4532</v>
      </c>
      <c r="BQ61" s="99" t="s">
        <v>4476</v>
      </c>
      <c r="BR61" s="99" t="s">
        <v>4476</v>
      </c>
      <c r="BS61" s="99" t="s">
        <v>4476</v>
      </c>
      <c r="BT61" s="103" t="s">
        <v>3186</v>
      </c>
      <c r="BU61" s="99" t="s">
        <v>4502</v>
      </c>
      <c r="BV61" s="103" t="s">
        <v>4476</v>
      </c>
      <c r="BW61" s="103" t="s">
        <v>4476</v>
      </c>
      <c r="BX61" s="103" t="s">
        <v>1548</v>
      </c>
      <c r="BY61" s="103" t="s">
        <v>4535</v>
      </c>
      <c r="BZ61" s="103" t="s">
        <v>4478</v>
      </c>
      <c r="CA61" s="103" t="s">
        <v>4509</v>
      </c>
      <c r="CB61" s="103">
        <v>450</v>
      </c>
      <c r="CC61" s="103" t="s">
        <v>4502</v>
      </c>
      <c r="CD61" s="103" t="s">
        <v>4502</v>
      </c>
      <c r="CE61" s="103" t="s">
        <v>4502</v>
      </c>
      <c r="CF61" s="103"/>
      <c r="CG61" s="103" t="s">
        <v>2858</v>
      </c>
      <c r="CH61" s="103" t="s">
        <v>4938</v>
      </c>
      <c r="CI61" s="103">
        <v>71676046</v>
      </c>
      <c r="CJ61" s="103"/>
      <c r="CK61" s="108">
        <v>43365.472384259258</v>
      </c>
      <c r="CL61" s="109">
        <v>43365.491226851853</v>
      </c>
      <c r="CM61" s="95">
        <v>12.185317299999999</v>
      </c>
      <c r="CN61" s="95">
        <v>-2.6090043000000001</v>
      </c>
      <c r="CO61" s="99"/>
      <c r="CP61" s="99"/>
      <c r="CQ61" s="99"/>
      <c r="CR61" s="99"/>
      <c r="CS61" s="99"/>
      <c r="CT61" s="99"/>
      <c r="CU61" s="99"/>
      <c r="CV61" s="99"/>
      <c r="CW61" s="99"/>
      <c r="CX61" s="99"/>
      <c r="CY61" s="99"/>
      <c r="CZ61" s="99"/>
      <c r="DA61" s="99"/>
      <c r="DB61" s="99"/>
      <c r="DC61" s="99"/>
    </row>
    <row r="62" spans="1:107" ht="15.75" customHeight="1">
      <c r="A62" s="95">
        <v>62</v>
      </c>
      <c r="B62" s="99" t="s">
        <v>629</v>
      </c>
      <c r="C62" s="99" t="s">
        <v>630</v>
      </c>
      <c r="D62" s="99">
        <v>70421848</v>
      </c>
      <c r="E62" s="99" t="s">
        <v>109</v>
      </c>
      <c r="F62" s="95" t="s">
        <v>4939</v>
      </c>
      <c r="G62" s="95" t="s">
        <v>1086</v>
      </c>
      <c r="H62" s="95" t="s">
        <v>1070</v>
      </c>
      <c r="I62" s="95" t="s">
        <v>89</v>
      </c>
      <c r="J62" s="95"/>
      <c r="K62" s="99"/>
      <c r="L62" s="103" t="s">
        <v>4449</v>
      </c>
      <c r="M62" s="99" t="s">
        <v>4632</v>
      </c>
      <c r="N62" s="99" t="s">
        <v>4698</v>
      </c>
      <c r="O62" s="99" t="s">
        <v>4684</v>
      </c>
      <c r="P62" s="103">
        <v>203</v>
      </c>
      <c r="Q62" s="103" t="s">
        <v>1862</v>
      </c>
      <c r="R62" s="99" t="s">
        <v>4633</v>
      </c>
      <c r="S62" s="103" t="s">
        <v>2282</v>
      </c>
      <c r="T62" s="103" t="s">
        <v>4634</v>
      </c>
      <c r="U62" s="99" t="s">
        <v>4940</v>
      </c>
      <c r="V62" s="95">
        <v>12.2562183</v>
      </c>
      <c r="W62" s="95">
        <v>-2.3517526000000002</v>
      </c>
      <c r="X62" s="104" t="s">
        <v>4839</v>
      </c>
      <c r="Y62" s="103" t="s">
        <v>1634</v>
      </c>
      <c r="Z62" s="103" t="s">
        <v>1634</v>
      </c>
      <c r="AA62" s="103" t="s">
        <v>1862</v>
      </c>
      <c r="AB62" s="103">
        <v>403</v>
      </c>
      <c r="AC62" s="103">
        <v>5</v>
      </c>
      <c r="AD62" s="103">
        <v>398</v>
      </c>
      <c r="AE62" s="103" t="s">
        <v>1634</v>
      </c>
      <c r="AF62" s="103" t="s">
        <v>4493</v>
      </c>
      <c r="AG62" s="99" t="s">
        <v>4554</v>
      </c>
      <c r="AH62" s="103" t="s">
        <v>1862</v>
      </c>
      <c r="AI62" s="103" t="s">
        <v>1862</v>
      </c>
      <c r="AJ62" s="103" t="s">
        <v>1862</v>
      </c>
      <c r="AK62" s="103" t="s">
        <v>1862</v>
      </c>
      <c r="AL62" s="103" t="s">
        <v>1804</v>
      </c>
      <c r="AM62" s="103" t="s">
        <v>1862</v>
      </c>
      <c r="AN62" s="99" t="s">
        <v>4638</v>
      </c>
      <c r="AO62" s="103" t="s">
        <v>1862</v>
      </c>
      <c r="AP62" s="103">
        <v>2000</v>
      </c>
      <c r="AQ62" s="103" t="s">
        <v>4461</v>
      </c>
      <c r="AR62" s="103"/>
      <c r="AS62" s="106">
        <v>60000000</v>
      </c>
      <c r="AT62" s="103" t="s">
        <v>4527</v>
      </c>
      <c r="AU62" s="103" t="s">
        <v>1634</v>
      </c>
      <c r="AV62" s="99" t="s">
        <v>4463</v>
      </c>
      <c r="AW62" s="99" t="s">
        <v>4639</v>
      </c>
      <c r="AX62" s="99" t="s">
        <v>4640</v>
      </c>
      <c r="AY62" s="99" t="s">
        <v>4641</v>
      </c>
      <c r="AZ62" s="99" t="s">
        <v>4530</v>
      </c>
      <c r="BA62" s="103" t="s">
        <v>1634</v>
      </c>
      <c r="BB62" s="99"/>
      <c r="BC62" s="99">
        <v>25000</v>
      </c>
      <c r="BD62" s="99"/>
      <c r="BE62" s="99">
        <v>50000000</v>
      </c>
      <c r="BF62" s="103" t="s">
        <v>4642</v>
      </c>
      <c r="BG62" s="103" t="s">
        <v>1862</v>
      </c>
      <c r="BH62" s="103" t="s">
        <v>1862</v>
      </c>
      <c r="BI62" s="103" t="s">
        <v>1862</v>
      </c>
      <c r="BJ62" s="103" t="s">
        <v>1862</v>
      </c>
      <c r="BK62" s="103" t="s">
        <v>4469</v>
      </c>
      <c r="BL62" s="103" t="s">
        <v>4472</v>
      </c>
      <c r="BM62" s="103" t="s">
        <v>4461</v>
      </c>
      <c r="BN62" s="103" t="s">
        <v>4643</v>
      </c>
      <c r="BO62" s="103">
        <v>400</v>
      </c>
      <c r="BP62" s="103" t="s">
        <v>4532</v>
      </c>
      <c r="BQ62" s="99" t="s">
        <v>4644</v>
      </c>
      <c r="BR62" s="99" t="s">
        <v>4644</v>
      </c>
      <c r="BS62" s="99" t="s">
        <v>4564</v>
      </c>
      <c r="BT62" s="103" t="s">
        <v>3186</v>
      </c>
      <c r="BU62" s="99"/>
      <c r="BV62" s="103" t="s">
        <v>4644</v>
      </c>
      <c r="BW62" s="103" t="s">
        <v>4644</v>
      </c>
      <c r="BX62" s="103"/>
      <c r="BY62" s="103"/>
      <c r="BZ62" s="103"/>
      <c r="CA62" s="103"/>
      <c r="CB62" s="103"/>
      <c r="CC62" s="103" t="s">
        <v>4502</v>
      </c>
      <c r="CD62" s="103" t="s">
        <v>4475</v>
      </c>
      <c r="CE62" s="103" t="s">
        <v>4475</v>
      </c>
      <c r="CF62" s="103"/>
      <c r="CG62" s="103" t="s">
        <v>4941</v>
      </c>
      <c r="CH62" s="103" t="s">
        <v>4942</v>
      </c>
      <c r="CI62" s="103">
        <v>70421848</v>
      </c>
      <c r="CJ62" s="103"/>
      <c r="CK62" s="108">
        <v>43364.693287037036</v>
      </c>
      <c r="CL62" s="109">
        <v>43364.732754629629</v>
      </c>
      <c r="CM62" s="95">
        <v>12.2562183</v>
      </c>
      <c r="CN62" s="95">
        <v>-2.3517526000000002</v>
      </c>
      <c r="CO62" s="99"/>
      <c r="CP62" s="99"/>
      <c r="CQ62" s="99"/>
      <c r="CR62" s="99"/>
      <c r="CS62" s="99"/>
      <c r="CT62" s="99"/>
      <c r="CU62" s="99"/>
      <c r="CV62" s="99"/>
      <c r="CW62" s="99"/>
      <c r="CX62" s="99"/>
      <c r="CY62" s="99"/>
      <c r="CZ62" s="99"/>
      <c r="DA62" s="99"/>
      <c r="DB62" s="99"/>
      <c r="DC62" s="99"/>
    </row>
    <row r="63" spans="1:107" ht="15.75" customHeight="1">
      <c r="A63" s="95">
        <v>63</v>
      </c>
      <c r="B63" s="99" t="s">
        <v>527</v>
      </c>
      <c r="C63" s="99" t="s">
        <v>631</v>
      </c>
      <c r="D63" s="99">
        <v>70306621</v>
      </c>
      <c r="E63" s="99" t="s">
        <v>4943</v>
      </c>
      <c r="F63" s="95" t="s">
        <v>4944</v>
      </c>
      <c r="G63" s="95" t="s">
        <v>1076</v>
      </c>
      <c r="H63" s="95" t="s">
        <v>1087</v>
      </c>
      <c r="I63" s="95" t="s">
        <v>111</v>
      </c>
      <c r="J63" s="95"/>
      <c r="K63" s="99"/>
      <c r="L63" s="103" t="s">
        <v>4449</v>
      </c>
      <c r="M63" s="99" t="s">
        <v>4450</v>
      </c>
      <c r="N63" s="99" t="s">
        <v>4520</v>
      </c>
      <c r="O63" s="99" t="s">
        <v>4694</v>
      </c>
      <c r="P63" s="103">
        <v>2005</v>
      </c>
      <c r="Q63" s="103" t="s">
        <v>1862</v>
      </c>
      <c r="R63" s="99" t="s">
        <v>4521</v>
      </c>
      <c r="S63" s="103" t="s">
        <v>1541</v>
      </c>
      <c r="T63" s="103" t="s">
        <v>4522</v>
      </c>
      <c r="U63" s="99" t="s">
        <v>4945</v>
      </c>
      <c r="V63" s="95">
        <v>12.0601649</v>
      </c>
      <c r="W63" s="95">
        <v>0.36542039999999998</v>
      </c>
      <c r="X63" s="104" t="s">
        <v>4946</v>
      </c>
      <c r="Y63" s="103" t="s">
        <v>1548</v>
      </c>
      <c r="Z63" s="103" t="s">
        <v>1548</v>
      </c>
      <c r="AA63" s="103" t="s">
        <v>1862</v>
      </c>
      <c r="AB63" s="103">
        <v>40</v>
      </c>
      <c r="AC63" s="103">
        <v>0</v>
      </c>
      <c r="AD63" s="103">
        <v>40</v>
      </c>
      <c r="AE63" s="103" t="s">
        <v>1634</v>
      </c>
      <c r="AF63" s="103" t="s">
        <v>4830</v>
      </c>
      <c r="AG63" s="99" t="s">
        <v>4695</v>
      </c>
      <c r="AH63" s="103" t="s">
        <v>1862</v>
      </c>
      <c r="AI63" s="103" t="s">
        <v>1862</v>
      </c>
      <c r="AJ63" s="103" t="s">
        <v>1804</v>
      </c>
      <c r="AK63" s="103" t="s">
        <v>1804</v>
      </c>
      <c r="AL63" s="103" t="s">
        <v>1804</v>
      </c>
      <c r="AM63" s="103" t="s">
        <v>1804</v>
      </c>
      <c r="AN63" s="99" t="s">
        <v>1646</v>
      </c>
      <c r="AO63" s="103" t="s">
        <v>1862</v>
      </c>
      <c r="AP63" s="103">
        <v>750</v>
      </c>
      <c r="AQ63" s="103" t="s">
        <v>4509</v>
      </c>
      <c r="AR63" s="103" t="s">
        <v>4831</v>
      </c>
      <c r="AS63" s="106">
        <v>350000</v>
      </c>
      <c r="AT63" s="103" t="s">
        <v>4625</v>
      </c>
      <c r="AU63" s="103" t="s">
        <v>1548</v>
      </c>
      <c r="AV63" s="99"/>
      <c r="AW63" s="99" t="s">
        <v>4680</v>
      </c>
      <c r="AX63" s="99" t="s">
        <v>4543</v>
      </c>
      <c r="AY63" s="99" t="s">
        <v>4466</v>
      </c>
      <c r="AZ63" s="99" t="s">
        <v>4467</v>
      </c>
      <c r="BA63" s="103" t="s">
        <v>1634</v>
      </c>
      <c r="BB63" s="99">
        <v>500</v>
      </c>
      <c r="BC63" s="99">
        <v>42</v>
      </c>
      <c r="BD63" s="99">
        <v>0</v>
      </c>
      <c r="BE63" s="99"/>
      <c r="BF63" s="103" t="s">
        <v>4511</v>
      </c>
      <c r="BG63" s="103" t="s">
        <v>1804</v>
      </c>
      <c r="BH63" s="103" t="s">
        <v>1862</v>
      </c>
      <c r="BI63" s="103" t="s">
        <v>1804</v>
      </c>
      <c r="BJ63" s="103" t="s">
        <v>1804</v>
      </c>
      <c r="BK63" s="103" t="s">
        <v>4478</v>
      </c>
      <c r="BL63" s="103" t="s">
        <v>4470</v>
      </c>
      <c r="BM63" s="103" t="s">
        <v>4461</v>
      </c>
      <c r="BN63" s="103" t="s">
        <v>4512</v>
      </c>
      <c r="BO63" s="103">
        <v>50</v>
      </c>
      <c r="BP63" s="103" t="s">
        <v>4509</v>
      </c>
      <c r="BQ63" s="107" t="s">
        <v>4476</v>
      </c>
      <c r="BR63" s="99" t="s">
        <v>4476</v>
      </c>
      <c r="BS63" s="99"/>
      <c r="BT63" s="103" t="s">
        <v>3186</v>
      </c>
      <c r="BU63" s="107" t="s">
        <v>4514</v>
      </c>
      <c r="BV63" s="103" t="s">
        <v>4476</v>
      </c>
      <c r="BW63" s="103" t="s">
        <v>1548</v>
      </c>
      <c r="BX63" s="103" t="s">
        <v>4501</v>
      </c>
      <c r="BY63" s="103" t="s">
        <v>4478</v>
      </c>
      <c r="BZ63" s="103" t="s">
        <v>4509</v>
      </c>
      <c r="CA63" s="103">
        <v>15</v>
      </c>
      <c r="CB63" s="103" t="s">
        <v>4475</v>
      </c>
      <c r="CC63" s="103" t="s">
        <v>4502</v>
      </c>
      <c r="CD63" s="103" t="s">
        <v>4475</v>
      </c>
      <c r="CE63" s="103" t="s">
        <v>4475</v>
      </c>
      <c r="CF63" s="103" t="s">
        <v>4482</v>
      </c>
      <c r="CG63" s="103" t="s">
        <v>537</v>
      </c>
      <c r="CH63" s="103" t="s">
        <v>862</v>
      </c>
      <c r="CI63" s="103">
        <v>70306621</v>
      </c>
      <c r="CJ63" s="99"/>
      <c r="CK63" s="108">
        <v>43364.601354166669</v>
      </c>
      <c r="CL63" s="108">
        <v>43364.61478009259</v>
      </c>
      <c r="CM63" s="95">
        <v>12.0601649</v>
      </c>
      <c r="CN63" s="95">
        <v>0.36542039999999998</v>
      </c>
      <c r="CO63" s="99"/>
      <c r="CP63" s="99"/>
      <c r="CQ63" s="99"/>
      <c r="CR63" s="99"/>
      <c r="CS63" s="99"/>
      <c r="CT63" s="99"/>
      <c r="CU63" s="99"/>
      <c r="CV63" s="99"/>
      <c r="CW63" s="99"/>
      <c r="CX63" s="99"/>
      <c r="CY63" s="99"/>
      <c r="CZ63" s="99"/>
      <c r="DA63" s="99"/>
      <c r="DB63" s="99"/>
      <c r="DC63" s="99"/>
    </row>
    <row r="64" spans="1:107" ht="15.75" customHeight="1">
      <c r="A64" s="95">
        <v>64</v>
      </c>
      <c r="B64" s="99" t="s">
        <v>632</v>
      </c>
      <c r="C64" s="99" t="s">
        <v>633</v>
      </c>
      <c r="D64" s="99">
        <v>70274461</v>
      </c>
      <c r="E64" s="99" t="s">
        <v>112</v>
      </c>
      <c r="F64" s="95" t="s">
        <v>4578</v>
      </c>
      <c r="G64" s="95" t="s">
        <v>1052</v>
      </c>
      <c r="H64" s="95" t="s">
        <v>1053</v>
      </c>
      <c r="I64" s="95" t="s">
        <v>21</v>
      </c>
      <c r="J64" s="95"/>
      <c r="K64" s="99"/>
      <c r="L64" s="103" t="s">
        <v>4449</v>
      </c>
      <c r="M64" s="99" t="s">
        <v>4567</v>
      </c>
      <c r="N64" s="99" t="s">
        <v>4520</v>
      </c>
      <c r="O64" s="99" t="s">
        <v>4947</v>
      </c>
      <c r="P64" s="103">
        <v>2017</v>
      </c>
      <c r="Q64" s="103" t="s">
        <v>1862</v>
      </c>
      <c r="R64" s="99" t="s">
        <v>4521</v>
      </c>
      <c r="S64" s="103" t="s">
        <v>1541</v>
      </c>
      <c r="T64" s="103" t="s">
        <v>4522</v>
      </c>
      <c r="U64" s="99" t="s">
        <v>4580</v>
      </c>
      <c r="V64" s="99">
        <v>11.5077529</v>
      </c>
      <c r="W64" s="99">
        <v>5.1324599999999998E-2</v>
      </c>
      <c r="X64" s="104" t="s">
        <v>4581</v>
      </c>
      <c r="Y64" s="103" t="s">
        <v>1634</v>
      </c>
      <c r="Z64" s="103" t="s">
        <v>1634</v>
      </c>
      <c r="AA64" s="103" t="s">
        <v>1862</v>
      </c>
      <c r="AB64" s="103">
        <v>34</v>
      </c>
      <c r="AC64" s="103">
        <v>2</v>
      </c>
      <c r="AD64" s="103">
        <v>34</v>
      </c>
      <c r="AE64" s="103" t="s">
        <v>1634</v>
      </c>
      <c r="AF64" s="103" t="s">
        <v>4582</v>
      </c>
      <c r="AG64" s="99" t="s">
        <v>4928</v>
      </c>
      <c r="AH64" s="103" t="s">
        <v>1804</v>
      </c>
      <c r="AI64" s="103" t="s">
        <v>1862</v>
      </c>
      <c r="AJ64" s="103" t="s">
        <v>1804</v>
      </c>
      <c r="AK64" s="103" t="s">
        <v>1804</v>
      </c>
      <c r="AL64" s="103" t="s">
        <v>1804</v>
      </c>
      <c r="AM64" s="103" t="s">
        <v>1862</v>
      </c>
      <c r="AN64" s="99" t="s">
        <v>4526</v>
      </c>
      <c r="AO64" s="103" t="s">
        <v>1862</v>
      </c>
      <c r="AP64" s="103">
        <v>1000</v>
      </c>
      <c r="AQ64" s="103" t="s">
        <v>4500</v>
      </c>
      <c r="AR64" s="103"/>
      <c r="AS64" s="106">
        <v>6320000</v>
      </c>
      <c r="AT64" s="103" t="s">
        <v>4542</v>
      </c>
      <c r="AU64" s="103" t="s">
        <v>1548</v>
      </c>
      <c r="AV64" s="99"/>
      <c r="AW64" s="99" t="s">
        <v>4948</v>
      </c>
      <c r="AX64" s="99" t="s">
        <v>4949</v>
      </c>
      <c r="AY64" s="99" t="s">
        <v>4560</v>
      </c>
      <c r="AZ64" s="99" t="s">
        <v>4530</v>
      </c>
      <c r="BA64" s="103" t="s">
        <v>1634</v>
      </c>
      <c r="BB64" s="99">
        <v>20000</v>
      </c>
      <c r="BC64" s="99">
        <v>6500</v>
      </c>
      <c r="BD64" s="99"/>
      <c r="BE64" s="99">
        <v>6320000</v>
      </c>
      <c r="BF64" s="103" t="s">
        <v>4950</v>
      </c>
      <c r="BG64" s="103" t="s">
        <v>1804</v>
      </c>
      <c r="BH64" s="103" t="s">
        <v>1804</v>
      </c>
      <c r="BI64" s="103" t="s">
        <v>1862</v>
      </c>
      <c r="BJ64" s="103" t="s">
        <v>1862</v>
      </c>
      <c r="BK64" s="103" t="s">
        <v>4586</v>
      </c>
      <c r="BL64" s="103" t="s">
        <v>4500</v>
      </c>
      <c r="BM64" s="103" t="s">
        <v>4500</v>
      </c>
      <c r="BN64" s="103" t="s">
        <v>4643</v>
      </c>
      <c r="BO64" s="103">
        <v>250</v>
      </c>
      <c r="BP64" s="103" t="s">
        <v>4500</v>
      </c>
      <c r="BQ64" s="99" t="s">
        <v>4476</v>
      </c>
      <c r="BR64" s="99" t="s">
        <v>4750</v>
      </c>
      <c r="BS64" s="99" t="s">
        <v>4476</v>
      </c>
      <c r="BT64" s="103" t="s">
        <v>3186</v>
      </c>
      <c r="BU64" s="99" t="s">
        <v>4502</v>
      </c>
      <c r="BV64" s="103" t="s">
        <v>4476</v>
      </c>
      <c r="BW64" s="103" t="s">
        <v>4476</v>
      </c>
      <c r="BX64" s="103" t="s">
        <v>1634</v>
      </c>
      <c r="BY64" s="103" t="s">
        <v>4729</v>
      </c>
      <c r="BZ64" s="103" t="s">
        <v>4478</v>
      </c>
      <c r="CA64" s="103" t="s">
        <v>4500</v>
      </c>
      <c r="CB64" s="103">
        <v>80</v>
      </c>
      <c r="CC64" s="103" t="s">
        <v>4502</v>
      </c>
      <c r="CD64" s="103" t="s">
        <v>4502</v>
      </c>
      <c r="CE64" s="103" t="s">
        <v>4502</v>
      </c>
      <c r="CF64" s="103" t="s">
        <v>4482</v>
      </c>
      <c r="CG64" s="103" t="s">
        <v>4951</v>
      </c>
      <c r="CH64" s="103" t="s">
        <v>4952</v>
      </c>
      <c r="CI64" s="103">
        <v>70605118</v>
      </c>
      <c r="CJ64" s="103"/>
      <c r="CK64" s="108">
        <v>43364.529942129629</v>
      </c>
      <c r="CL64" s="109">
        <v>43365.28875</v>
      </c>
      <c r="CM64" s="95">
        <v>11.5077529</v>
      </c>
      <c r="CN64" s="95">
        <v>5.1324599999999998E-2</v>
      </c>
      <c r="CO64" s="99"/>
      <c r="CP64" s="99"/>
      <c r="CQ64" s="99"/>
      <c r="CR64" s="99"/>
      <c r="CS64" s="99"/>
      <c r="CT64" s="99"/>
      <c r="CU64" s="99"/>
      <c r="CV64" s="99"/>
      <c r="CW64" s="99"/>
      <c r="CX64" s="99"/>
      <c r="CY64" s="99"/>
      <c r="CZ64" s="99"/>
      <c r="DA64" s="99"/>
      <c r="DB64" s="99"/>
      <c r="DC64" s="99"/>
    </row>
    <row r="65" spans="1:107" ht="15.75" customHeight="1">
      <c r="A65" s="95">
        <v>65</v>
      </c>
      <c r="B65" s="99" t="s">
        <v>634</v>
      </c>
      <c r="C65" s="99" t="s">
        <v>556</v>
      </c>
      <c r="D65" s="99">
        <v>51702385</v>
      </c>
      <c r="E65" s="99" t="s">
        <v>113</v>
      </c>
      <c r="F65" s="95" t="s">
        <v>4953</v>
      </c>
      <c r="G65" s="95" t="s">
        <v>1052</v>
      </c>
      <c r="H65" s="95" t="s">
        <v>1054</v>
      </c>
      <c r="I65" s="95" t="s">
        <v>21</v>
      </c>
      <c r="J65" s="95"/>
      <c r="K65" s="99"/>
      <c r="L65" s="103" t="s">
        <v>4449</v>
      </c>
      <c r="M65" s="99" t="s">
        <v>4450</v>
      </c>
      <c r="N65" s="99" t="s">
        <v>1565</v>
      </c>
      <c r="O65" s="99" t="s">
        <v>4754</v>
      </c>
      <c r="P65" s="103">
        <v>2012</v>
      </c>
      <c r="Q65" s="103" t="s">
        <v>1862</v>
      </c>
      <c r="R65" s="99" t="s">
        <v>4954</v>
      </c>
      <c r="S65" s="103" t="s">
        <v>1541</v>
      </c>
      <c r="T65" s="103" t="s">
        <v>4538</v>
      </c>
      <c r="U65" s="99" t="s">
        <v>4955</v>
      </c>
      <c r="V65" s="99">
        <v>11.5077529</v>
      </c>
      <c r="W65" s="99">
        <v>5.1324599999999998E-2</v>
      </c>
      <c r="X65" s="104" t="s">
        <v>4581</v>
      </c>
      <c r="Y65" s="103" t="s">
        <v>1634</v>
      </c>
      <c r="Z65" s="103" t="s">
        <v>1634</v>
      </c>
      <c r="AA65" s="103" t="s">
        <v>1862</v>
      </c>
      <c r="AB65" s="103">
        <v>19</v>
      </c>
      <c r="AC65" s="103">
        <v>0</v>
      </c>
      <c r="AD65" s="103">
        <v>19</v>
      </c>
      <c r="AE65" s="103" t="s">
        <v>1634</v>
      </c>
      <c r="AF65" s="103" t="s">
        <v>4582</v>
      </c>
      <c r="AG65" s="99" t="s">
        <v>4391</v>
      </c>
      <c r="AH65" s="103" t="s">
        <v>1804</v>
      </c>
      <c r="AI65" s="103" t="s">
        <v>1862</v>
      </c>
      <c r="AJ65" s="103" t="s">
        <v>1804</v>
      </c>
      <c r="AK65" s="103" t="s">
        <v>1804</v>
      </c>
      <c r="AL65" s="103" t="s">
        <v>1804</v>
      </c>
      <c r="AM65" s="103" t="s">
        <v>1804</v>
      </c>
      <c r="AN65" s="99" t="s">
        <v>4735</v>
      </c>
      <c r="AO65" s="103" t="s">
        <v>1862</v>
      </c>
      <c r="AP65" s="103">
        <v>1000</v>
      </c>
      <c r="AQ65" s="103" t="s">
        <v>4500</v>
      </c>
      <c r="AR65" s="103"/>
      <c r="AS65" s="106">
        <v>380000</v>
      </c>
      <c r="AT65" s="103" t="s">
        <v>4496</v>
      </c>
      <c r="AU65" s="103" t="s">
        <v>1548</v>
      </c>
      <c r="AV65" s="99"/>
      <c r="AW65" s="99" t="s">
        <v>4956</v>
      </c>
      <c r="AX65" s="99" t="s">
        <v>4957</v>
      </c>
      <c r="AY65" s="99" t="s">
        <v>4466</v>
      </c>
      <c r="AZ65" s="99" t="s">
        <v>4530</v>
      </c>
      <c r="BA65" s="103" t="s">
        <v>1634</v>
      </c>
      <c r="BB65" s="99"/>
      <c r="BC65" s="99">
        <v>1900</v>
      </c>
      <c r="BD65" s="99"/>
      <c r="BE65" s="99">
        <v>42750</v>
      </c>
      <c r="BF65" s="103" t="s">
        <v>4958</v>
      </c>
      <c r="BG65" s="103" t="s">
        <v>1804</v>
      </c>
      <c r="BH65" s="103" t="s">
        <v>1862</v>
      </c>
      <c r="BI65" s="103" t="s">
        <v>1862</v>
      </c>
      <c r="BJ65" s="103" t="s">
        <v>1804</v>
      </c>
      <c r="BK65" s="103" t="s">
        <v>4586</v>
      </c>
      <c r="BL65" s="103" t="s">
        <v>4500</v>
      </c>
      <c r="BM65" s="103" t="s">
        <v>4500</v>
      </c>
      <c r="BN65" s="103" t="s">
        <v>4959</v>
      </c>
      <c r="BO65" s="103">
        <v>125</v>
      </c>
      <c r="BP65" s="103" t="s">
        <v>4500</v>
      </c>
      <c r="BQ65" s="99" t="s">
        <v>4476</v>
      </c>
      <c r="BR65" s="99" t="s">
        <v>4476</v>
      </c>
      <c r="BS65" s="99" t="s">
        <v>4476</v>
      </c>
      <c r="BT65" s="103" t="s">
        <v>3186</v>
      </c>
      <c r="BU65" s="99" t="s">
        <v>4502</v>
      </c>
      <c r="BV65" s="103" t="s">
        <v>4476</v>
      </c>
      <c r="BW65" s="103" t="s">
        <v>4476</v>
      </c>
      <c r="BX65" s="103" t="s">
        <v>1634</v>
      </c>
      <c r="BY65" s="103" t="s">
        <v>4729</v>
      </c>
      <c r="BZ65" s="103" t="s">
        <v>4478</v>
      </c>
      <c r="CA65" s="103" t="s">
        <v>4500</v>
      </c>
      <c r="CB65" s="103">
        <v>75</v>
      </c>
      <c r="CC65" s="103" t="s">
        <v>4502</v>
      </c>
      <c r="CD65" s="103" t="s">
        <v>4502</v>
      </c>
      <c r="CE65" s="103" t="s">
        <v>4502</v>
      </c>
      <c r="CF65" s="103" t="s">
        <v>4482</v>
      </c>
      <c r="CG65" s="103" t="s">
        <v>634</v>
      </c>
      <c r="CH65" s="103" t="s">
        <v>556</v>
      </c>
      <c r="CI65" s="103">
        <v>51702385</v>
      </c>
      <c r="CJ65" s="103" t="s">
        <v>4960</v>
      </c>
      <c r="CK65" s="108">
        <v>43365.601319444446</v>
      </c>
      <c r="CL65" s="109">
        <v>43365.657800925925</v>
      </c>
      <c r="CM65" s="95">
        <v>11.5077529</v>
      </c>
      <c r="CN65" s="95">
        <v>5.1324599999999998E-2</v>
      </c>
      <c r="CO65" s="99"/>
      <c r="CP65" s="99"/>
      <c r="CQ65" s="99"/>
      <c r="CR65" s="99"/>
      <c r="CS65" s="99"/>
      <c r="CT65" s="99"/>
      <c r="CU65" s="99"/>
      <c r="CV65" s="99"/>
      <c r="CW65" s="99"/>
      <c r="CX65" s="99"/>
      <c r="CY65" s="99"/>
      <c r="CZ65" s="99"/>
      <c r="DA65" s="99"/>
      <c r="DB65" s="99"/>
      <c r="DC65" s="99"/>
    </row>
    <row r="66" spans="1:107" ht="15.75" customHeight="1">
      <c r="A66" s="95">
        <v>66</v>
      </c>
      <c r="B66" s="99" t="s">
        <v>635</v>
      </c>
      <c r="C66" s="99" t="s">
        <v>636</v>
      </c>
      <c r="D66" s="110">
        <v>72592111</v>
      </c>
      <c r="E66" s="99" t="s">
        <v>114</v>
      </c>
      <c r="F66" s="95" t="s">
        <v>4885</v>
      </c>
      <c r="G66" s="95" t="s">
        <v>1044</v>
      </c>
      <c r="H66" s="95" t="s">
        <v>1082</v>
      </c>
      <c r="I66" s="95" t="s">
        <v>94</v>
      </c>
      <c r="J66" s="95"/>
      <c r="K66" s="99"/>
      <c r="L66" s="103" t="s">
        <v>4549</v>
      </c>
      <c r="M66" s="99" t="s">
        <v>4450</v>
      </c>
      <c r="N66" s="99" t="s">
        <v>4520</v>
      </c>
      <c r="O66" s="99" t="s">
        <v>4550</v>
      </c>
      <c r="P66" s="103">
        <v>2000</v>
      </c>
      <c r="Q66" s="103" t="s">
        <v>1862</v>
      </c>
      <c r="R66" s="99" t="s">
        <v>4551</v>
      </c>
      <c r="S66" s="103" t="s">
        <v>1541</v>
      </c>
      <c r="T66" s="103" t="s">
        <v>4522</v>
      </c>
      <c r="U66" s="99" t="s">
        <v>4886</v>
      </c>
      <c r="V66" s="95">
        <v>13.2036283</v>
      </c>
      <c r="W66" s="95">
        <v>-2.3566861000000001</v>
      </c>
      <c r="X66" s="104" t="s">
        <v>4887</v>
      </c>
      <c r="Y66" s="103" t="s">
        <v>1634</v>
      </c>
      <c r="Z66" s="103" t="s">
        <v>1634</v>
      </c>
      <c r="AA66" s="103" t="s">
        <v>1862</v>
      </c>
      <c r="AB66" s="103">
        <v>750</v>
      </c>
      <c r="AC66" s="103">
        <v>238</v>
      </c>
      <c r="AD66" s="103">
        <v>512</v>
      </c>
      <c r="AE66" s="103" t="s">
        <v>1634</v>
      </c>
      <c r="AF66" s="103" t="s">
        <v>4830</v>
      </c>
      <c r="AG66" s="99" t="s">
        <v>4554</v>
      </c>
      <c r="AH66" s="103" t="s">
        <v>1862</v>
      </c>
      <c r="AI66" s="103" t="s">
        <v>1862</v>
      </c>
      <c r="AJ66" s="103" t="s">
        <v>1862</v>
      </c>
      <c r="AK66" s="103" t="s">
        <v>1862</v>
      </c>
      <c r="AL66" s="103" t="s">
        <v>1804</v>
      </c>
      <c r="AM66" s="103" t="s">
        <v>1862</v>
      </c>
      <c r="AN66" s="99" t="s">
        <v>4555</v>
      </c>
      <c r="AO66" s="103" t="s">
        <v>1862</v>
      </c>
      <c r="AP66" s="103">
        <v>1800</v>
      </c>
      <c r="AQ66" s="103" t="s">
        <v>4500</v>
      </c>
      <c r="AR66" s="103"/>
      <c r="AS66" s="106">
        <v>7000000</v>
      </c>
      <c r="AT66" s="103" t="s">
        <v>4556</v>
      </c>
      <c r="AU66" s="103" t="s">
        <v>1634</v>
      </c>
      <c r="AV66" s="99" t="s">
        <v>4557</v>
      </c>
      <c r="AW66" s="99" t="s">
        <v>4558</v>
      </c>
      <c r="AX66" s="99" t="s">
        <v>4559</v>
      </c>
      <c r="AY66" s="99" t="s">
        <v>4560</v>
      </c>
      <c r="AZ66" s="99" t="s">
        <v>4561</v>
      </c>
      <c r="BA66" s="103" t="s">
        <v>1634</v>
      </c>
      <c r="BB66" s="99">
        <v>10500</v>
      </c>
      <c r="BC66" s="99">
        <v>3500</v>
      </c>
      <c r="BD66" s="99">
        <v>7000000</v>
      </c>
      <c r="BE66" s="99"/>
      <c r="BF66" s="103" t="s">
        <v>4544</v>
      </c>
      <c r="BG66" s="103" t="s">
        <v>1862</v>
      </c>
      <c r="BH66" s="103" t="s">
        <v>1862</v>
      </c>
      <c r="BI66" s="103" t="s">
        <v>1804</v>
      </c>
      <c r="BJ66" s="103" t="s">
        <v>1804</v>
      </c>
      <c r="BK66" s="103" t="s">
        <v>4478</v>
      </c>
      <c r="BL66" s="103" t="s">
        <v>4472</v>
      </c>
      <c r="BM66" s="103" t="s">
        <v>4461</v>
      </c>
      <c r="BN66" s="103" t="s">
        <v>4562</v>
      </c>
      <c r="BO66" s="103">
        <v>400</v>
      </c>
      <c r="BP66" s="103" t="s">
        <v>4532</v>
      </c>
      <c r="BQ66" s="107" t="s">
        <v>4563</v>
      </c>
      <c r="BR66" s="99" t="s">
        <v>4564</v>
      </c>
      <c r="BS66" s="99" t="s">
        <v>4564</v>
      </c>
      <c r="BT66" s="103" t="s">
        <v>3186</v>
      </c>
      <c r="BU66" s="107" t="s">
        <v>4514</v>
      </c>
      <c r="BV66" s="103" t="s">
        <v>4514</v>
      </c>
      <c r="BW66" s="103" t="s">
        <v>1548</v>
      </c>
      <c r="BX66" s="103" t="s">
        <v>4535</v>
      </c>
      <c r="BY66" s="103" t="s">
        <v>4478</v>
      </c>
      <c r="BZ66" s="103" t="s">
        <v>4461</v>
      </c>
      <c r="CA66" s="103">
        <v>41</v>
      </c>
      <c r="CB66" s="103" t="s">
        <v>4475</v>
      </c>
      <c r="CC66" s="103" t="s">
        <v>4479</v>
      </c>
      <c r="CD66" s="103" t="s">
        <v>4475</v>
      </c>
      <c r="CE66" s="103" t="s">
        <v>4481</v>
      </c>
      <c r="CF66" s="103"/>
      <c r="CG66" s="103" t="s">
        <v>635</v>
      </c>
      <c r="CH66" s="103" t="s">
        <v>636</v>
      </c>
      <c r="CI66" s="111">
        <v>72592111</v>
      </c>
      <c r="CJ66" s="99"/>
      <c r="CK66" s="108">
        <v>43364.397164351853</v>
      </c>
      <c r="CL66" s="108">
        <v>43364.42695601852</v>
      </c>
      <c r="CM66" s="95">
        <v>13.2036283</v>
      </c>
      <c r="CN66" s="95">
        <v>-2.3566861000000001</v>
      </c>
      <c r="CO66" s="99"/>
      <c r="CP66" s="99"/>
      <c r="CQ66" s="99"/>
      <c r="CR66" s="99"/>
      <c r="CS66" s="99"/>
      <c r="CT66" s="99"/>
      <c r="CU66" s="99"/>
      <c r="CV66" s="99"/>
      <c r="CW66" s="99"/>
      <c r="CX66" s="99"/>
      <c r="CY66" s="99"/>
      <c r="CZ66" s="99"/>
      <c r="DA66" s="99"/>
      <c r="DB66" s="99"/>
      <c r="DC66" s="99"/>
    </row>
    <row r="67" spans="1:107" ht="15.75" customHeight="1">
      <c r="A67" s="95">
        <v>67</v>
      </c>
      <c r="B67" s="99" t="s">
        <v>637</v>
      </c>
      <c r="C67" s="99" t="s">
        <v>638</v>
      </c>
      <c r="D67" s="99">
        <v>73713125</v>
      </c>
      <c r="E67" s="99" t="s">
        <v>115</v>
      </c>
      <c r="F67" s="95" t="s">
        <v>4953</v>
      </c>
      <c r="G67" s="95" t="s">
        <v>1052</v>
      </c>
      <c r="H67" s="95" t="s">
        <v>1054</v>
      </c>
      <c r="I67" s="95" t="s">
        <v>21</v>
      </c>
      <c r="J67" s="95"/>
      <c r="K67" s="99"/>
      <c r="L67" s="103" t="s">
        <v>4449</v>
      </c>
      <c r="M67" s="99" t="s">
        <v>4487</v>
      </c>
      <c r="N67" s="99" t="s">
        <v>4520</v>
      </c>
      <c r="O67" s="99" t="s">
        <v>4961</v>
      </c>
      <c r="P67" s="103">
        <v>2010</v>
      </c>
      <c r="Q67" s="103" t="s">
        <v>1862</v>
      </c>
      <c r="R67" s="99" t="s">
        <v>4616</v>
      </c>
      <c r="S67" s="103" t="s">
        <v>1541</v>
      </c>
      <c r="T67" s="103" t="s">
        <v>4538</v>
      </c>
      <c r="U67" s="99" t="s">
        <v>4955</v>
      </c>
      <c r="V67" s="95">
        <v>11.5077529</v>
      </c>
      <c r="W67" s="95">
        <v>5.1324599999999998E-2</v>
      </c>
      <c r="X67" s="104" t="s">
        <v>4581</v>
      </c>
      <c r="Y67" s="103" t="s">
        <v>1634</v>
      </c>
      <c r="Z67" s="103" t="s">
        <v>1634</v>
      </c>
      <c r="AA67" s="103" t="s">
        <v>1862</v>
      </c>
      <c r="AB67" s="103">
        <v>17</v>
      </c>
      <c r="AC67" s="103">
        <v>0</v>
      </c>
      <c r="AD67" s="103">
        <v>17</v>
      </c>
      <c r="AE67" s="103" t="s">
        <v>1634</v>
      </c>
      <c r="AF67" s="103" t="s">
        <v>4582</v>
      </c>
      <c r="AG67" s="99" t="s">
        <v>4390</v>
      </c>
      <c r="AH67" s="103" t="s">
        <v>1634</v>
      </c>
      <c r="AI67" s="103" t="s">
        <v>1804</v>
      </c>
      <c r="AJ67" s="103" t="s">
        <v>1804</v>
      </c>
      <c r="AK67" s="103" t="s">
        <v>1804</v>
      </c>
      <c r="AL67" s="103" t="s">
        <v>1804</v>
      </c>
      <c r="AM67" s="103" t="s">
        <v>1804</v>
      </c>
      <c r="AN67" s="99" t="s">
        <v>1646</v>
      </c>
      <c r="AO67" s="103" t="s">
        <v>1862</v>
      </c>
      <c r="AP67" s="103"/>
      <c r="AQ67" s="103"/>
      <c r="AR67" s="103">
        <v>262500</v>
      </c>
      <c r="AS67" s="99"/>
      <c r="AT67" s="103" t="s">
        <v>4496</v>
      </c>
      <c r="AU67" s="103" t="s">
        <v>1548</v>
      </c>
      <c r="AV67" s="99"/>
      <c r="AW67" s="99"/>
      <c r="AX67" s="99" t="s">
        <v>4543</v>
      </c>
      <c r="AY67" s="99"/>
      <c r="AZ67" s="99" t="s">
        <v>4530</v>
      </c>
      <c r="BA67" s="103" t="s">
        <v>1548</v>
      </c>
      <c r="BB67" s="99">
        <v>350</v>
      </c>
      <c r="BC67" s="99"/>
      <c r="BD67" s="99">
        <v>26250</v>
      </c>
      <c r="BE67" s="99"/>
      <c r="BF67" s="103" t="s">
        <v>4958</v>
      </c>
      <c r="BG67" s="103" t="s">
        <v>1804</v>
      </c>
      <c r="BH67" s="103" t="s">
        <v>1862</v>
      </c>
      <c r="BI67" s="103" t="s">
        <v>1862</v>
      </c>
      <c r="BJ67" s="103" t="s">
        <v>1804</v>
      </c>
      <c r="BK67" s="103" t="s">
        <v>4478</v>
      </c>
      <c r="BL67" s="103" t="s">
        <v>4461</v>
      </c>
      <c r="BM67" s="103" t="s">
        <v>4500</v>
      </c>
      <c r="BN67" s="103"/>
      <c r="BO67" s="103"/>
      <c r="BP67" s="103"/>
      <c r="BQ67" s="107"/>
      <c r="BR67" s="99"/>
      <c r="BS67" s="99"/>
      <c r="BT67" s="103" t="s">
        <v>3186</v>
      </c>
      <c r="BU67" s="99"/>
      <c r="BV67" s="103"/>
      <c r="BW67" s="103"/>
      <c r="BX67" s="103"/>
      <c r="BY67" s="103"/>
      <c r="BZ67" s="103"/>
      <c r="CA67" s="103"/>
      <c r="CB67" s="103"/>
      <c r="CC67" s="103"/>
      <c r="CD67" s="103"/>
      <c r="CE67" s="103"/>
      <c r="CF67" s="103" t="s">
        <v>4482</v>
      </c>
      <c r="CG67" s="103" t="s">
        <v>670</v>
      </c>
      <c r="CH67" s="103" t="s">
        <v>967</v>
      </c>
      <c r="CI67" s="103">
        <v>70280256</v>
      </c>
      <c r="CJ67" s="103" t="s">
        <v>4962</v>
      </c>
      <c r="CK67" s="108">
        <v>43364.670694444445</v>
      </c>
      <c r="CL67" s="109">
        <v>43364.71193287037</v>
      </c>
      <c r="CM67" s="95">
        <v>11.5077529</v>
      </c>
      <c r="CN67" s="95">
        <v>5.1324599999999998E-2</v>
      </c>
      <c r="CO67" s="99"/>
      <c r="CP67" s="99"/>
      <c r="CQ67" s="99"/>
      <c r="CR67" s="99"/>
      <c r="CS67" s="99"/>
      <c r="CT67" s="99"/>
      <c r="CU67" s="99"/>
      <c r="CV67" s="99"/>
      <c r="CW67" s="99"/>
      <c r="CX67" s="99"/>
      <c r="CY67" s="99"/>
      <c r="CZ67" s="99"/>
      <c r="DA67" s="99"/>
      <c r="DB67" s="99"/>
      <c r="DC67" s="99"/>
    </row>
    <row r="68" spans="1:107" ht="15.75" customHeight="1">
      <c r="A68" s="95">
        <v>68</v>
      </c>
      <c r="B68" s="99" t="s">
        <v>639</v>
      </c>
      <c r="C68" s="99" t="s">
        <v>640</v>
      </c>
      <c r="D68" s="99">
        <v>70881184</v>
      </c>
      <c r="E68" s="99" t="s">
        <v>116</v>
      </c>
      <c r="F68" s="95" t="s">
        <v>4963</v>
      </c>
      <c r="G68" s="95" t="s">
        <v>1076</v>
      </c>
      <c r="H68" s="95" t="s">
        <v>1088</v>
      </c>
      <c r="I68" s="95" t="s">
        <v>117</v>
      </c>
      <c r="J68" s="95"/>
      <c r="K68" s="99"/>
      <c r="L68" s="103" t="s">
        <v>4549</v>
      </c>
      <c r="M68" s="99" t="s">
        <v>4567</v>
      </c>
      <c r="N68" s="99" t="s">
        <v>4520</v>
      </c>
      <c r="O68" s="99" t="s">
        <v>4550</v>
      </c>
      <c r="P68" s="103">
        <v>2000</v>
      </c>
      <c r="Q68" s="103" t="s">
        <v>1862</v>
      </c>
      <c r="R68" s="99" t="s">
        <v>4551</v>
      </c>
      <c r="S68" s="103" t="s">
        <v>1541</v>
      </c>
      <c r="T68" s="103" t="s">
        <v>4522</v>
      </c>
      <c r="U68" s="99" t="s">
        <v>4964</v>
      </c>
      <c r="V68" s="95">
        <v>12.7126527</v>
      </c>
      <c r="W68" s="95">
        <v>0.67730460000000003</v>
      </c>
      <c r="X68" s="104" t="s">
        <v>4965</v>
      </c>
      <c r="Y68" s="103" t="s">
        <v>1634</v>
      </c>
      <c r="Z68" s="103" t="s">
        <v>1634</v>
      </c>
      <c r="AA68" s="103" t="s">
        <v>1862</v>
      </c>
      <c r="AB68" s="103">
        <v>750</v>
      </c>
      <c r="AC68" s="103">
        <v>238</v>
      </c>
      <c r="AD68" s="103">
        <v>512</v>
      </c>
      <c r="AE68" s="103" t="s">
        <v>1634</v>
      </c>
      <c r="AF68" s="103" t="s">
        <v>4830</v>
      </c>
      <c r="AG68" s="99" t="s">
        <v>4554</v>
      </c>
      <c r="AH68" s="103" t="s">
        <v>1862</v>
      </c>
      <c r="AI68" s="103" t="s">
        <v>1862</v>
      </c>
      <c r="AJ68" s="103" t="s">
        <v>1862</v>
      </c>
      <c r="AK68" s="103" t="s">
        <v>1862</v>
      </c>
      <c r="AL68" s="103" t="s">
        <v>1804</v>
      </c>
      <c r="AM68" s="103" t="s">
        <v>1862</v>
      </c>
      <c r="AN68" s="99" t="s">
        <v>4555</v>
      </c>
      <c r="AO68" s="103" t="s">
        <v>1862</v>
      </c>
      <c r="AP68" s="103">
        <v>1800</v>
      </c>
      <c r="AQ68" s="103" t="s">
        <v>4500</v>
      </c>
      <c r="AR68" s="103"/>
      <c r="AS68" s="106">
        <v>7000000</v>
      </c>
      <c r="AT68" s="103" t="s">
        <v>4556</v>
      </c>
      <c r="AU68" s="103" t="s">
        <v>1634</v>
      </c>
      <c r="AV68" s="99" t="s">
        <v>4557</v>
      </c>
      <c r="AW68" s="99" t="s">
        <v>4558</v>
      </c>
      <c r="AX68" s="99" t="s">
        <v>4559</v>
      </c>
      <c r="AY68" s="99" t="s">
        <v>4560</v>
      </c>
      <c r="AZ68" s="99" t="s">
        <v>4561</v>
      </c>
      <c r="BA68" s="103" t="s">
        <v>1634</v>
      </c>
      <c r="BB68" s="99">
        <v>10500</v>
      </c>
      <c r="BC68" s="99">
        <v>3500</v>
      </c>
      <c r="BD68" s="99">
        <v>7000000</v>
      </c>
      <c r="BE68" s="99"/>
      <c r="BF68" s="103" t="s">
        <v>4544</v>
      </c>
      <c r="BG68" s="103" t="s">
        <v>1862</v>
      </c>
      <c r="BH68" s="103" t="s">
        <v>1862</v>
      </c>
      <c r="BI68" s="103" t="s">
        <v>1804</v>
      </c>
      <c r="BJ68" s="103" t="s">
        <v>1804</v>
      </c>
      <c r="BK68" s="103" t="s">
        <v>4478</v>
      </c>
      <c r="BL68" s="103" t="s">
        <v>4472</v>
      </c>
      <c r="BM68" s="103" t="s">
        <v>4461</v>
      </c>
      <c r="BN68" s="103" t="s">
        <v>4562</v>
      </c>
      <c r="BO68" s="103">
        <v>400</v>
      </c>
      <c r="BP68" s="103" t="s">
        <v>4532</v>
      </c>
      <c r="BQ68" s="107" t="s">
        <v>4563</v>
      </c>
      <c r="BR68" s="99" t="s">
        <v>4564</v>
      </c>
      <c r="BS68" s="99" t="s">
        <v>4564</v>
      </c>
      <c r="BT68" s="103" t="s">
        <v>3186</v>
      </c>
      <c r="BU68" s="107" t="s">
        <v>4514</v>
      </c>
      <c r="BV68" s="103" t="s">
        <v>4514</v>
      </c>
      <c r="BW68" s="103" t="s">
        <v>1548</v>
      </c>
      <c r="BX68" s="103" t="s">
        <v>4535</v>
      </c>
      <c r="BY68" s="103" t="s">
        <v>4478</v>
      </c>
      <c r="BZ68" s="103" t="s">
        <v>4461</v>
      </c>
      <c r="CA68" s="103">
        <v>41</v>
      </c>
      <c r="CB68" s="103" t="s">
        <v>4475</v>
      </c>
      <c r="CC68" s="103" t="s">
        <v>4479</v>
      </c>
      <c r="CD68" s="103" t="s">
        <v>4475</v>
      </c>
      <c r="CE68" s="103" t="s">
        <v>4481</v>
      </c>
      <c r="CF68" s="103"/>
      <c r="CG68" s="103" t="s">
        <v>639</v>
      </c>
      <c r="CH68" s="103" t="s">
        <v>640</v>
      </c>
      <c r="CI68" s="103">
        <v>70881184</v>
      </c>
      <c r="CJ68" s="99"/>
      <c r="CK68" s="108">
        <v>43364.397164351853</v>
      </c>
      <c r="CL68" s="108">
        <v>43364.42695601852</v>
      </c>
      <c r="CM68" s="95">
        <v>12.7126527</v>
      </c>
      <c r="CN68" s="95">
        <v>0.67730460000000003</v>
      </c>
      <c r="CO68" s="99"/>
      <c r="CP68" s="99"/>
      <c r="CQ68" s="99"/>
      <c r="CR68" s="99"/>
      <c r="CS68" s="99"/>
      <c r="CT68" s="99"/>
      <c r="CU68" s="99"/>
      <c r="CV68" s="99"/>
      <c r="CW68" s="99"/>
      <c r="CX68" s="99"/>
      <c r="CY68" s="99"/>
      <c r="CZ68" s="99"/>
      <c r="DA68" s="99"/>
      <c r="DB68" s="99"/>
      <c r="DC68" s="99"/>
    </row>
    <row r="69" spans="1:107" ht="15.75" customHeight="1">
      <c r="A69" s="95">
        <v>69</v>
      </c>
      <c r="B69" s="99" t="s">
        <v>641</v>
      </c>
      <c r="C69" s="99" t="s">
        <v>642</v>
      </c>
      <c r="D69" s="99">
        <v>70830129</v>
      </c>
      <c r="E69" s="99" t="s">
        <v>118</v>
      </c>
      <c r="F69" s="95" t="s">
        <v>4966</v>
      </c>
      <c r="G69" s="95" t="s">
        <v>1089</v>
      </c>
      <c r="H69" s="95" t="s">
        <v>1090</v>
      </c>
      <c r="I69" s="95" t="s">
        <v>119</v>
      </c>
      <c r="J69" s="95"/>
      <c r="K69" s="99"/>
      <c r="L69" s="103" t="s">
        <v>4449</v>
      </c>
      <c r="M69" s="99" t="s">
        <v>4450</v>
      </c>
      <c r="N69" s="99" t="s">
        <v>4718</v>
      </c>
      <c r="O69" s="99" t="s">
        <v>4452</v>
      </c>
      <c r="P69" s="103">
        <v>2001</v>
      </c>
      <c r="Q69" s="103" t="s">
        <v>1862</v>
      </c>
      <c r="R69" s="99" t="s">
        <v>4633</v>
      </c>
      <c r="S69" s="103" t="s">
        <v>1541</v>
      </c>
      <c r="T69" s="103" t="s">
        <v>4634</v>
      </c>
      <c r="U69" s="99" t="s">
        <v>4967</v>
      </c>
      <c r="V69" s="95">
        <v>13.0910405</v>
      </c>
      <c r="W69" s="95">
        <v>-1.0873550999999999</v>
      </c>
      <c r="X69" s="104" t="s">
        <v>4968</v>
      </c>
      <c r="Y69" s="103" t="s">
        <v>1634</v>
      </c>
      <c r="Z69" s="103" t="s">
        <v>1634</v>
      </c>
      <c r="AA69" s="103" t="s">
        <v>1862</v>
      </c>
      <c r="AB69" s="103">
        <v>300</v>
      </c>
      <c r="AC69" s="103">
        <v>4</v>
      </c>
      <c r="AD69" s="103">
        <v>296</v>
      </c>
      <c r="AE69" s="103" t="s">
        <v>1634</v>
      </c>
      <c r="AF69" s="103" t="s">
        <v>4637</v>
      </c>
      <c r="AG69" s="99" t="s">
        <v>4554</v>
      </c>
      <c r="AH69" s="103" t="s">
        <v>1862</v>
      </c>
      <c r="AI69" s="103" t="s">
        <v>1862</v>
      </c>
      <c r="AJ69" s="103" t="s">
        <v>1862</v>
      </c>
      <c r="AK69" s="103" t="s">
        <v>1862</v>
      </c>
      <c r="AL69" s="103" t="s">
        <v>1804</v>
      </c>
      <c r="AM69" s="103" t="s">
        <v>1862</v>
      </c>
      <c r="AN69" s="99" t="s">
        <v>4638</v>
      </c>
      <c r="AO69" s="103" t="s">
        <v>1862</v>
      </c>
      <c r="AP69" s="103">
        <v>1500</v>
      </c>
      <c r="AQ69" s="112" t="s">
        <v>4461</v>
      </c>
      <c r="AR69" s="103"/>
      <c r="AS69" s="106">
        <v>50000000</v>
      </c>
      <c r="AT69" s="103" t="s">
        <v>4527</v>
      </c>
      <c r="AU69" s="103" t="s">
        <v>1634</v>
      </c>
      <c r="AV69" s="99" t="s">
        <v>4463</v>
      </c>
      <c r="AW69" s="99" t="s">
        <v>4639</v>
      </c>
      <c r="AX69" s="99" t="s">
        <v>4640</v>
      </c>
      <c r="AY69" s="99" t="s">
        <v>4641</v>
      </c>
      <c r="AZ69" s="99" t="s">
        <v>4530</v>
      </c>
      <c r="BA69" s="103" t="s">
        <v>1634</v>
      </c>
      <c r="BB69" s="99"/>
      <c r="BC69" s="99">
        <v>22000</v>
      </c>
      <c r="BD69" s="99"/>
      <c r="BE69" s="99">
        <v>41000000</v>
      </c>
      <c r="BF69" s="103" t="s">
        <v>4642</v>
      </c>
      <c r="BG69" s="103" t="s">
        <v>1862</v>
      </c>
      <c r="BH69" s="103" t="s">
        <v>1862</v>
      </c>
      <c r="BI69" s="103" t="s">
        <v>1862</v>
      </c>
      <c r="BJ69" s="103" t="s">
        <v>1862</v>
      </c>
      <c r="BK69" s="103" t="s">
        <v>4469</v>
      </c>
      <c r="BL69" s="103" t="s">
        <v>4472</v>
      </c>
      <c r="BM69" s="103" t="s">
        <v>4461</v>
      </c>
      <c r="BN69" s="103" t="s">
        <v>4643</v>
      </c>
      <c r="BO69" s="103">
        <v>375</v>
      </c>
      <c r="BP69" s="103" t="s">
        <v>4532</v>
      </c>
      <c r="BQ69" s="99" t="s">
        <v>4644</v>
      </c>
      <c r="BR69" s="99" t="s">
        <v>4644</v>
      </c>
      <c r="BS69" s="99" t="s">
        <v>4564</v>
      </c>
      <c r="BT69" s="103" t="s">
        <v>3186</v>
      </c>
      <c r="BU69" s="99"/>
      <c r="BV69" s="103" t="s">
        <v>4644</v>
      </c>
      <c r="BW69" s="103" t="s">
        <v>4644</v>
      </c>
      <c r="BX69" s="103"/>
      <c r="BY69" s="103"/>
      <c r="BZ69" s="103"/>
      <c r="CA69" s="103"/>
      <c r="CB69" s="103"/>
      <c r="CC69" s="103" t="s">
        <v>4502</v>
      </c>
      <c r="CD69" s="103" t="s">
        <v>4475</v>
      </c>
      <c r="CE69" s="112" t="s">
        <v>4475</v>
      </c>
      <c r="CF69" s="103"/>
      <c r="CG69" s="103" t="s">
        <v>4969</v>
      </c>
      <c r="CH69" s="103" t="s">
        <v>4076</v>
      </c>
      <c r="CI69" s="103">
        <v>70830129</v>
      </c>
      <c r="CJ69" s="103"/>
      <c r="CK69" s="108">
        <v>43364.693287037036</v>
      </c>
      <c r="CL69" s="109">
        <v>43364.732754629629</v>
      </c>
      <c r="CM69" s="95">
        <v>13.0910405</v>
      </c>
      <c r="CN69" s="95">
        <v>-1.0873550999999999</v>
      </c>
      <c r="CO69" s="99"/>
      <c r="CP69" s="99"/>
      <c r="CQ69" s="99"/>
      <c r="CR69" s="99"/>
      <c r="CS69" s="99"/>
      <c r="CT69" s="99"/>
      <c r="CU69" s="99"/>
      <c r="CV69" s="99"/>
      <c r="CW69" s="99"/>
      <c r="CX69" s="99"/>
      <c r="CY69" s="99"/>
      <c r="CZ69" s="99"/>
      <c r="DA69" s="99"/>
      <c r="DB69" s="99"/>
      <c r="DC69" s="99"/>
    </row>
    <row r="70" spans="1:107" ht="15.75" customHeight="1">
      <c r="A70" s="95">
        <v>70</v>
      </c>
      <c r="B70" s="99" t="s">
        <v>643</v>
      </c>
      <c r="C70" s="99" t="s">
        <v>644</v>
      </c>
      <c r="D70" s="99">
        <v>76041974</v>
      </c>
      <c r="E70" s="99" t="s">
        <v>120</v>
      </c>
      <c r="F70" s="95" t="s">
        <v>4970</v>
      </c>
      <c r="G70" s="95" t="s">
        <v>1047</v>
      </c>
      <c r="H70" s="95" t="s">
        <v>1091</v>
      </c>
      <c r="I70" s="95" t="s">
        <v>121</v>
      </c>
      <c r="J70" s="95" t="s">
        <v>1092</v>
      </c>
      <c r="K70" s="99"/>
      <c r="L70" s="103" t="s">
        <v>4549</v>
      </c>
      <c r="M70" s="99" t="s">
        <v>4450</v>
      </c>
      <c r="N70" s="99" t="s">
        <v>1565</v>
      </c>
      <c r="O70" s="99" t="s">
        <v>4550</v>
      </c>
      <c r="P70" s="103">
        <v>2012</v>
      </c>
      <c r="Q70" s="103" t="s">
        <v>1862</v>
      </c>
      <c r="R70" s="99" t="s">
        <v>4709</v>
      </c>
      <c r="S70" s="103" t="s">
        <v>1541</v>
      </c>
      <c r="T70" s="103" t="s">
        <v>4522</v>
      </c>
      <c r="U70" s="99" t="s">
        <v>4971</v>
      </c>
      <c r="V70" s="95">
        <v>12.6528861</v>
      </c>
      <c r="W70" s="95">
        <v>-1.8862692999999999</v>
      </c>
      <c r="X70" s="104" t="s">
        <v>4972</v>
      </c>
      <c r="Y70" s="103" t="s">
        <v>1634</v>
      </c>
      <c r="Z70" s="103" t="s">
        <v>1634</v>
      </c>
      <c r="AA70" s="103" t="s">
        <v>1862</v>
      </c>
      <c r="AB70" s="103">
        <v>62</v>
      </c>
      <c r="AC70" s="103">
        <v>1</v>
      </c>
      <c r="AD70" s="103">
        <v>61</v>
      </c>
      <c r="AE70" s="103" t="s">
        <v>1634</v>
      </c>
      <c r="AF70" s="103" t="s">
        <v>4493</v>
      </c>
      <c r="AG70" s="99" t="s">
        <v>4494</v>
      </c>
      <c r="AH70" s="103" t="s">
        <v>1862</v>
      </c>
      <c r="AI70" s="103" t="s">
        <v>1862</v>
      </c>
      <c r="AJ70" s="103" t="s">
        <v>1804</v>
      </c>
      <c r="AK70" s="103" t="s">
        <v>1804</v>
      </c>
      <c r="AL70" s="103" t="s">
        <v>1862</v>
      </c>
      <c r="AM70" s="103" t="s">
        <v>1862</v>
      </c>
      <c r="AN70" s="99" t="s">
        <v>4735</v>
      </c>
      <c r="AO70" s="103" t="s">
        <v>1862</v>
      </c>
      <c r="AP70" s="103">
        <v>500</v>
      </c>
      <c r="AQ70" s="103" t="s">
        <v>4461</v>
      </c>
      <c r="AR70" s="103"/>
      <c r="AS70" s="106">
        <v>500000</v>
      </c>
      <c r="AT70" s="103" t="s">
        <v>4496</v>
      </c>
      <c r="AU70" s="103" t="s">
        <v>1634</v>
      </c>
      <c r="AV70" s="99" t="s">
        <v>4557</v>
      </c>
      <c r="AW70" s="99" t="s">
        <v>4973</v>
      </c>
      <c r="AX70" s="99" t="s">
        <v>4974</v>
      </c>
      <c r="AY70" s="99" t="s">
        <v>4466</v>
      </c>
      <c r="AZ70" s="99" t="s">
        <v>4530</v>
      </c>
      <c r="BA70" s="103" t="s">
        <v>1548</v>
      </c>
      <c r="BB70" s="99"/>
      <c r="BC70" s="99">
        <v>1000</v>
      </c>
      <c r="BD70" s="99"/>
      <c r="BE70" s="99">
        <v>575000</v>
      </c>
      <c r="BF70" s="103" t="s">
        <v>4544</v>
      </c>
      <c r="BG70" s="103" t="s">
        <v>1862</v>
      </c>
      <c r="BH70" s="103" t="s">
        <v>1862</v>
      </c>
      <c r="BI70" s="103" t="s">
        <v>1804</v>
      </c>
      <c r="BJ70" s="103" t="s">
        <v>1804</v>
      </c>
      <c r="BK70" s="103" t="s">
        <v>4478</v>
      </c>
      <c r="BL70" s="103" t="s">
        <v>4472</v>
      </c>
      <c r="BM70" s="103" t="s">
        <v>4461</v>
      </c>
      <c r="BN70" s="103" t="s">
        <v>4531</v>
      </c>
      <c r="BO70" s="103">
        <v>800</v>
      </c>
      <c r="BP70" s="103" t="s">
        <v>4500</v>
      </c>
      <c r="BQ70" s="99" t="s">
        <v>4476</v>
      </c>
      <c r="BR70" s="99" t="s">
        <v>4476</v>
      </c>
      <c r="BS70" s="99"/>
      <c r="BT70" s="103" t="s">
        <v>3186</v>
      </c>
      <c r="BU70" s="99" t="s">
        <v>4502</v>
      </c>
      <c r="BV70" s="103" t="s">
        <v>4476</v>
      </c>
      <c r="BW70" s="103" t="s">
        <v>4476</v>
      </c>
      <c r="BX70" s="103" t="s">
        <v>1634</v>
      </c>
      <c r="BY70" s="103" t="s">
        <v>4810</v>
      </c>
      <c r="BZ70" s="103" t="s">
        <v>4478</v>
      </c>
      <c r="CA70" s="103" t="s">
        <v>4499</v>
      </c>
      <c r="CB70" s="103">
        <v>100</v>
      </c>
      <c r="CC70" s="103" t="s">
        <v>4479</v>
      </c>
      <c r="CD70" s="103" t="s">
        <v>4502</v>
      </c>
      <c r="CE70" s="103" t="s">
        <v>4502</v>
      </c>
      <c r="CF70" s="103"/>
      <c r="CG70" s="103" t="s">
        <v>643</v>
      </c>
      <c r="CH70" s="103" t="s">
        <v>644</v>
      </c>
      <c r="CI70" s="103">
        <v>76041974</v>
      </c>
      <c r="CJ70" s="103"/>
      <c r="CK70" s="108">
        <v>43365.533182870371</v>
      </c>
      <c r="CL70" s="109">
        <v>43365.757453703707</v>
      </c>
      <c r="CM70" s="95">
        <v>12.6528861</v>
      </c>
      <c r="CN70" s="95">
        <v>-1.8862692999999999</v>
      </c>
      <c r="CO70" s="99"/>
      <c r="CP70" s="99"/>
      <c r="CQ70" s="99"/>
      <c r="CR70" s="99"/>
      <c r="CS70" s="99"/>
      <c r="CT70" s="99"/>
      <c r="CU70" s="99"/>
      <c r="CV70" s="99"/>
      <c r="CW70" s="99"/>
      <c r="CX70" s="99"/>
      <c r="CY70" s="99"/>
      <c r="CZ70" s="99"/>
      <c r="DA70" s="99"/>
      <c r="DB70" s="99"/>
      <c r="DC70" s="99"/>
    </row>
    <row r="71" spans="1:107" ht="15.75" customHeight="1">
      <c r="A71" s="95">
        <v>71</v>
      </c>
      <c r="B71" s="99" t="s">
        <v>645</v>
      </c>
      <c r="C71" s="99" t="s">
        <v>646</v>
      </c>
      <c r="D71" s="99">
        <v>69845416</v>
      </c>
      <c r="E71" s="99" t="s">
        <v>122</v>
      </c>
      <c r="F71" s="95" t="s">
        <v>4975</v>
      </c>
      <c r="G71" s="95" t="s">
        <v>1042</v>
      </c>
      <c r="H71" s="95" t="s">
        <v>1071</v>
      </c>
      <c r="I71" s="95" t="s">
        <v>123</v>
      </c>
      <c r="J71" s="95"/>
      <c r="K71" s="99"/>
      <c r="L71" s="103" t="s">
        <v>4449</v>
      </c>
      <c r="M71" s="99" t="s">
        <v>4567</v>
      </c>
      <c r="N71" s="99" t="s">
        <v>4568</v>
      </c>
      <c r="O71" s="99" t="s">
        <v>4452</v>
      </c>
      <c r="P71" s="103">
        <v>1990</v>
      </c>
      <c r="Q71" s="103" t="s">
        <v>1862</v>
      </c>
      <c r="R71" s="99" t="s">
        <v>4633</v>
      </c>
      <c r="S71" s="103" t="s">
        <v>1541</v>
      </c>
      <c r="T71" s="103" t="s">
        <v>4634</v>
      </c>
      <c r="U71" s="99" t="s">
        <v>4976</v>
      </c>
      <c r="V71" s="95">
        <v>11.6141174</v>
      </c>
      <c r="W71" s="95">
        <v>-0.98206680000000002</v>
      </c>
      <c r="X71" s="104" t="s">
        <v>4977</v>
      </c>
      <c r="Y71" s="103" t="s">
        <v>1634</v>
      </c>
      <c r="Z71" s="103" t="s">
        <v>1634</v>
      </c>
      <c r="AA71" s="103" t="s">
        <v>1862</v>
      </c>
      <c r="AB71" s="103">
        <v>150</v>
      </c>
      <c r="AC71" s="103">
        <v>0</v>
      </c>
      <c r="AD71" s="103">
        <v>150</v>
      </c>
      <c r="AE71" s="103" t="s">
        <v>1634</v>
      </c>
      <c r="AF71" s="103" t="s">
        <v>4493</v>
      </c>
      <c r="AG71" s="99" t="s">
        <v>4745</v>
      </c>
      <c r="AH71" s="103" t="s">
        <v>1862</v>
      </c>
      <c r="AI71" s="103" t="s">
        <v>1862</v>
      </c>
      <c r="AJ71" s="103" t="s">
        <v>1862</v>
      </c>
      <c r="AK71" s="103" t="s">
        <v>1862</v>
      </c>
      <c r="AL71" s="103" t="s">
        <v>1862</v>
      </c>
      <c r="AM71" s="103" t="s">
        <v>1862</v>
      </c>
      <c r="AN71" s="99" t="s">
        <v>4978</v>
      </c>
      <c r="AO71" s="103" t="s">
        <v>1862</v>
      </c>
      <c r="AP71" s="103">
        <v>667</v>
      </c>
      <c r="AQ71" s="103" t="s">
        <v>4461</v>
      </c>
      <c r="AR71" s="103">
        <v>20000</v>
      </c>
      <c r="AS71" s="106">
        <v>32000</v>
      </c>
      <c r="AT71" s="103" t="s">
        <v>4496</v>
      </c>
      <c r="AU71" s="103" t="s">
        <v>1634</v>
      </c>
      <c r="AV71" s="99" t="s">
        <v>4463</v>
      </c>
      <c r="AW71" s="99" t="s">
        <v>4979</v>
      </c>
      <c r="AX71" s="99" t="s">
        <v>4980</v>
      </c>
      <c r="AY71" s="99" t="s">
        <v>4466</v>
      </c>
      <c r="AZ71" s="99" t="s">
        <v>4530</v>
      </c>
      <c r="BA71" s="103" t="s">
        <v>1548</v>
      </c>
      <c r="BB71" s="99">
        <v>300</v>
      </c>
      <c r="BC71" s="99">
        <v>150</v>
      </c>
      <c r="BD71" s="99">
        <v>25000</v>
      </c>
      <c r="BE71" s="99">
        <v>35000</v>
      </c>
      <c r="BF71" s="103" t="s">
        <v>4715</v>
      </c>
      <c r="BG71" s="103" t="s">
        <v>1862</v>
      </c>
      <c r="BH71" s="103" t="s">
        <v>1862</v>
      </c>
      <c r="BI71" s="103" t="s">
        <v>1862</v>
      </c>
      <c r="BJ71" s="103" t="s">
        <v>1804</v>
      </c>
      <c r="BK71" s="103" t="s">
        <v>4478</v>
      </c>
      <c r="BL71" s="103" t="s">
        <v>4470</v>
      </c>
      <c r="BM71" s="103" t="s">
        <v>4461</v>
      </c>
      <c r="BN71" s="103" t="s">
        <v>4531</v>
      </c>
      <c r="BO71" s="103">
        <v>100</v>
      </c>
      <c r="BP71" s="103" t="s">
        <v>4500</v>
      </c>
      <c r="BQ71" s="99" t="s">
        <v>4563</v>
      </c>
      <c r="BR71" s="99" t="s">
        <v>4563</v>
      </c>
      <c r="BS71" s="99"/>
      <c r="BT71" s="103" t="s">
        <v>3186</v>
      </c>
      <c r="BU71" s="99" t="s">
        <v>4475</v>
      </c>
      <c r="BV71" s="103" t="s">
        <v>4476</v>
      </c>
      <c r="BW71" s="103" t="s">
        <v>4476</v>
      </c>
      <c r="BX71" s="103" t="s">
        <v>1634</v>
      </c>
      <c r="BY71" s="103" t="s">
        <v>4501</v>
      </c>
      <c r="BZ71" s="103" t="s">
        <v>4478</v>
      </c>
      <c r="CA71" s="103" t="s">
        <v>4461</v>
      </c>
      <c r="CB71" s="103">
        <v>300</v>
      </c>
      <c r="CC71" s="103" t="s">
        <v>4502</v>
      </c>
      <c r="CD71" s="103" t="s">
        <v>4502</v>
      </c>
      <c r="CE71" s="103" t="s">
        <v>4475</v>
      </c>
      <c r="CF71" s="103"/>
      <c r="CG71" s="103" t="s">
        <v>4981</v>
      </c>
      <c r="CH71" s="103" t="s">
        <v>877</v>
      </c>
      <c r="CI71" s="103">
        <v>76524562</v>
      </c>
      <c r="CJ71" s="103"/>
      <c r="CK71" s="108">
        <v>43365.364293981482</v>
      </c>
      <c r="CL71" s="109">
        <v>43365.765011574076</v>
      </c>
      <c r="CM71" s="95">
        <v>11.6141174</v>
      </c>
      <c r="CN71" s="95">
        <v>-0.98206680000000002</v>
      </c>
      <c r="CO71" s="99"/>
      <c r="CP71" s="99"/>
      <c r="CQ71" s="99"/>
      <c r="CR71" s="99"/>
      <c r="CS71" s="99"/>
      <c r="CT71" s="99"/>
      <c r="CU71" s="99"/>
      <c r="CV71" s="99"/>
      <c r="CW71" s="99"/>
      <c r="CX71" s="99"/>
      <c r="CY71" s="99"/>
      <c r="CZ71" s="99"/>
      <c r="DA71" s="99"/>
      <c r="DB71" s="99"/>
      <c r="DC71" s="99"/>
    </row>
    <row r="72" spans="1:107" ht="15.75" customHeight="1">
      <c r="A72" s="95">
        <v>72</v>
      </c>
      <c r="B72" s="99" t="s">
        <v>647</v>
      </c>
      <c r="C72" s="99" t="s">
        <v>648</v>
      </c>
      <c r="D72" s="99">
        <v>76581539</v>
      </c>
      <c r="E72" s="99" t="s">
        <v>124</v>
      </c>
      <c r="F72" s="95" t="s">
        <v>4982</v>
      </c>
      <c r="G72" s="95" t="s">
        <v>1042</v>
      </c>
      <c r="H72" s="95" t="s">
        <v>1051</v>
      </c>
      <c r="I72" s="95" t="s">
        <v>125</v>
      </c>
      <c r="J72" s="95"/>
      <c r="K72" s="99"/>
      <c r="L72" s="103" t="s">
        <v>4449</v>
      </c>
      <c r="M72" s="99" t="s">
        <v>4450</v>
      </c>
      <c r="N72" s="99" t="s">
        <v>4451</v>
      </c>
      <c r="O72" s="99" t="s">
        <v>4579</v>
      </c>
      <c r="P72" s="103">
        <v>1998</v>
      </c>
      <c r="Q72" s="103" t="s">
        <v>1862</v>
      </c>
      <c r="R72" s="99" t="s">
        <v>4767</v>
      </c>
      <c r="S72" s="103" t="s">
        <v>2282</v>
      </c>
      <c r="T72" s="103" t="s">
        <v>4490</v>
      </c>
      <c r="U72" s="99" t="s">
        <v>4983</v>
      </c>
      <c r="V72" s="95">
        <v>12.074325</v>
      </c>
      <c r="W72" s="95">
        <v>-1.3421031999999999</v>
      </c>
      <c r="X72" s="104" t="s">
        <v>4984</v>
      </c>
      <c r="Y72" s="103" t="s">
        <v>1634</v>
      </c>
      <c r="Z72" s="103" t="s">
        <v>1634</v>
      </c>
      <c r="AA72" s="103" t="s">
        <v>1862</v>
      </c>
      <c r="AB72" s="103">
        <v>38</v>
      </c>
      <c r="AC72" s="103">
        <v>12</v>
      </c>
      <c r="AD72" s="103">
        <v>26</v>
      </c>
      <c r="AE72" s="103" t="s">
        <v>1634</v>
      </c>
      <c r="AF72" s="103" t="s">
        <v>4493</v>
      </c>
      <c r="AG72" s="99" t="s">
        <v>4781</v>
      </c>
      <c r="AH72" s="103" t="s">
        <v>1804</v>
      </c>
      <c r="AI72" s="103" t="s">
        <v>1862</v>
      </c>
      <c r="AJ72" s="103" t="s">
        <v>1862</v>
      </c>
      <c r="AK72" s="103" t="s">
        <v>1862</v>
      </c>
      <c r="AL72" s="103" t="s">
        <v>1804</v>
      </c>
      <c r="AM72" s="103" t="s">
        <v>1862</v>
      </c>
      <c r="AN72" s="99" t="s">
        <v>4985</v>
      </c>
      <c r="AO72" s="103" t="s">
        <v>1862</v>
      </c>
      <c r="AP72" s="103">
        <v>667</v>
      </c>
      <c r="AQ72" s="103" t="s">
        <v>4461</v>
      </c>
      <c r="AR72" s="103"/>
      <c r="AS72" s="106">
        <v>200000</v>
      </c>
      <c r="AT72" s="103" t="s">
        <v>4496</v>
      </c>
      <c r="AU72" s="103" t="s">
        <v>1634</v>
      </c>
      <c r="AV72" s="99" t="s">
        <v>4463</v>
      </c>
      <c r="AW72" s="99" t="s">
        <v>4986</v>
      </c>
      <c r="AX72" s="99" t="s">
        <v>4987</v>
      </c>
      <c r="AY72" s="99" t="s">
        <v>4466</v>
      </c>
      <c r="AZ72" s="99" t="s">
        <v>4530</v>
      </c>
      <c r="BA72" s="103" t="s">
        <v>1634</v>
      </c>
      <c r="BB72" s="99"/>
      <c r="BC72" s="99">
        <v>480</v>
      </c>
      <c r="BD72" s="99"/>
      <c r="BE72" s="99">
        <v>288000</v>
      </c>
      <c r="BF72" s="103" t="s">
        <v>4988</v>
      </c>
      <c r="BG72" s="103" t="s">
        <v>1804</v>
      </c>
      <c r="BH72" s="103" t="s">
        <v>1862</v>
      </c>
      <c r="BI72" s="103" t="s">
        <v>1862</v>
      </c>
      <c r="BJ72" s="103" t="s">
        <v>1862</v>
      </c>
      <c r="BK72" s="103" t="s">
        <v>4478</v>
      </c>
      <c r="BL72" s="103" t="s">
        <v>4472</v>
      </c>
      <c r="BM72" s="103" t="s">
        <v>4500</v>
      </c>
      <c r="BN72" s="103" t="s">
        <v>4531</v>
      </c>
      <c r="BO72" s="103">
        <v>1200</v>
      </c>
      <c r="BP72" s="103" t="s">
        <v>4500</v>
      </c>
      <c r="BQ72" s="107" t="s">
        <v>4476</v>
      </c>
      <c r="BR72" s="99" t="s">
        <v>4476</v>
      </c>
      <c r="BS72" s="99"/>
      <c r="BT72" s="103" t="s">
        <v>3186</v>
      </c>
      <c r="BU72" s="99"/>
      <c r="BV72" s="103" t="s">
        <v>4476</v>
      </c>
      <c r="BW72" s="103" t="s">
        <v>4476</v>
      </c>
      <c r="BX72" s="103" t="s">
        <v>1548</v>
      </c>
      <c r="BY72" s="103" t="s">
        <v>4501</v>
      </c>
      <c r="BZ72" s="103" t="s">
        <v>4478</v>
      </c>
      <c r="CA72" s="103" t="s">
        <v>4461</v>
      </c>
      <c r="CB72" s="103">
        <v>60</v>
      </c>
      <c r="CC72" s="103" t="s">
        <v>4716</v>
      </c>
      <c r="CD72" s="103" t="s">
        <v>4480</v>
      </c>
      <c r="CE72" s="103" t="s">
        <v>4481</v>
      </c>
      <c r="CF72" s="103"/>
      <c r="CG72" s="103" t="s">
        <v>4196</v>
      </c>
      <c r="CH72" s="103" t="s">
        <v>4989</v>
      </c>
      <c r="CI72" s="103">
        <v>74470080</v>
      </c>
      <c r="CJ72" s="103"/>
      <c r="CK72" s="108">
        <v>43365.468761574077</v>
      </c>
      <c r="CL72" s="109">
        <v>43365.760405092595</v>
      </c>
      <c r="CM72" s="95">
        <v>12.074325</v>
      </c>
      <c r="CN72" s="95">
        <v>-1.3421031999999999</v>
      </c>
      <c r="CO72" s="99"/>
      <c r="CP72" s="99"/>
      <c r="CQ72" s="99"/>
      <c r="CR72" s="99"/>
      <c r="CS72" s="99"/>
      <c r="CT72" s="99"/>
      <c r="CU72" s="99"/>
      <c r="CV72" s="99"/>
      <c r="CW72" s="99"/>
      <c r="CX72" s="99"/>
      <c r="CY72" s="99"/>
      <c r="CZ72" s="99"/>
      <c r="DA72" s="99"/>
      <c r="DB72" s="99"/>
      <c r="DC72" s="99"/>
    </row>
    <row r="73" spans="1:107" ht="15.75" customHeight="1">
      <c r="A73" s="95">
        <v>73</v>
      </c>
      <c r="B73" s="99" t="s">
        <v>649</v>
      </c>
      <c r="C73" s="99" t="s">
        <v>650</v>
      </c>
      <c r="D73" s="110">
        <v>79823683</v>
      </c>
      <c r="E73" s="99" t="s">
        <v>126</v>
      </c>
      <c r="F73" s="95" t="s">
        <v>4990</v>
      </c>
      <c r="G73" s="95" t="s">
        <v>1068</v>
      </c>
      <c r="H73" s="95" t="s">
        <v>1081</v>
      </c>
      <c r="I73" s="95" t="s">
        <v>127</v>
      </c>
      <c r="J73" s="95"/>
      <c r="K73" s="99"/>
      <c r="L73" s="103" t="s">
        <v>4449</v>
      </c>
      <c r="M73" s="99" t="s">
        <v>4567</v>
      </c>
      <c r="N73" s="99" t="s">
        <v>4451</v>
      </c>
      <c r="O73" s="99" t="s">
        <v>4452</v>
      </c>
      <c r="P73" s="103">
        <v>2002</v>
      </c>
      <c r="Q73" s="103" t="s">
        <v>1862</v>
      </c>
      <c r="R73" s="99" t="s">
        <v>4991</v>
      </c>
      <c r="S73" s="103" t="s">
        <v>1541</v>
      </c>
      <c r="T73" s="103" t="s">
        <v>4522</v>
      </c>
      <c r="U73" s="99" t="s">
        <v>4992</v>
      </c>
      <c r="V73" s="95">
        <v>10.2927366</v>
      </c>
      <c r="W73" s="95">
        <v>-3.5319406999999998</v>
      </c>
      <c r="X73" s="104" t="s">
        <v>4993</v>
      </c>
      <c r="Y73" s="103" t="s">
        <v>1548</v>
      </c>
      <c r="Z73" s="103" t="s">
        <v>1548</v>
      </c>
      <c r="AA73" s="103" t="s">
        <v>1862</v>
      </c>
      <c r="AB73" s="103">
        <v>36</v>
      </c>
      <c r="AC73" s="103">
        <v>0</v>
      </c>
      <c r="AD73" s="103">
        <v>36</v>
      </c>
      <c r="AE73" s="103" t="s">
        <v>1634</v>
      </c>
      <c r="AF73" s="103" t="s">
        <v>4779</v>
      </c>
      <c r="AG73" s="99" t="s">
        <v>4790</v>
      </c>
      <c r="AH73" s="103" t="s">
        <v>1804</v>
      </c>
      <c r="AI73" s="103" t="s">
        <v>1862</v>
      </c>
      <c r="AJ73" s="103" t="s">
        <v>1862</v>
      </c>
      <c r="AK73" s="103" t="s">
        <v>1862</v>
      </c>
      <c r="AL73" s="103" t="s">
        <v>1804</v>
      </c>
      <c r="AM73" s="103" t="s">
        <v>1862</v>
      </c>
      <c r="AN73" s="99" t="s">
        <v>4584</v>
      </c>
      <c r="AO73" s="103" t="s">
        <v>1862</v>
      </c>
      <c r="AP73" s="103">
        <v>1500</v>
      </c>
      <c r="AQ73" s="112" t="s">
        <v>4461</v>
      </c>
      <c r="AR73" s="103"/>
      <c r="AS73" s="106">
        <v>250000</v>
      </c>
      <c r="AT73" s="103" t="s">
        <v>4496</v>
      </c>
      <c r="AU73" s="103" t="s">
        <v>1634</v>
      </c>
      <c r="AV73" s="99" t="s">
        <v>4463</v>
      </c>
      <c r="AW73" s="99" t="s">
        <v>4866</v>
      </c>
      <c r="AX73" s="99" t="s">
        <v>4930</v>
      </c>
      <c r="AY73" s="99" t="s">
        <v>4466</v>
      </c>
      <c r="AZ73" s="99" t="s">
        <v>4467</v>
      </c>
      <c r="BA73" s="103" t="s">
        <v>1634</v>
      </c>
      <c r="BB73" s="99"/>
      <c r="BC73" s="99">
        <v>1560</v>
      </c>
      <c r="BD73" s="99"/>
      <c r="BE73" s="99">
        <v>2340000</v>
      </c>
      <c r="BF73" s="103" t="s">
        <v>4511</v>
      </c>
      <c r="BG73" s="103" t="s">
        <v>1804</v>
      </c>
      <c r="BH73" s="103" t="s">
        <v>1862</v>
      </c>
      <c r="BI73" s="103" t="s">
        <v>1804</v>
      </c>
      <c r="BJ73" s="103" t="s">
        <v>1804</v>
      </c>
      <c r="BK73" s="103" t="s">
        <v>4499</v>
      </c>
      <c r="BL73" s="103" t="s">
        <v>4470</v>
      </c>
      <c r="BM73" s="103" t="s">
        <v>4470</v>
      </c>
      <c r="BN73" s="103" t="s">
        <v>4545</v>
      </c>
      <c r="BO73" s="103">
        <v>3400</v>
      </c>
      <c r="BP73" s="103" t="s">
        <v>4500</v>
      </c>
      <c r="BQ73" s="99" t="s">
        <v>4476</v>
      </c>
      <c r="BR73" s="99" t="s">
        <v>4476</v>
      </c>
      <c r="BS73" s="99" t="s">
        <v>4809</v>
      </c>
      <c r="BT73" s="103" t="s">
        <v>3186</v>
      </c>
      <c r="BU73" s="99" t="s">
        <v>4476</v>
      </c>
      <c r="BV73" s="103" t="s">
        <v>4476</v>
      </c>
      <c r="BW73" s="103" t="s">
        <v>1548</v>
      </c>
      <c r="BX73" s="103" t="s">
        <v>4535</v>
      </c>
      <c r="BY73" s="103" t="s">
        <v>4499</v>
      </c>
      <c r="BZ73" s="103" t="s">
        <v>4509</v>
      </c>
      <c r="CA73" s="103">
        <v>3</v>
      </c>
      <c r="CB73" s="103" t="s">
        <v>4475</v>
      </c>
      <c r="CC73" s="103" t="s">
        <v>4479</v>
      </c>
      <c r="CD73" s="103" t="s">
        <v>4475</v>
      </c>
      <c r="CE73" s="112" t="s">
        <v>4481</v>
      </c>
      <c r="CF73" s="103"/>
      <c r="CG73" s="103" t="s">
        <v>4994</v>
      </c>
      <c r="CH73" s="103" t="s">
        <v>650</v>
      </c>
      <c r="CI73" s="111">
        <v>79823683</v>
      </c>
      <c r="CJ73" s="99"/>
      <c r="CK73" s="108">
        <v>43365.525034722225</v>
      </c>
      <c r="CL73" s="108">
        <v>43366.372523148151</v>
      </c>
      <c r="CM73" s="95">
        <v>10.2927366</v>
      </c>
      <c r="CN73" s="95">
        <v>-3.5319406999999998</v>
      </c>
      <c r="CO73" s="99"/>
      <c r="CP73" s="99"/>
      <c r="CQ73" s="99"/>
      <c r="CR73" s="99"/>
      <c r="CS73" s="99"/>
      <c r="CT73" s="99"/>
      <c r="CU73" s="99"/>
      <c r="CV73" s="99"/>
      <c r="CW73" s="99"/>
      <c r="CX73" s="99"/>
      <c r="CY73" s="99"/>
      <c r="CZ73" s="99"/>
      <c r="DA73" s="99"/>
      <c r="DB73" s="99"/>
      <c r="DC73" s="99"/>
    </row>
    <row r="74" spans="1:107" ht="15.75" customHeight="1">
      <c r="A74" s="95">
        <v>74</v>
      </c>
      <c r="B74" s="99" t="s">
        <v>651</v>
      </c>
      <c r="C74" s="99" t="s">
        <v>652</v>
      </c>
      <c r="D74" s="99">
        <v>71317042</v>
      </c>
      <c r="E74" s="99" t="s">
        <v>128</v>
      </c>
      <c r="F74" s="95" t="s">
        <v>4995</v>
      </c>
      <c r="G74" s="95" t="s">
        <v>1068</v>
      </c>
      <c r="H74" s="95" t="s">
        <v>1069</v>
      </c>
      <c r="I74" s="95" t="s">
        <v>129</v>
      </c>
      <c r="J74" s="95"/>
      <c r="K74" s="99"/>
      <c r="L74" s="103" t="s">
        <v>4449</v>
      </c>
      <c r="M74" s="99" t="s">
        <v>4567</v>
      </c>
      <c r="N74" s="99" t="s">
        <v>4451</v>
      </c>
      <c r="O74" s="99" t="s">
        <v>4754</v>
      </c>
      <c r="P74" s="103">
        <v>2001</v>
      </c>
      <c r="Q74" s="103" t="s">
        <v>1862</v>
      </c>
      <c r="R74" s="99"/>
      <c r="S74" s="103" t="s">
        <v>1541</v>
      </c>
      <c r="T74" s="103" t="s">
        <v>4538</v>
      </c>
      <c r="U74" s="99" t="s">
        <v>4996</v>
      </c>
      <c r="V74" s="95">
        <v>10.872264599999999</v>
      </c>
      <c r="W74" s="95">
        <v>-3.3388917</v>
      </c>
      <c r="X74" s="104" t="s">
        <v>4997</v>
      </c>
      <c r="Y74" s="103"/>
      <c r="Z74" s="103"/>
      <c r="AA74" s="103"/>
      <c r="AB74" s="103"/>
      <c r="AC74" s="103"/>
      <c r="AD74" s="103"/>
      <c r="AE74" s="103"/>
      <c r="AF74" s="103"/>
      <c r="AG74" s="99"/>
      <c r="AH74" s="103"/>
      <c r="AI74" s="103"/>
      <c r="AJ74" s="103"/>
      <c r="AK74" s="103"/>
      <c r="AL74" s="103"/>
      <c r="AM74" s="103"/>
      <c r="AN74" s="99"/>
      <c r="AO74" s="103"/>
      <c r="AP74" s="103"/>
      <c r="AQ74" s="103"/>
      <c r="AR74" s="103"/>
      <c r="AS74" s="99"/>
      <c r="AT74" s="103"/>
      <c r="AU74" s="103"/>
      <c r="AV74" s="99"/>
      <c r="AW74" s="99"/>
      <c r="AX74" s="99"/>
      <c r="AY74" s="99"/>
      <c r="AZ74" s="99"/>
      <c r="BA74" s="103"/>
      <c r="BB74" s="99"/>
      <c r="BC74" s="99"/>
      <c r="BD74" s="99"/>
      <c r="BE74" s="99"/>
      <c r="BF74" s="103"/>
      <c r="BG74" s="103"/>
      <c r="BH74" s="103"/>
      <c r="BI74" s="103"/>
      <c r="BJ74" s="103"/>
      <c r="BK74" s="103" t="s">
        <v>4499</v>
      </c>
      <c r="BL74" s="103"/>
      <c r="BM74" s="103"/>
      <c r="BN74" s="103"/>
      <c r="BO74" s="103"/>
      <c r="BP74" s="103"/>
      <c r="BQ74" s="107"/>
      <c r="BR74" s="99"/>
      <c r="BS74" s="99"/>
      <c r="BT74" s="103" t="s">
        <v>3186</v>
      </c>
      <c r="BU74" s="99"/>
      <c r="BV74" s="103"/>
      <c r="BW74" s="103"/>
      <c r="BX74" s="103"/>
      <c r="BY74" s="103"/>
      <c r="BZ74" s="103"/>
      <c r="CA74" s="103"/>
      <c r="CB74" s="103"/>
      <c r="CC74" s="103"/>
      <c r="CD74" s="103"/>
      <c r="CE74" s="103"/>
      <c r="CF74" s="103"/>
      <c r="CG74" s="103"/>
      <c r="CH74" s="103"/>
      <c r="CI74" s="103">
        <v>71317042</v>
      </c>
      <c r="CJ74" s="103" t="s">
        <v>4998</v>
      </c>
      <c r="CK74" s="108">
        <v>43365.698414351849</v>
      </c>
      <c r="CL74" s="109">
        <v>43365.700682870367</v>
      </c>
      <c r="CM74" s="95">
        <v>10.872264599999999</v>
      </c>
      <c r="CN74" s="95">
        <v>-3.3388917</v>
      </c>
      <c r="CO74" s="99"/>
      <c r="CP74" s="99"/>
      <c r="CQ74" s="99"/>
      <c r="CR74" s="99"/>
      <c r="CS74" s="99"/>
      <c r="CT74" s="99"/>
      <c r="CU74" s="99"/>
      <c r="CV74" s="99"/>
      <c r="CW74" s="99"/>
      <c r="CX74" s="99"/>
      <c r="CY74" s="99"/>
      <c r="CZ74" s="99"/>
      <c r="DA74" s="99"/>
      <c r="DB74" s="99"/>
      <c r="DC74" s="99"/>
    </row>
    <row r="75" spans="1:107" ht="15.75" customHeight="1">
      <c r="A75" s="95">
        <v>75</v>
      </c>
      <c r="B75" s="118" t="s">
        <v>653</v>
      </c>
      <c r="C75" s="99" t="s">
        <v>609</v>
      </c>
      <c r="D75" s="99">
        <v>77919270</v>
      </c>
      <c r="E75" s="99" t="s">
        <v>130</v>
      </c>
      <c r="F75" s="95" t="s">
        <v>4999</v>
      </c>
      <c r="G75" s="95" t="s">
        <v>1049</v>
      </c>
      <c r="H75" s="95" t="s">
        <v>1065</v>
      </c>
      <c r="I75" s="95" t="s">
        <v>131</v>
      </c>
      <c r="J75" s="95"/>
      <c r="K75" s="99"/>
      <c r="L75" s="103" t="s">
        <v>4449</v>
      </c>
      <c r="M75" s="99" t="s">
        <v>4787</v>
      </c>
      <c r="N75" s="99" t="s">
        <v>4718</v>
      </c>
      <c r="O75" s="99" t="s">
        <v>4684</v>
      </c>
      <c r="P75" s="103">
        <v>1999</v>
      </c>
      <c r="Q75" s="103" t="s">
        <v>1862</v>
      </c>
      <c r="R75" s="99" t="s">
        <v>4633</v>
      </c>
      <c r="S75" s="103" t="s">
        <v>1541</v>
      </c>
      <c r="T75" s="103" t="s">
        <v>4634</v>
      </c>
      <c r="U75" s="99" t="s">
        <v>5000</v>
      </c>
      <c r="V75" s="95">
        <v>11.9597069</v>
      </c>
      <c r="W75" s="95">
        <v>-2.5467545999999999</v>
      </c>
      <c r="X75" s="104" t="s">
        <v>5001</v>
      </c>
      <c r="Y75" s="103" t="s">
        <v>1634</v>
      </c>
      <c r="Z75" s="103" t="s">
        <v>1634</v>
      </c>
      <c r="AA75" s="103" t="s">
        <v>1862</v>
      </c>
      <c r="AB75" s="103">
        <v>350</v>
      </c>
      <c r="AC75" s="103">
        <v>3</v>
      </c>
      <c r="AD75" s="103">
        <v>347</v>
      </c>
      <c r="AE75" s="103" t="s">
        <v>1634</v>
      </c>
      <c r="AF75" s="103" t="s">
        <v>4493</v>
      </c>
      <c r="AG75" s="99" t="s">
        <v>4554</v>
      </c>
      <c r="AH75" s="103" t="s">
        <v>1862</v>
      </c>
      <c r="AI75" s="103" t="s">
        <v>1862</v>
      </c>
      <c r="AJ75" s="103" t="s">
        <v>1862</v>
      </c>
      <c r="AK75" s="103" t="s">
        <v>1862</v>
      </c>
      <c r="AL75" s="103" t="s">
        <v>1804</v>
      </c>
      <c r="AM75" s="103" t="s">
        <v>1862</v>
      </c>
      <c r="AN75" s="99" t="s">
        <v>4638</v>
      </c>
      <c r="AO75" s="103" t="s">
        <v>1862</v>
      </c>
      <c r="AP75" s="103">
        <v>1750</v>
      </c>
      <c r="AQ75" s="112" t="s">
        <v>4461</v>
      </c>
      <c r="AR75" s="103"/>
      <c r="AS75" s="106">
        <v>55000000</v>
      </c>
      <c r="AT75" s="103" t="s">
        <v>4527</v>
      </c>
      <c r="AU75" s="103" t="s">
        <v>1634</v>
      </c>
      <c r="AV75" s="99" t="s">
        <v>4463</v>
      </c>
      <c r="AW75" s="99" t="s">
        <v>4639</v>
      </c>
      <c r="AX75" s="99" t="s">
        <v>4640</v>
      </c>
      <c r="AY75" s="99" t="s">
        <v>4641</v>
      </c>
      <c r="AZ75" s="99" t="s">
        <v>4530</v>
      </c>
      <c r="BA75" s="103" t="s">
        <v>1634</v>
      </c>
      <c r="BB75" s="99"/>
      <c r="BC75" s="99">
        <v>30000</v>
      </c>
      <c r="BD75" s="99"/>
      <c r="BE75" s="99">
        <v>45000000</v>
      </c>
      <c r="BF75" s="103" t="s">
        <v>4642</v>
      </c>
      <c r="BG75" s="103" t="s">
        <v>1862</v>
      </c>
      <c r="BH75" s="103" t="s">
        <v>1862</v>
      </c>
      <c r="BI75" s="103" t="s">
        <v>1862</v>
      </c>
      <c r="BJ75" s="103" t="s">
        <v>1862</v>
      </c>
      <c r="BK75" s="103" t="s">
        <v>4469</v>
      </c>
      <c r="BL75" s="103" t="s">
        <v>4472</v>
      </c>
      <c r="BM75" s="103" t="s">
        <v>4461</v>
      </c>
      <c r="BN75" s="103" t="s">
        <v>4643</v>
      </c>
      <c r="BO75" s="103">
        <v>500</v>
      </c>
      <c r="BP75" s="103" t="s">
        <v>4532</v>
      </c>
      <c r="BQ75" s="99" t="s">
        <v>4644</v>
      </c>
      <c r="BR75" s="99" t="s">
        <v>4644</v>
      </c>
      <c r="BS75" s="99" t="s">
        <v>4564</v>
      </c>
      <c r="BT75" s="103" t="s">
        <v>3186</v>
      </c>
      <c r="BU75" s="99"/>
      <c r="BV75" s="103" t="s">
        <v>4644</v>
      </c>
      <c r="BW75" s="103" t="s">
        <v>4644</v>
      </c>
      <c r="BX75" s="103"/>
      <c r="BY75" s="103"/>
      <c r="BZ75" s="103"/>
      <c r="CA75" s="103"/>
      <c r="CB75" s="103"/>
      <c r="CC75" s="103" t="s">
        <v>4502</v>
      </c>
      <c r="CD75" s="103" t="s">
        <v>4475</v>
      </c>
      <c r="CE75" s="112" t="s">
        <v>4475</v>
      </c>
      <c r="CF75" s="103"/>
      <c r="CG75" s="103" t="s">
        <v>653</v>
      </c>
      <c r="CH75" s="103" t="s">
        <v>609</v>
      </c>
      <c r="CI75" s="103">
        <v>77919270</v>
      </c>
      <c r="CJ75" s="103"/>
      <c r="CK75" s="108">
        <v>43364.693287037036</v>
      </c>
      <c r="CL75" s="109">
        <v>43364.732754629629</v>
      </c>
      <c r="CM75" s="95">
        <v>11.9597069</v>
      </c>
      <c r="CN75" s="95">
        <v>-2.5467545999999999</v>
      </c>
      <c r="CO75" s="99"/>
      <c r="CP75" s="99"/>
      <c r="CQ75" s="99"/>
      <c r="CR75" s="99"/>
      <c r="CS75" s="99"/>
      <c r="CT75" s="99"/>
      <c r="CU75" s="99"/>
      <c r="CV75" s="99"/>
      <c r="CW75" s="99"/>
      <c r="CX75" s="99"/>
      <c r="CY75" s="99"/>
      <c r="CZ75" s="99"/>
      <c r="DA75" s="99"/>
      <c r="DB75" s="99"/>
      <c r="DC75" s="99"/>
    </row>
    <row r="76" spans="1:107" ht="15.75" customHeight="1">
      <c r="A76" s="95">
        <v>76</v>
      </c>
      <c r="B76" s="99" t="s">
        <v>654</v>
      </c>
      <c r="C76" s="99" t="s">
        <v>655</v>
      </c>
      <c r="D76" s="99">
        <v>70226665</v>
      </c>
      <c r="E76" s="99" t="s">
        <v>5002</v>
      </c>
      <c r="F76" s="95" t="s">
        <v>5003</v>
      </c>
      <c r="G76" s="95" t="s">
        <v>1068</v>
      </c>
      <c r="H76" s="95" t="s">
        <v>1069</v>
      </c>
      <c r="I76" s="95" t="s">
        <v>133</v>
      </c>
      <c r="J76" s="95"/>
      <c r="K76" s="99"/>
      <c r="L76" s="103" t="s">
        <v>4449</v>
      </c>
      <c r="M76" s="99" t="s">
        <v>4450</v>
      </c>
      <c r="N76" s="99" t="s">
        <v>4520</v>
      </c>
      <c r="O76" s="99" t="s">
        <v>4754</v>
      </c>
      <c r="P76" s="103">
        <v>1994</v>
      </c>
      <c r="Q76" s="103" t="s">
        <v>1862</v>
      </c>
      <c r="R76" s="99" t="s">
        <v>4709</v>
      </c>
      <c r="S76" s="103" t="s">
        <v>2282</v>
      </c>
      <c r="T76" s="103" t="s">
        <v>4505</v>
      </c>
      <c r="U76" s="99" t="s">
        <v>5004</v>
      </c>
      <c r="V76" s="95">
        <v>10.9578957</v>
      </c>
      <c r="W76" s="95">
        <v>-3.2432780999999999</v>
      </c>
      <c r="X76" s="104" t="s">
        <v>5005</v>
      </c>
      <c r="Y76" s="103" t="s">
        <v>1634</v>
      </c>
      <c r="Z76" s="103" t="s">
        <v>1634</v>
      </c>
      <c r="AA76" s="103" t="s">
        <v>1862</v>
      </c>
      <c r="AB76" s="103">
        <v>440</v>
      </c>
      <c r="AC76" s="103">
        <v>50</v>
      </c>
      <c r="AD76" s="103">
        <v>390</v>
      </c>
      <c r="AE76" s="103" t="s">
        <v>1634</v>
      </c>
      <c r="AF76" s="103" t="s">
        <v>4779</v>
      </c>
      <c r="AG76" s="99" t="s">
        <v>4745</v>
      </c>
      <c r="AH76" s="103" t="s">
        <v>1862</v>
      </c>
      <c r="AI76" s="103" t="s">
        <v>1862</v>
      </c>
      <c r="AJ76" s="103" t="s">
        <v>1862</v>
      </c>
      <c r="AK76" s="103" t="s">
        <v>1862</v>
      </c>
      <c r="AL76" s="103" t="s">
        <v>1862</v>
      </c>
      <c r="AM76" s="103" t="s">
        <v>1862</v>
      </c>
      <c r="AN76" s="99" t="s">
        <v>5006</v>
      </c>
      <c r="AO76" s="103" t="s">
        <v>1862</v>
      </c>
      <c r="AP76" s="103">
        <v>1000</v>
      </c>
      <c r="AQ76" s="103" t="s">
        <v>4500</v>
      </c>
      <c r="AR76" s="103">
        <v>14000000</v>
      </c>
      <c r="AS76" s="106">
        <v>1000000</v>
      </c>
      <c r="AT76" s="103" t="s">
        <v>4499</v>
      </c>
      <c r="AU76" s="103" t="s">
        <v>1634</v>
      </c>
      <c r="AV76" s="99" t="s">
        <v>4463</v>
      </c>
      <c r="AW76" s="99" t="s">
        <v>4823</v>
      </c>
      <c r="AX76" s="99" t="s">
        <v>5007</v>
      </c>
      <c r="AY76" s="99" t="s">
        <v>4466</v>
      </c>
      <c r="AZ76" s="99" t="s">
        <v>4530</v>
      </c>
      <c r="BA76" s="103" t="s">
        <v>1634</v>
      </c>
      <c r="BB76" s="99">
        <v>700000</v>
      </c>
      <c r="BC76" s="99">
        <v>2000</v>
      </c>
      <c r="BD76" s="99">
        <v>12000000</v>
      </c>
      <c r="BE76" s="99">
        <v>500000</v>
      </c>
      <c r="BF76" s="103" t="s">
        <v>4415</v>
      </c>
      <c r="BG76" s="103" t="s">
        <v>1862</v>
      </c>
      <c r="BH76" s="103" t="s">
        <v>1804</v>
      </c>
      <c r="BI76" s="103" t="s">
        <v>1804</v>
      </c>
      <c r="BJ76" s="103" t="s">
        <v>1804</v>
      </c>
      <c r="BK76" s="103" t="s">
        <v>4478</v>
      </c>
      <c r="BL76" s="103" t="s">
        <v>4461</v>
      </c>
      <c r="BM76" s="103" t="s">
        <v>4461</v>
      </c>
      <c r="BN76" s="103" t="s">
        <v>4512</v>
      </c>
      <c r="BO76" s="103">
        <v>500</v>
      </c>
      <c r="BP76" s="103" t="s">
        <v>4500</v>
      </c>
      <c r="BQ76" s="107" t="s">
        <v>4476</v>
      </c>
      <c r="BR76" s="99"/>
      <c r="BS76" s="99"/>
      <c r="BT76" s="103" t="s">
        <v>3186</v>
      </c>
      <c r="BU76" s="99" t="s">
        <v>4502</v>
      </c>
      <c r="BV76" s="103" t="s">
        <v>4476</v>
      </c>
      <c r="BW76" s="103" t="s">
        <v>4476</v>
      </c>
      <c r="BX76" s="103" t="s">
        <v>1548</v>
      </c>
      <c r="BY76" s="103" t="s">
        <v>4610</v>
      </c>
      <c r="BZ76" s="103" t="s">
        <v>4478</v>
      </c>
      <c r="CA76" s="103" t="s">
        <v>4509</v>
      </c>
      <c r="CB76" s="103">
        <v>500</v>
      </c>
      <c r="CC76" s="103"/>
      <c r="CD76" s="103"/>
      <c r="CE76" s="103"/>
      <c r="CF76" s="103"/>
      <c r="CG76" s="103" t="s">
        <v>5008</v>
      </c>
      <c r="CH76" s="103" t="s">
        <v>5009</v>
      </c>
      <c r="CI76" s="103">
        <v>70226665</v>
      </c>
      <c r="CJ76" s="103" t="s">
        <v>4998</v>
      </c>
      <c r="CK76" s="108">
        <v>43365.636643518519</v>
      </c>
      <c r="CL76" s="109">
        <v>43365.666122685187</v>
      </c>
      <c r="CM76" s="95">
        <v>10.9578957</v>
      </c>
      <c r="CN76" s="95">
        <v>-3.2432780999999999</v>
      </c>
      <c r="CO76" s="99"/>
      <c r="CP76" s="99"/>
      <c r="CQ76" s="99"/>
      <c r="CR76" s="99"/>
      <c r="CS76" s="99"/>
      <c r="CT76" s="99"/>
      <c r="CU76" s="99"/>
      <c r="CV76" s="99"/>
      <c r="CW76" s="99"/>
      <c r="CX76" s="99"/>
      <c r="CY76" s="99"/>
      <c r="CZ76" s="99"/>
      <c r="DA76" s="99"/>
      <c r="DB76" s="99"/>
      <c r="DC76" s="99"/>
    </row>
    <row r="77" spans="1:107" ht="15.75" customHeight="1">
      <c r="A77" s="95">
        <v>77</v>
      </c>
      <c r="B77" s="99" t="s">
        <v>656</v>
      </c>
      <c r="C77" s="99" t="s">
        <v>657</v>
      </c>
      <c r="D77" s="99">
        <v>72882300</v>
      </c>
      <c r="E77" s="99" t="s">
        <v>134</v>
      </c>
      <c r="F77" s="95" t="s">
        <v>5010</v>
      </c>
      <c r="G77" s="95" t="s">
        <v>1068</v>
      </c>
      <c r="H77" s="95" t="s">
        <v>1093</v>
      </c>
      <c r="I77" s="95" t="s">
        <v>135</v>
      </c>
      <c r="J77" s="95"/>
      <c r="K77" s="99"/>
      <c r="L77" s="103" t="s">
        <v>4449</v>
      </c>
      <c r="M77" s="99" t="s">
        <v>4450</v>
      </c>
      <c r="N77" s="99" t="s">
        <v>4451</v>
      </c>
      <c r="O77" s="99" t="s">
        <v>5011</v>
      </c>
      <c r="P77" s="103">
        <v>1992</v>
      </c>
      <c r="Q77" s="103" t="s">
        <v>1862</v>
      </c>
      <c r="R77" s="99"/>
      <c r="S77" s="103" t="s">
        <v>1541</v>
      </c>
      <c r="T77" s="103" t="s">
        <v>4538</v>
      </c>
      <c r="U77" s="99" t="s">
        <v>5012</v>
      </c>
      <c r="V77" s="95">
        <v>11.056203399999999</v>
      </c>
      <c r="W77" s="95">
        <v>-3.0175711999999999</v>
      </c>
      <c r="X77" s="104" t="s">
        <v>5013</v>
      </c>
      <c r="Y77" s="103"/>
      <c r="Z77" s="103"/>
      <c r="AA77" s="103"/>
      <c r="AB77" s="103"/>
      <c r="AC77" s="103"/>
      <c r="AD77" s="103"/>
      <c r="AE77" s="103"/>
      <c r="AF77" s="103"/>
      <c r="AG77" s="99"/>
      <c r="AH77" s="103"/>
      <c r="AI77" s="103"/>
      <c r="AJ77" s="103"/>
      <c r="AK77" s="103"/>
      <c r="AL77" s="103"/>
      <c r="AM77" s="103"/>
      <c r="AN77" s="99"/>
      <c r="AO77" s="103"/>
      <c r="AP77" s="103"/>
      <c r="AQ77" s="103"/>
      <c r="AR77" s="103"/>
      <c r="AS77" s="99"/>
      <c r="AT77" s="103"/>
      <c r="AU77" s="103"/>
      <c r="AV77" s="99"/>
      <c r="AW77" s="99"/>
      <c r="AX77" s="99"/>
      <c r="AY77" s="99"/>
      <c r="AZ77" s="99"/>
      <c r="BA77" s="103"/>
      <c r="BB77" s="99"/>
      <c r="BC77" s="99"/>
      <c r="BD77" s="99"/>
      <c r="BE77" s="99"/>
      <c r="BF77" s="103"/>
      <c r="BG77" s="103"/>
      <c r="BH77" s="103"/>
      <c r="BI77" s="103"/>
      <c r="BJ77" s="103"/>
      <c r="BK77" s="103" t="s">
        <v>4499</v>
      </c>
      <c r="BL77" s="103"/>
      <c r="BM77" s="103"/>
      <c r="BN77" s="103"/>
      <c r="BO77" s="103"/>
      <c r="BP77" s="103"/>
      <c r="BQ77" s="107"/>
      <c r="BR77" s="99"/>
      <c r="BS77" s="99"/>
      <c r="BT77" s="103" t="s">
        <v>3186</v>
      </c>
      <c r="BU77" s="99"/>
      <c r="BV77" s="103"/>
      <c r="BW77" s="103"/>
      <c r="BX77" s="103"/>
      <c r="BY77" s="103"/>
      <c r="BZ77" s="103"/>
      <c r="CA77" s="103"/>
      <c r="CB77" s="103"/>
      <c r="CC77" s="103"/>
      <c r="CD77" s="103"/>
      <c r="CE77" s="103"/>
      <c r="CF77" s="103"/>
      <c r="CG77" s="103"/>
      <c r="CH77" s="103"/>
      <c r="CI77" s="103">
        <v>72882300</v>
      </c>
      <c r="CJ77" s="103" t="s">
        <v>5014</v>
      </c>
      <c r="CK77" s="108">
        <v>43365.468391203707</v>
      </c>
      <c r="CL77" s="109">
        <v>43365.473425925928</v>
      </c>
      <c r="CM77" s="95">
        <v>11.056203399999999</v>
      </c>
      <c r="CN77" s="95">
        <v>-3.0175711999999999</v>
      </c>
      <c r="CO77" s="99"/>
      <c r="CP77" s="99"/>
      <c r="CQ77" s="99"/>
      <c r="CR77" s="99"/>
      <c r="CS77" s="99"/>
      <c r="CT77" s="99"/>
      <c r="CU77" s="99"/>
      <c r="CV77" s="99"/>
      <c r="CW77" s="99"/>
      <c r="CX77" s="99"/>
      <c r="CY77" s="99"/>
      <c r="CZ77" s="99"/>
      <c r="DA77" s="99"/>
      <c r="DB77" s="99"/>
      <c r="DC77" s="99"/>
    </row>
    <row r="78" spans="1:107" ht="15.75" customHeight="1">
      <c r="A78" s="95">
        <v>78</v>
      </c>
      <c r="B78" s="99" t="s">
        <v>565</v>
      </c>
      <c r="C78" s="99" t="s">
        <v>658</v>
      </c>
      <c r="D78" s="99">
        <v>78599333</v>
      </c>
      <c r="E78" s="99" t="s">
        <v>136</v>
      </c>
      <c r="F78" s="95" t="s">
        <v>5003</v>
      </c>
      <c r="G78" s="95" t="s">
        <v>1068</v>
      </c>
      <c r="H78" s="95" t="s">
        <v>1069</v>
      </c>
      <c r="I78" s="95" t="s">
        <v>133</v>
      </c>
      <c r="J78" s="95"/>
      <c r="K78" s="99"/>
      <c r="L78" s="103" t="s">
        <v>4449</v>
      </c>
      <c r="M78" s="99" t="s">
        <v>4450</v>
      </c>
      <c r="N78" s="99" t="s">
        <v>4520</v>
      </c>
      <c r="O78" s="99" t="s">
        <v>5011</v>
      </c>
      <c r="P78" s="103">
        <v>1999</v>
      </c>
      <c r="Q78" s="103" t="s">
        <v>1862</v>
      </c>
      <c r="R78" s="99" t="s">
        <v>4767</v>
      </c>
      <c r="S78" s="103" t="s">
        <v>2282</v>
      </c>
      <c r="T78" s="103" t="s">
        <v>4490</v>
      </c>
      <c r="U78" s="99" t="s">
        <v>5004</v>
      </c>
      <c r="V78" s="95">
        <v>10.9578957</v>
      </c>
      <c r="W78" s="95">
        <v>-3.2432780999999999</v>
      </c>
      <c r="X78" s="104" t="s">
        <v>5005</v>
      </c>
      <c r="Y78" s="103" t="s">
        <v>1634</v>
      </c>
      <c r="Z78" s="103" t="s">
        <v>1634</v>
      </c>
      <c r="AA78" s="103" t="s">
        <v>1862</v>
      </c>
      <c r="AB78" s="103">
        <v>30</v>
      </c>
      <c r="AC78" s="103">
        <v>0</v>
      </c>
      <c r="AD78" s="103">
        <v>30</v>
      </c>
      <c r="AE78" s="103" t="s">
        <v>1634</v>
      </c>
      <c r="AF78" s="103" t="s">
        <v>4651</v>
      </c>
      <c r="AG78" s="99" t="s">
        <v>5015</v>
      </c>
      <c r="AH78" s="103" t="s">
        <v>1804</v>
      </c>
      <c r="AI78" s="103" t="s">
        <v>1804</v>
      </c>
      <c r="AJ78" s="103" t="s">
        <v>1862</v>
      </c>
      <c r="AK78" s="103" t="s">
        <v>1862</v>
      </c>
      <c r="AL78" s="103" t="s">
        <v>1804</v>
      </c>
      <c r="AM78" s="103" t="s">
        <v>1862</v>
      </c>
      <c r="AN78" s="99" t="s">
        <v>5016</v>
      </c>
      <c r="AO78" s="103" t="s">
        <v>1862</v>
      </c>
      <c r="AP78" s="103">
        <v>1000</v>
      </c>
      <c r="AQ78" s="103" t="s">
        <v>4461</v>
      </c>
      <c r="AR78" s="103">
        <v>700000</v>
      </c>
      <c r="AS78" s="106">
        <v>70000</v>
      </c>
      <c r="AT78" s="103" t="s">
        <v>4625</v>
      </c>
      <c r="AU78" s="103" t="s">
        <v>1634</v>
      </c>
      <c r="AV78" s="99" t="s">
        <v>4671</v>
      </c>
      <c r="AW78" s="99" t="s">
        <v>5017</v>
      </c>
      <c r="AX78" s="99" t="s">
        <v>4543</v>
      </c>
      <c r="AY78" s="99" t="s">
        <v>4466</v>
      </c>
      <c r="AZ78" s="99" t="s">
        <v>4530</v>
      </c>
      <c r="BA78" s="103" t="s">
        <v>1548</v>
      </c>
      <c r="BB78" s="99">
        <v>400</v>
      </c>
      <c r="BC78" s="99">
        <v>40</v>
      </c>
      <c r="BD78" s="99">
        <v>500000</v>
      </c>
      <c r="BE78" s="99">
        <v>60000</v>
      </c>
      <c r="BF78" s="103" t="s">
        <v>4415</v>
      </c>
      <c r="BG78" s="103" t="s">
        <v>1862</v>
      </c>
      <c r="BH78" s="103" t="s">
        <v>1804</v>
      </c>
      <c r="BI78" s="103" t="s">
        <v>1804</v>
      </c>
      <c r="BJ78" s="103" t="s">
        <v>1804</v>
      </c>
      <c r="BK78" s="103" t="s">
        <v>4478</v>
      </c>
      <c r="BL78" s="103" t="s">
        <v>4470</v>
      </c>
      <c r="BM78" s="103" t="s">
        <v>4461</v>
      </c>
      <c r="BN78" s="103" t="s">
        <v>4512</v>
      </c>
      <c r="BO78" s="103">
        <v>60</v>
      </c>
      <c r="BP78" s="103" t="s">
        <v>4500</v>
      </c>
      <c r="BQ78" s="107" t="s">
        <v>4476</v>
      </c>
      <c r="BR78" s="99"/>
      <c r="BS78" s="99"/>
      <c r="BT78" s="103" t="s">
        <v>3186</v>
      </c>
      <c r="BU78" s="99" t="s">
        <v>4502</v>
      </c>
      <c r="BV78" s="103"/>
      <c r="BW78" s="103"/>
      <c r="BX78" s="103" t="s">
        <v>1634</v>
      </c>
      <c r="BY78" s="103" t="s">
        <v>4535</v>
      </c>
      <c r="BZ78" s="103" t="s">
        <v>4478</v>
      </c>
      <c r="CA78" s="103" t="s">
        <v>4500</v>
      </c>
      <c r="CB78" s="103">
        <v>0</v>
      </c>
      <c r="CC78" s="103"/>
      <c r="CD78" s="103"/>
      <c r="CE78" s="103"/>
      <c r="CF78" s="103"/>
      <c r="CG78" s="103" t="s">
        <v>914</v>
      </c>
      <c r="CH78" s="103" t="s">
        <v>5018</v>
      </c>
      <c r="CI78" s="103">
        <v>78599333</v>
      </c>
      <c r="CJ78" s="103"/>
      <c r="CK78" s="108">
        <v>43364.753240740742</v>
      </c>
      <c r="CL78" s="109">
        <v>43365.451006944444</v>
      </c>
      <c r="CM78" s="95">
        <v>10.9578957</v>
      </c>
      <c r="CN78" s="95">
        <v>-3.2432780999999999</v>
      </c>
      <c r="CO78" s="99"/>
      <c r="CP78" s="99"/>
      <c r="CQ78" s="99"/>
      <c r="CR78" s="99"/>
      <c r="CS78" s="99"/>
      <c r="CT78" s="99"/>
      <c r="CU78" s="99"/>
      <c r="CV78" s="99"/>
      <c r="CW78" s="99"/>
      <c r="CX78" s="99"/>
      <c r="CY78" s="99"/>
      <c r="CZ78" s="99"/>
      <c r="DA78" s="99"/>
      <c r="DB78" s="99"/>
      <c r="DC78" s="99"/>
    </row>
    <row r="79" spans="1:107" ht="15.75" customHeight="1">
      <c r="A79" s="95">
        <v>79</v>
      </c>
      <c r="B79" s="99" t="s">
        <v>659</v>
      </c>
      <c r="C79" s="99" t="s">
        <v>660</v>
      </c>
      <c r="D79" s="110">
        <v>76563683</v>
      </c>
      <c r="E79" s="99" t="s">
        <v>137</v>
      </c>
      <c r="F79" s="95" t="s">
        <v>5019</v>
      </c>
      <c r="G79" s="95" t="s">
        <v>1068</v>
      </c>
      <c r="H79" s="95" t="s">
        <v>1094</v>
      </c>
      <c r="I79" s="95" t="s">
        <v>138</v>
      </c>
      <c r="J79" s="95"/>
      <c r="K79" s="99"/>
      <c r="L79" s="103" t="s">
        <v>4449</v>
      </c>
      <c r="M79" s="99" t="s">
        <v>4787</v>
      </c>
      <c r="N79" s="99" t="s">
        <v>4817</v>
      </c>
      <c r="O79" s="99" t="s">
        <v>4684</v>
      </c>
      <c r="P79" s="103">
        <v>1997</v>
      </c>
      <c r="Q79" s="103" t="s">
        <v>1862</v>
      </c>
      <c r="R79" s="99" t="s">
        <v>4633</v>
      </c>
      <c r="S79" s="103" t="s">
        <v>2282</v>
      </c>
      <c r="T79" s="103" t="s">
        <v>4634</v>
      </c>
      <c r="U79" s="99" t="s">
        <v>5020</v>
      </c>
      <c r="V79" s="95">
        <v>9.8738597000000006</v>
      </c>
      <c r="W79" s="95">
        <v>-2.9213407999999998</v>
      </c>
      <c r="X79" s="104" t="s">
        <v>5021</v>
      </c>
      <c r="Y79" s="103" t="s">
        <v>1634</v>
      </c>
      <c r="Z79" s="103" t="s">
        <v>1634</v>
      </c>
      <c r="AA79" s="103" t="s">
        <v>1862</v>
      </c>
      <c r="AB79" s="103">
        <v>310</v>
      </c>
      <c r="AC79" s="103">
        <v>1</v>
      </c>
      <c r="AD79" s="103">
        <v>309</v>
      </c>
      <c r="AE79" s="103" t="s">
        <v>1634</v>
      </c>
      <c r="AF79" s="103" t="s">
        <v>4637</v>
      </c>
      <c r="AG79" s="99" t="s">
        <v>4554</v>
      </c>
      <c r="AH79" s="103" t="s">
        <v>1862</v>
      </c>
      <c r="AI79" s="103" t="s">
        <v>1862</v>
      </c>
      <c r="AJ79" s="103" t="s">
        <v>1862</v>
      </c>
      <c r="AK79" s="103" t="s">
        <v>1862</v>
      </c>
      <c r="AL79" s="103" t="s">
        <v>1804</v>
      </c>
      <c r="AM79" s="103" t="s">
        <v>1862</v>
      </c>
      <c r="AN79" s="99" t="s">
        <v>4638</v>
      </c>
      <c r="AO79" s="103" t="s">
        <v>1862</v>
      </c>
      <c r="AP79" s="103">
        <v>1250</v>
      </c>
      <c r="AQ79" s="112" t="s">
        <v>4461</v>
      </c>
      <c r="AR79" s="103"/>
      <c r="AS79" s="106">
        <v>39000000</v>
      </c>
      <c r="AT79" s="103" t="s">
        <v>4527</v>
      </c>
      <c r="AU79" s="103" t="s">
        <v>1634</v>
      </c>
      <c r="AV79" s="99" t="s">
        <v>4463</v>
      </c>
      <c r="AW79" s="99" t="s">
        <v>4639</v>
      </c>
      <c r="AX79" s="99" t="s">
        <v>4640</v>
      </c>
      <c r="AY79" s="99" t="s">
        <v>4641</v>
      </c>
      <c r="AZ79" s="99" t="s">
        <v>4530</v>
      </c>
      <c r="BA79" s="103" t="s">
        <v>1634</v>
      </c>
      <c r="BB79" s="99"/>
      <c r="BC79" s="99">
        <v>25000</v>
      </c>
      <c r="BD79" s="99"/>
      <c r="BE79" s="99">
        <v>50000000</v>
      </c>
      <c r="BF79" s="103" t="s">
        <v>4642</v>
      </c>
      <c r="BG79" s="103" t="s">
        <v>1862</v>
      </c>
      <c r="BH79" s="103" t="s">
        <v>1862</v>
      </c>
      <c r="BI79" s="103" t="s">
        <v>1862</v>
      </c>
      <c r="BJ79" s="103" t="s">
        <v>1862</v>
      </c>
      <c r="BK79" s="103" t="s">
        <v>4469</v>
      </c>
      <c r="BL79" s="103" t="s">
        <v>4472</v>
      </c>
      <c r="BM79" s="103" t="s">
        <v>4461</v>
      </c>
      <c r="BN79" s="103" t="s">
        <v>4643</v>
      </c>
      <c r="BO79" s="103">
        <v>400</v>
      </c>
      <c r="BP79" s="103" t="s">
        <v>4532</v>
      </c>
      <c r="BQ79" s="99" t="s">
        <v>4644</v>
      </c>
      <c r="BR79" s="99" t="s">
        <v>4644</v>
      </c>
      <c r="BS79" s="99" t="s">
        <v>4564</v>
      </c>
      <c r="BT79" s="103" t="s">
        <v>3186</v>
      </c>
      <c r="BU79" s="99"/>
      <c r="BV79" s="103" t="s">
        <v>4644</v>
      </c>
      <c r="BW79" s="103" t="s">
        <v>4644</v>
      </c>
      <c r="BX79" s="103"/>
      <c r="BY79" s="103"/>
      <c r="BZ79" s="103"/>
      <c r="CA79" s="103"/>
      <c r="CB79" s="103"/>
      <c r="CC79" s="103" t="s">
        <v>4502</v>
      </c>
      <c r="CD79" s="103" t="s">
        <v>4475</v>
      </c>
      <c r="CE79" s="112" t="s">
        <v>4475</v>
      </c>
      <c r="CF79" s="103"/>
      <c r="CG79" s="103" t="s">
        <v>5022</v>
      </c>
      <c r="CH79" s="103" t="s">
        <v>5023</v>
      </c>
      <c r="CI79" s="111">
        <v>76563683</v>
      </c>
      <c r="CJ79" s="103"/>
      <c r="CK79" s="108">
        <v>43364.693287037036</v>
      </c>
      <c r="CL79" s="109">
        <v>43364.732754629629</v>
      </c>
      <c r="CM79" s="95">
        <v>9.8738597000000006</v>
      </c>
      <c r="CN79" s="95">
        <v>-2.9213407999999998</v>
      </c>
      <c r="CO79" s="99"/>
      <c r="CP79" s="99"/>
      <c r="CQ79" s="99"/>
      <c r="CR79" s="99"/>
      <c r="CS79" s="99"/>
      <c r="CT79" s="99"/>
      <c r="CU79" s="99"/>
      <c r="CV79" s="99"/>
      <c r="CW79" s="99"/>
      <c r="CX79" s="99"/>
      <c r="CY79" s="99"/>
      <c r="CZ79" s="99"/>
      <c r="DA79" s="99"/>
      <c r="DB79" s="99"/>
      <c r="DC79" s="99"/>
    </row>
    <row r="80" spans="1:107" ht="15.75" customHeight="1">
      <c r="A80" s="95">
        <v>80</v>
      </c>
      <c r="B80" s="99" t="s">
        <v>661</v>
      </c>
      <c r="C80" s="99" t="s">
        <v>662</v>
      </c>
      <c r="D80" s="99">
        <v>76389323</v>
      </c>
      <c r="E80" s="99" t="s">
        <v>139</v>
      </c>
      <c r="F80" s="95" t="s">
        <v>5024</v>
      </c>
      <c r="G80" s="95" t="s">
        <v>1068</v>
      </c>
      <c r="H80" s="95" t="s">
        <v>1069</v>
      </c>
      <c r="I80" s="95" t="s">
        <v>140</v>
      </c>
      <c r="J80" s="95" t="s">
        <v>140</v>
      </c>
      <c r="K80" s="99"/>
      <c r="L80" s="103" t="s">
        <v>4449</v>
      </c>
      <c r="M80" s="99" t="s">
        <v>4450</v>
      </c>
      <c r="N80" s="99" t="s">
        <v>4451</v>
      </c>
      <c r="O80" s="99" t="s">
        <v>4488</v>
      </c>
      <c r="P80" s="103">
        <v>2013</v>
      </c>
      <c r="Q80" s="103" t="s">
        <v>1862</v>
      </c>
      <c r="R80" s="99" t="s">
        <v>4755</v>
      </c>
      <c r="S80" s="103" t="s">
        <v>4803</v>
      </c>
      <c r="T80" s="103" t="s">
        <v>4634</v>
      </c>
      <c r="U80" s="99" t="s">
        <v>5025</v>
      </c>
      <c r="V80" s="95">
        <v>10.872264599999999</v>
      </c>
      <c r="W80" s="95">
        <v>-3.3388917</v>
      </c>
      <c r="X80" s="104" t="s">
        <v>4997</v>
      </c>
      <c r="Y80" s="103" t="s">
        <v>1548</v>
      </c>
      <c r="Z80" s="103" t="s">
        <v>1634</v>
      </c>
      <c r="AA80" s="103" t="s">
        <v>1862</v>
      </c>
      <c r="AB80" s="103">
        <v>100</v>
      </c>
      <c r="AC80" s="103">
        <v>4</v>
      </c>
      <c r="AD80" s="103">
        <v>96</v>
      </c>
      <c r="AE80" s="103" t="s">
        <v>1634</v>
      </c>
      <c r="AF80" s="103" t="s">
        <v>5026</v>
      </c>
      <c r="AG80" s="99" t="s">
        <v>4879</v>
      </c>
      <c r="AH80" s="103" t="s">
        <v>1862</v>
      </c>
      <c r="AI80" s="103" t="s">
        <v>1862</v>
      </c>
      <c r="AJ80" s="103" t="s">
        <v>1804</v>
      </c>
      <c r="AK80" s="103" t="s">
        <v>1804</v>
      </c>
      <c r="AL80" s="103" t="s">
        <v>1804</v>
      </c>
      <c r="AM80" s="103" t="s">
        <v>1862</v>
      </c>
      <c r="AN80" s="99" t="s">
        <v>4735</v>
      </c>
      <c r="AO80" s="103" t="s">
        <v>1862</v>
      </c>
      <c r="AP80" s="103">
        <v>1000</v>
      </c>
      <c r="AQ80" s="103" t="s">
        <v>4461</v>
      </c>
      <c r="AR80" s="103">
        <v>600000</v>
      </c>
      <c r="AS80" s="106">
        <v>450000</v>
      </c>
      <c r="AT80" s="103" t="s">
        <v>4625</v>
      </c>
      <c r="AU80" s="103" t="s">
        <v>1634</v>
      </c>
      <c r="AV80" s="99" t="s">
        <v>4463</v>
      </c>
      <c r="AW80" s="99" t="s">
        <v>5027</v>
      </c>
      <c r="AX80" s="99" t="s">
        <v>5028</v>
      </c>
      <c r="AY80" s="99" t="s">
        <v>4466</v>
      </c>
      <c r="AZ80" s="99" t="s">
        <v>4467</v>
      </c>
      <c r="BA80" s="103" t="s">
        <v>1548</v>
      </c>
      <c r="BB80" s="99">
        <v>20000</v>
      </c>
      <c r="BC80" s="99">
        <v>150</v>
      </c>
      <c r="BD80" s="99">
        <v>500000</v>
      </c>
      <c r="BE80" s="99">
        <v>200000</v>
      </c>
      <c r="BF80" s="103" t="s">
        <v>4544</v>
      </c>
      <c r="BG80" s="103" t="s">
        <v>1862</v>
      </c>
      <c r="BH80" s="103" t="s">
        <v>1862</v>
      </c>
      <c r="BI80" s="103" t="s">
        <v>1804</v>
      </c>
      <c r="BJ80" s="103" t="s">
        <v>1804</v>
      </c>
      <c r="BK80" s="103" t="s">
        <v>4478</v>
      </c>
      <c r="BL80" s="103" t="s">
        <v>4472</v>
      </c>
      <c r="BM80" s="103" t="s">
        <v>4461</v>
      </c>
      <c r="BN80" s="103" t="s">
        <v>4690</v>
      </c>
      <c r="BO80" s="103">
        <v>200</v>
      </c>
      <c r="BP80" s="103" t="s">
        <v>4472</v>
      </c>
      <c r="BQ80" s="99" t="s">
        <v>5029</v>
      </c>
      <c r="BR80" s="99" t="s">
        <v>4476</v>
      </c>
      <c r="BS80" s="99" t="s">
        <v>5029</v>
      </c>
      <c r="BT80" s="103" t="s">
        <v>3186</v>
      </c>
      <c r="BU80" s="99" t="s">
        <v>4502</v>
      </c>
      <c r="BV80" s="103" t="s">
        <v>4476</v>
      </c>
      <c r="BW80" s="103" t="s">
        <v>4476</v>
      </c>
      <c r="BX80" s="103" t="s">
        <v>1548</v>
      </c>
      <c r="BY80" s="103" t="s">
        <v>4501</v>
      </c>
      <c r="BZ80" s="103" t="s">
        <v>4478</v>
      </c>
      <c r="CA80" s="103" t="s">
        <v>4509</v>
      </c>
      <c r="CB80" s="103">
        <v>1000</v>
      </c>
      <c r="CC80" s="103" t="s">
        <v>4502</v>
      </c>
      <c r="CD80" s="103" t="s">
        <v>4475</v>
      </c>
      <c r="CE80" s="103" t="s">
        <v>4475</v>
      </c>
      <c r="CF80" s="103"/>
      <c r="CG80" s="103" t="s">
        <v>5030</v>
      </c>
      <c r="CH80" s="103" t="s">
        <v>5031</v>
      </c>
      <c r="CI80" s="103">
        <v>76389323</v>
      </c>
      <c r="CJ80" s="103"/>
      <c r="CK80" s="108">
        <v>43364.467465277776</v>
      </c>
      <c r="CL80" s="109">
        <v>43365.45652777778</v>
      </c>
      <c r="CM80" s="95">
        <v>10.872264599999999</v>
      </c>
      <c r="CN80" s="95">
        <v>-3.3388917</v>
      </c>
      <c r="CO80" s="99"/>
      <c r="CP80" s="99"/>
      <c r="CQ80" s="99"/>
      <c r="CR80" s="99"/>
      <c r="CS80" s="99"/>
      <c r="CT80" s="99"/>
      <c r="CU80" s="99"/>
      <c r="CV80" s="99"/>
      <c r="CW80" s="99"/>
      <c r="CX80" s="99"/>
      <c r="CY80" s="99"/>
      <c r="CZ80" s="99"/>
      <c r="DA80" s="99"/>
      <c r="DB80" s="99"/>
      <c r="DC80" s="99"/>
    </row>
    <row r="81" spans="1:107" ht="15.75" customHeight="1">
      <c r="A81" s="95">
        <v>81</v>
      </c>
      <c r="B81" s="99" t="s">
        <v>663</v>
      </c>
      <c r="C81" s="99" t="s">
        <v>603</v>
      </c>
      <c r="D81" s="110">
        <v>76140063</v>
      </c>
      <c r="E81" s="99" t="s">
        <v>141</v>
      </c>
      <c r="F81" s="95" t="s">
        <v>5032</v>
      </c>
      <c r="G81" s="95" t="s">
        <v>1047</v>
      </c>
      <c r="H81" s="95" t="s">
        <v>1048</v>
      </c>
      <c r="I81" s="95" t="s">
        <v>513</v>
      </c>
      <c r="J81" s="95"/>
      <c r="K81" s="99"/>
      <c r="L81" s="103" t="s">
        <v>4449</v>
      </c>
      <c r="M81" s="99" t="s">
        <v>4450</v>
      </c>
      <c r="N81" s="99" t="s">
        <v>4451</v>
      </c>
      <c r="O81" s="99" t="s">
        <v>4818</v>
      </c>
      <c r="P81" s="103">
        <v>2014</v>
      </c>
      <c r="Q81" s="103" t="s">
        <v>1862</v>
      </c>
      <c r="R81" s="99" t="s">
        <v>4709</v>
      </c>
      <c r="S81" s="103" t="s">
        <v>1541</v>
      </c>
      <c r="T81" s="103" t="s">
        <v>4522</v>
      </c>
      <c r="U81" s="99" t="s">
        <v>5033</v>
      </c>
      <c r="V81" s="95">
        <v>12.7096087</v>
      </c>
      <c r="W81" s="95">
        <v>-1.4434689999999999</v>
      </c>
      <c r="X81" s="104" t="s">
        <v>5034</v>
      </c>
      <c r="Y81" s="103" t="s">
        <v>1634</v>
      </c>
      <c r="Z81" s="103" t="s">
        <v>1634</v>
      </c>
      <c r="AA81" s="103" t="s">
        <v>1862</v>
      </c>
      <c r="AB81" s="103">
        <v>75</v>
      </c>
      <c r="AC81" s="103">
        <v>0</v>
      </c>
      <c r="AD81" s="103">
        <v>75</v>
      </c>
      <c r="AE81" s="103" t="s">
        <v>1634</v>
      </c>
      <c r="AF81" s="103" t="s">
        <v>4493</v>
      </c>
      <c r="AG81" s="99" t="s">
        <v>4745</v>
      </c>
      <c r="AH81" s="103" t="s">
        <v>1862</v>
      </c>
      <c r="AI81" s="103" t="s">
        <v>1862</v>
      </c>
      <c r="AJ81" s="103" t="s">
        <v>1862</v>
      </c>
      <c r="AK81" s="103" t="s">
        <v>1862</v>
      </c>
      <c r="AL81" s="103" t="s">
        <v>1862</v>
      </c>
      <c r="AM81" s="103" t="s">
        <v>1862</v>
      </c>
      <c r="AN81" s="99" t="s">
        <v>4746</v>
      </c>
      <c r="AO81" s="103" t="s">
        <v>1862</v>
      </c>
      <c r="AP81" s="103">
        <v>650</v>
      </c>
      <c r="AQ81" s="103" t="s">
        <v>4461</v>
      </c>
      <c r="AR81" s="105">
        <v>800000</v>
      </c>
      <c r="AS81" s="106">
        <v>1200000</v>
      </c>
      <c r="AT81" s="103" t="s">
        <v>4594</v>
      </c>
      <c r="AU81" s="103" t="s">
        <v>1634</v>
      </c>
      <c r="AV81" s="99" t="s">
        <v>4671</v>
      </c>
      <c r="AW81" s="99" t="s">
        <v>4747</v>
      </c>
      <c r="AX81" s="99" t="s">
        <v>4748</v>
      </c>
      <c r="AY81" s="99" t="s">
        <v>4466</v>
      </c>
      <c r="AZ81" s="99" t="s">
        <v>4561</v>
      </c>
      <c r="BA81" s="103" t="s">
        <v>1634</v>
      </c>
      <c r="BB81" s="99">
        <v>12000</v>
      </c>
      <c r="BC81" s="99">
        <v>9000</v>
      </c>
      <c r="BD81" s="99">
        <v>800000</v>
      </c>
      <c r="BE81" s="99">
        <v>1300000</v>
      </c>
      <c r="BF81" s="103" t="s">
        <v>4749</v>
      </c>
      <c r="BG81" s="103" t="s">
        <v>1804</v>
      </c>
      <c r="BH81" s="103" t="s">
        <v>1862</v>
      </c>
      <c r="BI81" s="103" t="s">
        <v>1862</v>
      </c>
      <c r="BJ81" s="103" t="s">
        <v>1804</v>
      </c>
      <c r="BK81" s="103" t="s">
        <v>4478</v>
      </c>
      <c r="BL81" s="103" t="s">
        <v>4472</v>
      </c>
      <c r="BM81" s="103" t="s">
        <v>4461</v>
      </c>
      <c r="BN81" s="103" t="s">
        <v>4512</v>
      </c>
      <c r="BO81" s="103">
        <v>500</v>
      </c>
      <c r="BP81" s="103" t="s">
        <v>4500</v>
      </c>
      <c r="BQ81" s="107" t="s">
        <v>4476</v>
      </c>
      <c r="BR81" s="99" t="s">
        <v>4476</v>
      </c>
      <c r="BS81" s="99" t="s">
        <v>4750</v>
      </c>
      <c r="BT81" s="103" t="s">
        <v>3186</v>
      </c>
      <c r="BU81" s="107" t="s">
        <v>4476</v>
      </c>
      <c r="BV81" s="103" t="s">
        <v>4476</v>
      </c>
      <c r="BW81" s="103" t="s">
        <v>1548</v>
      </c>
      <c r="BX81" s="103" t="s">
        <v>4535</v>
      </c>
      <c r="BY81" s="103" t="s">
        <v>4499</v>
      </c>
      <c r="BZ81" s="103" t="s">
        <v>4461</v>
      </c>
      <c r="CA81" s="103">
        <v>120</v>
      </c>
      <c r="CB81" s="103" t="s">
        <v>4475</v>
      </c>
      <c r="CC81" s="103" t="s">
        <v>4716</v>
      </c>
      <c r="CD81" s="103" t="s">
        <v>4480</v>
      </c>
      <c r="CE81" s="103" t="s">
        <v>4481</v>
      </c>
      <c r="CF81" s="103"/>
      <c r="CG81" s="103" t="s">
        <v>5035</v>
      </c>
      <c r="CH81" s="103" t="s">
        <v>3966</v>
      </c>
      <c r="CI81" s="111">
        <v>76140063</v>
      </c>
      <c r="CJ81" s="99"/>
      <c r="CK81" s="108">
        <v>43364.631377314814</v>
      </c>
      <c r="CL81" s="108">
        <v>43364.759120370371</v>
      </c>
      <c r="CM81" s="95">
        <v>12.7096087</v>
      </c>
      <c r="CN81" s="95">
        <v>-1.4434689999999999</v>
      </c>
      <c r="CO81" s="99"/>
      <c r="CP81" s="99"/>
      <c r="CQ81" s="99"/>
      <c r="CR81" s="99"/>
      <c r="CS81" s="99"/>
      <c r="CT81" s="99"/>
      <c r="CU81" s="99"/>
      <c r="CV81" s="99"/>
      <c r="CW81" s="99"/>
      <c r="CX81" s="99"/>
      <c r="CY81" s="99"/>
      <c r="CZ81" s="99"/>
      <c r="DA81" s="99"/>
      <c r="DB81" s="99"/>
      <c r="DC81" s="99"/>
    </row>
    <row r="82" spans="1:107" ht="15.75" customHeight="1">
      <c r="A82" s="95">
        <v>82</v>
      </c>
      <c r="B82" s="99" t="s">
        <v>664</v>
      </c>
      <c r="C82" s="99" t="s">
        <v>665</v>
      </c>
      <c r="D82" s="99">
        <v>76052552</v>
      </c>
      <c r="E82" s="99" t="s">
        <v>143</v>
      </c>
      <c r="F82" s="95" t="s">
        <v>4776</v>
      </c>
      <c r="G82" s="95" t="s">
        <v>1068</v>
      </c>
      <c r="H82" s="95" t="s">
        <v>1069</v>
      </c>
      <c r="I82" s="95" t="s">
        <v>62</v>
      </c>
      <c r="J82" s="95"/>
      <c r="K82" s="99"/>
      <c r="L82" s="103" t="s">
        <v>4449</v>
      </c>
      <c r="M82" s="99" t="s">
        <v>4487</v>
      </c>
      <c r="N82" s="99" t="s">
        <v>4698</v>
      </c>
      <c r="O82" s="99" t="s">
        <v>5036</v>
      </c>
      <c r="P82" s="103">
        <v>2011</v>
      </c>
      <c r="Q82" s="103" t="s">
        <v>1862</v>
      </c>
      <c r="R82" s="99" t="s">
        <v>4755</v>
      </c>
      <c r="S82" s="103" t="s">
        <v>1541</v>
      </c>
      <c r="T82" s="103" t="s">
        <v>4522</v>
      </c>
      <c r="U82" s="99" t="s">
        <v>4777</v>
      </c>
      <c r="V82" s="95">
        <v>10.7632686</v>
      </c>
      <c r="W82" s="95">
        <v>-3.2558482</v>
      </c>
      <c r="X82" s="104" t="s">
        <v>4778</v>
      </c>
      <c r="Y82" s="103" t="s">
        <v>1548</v>
      </c>
      <c r="Z82" s="103" t="s">
        <v>1634</v>
      </c>
      <c r="AA82" s="103" t="s">
        <v>1862</v>
      </c>
      <c r="AB82" s="103">
        <v>20</v>
      </c>
      <c r="AC82" s="103">
        <v>3</v>
      </c>
      <c r="AD82" s="103">
        <v>17</v>
      </c>
      <c r="AE82" s="103" t="s">
        <v>1634</v>
      </c>
      <c r="AF82" s="103" t="s">
        <v>5037</v>
      </c>
      <c r="AG82" s="99" t="s">
        <v>4494</v>
      </c>
      <c r="AH82" s="103" t="s">
        <v>1862</v>
      </c>
      <c r="AI82" s="103" t="s">
        <v>1862</v>
      </c>
      <c r="AJ82" s="103" t="s">
        <v>1804</v>
      </c>
      <c r="AK82" s="103" t="s">
        <v>1804</v>
      </c>
      <c r="AL82" s="103" t="s">
        <v>1862</v>
      </c>
      <c r="AM82" s="103" t="s">
        <v>1862</v>
      </c>
      <c r="AN82" s="99" t="s">
        <v>4735</v>
      </c>
      <c r="AO82" s="103" t="s">
        <v>1862</v>
      </c>
      <c r="AP82" s="103">
        <v>1000</v>
      </c>
      <c r="AQ82" s="103" t="s">
        <v>4500</v>
      </c>
      <c r="AR82" s="103">
        <v>30000</v>
      </c>
      <c r="AS82" s="106">
        <v>15000</v>
      </c>
      <c r="AT82" s="103" t="s">
        <v>4496</v>
      </c>
      <c r="AU82" s="103" t="s">
        <v>1634</v>
      </c>
      <c r="AV82" s="99" t="s">
        <v>4671</v>
      </c>
      <c r="AW82" s="99" t="s">
        <v>4680</v>
      </c>
      <c r="AX82" s="99" t="s">
        <v>4498</v>
      </c>
      <c r="AY82" s="99" t="s">
        <v>4466</v>
      </c>
      <c r="AZ82" s="99" t="s">
        <v>4467</v>
      </c>
      <c r="BA82" s="103" t="s">
        <v>1634</v>
      </c>
      <c r="BB82" s="99">
        <v>400</v>
      </c>
      <c r="BC82" s="99">
        <v>20</v>
      </c>
      <c r="BD82" s="99">
        <v>25000</v>
      </c>
      <c r="BE82" s="99">
        <v>10000</v>
      </c>
      <c r="BF82" s="103" t="s">
        <v>4415</v>
      </c>
      <c r="BG82" s="103" t="s">
        <v>1862</v>
      </c>
      <c r="BH82" s="103" t="s">
        <v>1804</v>
      </c>
      <c r="BI82" s="103" t="s">
        <v>1804</v>
      </c>
      <c r="BJ82" s="103" t="s">
        <v>1804</v>
      </c>
      <c r="BK82" s="103" t="s">
        <v>4478</v>
      </c>
      <c r="BL82" s="103" t="s">
        <v>4470</v>
      </c>
      <c r="BM82" s="103" t="s">
        <v>4461</v>
      </c>
      <c r="BN82" s="103" t="s">
        <v>5038</v>
      </c>
      <c r="BO82" s="103">
        <v>150</v>
      </c>
      <c r="BP82" s="103" t="s">
        <v>4532</v>
      </c>
      <c r="BQ82" s="99" t="s">
        <v>4476</v>
      </c>
      <c r="BR82" s="99" t="s">
        <v>4476</v>
      </c>
      <c r="BS82" s="99" t="s">
        <v>4476</v>
      </c>
      <c r="BT82" s="103" t="s">
        <v>3186</v>
      </c>
      <c r="BU82" s="99" t="s">
        <v>4608</v>
      </c>
      <c r="BV82" s="103" t="s">
        <v>4476</v>
      </c>
      <c r="BW82" s="103" t="s">
        <v>4476</v>
      </c>
      <c r="BX82" s="103" t="s">
        <v>1548</v>
      </c>
      <c r="BY82" s="103" t="s">
        <v>4810</v>
      </c>
      <c r="BZ82" s="103" t="s">
        <v>4478</v>
      </c>
      <c r="CA82" s="103" t="s">
        <v>5039</v>
      </c>
      <c r="CB82" s="103">
        <v>200</v>
      </c>
      <c r="CC82" s="103" t="s">
        <v>4502</v>
      </c>
      <c r="CD82" s="103" t="s">
        <v>4502</v>
      </c>
      <c r="CE82" s="103" t="s">
        <v>4502</v>
      </c>
      <c r="CF82" s="103"/>
      <c r="CG82" s="103"/>
      <c r="CH82" s="103"/>
      <c r="CI82" s="103">
        <v>76052552</v>
      </c>
      <c r="CJ82" s="103"/>
      <c r="CK82" s="108">
        <v>43364.50476851852</v>
      </c>
      <c r="CL82" s="109">
        <v>43365.431134259263</v>
      </c>
      <c r="CM82" s="95">
        <v>10.7632686</v>
      </c>
      <c r="CN82" s="95">
        <v>-3.2558482</v>
      </c>
      <c r="CO82" s="99"/>
      <c r="CP82" s="99"/>
      <c r="CQ82" s="99"/>
      <c r="CR82" s="99"/>
      <c r="CS82" s="99"/>
      <c r="CT82" s="99"/>
      <c r="CU82" s="99"/>
      <c r="CV82" s="99"/>
      <c r="CW82" s="99"/>
      <c r="CX82" s="99"/>
      <c r="CY82" s="99"/>
      <c r="CZ82" s="99"/>
      <c r="DA82" s="99"/>
      <c r="DB82" s="99"/>
      <c r="DC82" s="99"/>
    </row>
    <row r="83" spans="1:107" ht="15.75" customHeight="1">
      <c r="A83" s="95">
        <v>83</v>
      </c>
      <c r="B83" s="99" t="s">
        <v>666</v>
      </c>
      <c r="C83" s="99" t="s">
        <v>667</v>
      </c>
      <c r="D83" s="99">
        <v>72070245</v>
      </c>
      <c r="E83" s="99" t="s">
        <v>144</v>
      </c>
      <c r="F83" s="95" t="s">
        <v>5040</v>
      </c>
      <c r="G83" s="95" t="s">
        <v>1057</v>
      </c>
      <c r="H83" s="95" t="s">
        <v>1095</v>
      </c>
      <c r="I83" s="95" t="s">
        <v>145</v>
      </c>
      <c r="J83" s="95"/>
      <c r="K83" s="99"/>
      <c r="L83" s="103" t="s">
        <v>4449</v>
      </c>
      <c r="M83" s="99" t="s">
        <v>4632</v>
      </c>
      <c r="N83" s="99" t="s">
        <v>4451</v>
      </c>
      <c r="O83" s="99" t="s">
        <v>4452</v>
      </c>
      <c r="P83" s="103">
        <v>1999</v>
      </c>
      <c r="Q83" s="103" t="s">
        <v>1862</v>
      </c>
      <c r="R83" s="99" t="s">
        <v>4633</v>
      </c>
      <c r="S83" s="103" t="s">
        <v>1541</v>
      </c>
      <c r="T83" s="103" t="s">
        <v>4634</v>
      </c>
      <c r="U83" s="99" t="s">
        <v>5041</v>
      </c>
      <c r="V83" s="95">
        <v>12.5857007</v>
      </c>
      <c r="W83" s="95">
        <v>-3.3000444999999998</v>
      </c>
      <c r="X83" s="104" t="s">
        <v>5042</v>
      </c>
      <c r="Y83" s="103" t="s">
        <v>1634</v>
      </c>
      <c r="Z83" s="103" t="s">
        <v>1634</v>
      </c>
      <c r="AA83" s="103" t="s">
        <v>1862</v>
      </c>
      <c r="AB83" s="103">
        <v>300</v>
      </c>
      <c r="AC83" s="103">
        <v>4</v>
      </c>
      <c r="AD83" s="103">
        <v>296</v>
      </c>
      <c r="AE83" s="103" t="s">
        <v>1634</v>
      </c>
      <c r="AF83" s="103" t="s">
        <v>4637</v>
      </c>
      <c r="AG83" s="99" t="s">
        <v>4554</v>
      </c>
      <c r="AH83" s="103" t="s">
        <v>1862</v>
      </c>
      <c r="AI83" s="103" t="s">
        <v>1862</v>
      </c>
      <c r="AJ83" s="103" t="s">
        <v>1862</v>
      </c>
      <c r="AK83" s="103" t="s">
        <v>1862</v>
      </c>
      <c r="AL83" s="103" t="s">
        <v>1804</v>
      </c>
      <c r="AM83" s="103" t="s">
        <v>1862</v>
      </c>
      <c r="AN83" s="99" t="s">
        <v>4638</v>
      </c>
      <c r="AO83" s="103" t="s">
        <v>1862</v>
      </c>
      <c r="AP83" s="103">
        <v>1500</v>
      </c>
      <c r="AQ83" s="112" t="s">
        <v>4461</v>
      </c>
      <c r="AR83" s="103"/>
      <c r="AS83" s="106">
        <v>40000000</v>
      </c>
      <c r="AT83" s="103" t="s">
        <v>4527</v>
      </c>
      <c r="AU83" s="103" t="s">
        <v>1634</v>
      </c>
      <c r="AV83" s="99" t="s">
        <v>4463</v>
      </c>
      <c r="AW83" s="99" t="s">
        <v>4639</v>
      </c>
      <c r="AX83" s="99" t="s">
        <v>4640</v>
      </c>
      <c r="AY83" s="99" t="s">
        <v>4641</v>
      </c>
      <c r="AZ83" s="99" t="s">
        <v>4530</v>
      </c>
      <c r="BA83" s="103" t="s">
        <v>1634</v>
      </c>
      <c r="BB83" s="99"/>
      <c r="BC83" s="99">
        <v>1800</v>
      </c>
      <c r="BD83" s="99"/>
      <c r="BE83" s="99">
        <v>41000000</v>
      </c>
      <c r="BF83" s="103" t="s">
        <v>4642</v>
      </c>
      <c r="BG83" s="103" t="s">
        <v>1862</v>
      </c>
      <c r="BH83" s="103" t="s">
        <v>1862</v>
      </c>
      <c r="BI83" s="103" t="s">
        <v>1862</v>
      </c>
      <c r="BJ83" s="103" t="s">
        <v>1862</v>
      </c>
      <c r="BK83" s="103" t="s">
        <v>4469</v>
      </c>
      <c r="BL83" s="103" t="s">
        <v>4472</v>
      </c>
      <c r="BM83" s="103" t="s">
        <v>4461</v>
      </c>
      <c r="BN83" s="103" t="s">
        <v>4643</v>
      </c>
      <c r="BO83" s="103">
        <v>400</v>
      </c>
      <c r="BP83" s="103" t="s">
        <v>4532</v>
      </c>
      <c r="BQ83" s="99" t="s">
        <v>4644</v>
      </c>
      <c r="BR83" s="99" t="s">
        <v>4644</v>
      </c>
      <c r="BS83" s="99" t="s">
        <v>4564</v>
      </c>
      <c r="BT83" s="103" t="s">
        <v>3186</v>
      </c>
      <c r="BU83" s="99"/>
      <c r="BV83" s="103" t="s">
        <v>4644</v>
      </c>
      <c r="BW83" s="103" t="s">
        <v>4644</v>
      </c>
      <c r="BX83" s="103"/>
      <c r="BY83" s="103"/>
      <c r="BZ83" s="103"/>
      <c r="CA83" s="103"/>
      <c r="CB83" s="103"/>
      <c r="CC83" s="103" t="s">
        <v>4502</v>
      </c>
      <c r="CD83" s="103" t="s">
        <v>4475</v>
      </c>
      <c r="CE83" s="112" t="s">
        <v>4475</v>
      </c>
      <c r="CF83" s="103"/>
      <c r="CG83" s="103" t="s">
        <v>666</v>
      </c>
      <c r="CH83" s="103" t="s">
        <v>667</v>
      </c>
      <c r="CI83" s="103">
        <v>72070245</v>
      </c>
      <c r="CJ83" s="103"/>
      <c r="CK83" s="108">
        <v>43364.693287037036</v>
      </c>
      <c r="CL83" s="109">
        <v>43364.732754629629</v>
      </c>
      <c r="CM83" s="95">
        <v>12.5857007</v>
      </c>
      <c r="CN83" s="95">
        <v>-3.3000444999999998</v>
      </c>
      <c r="CO83" s="99"/>
      <c r="CP83" s="99"/>
      <c r="CQ83" s="99"/>
      <c r="CR83" s="99"/>
      <c r="CS83" s="99"/>
      <c r="CT83" s="99"/>
      <c r="CU83" s="99"/>
      <c r="CV83" s="99"/>
      <c r="CW83" s="99"/>
      <c r="CX83" s="99"/>
      <c r="CY83" s="99"/>
      <c r="CZ83" s="99"/>
      <c r="DA83" s="99"/>
      <c r="DB83" s="99"/>
      <c r="DC83" s="99"/>
    </row>
    <row r="84" spans="1:107" ht="15.75" customHeight="1">
      <c r="A84" s="95">
        <v>84</v>
      </c>
      <c r="B84" s="99" t="s">
        <v>668</v>
      </c>
      <c r="C84" s="99" t="s">
        <v>669</v>
      </c>
      <c r="D84" s="99">
        <v>70468424</v>
      </c>
      <c r="E84" s="99" t="s">
        <v>146</v>
      </c>
      <c r="F84" s="95" t="s">
        <v>5043</v>
      </c>
      <c r="G84" s="95" t="s">
        <v>1068</v>
      </c>
      <c r="H84" s="95" t="s">
        <v>1093</v>
      </c>
      <c r="I84" s="95" t="s">
        <v>147</v>
      </c>
      <c r="J84" s="95"/>
      <c r="K84" s="99"/>
      <c r="L84" s="103" t="s">
        <v>4449</v>
      </c>
      <c r="M84" s="99" t="s">
        <v>4450</v>
      </c>
      <c r="N84" s="99" t="s">
        <v>4520</v>
      </c>
      <c r="O84" s="99" t="s">
        <v>4488</v>
      </c>
      <c r="P84" s="103">
        <v>2012</v>
      </c>
      <c r="Q84" s="103" t="s">
        <v>1862</v>
      </c>
      <c r="R84" s="99" t="s">
        <v>4767</v>
      </c>
      <c r="S84" s="103" t="s">
        <v>1541</v>
      </c>
      <c r="T84" s="103" t="s">
        <v>4522</v>
      </c>
      <c r="U84" s="99" t="s">
        <v>5044</v>
      </c>
      <c r="V84" s="95">
        <v>11.056203399999999</v>
      </c>
      <c r="W84" s="95">
        <v>-3.0175711999999999</v>
      </c>
      <c r="X84" s="104" t="s">
        <v>5013</v>
      </c>
      <c r="Y84" s="103" t="s">
        <v>1548</v>
      </c>
      <c r="Z84" s="103" t="s">
        <v>1634</v>
      </c>
      <c r="AA84" s="103" t="s">
        <v>1862</v>
      </c>
      <c r="AB84" s="103">
        <v>150</v>
      </c>
      <c r="AC84" s="103">
        <v>0</v>
      </c>
      <c r="AD84" s="103">
        <v>150</v>
      </c>
      <c r="AE84" s="103" t="s">
        <v>1634</v>
      </c>
      <c r="AF84" s="103" t="s">
        <v>4779</v>
      </c>
      <c r="AG84" s="99" t="s">
        <v>4745</v>
      </c>
      <c r="AH84" s="103" t="s">
        <v>1862</v>
      </c>
      <c r="AI84" s="103" t="s">
        <v>1862</v>
      </c>
      <c r="AJ84" s="103" t="s">
        <v>1862</v>
      </c>
      <c r="AK84" s="103" t="s">
        <v>1862</v>
      </c>
      <c r="AL84" s="103" t="s">
        <v>1862</v>
      </c>
      <c r="AM84" s="103" t="s">
        <v>1862</v>
      </c>
      <c r="AN84" s="99" t="s">
        <v>4735</v>
      </c>
      <c r="AO84" s="103" t="s">
        <v>1862</v>
      </c>
      <c r="AP84" s="103">
        <v>1000</v>
      </c>
      <c r="AQ84" s="103" t="s">
        <v>4500</v>
      </c>
      <c r="AR84" s="103">
        <v>800000</v>
      </c>
      <c r="AS84" s="106">
        <v>600000</v>
      </c>
      <c r="AT84" s="103" t="s">
        <v>4594</v>
      </c>
      <c r="AU84" s="103" t="s">
        <v>1634</v>
      </c>
      <c r="AV84" s="99" t="s">
        <v>4671</v>
      </c>
      <c r="AW84" s="99" t="s">
        <v>5045</v>
      </c>
      <c r="AX84" s="99" t="s">
        <v>5046</v>
      </c>
      <c r="AY84" s="99" t="s">
        <v>4560</v>
      </c>
      <c r="AZ84" s="99" t="s">
        <v>4530</v>
      </c>
      <c r="BA84" s="103" t="s">
        <v>1634</v>
      </c>
      <c r="BB84" s="99">
        <v>5000</v>
      </c>
      <c r="BC84" s="99">
        <v>1000</v>
      </c>
      <c r="BD84" s="99">
        <v>600000</v>
      </c>
      <c r="BE84" s="99">
        <v>400000</v>
      </c>
      <c r="BF84" s="103" t="s">
        <v>4415</v>
      </c>
      <c r="BG84" s="103" t="s">
        <v>1862</v>
      </c>
      <c r="BH84" s="103" t="s">
        <v>1804</v>
      </c>
      <c r="BI84" s="103" t="s">
        <v>1804</v>
      </c>
      <c r="BJ84" s="103" t="s">
        <v>1804</v>
      </c>
      <c r="BK84" s="103" t="s">
        <v>4478</v>
      </c>
      <c r="BL84" s="103" t="s">
        <v>4472</v>
      </c>
      <c r="BM84" s="103" t="s">
        <v>4461</v>
      </c>
      <c r="BN84" s="103" t="s">
        <v>5047</v>
      </c>
      <c r="BO84" s="103">
        <v>120</v>
      </c>
      <c r="BP84" s="103" t="s">
        <v>4532</v>
      </c>
      <c r="BQ84" s="99" t="s">
        <v>4476</v>
      </c>
      <c r="BR84" s="99" t="s">
        <v>4476</v>
      </c>
      <c r="BS84" s="99" t="s">
        <v>4476</v>
      </c>
      <c r="BT84" s="103" t="s">
        <v>3186</v>
      </c>
      <c r="BU84" s="99" t="s">
        <v>4502</v>
      </c>
      <c r="BV84" s="103" t="s">
        <v>4476</v>
      </c>
      <c r="BW84" s="103" t="s">
        <v>4476</v>
      </c>
      <c r="BX84" s="103" t="s">
        <v>1548</v>
      </c>
      <c r="BY84" s="103" t="s">
        <v>4595</v>
      </c>
      <c r="BZ84" s="103" t="s">
        <v>4478</v>
      </c>
      <c r="CA84" s="103" t="s">
        <v>4461</v>
      </c>
      <c r="CB84" s="103">
        <v>200</v>
      </c>
      <c r="CC84" s="103" t="s">
        <v>4502</v>
      </c>
      <c r="CD84" s="103" t="s">
        <v>4502</v>
      </c>
      <c r="CE84" s="103" t="s">
        <v>4502</v>
      </c>
      <c r="CF84" s="103"/>
      <c r="CG84" s="103" t="s">
        <v>5048</v>
      </c>
      <c r="CH84" s="103" t="s">
        <v>5049</v>
      </c>
      <c r="CI84" s="103">
        <v>70468424</v>
      </c>
      <c r="CJ84" s="103"/>
      <c r="CK84" s="108">
        <v>43364.798819444448</v>
      </c>
      <c r="CL84" s="109">
        <v>43365.445925925924</v>
      </c>
      <c r="CM84" s="95">
        <v>11.056203399999999</v>
      </c>
      <c r="CN84" s="95">
        <v>-3.0175711999999999</v>
      </c>
      <c r="CO84" s="99"/>
      <c r="CP84" s="99"/>
      <c r="CQ84" s="99"/>
      <c r="CR84" s="99"/>
      <c r="CS84" s="99"/>
      <c r="CT84" s="99"/>
      <c r="CU84" s="99"/>
      <c r="CV84" s="99"/>
      <c r="CW84" s="99"/>
      <c r="CX84" s="99"/>
      <c r="CY84" s="99"/>
      <c r="CZ84" s="99"/>
      <c r="DA84" s="99"/>
      <c r="DB84" s="99"/>
      <c r="DC84" s="99"/>
    </row>
    <row r="85" spans="1:107" ht="15.75" customHeight="1">
      <c r="A85" s="95">
        <v>85</v>
      </c>
      <c r="B85" s="99" t="s">
        <v>670</v>
      </c>
      <c r="C85" s="99" t="s">
        <v>570</v>
      </c>
      <c r="D85" s="110">
        <v>71866653</v>
      </c>
      <c r="E85" s="99" t="s">
        <v>148</v>
      </c>
      <c r="F85" s="95" t="s">
        <v>7121</v>
      </c>
      <c r="G85" s="95" t="s">
        <v>1068</v>
      </c>
      <c r="H85" s="95" t="s">
        <v>1069</v>
      </c>
      <c r="I85" s="95" t="s">
        <v>129</v>
      </c>
      <c r="J85" s="95" t="s">
        <v>7122</v>
      </c>
      <c r="K85" s="99"/>
      <c r="L85" s="103" t="s">
        <v>4449</v>
      </c>
      <c r="M85" s="99" t="s">
        <v>4632</v>
      </c>
      <c r="N85" s="99" t="s">
        <v>4451</v>
      </c>
      <c r="O85" s="99" t="s">
        <v>4684</v>
      </c>
      <c r="P85" s="103">
        <v>2001</v>
      </c>
      <c r="Q85" s="103" t="s">
        <v>1862</v>
      </c>
      <c r="R85" s="99" t="s">
        <v>4633</v>
      </c>
      <c r="S85" s="103" t="s">
        <v>1541</v>
      </c>
      <c r="T85" s="103" t="s">
        <v>4634</v>
      </c>
      <c r="U85" s="99" t="s">
        <v>7123</v>
      </c>
      <c r="V85" s="95">
        <v>10.872264599999999</v>
      </c>
      <c r="W85" s="95">
        <v>-3.3388917</v>
      </c>
      <c r="X85" s="104" t="s">
        <v>4997</v>
      </c>
      <c r="Y85" s="103" t="s">
        <v>1634</v>
      </c>
      <c r="Z85" s="103" t="s">
        <v>1634</v>
      </c>
      <c r="AA85" s="103" t="s">
        <v>1862</v>
      </c>
      <c r="AB85" s="103">
        <v>300</v>
      </c>
      <c r="AC85" s="103">
        <v>4</v>
      </c>
      <c r="AD85" s="103">
        <v>296</v>
      </c>
      <c r="AE85" s="103" t="s">
        <v>1634</v>
      </c>
      <c r="AF85" s="103" t="s">
        <v>4493</v>
      </c>
      <c r="AG85" s="99" t="s">
        <v>4554</v>
      </c>
      <c r="AH85" s="103" t="s">
        <v>1862</v>
      </c>
      <c r="AI85" s="103" t="s">
        <v>1862</v>
      </c>
      <c r="AJ85" s="103" t="s">
        <v>1862</v>
      </c>
      <c r="AK85" s="103" t="s">
        <v>1862</v>
      </c>
      <c r="AL85" s="103" t="s">
        <v>1804</v>
      </c>
      <c r="AM85" s="103" t="s">
        <v>1862</v>
      </c>
      <c r="AN85" s="99" t="s">
        <v>4638</v>
      </c>
      <c r="AO85" s="103" t="s">
        <v>1862</v>
      </c>
      <c r="AP85" s="103">
        <v>1500</v>
      </c>
      <c r="AQ85" s="112" t="s">
        <v>4461</v>
      </c>
      <c r="AR85" s="103"/>
      <c r="AS85" s="106">
        <v>50000000</v>
      </c>
      <c r="AT85" s="103" t="s">
        <v>4527</v>
      </c>
      <c r="AU85" s="103" t="s">
        <v>1634</v>
      </c>
      <c r="AV85" s="99" t="s">
        <v>4463</v>
      </c>
      <c r="AW85" s="99" t="s">
        <v>4639</v>
      </c>
      <c r="AX85" s="99" t="s">
        <v>4640</v>
      </c>
      <c r="AY85" s="99" t="s">
        <v>4641</v>
      </c>
      <c r="AZ85" s="99" t="s">
        <v>4530</v>
      </c>
      <c r="BA85" s="103" t="s">
        <v>1634</v>
      </c>
      <c r="BB85" s="99"/>
      <c r="BC85" s="99">
        <v>22000</v>
      </c>
      <c r="BD85" s="99"/>
      <c r="BE85" s="99">
        <v>50000000</v>
      </c>
      <c r="BF85" s="103" t="s">
        <v>4642</v>
      </c>
      <c r="BG85" s="103" t="s">
        <v>1862</v>
      </c>
      <c r="BH85" s="103" t="s">
        <v>1862</v>
      </c>
      <c r="BI85" s="103" t="s">
        <v>1862</v>
      </c>
      <c r="BJ85" s="103" t="s">
        <v>1862</v>
      </c>
      <c r="BK85" s="103" t="s">
        <v>4469</v>
      </c>
      <c r="BL85" s="103" t="s">
        <v>4472</v>
      </c>
      <c r="BM85" s="103" t="s">
        <v>4461</v>
      </c>
      <c r="BN85" s="103" t="s">
        <v>4643</v>
      </c>
      <c r="BO85" s="103">
        <v>450</v>
      </c>
      <c r="BP85" s="103" t="s">
        <v>4532</v>
      </c>
      <c r="BQ85" s="99" t="s">
        <v>4644</v>
      </c>
      <c r="BR85" s="99" t="s">
        <v>4644</v>
      </c>
      <c r="BS85" s="99" t="s">
        <v>4564</v>
      </c>
      <c r="BT85" s="103" t="s">
        <v>3186</v>
      </c>
      <c r="BU85" s="99"/>
      <c r="BV85" s="103" t="s">
        <v>4644</v>
      </c>
      <c r="BW85" s="103" t="s">
        <v>4644</v>
      </c>
      <c r="BX85" s="103"/>
      <c r="BY85" s="103"/>
      <c r="BZ85" s="103"/>
      <c r="CA85" s="103"/>
      <c r="CB85" s="103"/>
      <c r="CC85" s="103" t="s">
        <v>4502</v>
      </c>
      <c r="CD85" s="103" t="s">
        <v>4475</v>
      </c>
      <c r="CE85" s="112" t="s">
        <v>4475</v>
      </c>
      <c r="CF85" s="103"/>
      <c r="CG85" s="103" t="s">
        <v>670</v>
      </c>
      <c r="CH85" s="103" t="s">
        <v>5050</v>
      </c>
      <c r="CI85" s="111">
        <v>71866653</v>
      </c>
      <c r="CJ85" s="103"/>
      <c r="CK85" s="108">
        <v>43364.693287037036</v>
      </c>
      <c r="CL85" s="109">
        <v>43364.732754629629</v>
      </c>
      <c r="CM85" s="95">
        <v>10.872264599999999</v>
      </c>
      <c r="CN85" s="95">
        <v>-3.3388917</v>
      </c>
      <c r="CO85" s="99"/>
      <c r="CP85" s="99"/>
      <c r="CQ85" s="99"/>
      <c r="CR85" s="99"/>
      <c r="CS85" s="99"/>
      <c r="CT85" s="99"/>
      <c r="CU85" s="99"/>
      <c r="CV85" s="99"/>
      <c r="CW85" s="99"/>
      <c r="CX85" s="99"/>
      <c r="CY85" s="99"/>
      <c r="CZ85" s="99"/>
      <c r="DA85" s="99"/>
      <c r="DB85" s="99"/>
      <c r="DC85" s="99"/>
    </row>
    <row r="86" spans="1:107" ht="15.75" customHeight="1">
      <c r="A86" s="95">
        <v>86</v>
      </c>
      <c r="B86" s="99" t="s">
        <v>671</v>
      </c>
      <c r="C86" s="99" t="s">
        <v>672</v>
      </c>
      <c r="D86" s="99">
        <v>75104151</v>
      </c>
      <c r="E86" s="99" t="s">
        <v>149</v>
      </c>
      <c r="F86" s="95" t="s">
        <v>4776</v>
      </c>
      <c r="G86" s="95" t="s">
        <v>1068</v>
      </c>
      <c r="H86" s="95" t="s">
        <v>1069</v>
      </c>
      <c r="I86" s="95" t="s">
        <v>62</v>
      </c>
      <c r="J86" s="95"/>
      <c r="K86" s="99"/>
      <c r="L86" s="103" t="s">
        <v>4449</v>
      </c>
      <c r="M86" s="99" t="s">
        <v>4487</v>
      </c>
      <c r="N86" s="99" t="s">
        <v>4451</v>
      </c>
      <c r="O86" s="99" t="s">
        <v>4818</v>
      </c>
      <c r="P86" s="103">
        <v>2012</v>
      </c>
      <c r="Q86" s="103" t="s">
        <v>1862</v>
      </c>
      <c r="R86" s="99"/>
      <c r="S86" s="103" t="s">
        <v>1541</v>
      </c>
      <c r="T86" s="103" t="s">
        <v>4522</v>
      </c>
      <c r="U86" s="99" t="s">
        <v>4777</v>
      </c>
      <c r="V86" s="95">
        <v>10.7632686</v>
      </c>
      <c r="W86" s="95">
        <v>-3.2558482</v>
      </c>
      <c r="X86" s="104" t="s">
        <v>4778</v>
      </c>
      <c r="Y86" s="103"/>
      <c r="Z86" s="103"/>
      <c r="AA86" s="103"/>
      <c r="AB86" s="103"/>
      <c r="AC86" s="103"/>
      <c r="AD86" s="103"/>
      <c r="AE86" s="103"/>
      <c r="AF86" s="103"/>
      <c r="AG86" s="99"/>
      <c r="AH86" s="103"/>
      <c r="AI86" s="103"/>
      <c r="AJ86" s="103"/>
      <c r="AK86" s="103"/>
      <c r="AL86" s="103"/>
      <c r="AM86" s="103"/>
      <c r="AN86" s="99"/>
      <c r="AO86" s="103"/>
      <c r="AP86" s="103"/>
      <c r="AQ86" s="103"/>
      <c r="AR86" s="103"/>
      <c r="AS86" s="99"/>
      <c r="AT86" s="103"/>
      <c r="AU86" s="103"/>
      <c r="AV86" s="99"/>
      <c r="AW86" s="99"/>
      <c r="AX86" s="99"/>
      <c r="AY86" s="99"/>
      <c r="AZ86" s="99"/>
      <c r="BA86" s="103"/>
      <c r="BB86" s="99"/>
      <c r="BC86" s="99"/>
      <c r="BD86" s="99"/>
      <c r="BE86" s="99"/>
      <c r="BF86" s="103"/>
      <c r="BG86" s="103"/>
      <c r="BH86" s="103"/>
      <c r="BI86" s="103"/>
      <c r="BJ86" s="103"/>
      <c r="BK86" s="103" t="s">
        <v>4499</v>
      </c>
      <c r="BL86" s="103"/>
      <c r="BM86" s="103"/>
      <c r="BN86" s="103"/>
      <c r="BO86" s="103"/>
      <c r="BP86" s="103"/>
      <c r="BQ86" s="107"/>
      <c r="BR86" s="99"/>
      <c r="BS86" s="99"/>
      <c r="BT86" s="103" t="s">
        <v>3186</v>
      </c>
      <c r="BU86" s="99"/>
      <c r="BV86" s="103"/>
      <c r="BW86" s="103"/>
      <c r="BX86" s="103"/>
      <c r="BY86" s="103"/>
      <c r="BZ86" s="103"/>
      <c r="CA86" s="103"/>
      <c r="CB86" s="103"/>
      <c r="CC86" s="103"/>
      <c r="CD86" s="103"/>
      <c r="CE86" s="103"/>
      <c r="CF86" s="103"/>
      <c r="CG86" s="103"/>
      <c r="CH86" s="103"/>
      <c r="CI86" s="103">
        <v>75104151</v>
      </c>
      <c r="CJ86" s="103"/>
      <c r="CK86" s="108">
        <v>43365.404108796298</v>
      </c>
      <c r="CL86" s="109">
        <v>43365.419907407406</v>
      </c>
      <c r="CM86" s="95">
        <v>10.7632686</v>
      </c>
      <c r="CN86" s="95">
        <v>-3.2558482</v>
      </c>
      <c r="CO86" s="99"/>
      <c r="CP86" s="99"/>
      <c r="CQ86" s="99"/>
      <c r="CR86" s="99"/>
      <c r="CS86" s="99"/>
      <c r="CT86" s="99"/>
      <c r="CU86" s="99"/>
      <c r="CV86" s="99"/>
      <c r="CW86" s="99"/>
      <c r="CX86" s="99"/>
      <c r="CY86" s="99"/>
      <c r="CZ86" s="99"/>
      <c r="DA86" s="99"/>
      <c r="DB86" s="99"/>
      <c r="DC86" s="99"/>
    </row>
    <row r="87" spans="1:107" ht="15.75" customHeight="1">
      <c r="A87" s="95">
        <v>87</v>
      </c>
      <c r="B87" s="99" t="s">
        <v>673</v>
      </c>
      <c r="C87" s="99" t="s">
        <v>674</v>
      </c>
      <c r="D87" s="110">
        <v>70867947</v>
      </c>
      <c r="E87" s="99" t="s">
        <v>150</v>
      </c>
      <c r="F87" s="95" t="s">
        <v>5051</v>
      </c>
      <c r="G87" s="95" t="s">
        <v>1068</v>
      </c>
      <c r="H87" s="95" t="s">
        <v>1081</v>
      </c>
      <c r="I87" s="95" t="s">
        <v>151</v>
      </c>
      <c r="J87" s="95"/>
      <c r="K87" s="99"/>
      <c r="L87" s="103" t="s">
        <v>4449</v>
      </c>
      <c r="M87" s="99" t="s">
        <v>4450</v>
      </c>
      <c r="N87" s="99" t="s">
        <v>4718</v>
      </c>
      <c r="O87" s="99" t="s">
        <v>4452</v>
      </c>
      <c r="P87" s="103">
        <v>2001</v>
      </c>
      <c r="Q87" s="103" t="s">
        <v>1862</v>
      </c>
      <c r="R87" s="99" t="s">
        <v>4633</v>
      </c>
      <c r="S87" s="103" t="s">
        <v>4803</v>
      </c>
      <c r="T87" s="103" t="s">
        <v>4634</v>
      </c>
      <c r="U87" s="99" t="s">
        <v>5052</v>
      </c>
      <c r="V87" s="95">
        <v>10.2927366</v>
      </c>
      <c r="W87" s="95">
        <v>-3.5319406999999998</v>
      </c>
      <c r="X87" s="104" t="s">
        <v>4993</v>
      </c>
      <c r="Y87" s="103" t="s">
        <v>1634</v>
      </c>
      <c r="Z87" s="103" t="s">
        <v>1634</v>
      </c>
      <c r="AA87" s="103" t="s">
        <v>1862</v>
      </c>
      <c r="AB87" s="103">
        <v>400</v>
      </c>
      <c r="AC87" s="103">
        <v>10</v>
      </c>
      <c r="AD87" s="103">
        <v>380</v>
      </c>
      <c r="AE87" s="103" t="s">
        <v>1634</v>
      </c>
      <c r="AF87" s="103" t="s">
        <v>4637</v>
      </c>
      <c r="AG87" s="99" t="s">
        <v>4554</v>
      </c>
      <c r="AH87" s="103" t="s">
        <v>1862</v>
      </c>
      <c r="AI87" s="103" t="s">
        <v>1862</v>
      </c>
      <c r="AJ87" s="103" t="s">
        <v>1862</v>
      </c>
      <c r="AK87" s="103" t="s">
        <v>1862</v>
      </c>
      <c r="AL87" s="103" t="s">
        <v>1804</v>
      </c>
      <c r="AM87" s="103" t="s">
        <v>1862</v>
      </c>
      <c r="AN87" s="99" t="s">
        <v>4638</v>
      </c>
      <c r="AO87" s="103" t="s">
        <v>1862</v>
      </c>
      <c r="AP87" s="103">
        <v>1700</v>
      </c>
      <c r="AQ87" s="112" t="s">
        <v>4461</v>
      </c>
      <c r="AR87" s="103"/>
      <c r="AS87" s="106">
        <v>60000000</v>
      </c>
      <c r="AT87" s="103" t="s">
        <v>4527</v>
      </c>
      <c r="AU87" s="103" t="s">
        <v>1634</v>
      </c>
      <c r="AV87" s="99" t="s">
        <v>4463</v>
      </c>
      <c r="AW87" s="99" t="s">
        <v>4639</v>
      </c>
      <c r="AX87" s="99" t="s">
        <v>4640</v>
      </c>
      <c r="AY87" s="99" t="s">
        <v>4641</v>
      </c>
      <c r="AZ87" s="99" t="s">
        <v>4530</v>
      </c>
      <c r="BA87" s="103" t="s">
        <v>1634</v>
      </c>
      <c r="BB87" s="99"/>
      <c r="BC87" s="99">
        <v>25000</v>
      </c>
      <c r="BD87" s="99"/>
      <c r="BE87" s="99">
        <v>40000000</v>
      </c>
      <c r="BF87" s="103" t="s">
        <v>4642</v>
      </c>
      <c r="BG87" s="103" t="s">
        <v>1862</v>
      </c>
      <c r="BH87" s="103" t="s">
        <v>1862</v>
      </c>
      <c r="BI87" s="103" t="s">
        <v>1862</v>
      </c>
      <c r="BJ87" s="103" t="s">
        <v>1862</v>
      </c>
      <c r="BK87" s="103" t="s">
        <v>4469</v>
      </c>
      <c r="BL87" s="103" t="s">
        <v>4472</v>
      </c>
      <c r="BM87" s="103" t="s">
        <v>4461</v>
      </c>
      <c r="BN87" s="103" t="s">
        <v>4643</v>
      </c>
      <c r="BO87" s="103">
        <v>350</v>
      </c>
      <c r="BP87" s="103" t="s">
        <v>4532</v>
      </c>
      <c r="BQ87" s="99" t="s">
        <v>4644</v>
      </c>
      <c r="BR87" s="99" t="s">
        <v>4644</v>
      </c>
      <c r="BS87" s="99" t="s">
        <v>4564</v>
      </c>
      <c r="BT87" s="103" t="s">
        <v>3186</v>
      </c>
      <c r="BU87" s="99"/>
      <c r="BV87" s="103" t="s">
        <v>4644</v>
      </c>
      <c r="BW87" s="103" t="s">
        <v>4644</v>
      </c>
      <c r="BX87" s="103"/>
      <c r="BY87" s="103"/>
      <c r="BZ87" s="103"/>
      <c r="CA87" s="103"/>
      <c r="CB87" s="103"/>
      <c r="CC87" s="103" t="s">
        <v>4502</v>
      </c>
      <c r="CD87" s="103" t="s">
        <v>4475</v>
      </c>
      <c r="CE87" s="112" t="s">
        <v>4475</v>
      </c>
      <c r="CF87" s="103"/>
      <c r="CG87" s="103" t="s">
        <v>673</v>
      </c>
      <c r="CH87" s="103" t="s">
        <v>5053</v>
      </c>
      <c r="CI87" s="111">
        <v>76032723</v>
      </c>
      <c r="CJ87" s="103"/>
      <c r="CK87" s="108">
        <v>43364.693287037036</v>
      </c>
      <c r="CL87" s="109">
        <v>43364.732754629629</v>
      </c>
      <c r="CM87" s="95">
        <v>10.2927366</v>
      </c>
      <c r="CN87" s="95">
        <v>-3.5319406999999998</v>
      </c>
      <c r="CO87" s="99"/>
      <c r="CP87" s="99"/>
      <c r="CQ87" s="99"/>
      <c r="CR87" s="99"/>
      <c r="CS87" s="99"/>
      <c r="CT87" s="99"/>
      <c r="CU87" s="99"/>
      <c r="CV87" s="99"/>
      <c r="CW87" s="99"/>
      <c r="CX87" s="99"/>
      <c r="CY87" s="99"/>
      <c r="CZ87" s="99"/>
      <c r="DA87" s="99"/>
      <c r="DB87" s="99"/>
      <c r="DC87" s="99"/>
    </row>
    <row r="88" spans="1:107" ht="15.75" customHeight="1">
      <c r="A88" s="95">
        <v>88</v>
      </c>
      <c r="B88" s="99" t="s">
        <v>565</v>
      </c>
      <c r="C88" s="99" t="s">
        <v>675</v>
      </c>
      <c r="D88" s="99">
        <v>70289398</v>
      </c>
      <c r="E88" s="99" t="s">
        <v>152</v>
      </c>
      <c r="F88" s="95" t="s">
        <v>5003</v>
      </c>
      <c r="G88" s="95" t="s">
        <v>1068</v>
      </c>
      <c r="H88" s="95" t="s">
        <v>1069</v>
      </c>
      <c r="I88" s="95" t="s">
        <v>133</v>
      </c>
      <c r="J88" s="95"/>
      <c r="K88" s="99"/>
      <c r="L88" s="103" t="s">
        <v>4449</v>
      </c>
      <c r="M88" s="99" t="s">
        <v>4450</v>
      </c>
      <c r="N88" s="99" t="s">
        <v>4520</v>
      </c>
      <c r="O88" s="99" t="s">
        <v>4754</v>
      </c>
      <c r="P88" s="103">
        <v>2003</v>
      </c>
      <c r="Q88" s="103" t="s">
        <v>1862</v>
      </c>
      <c r="R88" s="99" t="s">
        <v>4767</v>
      </c>
      <c r="S88" s="103" t="s">
        <v>2282</v>
      </c>
      <c r="T88" s="103" t="s">
        <v>4490</v>
      </c>
      <c r="U88" s="99" t="s">
        <v>5004</v>
      </c>
      <c r="V88" s="95">
        <v>10.9578957</v>
      </c>
      <c r="W88" s="95">
        <v>-3.2432780999999999</v>
      </c>
      <c r="X88" s="104" t="s">
        <v>5005</v>
      </c>
      <c r="Y88" s="103" t="s">
        <v>1634</v>
      </c>
      <c r="Z88" s="103" t="s">
        <v>1634</v>
      </c>
      <c r="AA88" s="103" t="s">
        <v>1862</v>
      </c>
      <c r="AB88" s="103">
        <v>25</v>
      </c>
      <c r="AC88" s="103">
        <v>0</v>
      </c>
      <c r="AD88" s="103">
        <v>25</v>
      </c>
      <c r="AE88" s="103" t="s">
        <v>1634</v>
      </c>
      <c r="AF88" s="103" t="s">
        <v>4651</v>
      </c>
      <c r="AG88" s="99" t="s">
        <v>5015</v>
      </c>
      <c r="AH88" s="103" t="s">
        <v>1804</v>
      </c>
      <c r="AI88" s="103" t="s">
        <v>1804</v>
      </c>
      <c r="AJ88" s="103" t="s">
        <v>1862</v>
      </c>
      <c r="AK88" s="103" t="s">
        <v>1862</v>
      </c>
      <c r="AL88" s="103" t="s">
        <v>1804</v>
      </c>
      <c r="AM88" s="103" t="s">
        <v>1862</v>
      </c>
      <c r="AN88" s="99" t="s">
        <v>4735</v>
      </c>
      <c r="AO88" s="103" t="s">
        <v>1862</v>
      </c>
      <c r="AP88" s="103">
        <v>1500</v>
      </c>
      <c r="AQ88" s="103" t="s">
        <v>4509</v>
      </c>
      <c r="AR88" s="103">
        <v>540000</v>
      </c>
      <c r="AS88" s="106">
        <v>50000</v>
      </c>
      <c r="AT88" s="103" t="s">
        <v>4625</v>
      </c>
      <c r="AU88" s="103" t="s">
        <v>1634</v>
      </c>
      <c r="AV88" s="99" t="s">
        <v>4671</v>
      </c>
      <c r="AW88" s="99" t="s">
        <v>5054</v>
      </c>
      <c r="AX88" s="99" t="s">
        <v>4543</v>
      </c>
      <c r="AY88" s="99" t="s">
        <v>4466</v>
      </c>
      <c r="AZ88" s="99" t="s">
        <v>4530</v>
      </c>
      <c r="BA88" s="103" t="s">
        <v>1548</v>
      </c>
      <c r="BB88" s="99">
        <v>200</v>
      </c>
      <c r="BC88" s="99">
        <v>33</v>
      </c>
      <c r="BD88" s="99">
        <v>300000</v>
      </c>
      <c r="BE88" s="99">
        <v>30000</v>
      </c>
      <c r="BF88" s="103"/>
      <c r="BG88" s="103"/>
      <c r="BH88" s="103"/>
      <c r="BI88" s="103"/>
      <c r="BJ88" s="103"/>
      <c r="BK88" s="103" t="s">
        <v>4499</v>
      </c>
      <c r="BL88" s="103"/>
      <c r="BM88" s="103"/>
      <c r="BN88" s="103" t="s">
        <v>4545</v>
      </c>
      <c r="BO88" s="103">
        <v>100</v>
      </c>
      <c r="BP88" s="103" t="s">
        <v>4532</v>
      </c>
      <c r="BQ88" s="99" t="s">
        <v>4476</v>
      </c>
      <c r="BR88" s="99" t="s">
        <v>4476</v>
      </c>
      <c r="BS88" s="99" t="s">
        <v>4476</v>
      </c>
      <c r="BT88" s="103" t="s">
        <v>3186</v>
      </c>
      <c r="BU88" s="99" t="s">
        <v>4502</v>
      </c>
      <c r="BV88" s="103" t="s">
        <v>4476</v>
      </c>
      <c r="BW88" s="103"/>
      <c r="BX88" s="103" t="s">
        <v>1548</v>
      </c>
      <c r="BY88" s="103" t="s">
        <v>4535</v>
      </c>
      <c r="BZ88" s="103" t="s">
        <v>4478</v>
      </c>
      <c r="CA88" s="103" t="s">
        <v>4461</v>
      </c>
      <c r="CB88" s="103">
        <v>100</v>
      </c>
      <c r="CC88" s="103" t="s">
        <v>4502</v>
      </c>
      <c r="CD88" s="103" t="s">
        <v>4502</v>
      </c>
      <c r="CE88" s="103" t="s">
        <v>4502</v>
      </c>
      <c r="CF88" s="103"/>
      <c r="CG88" s="103" t="s">
        <v>5055</v>
      </c>
      <c r="CH88" s="103" t="s">
        <v>5056</v>
      </c>
      <c r="CI88" s="103">
        <v>71748603</v>
      </c>
      <c r="CJ88" s="103"/>
      <c r="CK88" s="108">
        <v>43364.7187962963</v>
      </c>
      <c r="CL88" s="109">
        <v>43365.451828703706</v>
      </c>
      <c r="CM88" s="95">
        <v>10.9578957</v>
      </c>
      <c r="CN88" s="95">
        <v>-3.2432780999999999</v>
      </c>
      <c r="CO88" s="99"/>
      <c r="CP88" s="99"/>
      <c r="CQ88" s="99"/>
      <c r="CR88" s="99"/>
      <c r="CS88" s="99"/>
      <c r="CT88" s="99"/>
      <c r="CU88" s="99"/>
      <c r="CV88" s="99"/>
      <c r="CW88" s="99"/>
      <c r="CX88" s="99"/>
      <c r="CY88" s="99"/>
      <c r="CZ88" s="99"/>
      <c r="DA88" s="99"/>
      <c r="DB88" s="99"/>
      <c r="DC88" s="99"/>
    </row>
    <row r="89" spans="1:107" ht="15.75" customHeight="1">
      <c r="A89" s="95">
        <v>89</v>
      </c>
      <c r="B89" s="99" t="s">
        <v>602</v>
      </c>
      <c r="C89" s="99" t="s">
        <v>676</v>
      </c>
      <c r="D89" s="110">
        <v>70438990</v>
      </c>
      <c r="E89" s="99" t="s">
        <v>153</v>
      </c>
      <c r="F89" s="95" t="s">
        <v>5057</v>
      </c>
      <c r="G89" s="95" t="s">
        <v>1076</v>
      </c>
      <c r="H89" s="95" t="s">
        <v>1077</v>
      </c>
      <c r="I89" s="95" t="s">
        <v>154</v>
      </c>
      <c r="J89" s="95"/>
      <c r="K89" s="99"/>
      <c r="L89" s="103" t="s">
        <v>4449</v>
      </c>
      <c r="M89" s="99" t="s">
        <v>4567</v>
      </c>
      <c r="N89" s="99" t="s">
        <v>4520</v>
      </c>
      <c r="O89" s="99" t="s">
        <v>4579</v>
      </c>
      <c r="P89" s="103">
        <v>2002</v>
      </c>
      <c r="Q89" s="103" t="s">
        <v>1862</v>
      </c>
      <c r="R89" s="99" t="s">
        <v>4521</v>
      </c>
      <c r="S89" s="103" t="s">
        <v>1541</v>
      </c>
      <c r="T89" s="103" t="s">
        <v>4490</v>
      </c>
      <c r="U89" s="99" t="s">
        <v>5058</v>
      </c>
      <c r="V89" s="95">
        <v>12.9780605</v>
      </c>
      <c r="W89" s="95">
        <v>-0.14013809999999999</v>
      </c>
      <c r="X89" s="104" t="s">
        <v>5059</v>
      </c>
      <c r="Y89" s="103" t="s">
        <v>1634</v>
      </c>
      <c r="Z89" s="103" t="s">
        <v>1634</v>
      </c>
      <c r="AA89" s="103" t="s">
        <v>1862</v>
      </c>
      <c r="AB89" s="103">
        <v>30</v>
      </c>
      <c r="AC89" s="103">
        <v>1</v>
      </c>
      <c r="AD89" s="103">
        <v>29</v>
      </c>
      <c r="AE89" s="103" t="s">
        <v>1634</v>
      </c>
      <c r="AF89" s="103" t="s">
        <v>4830</v>
      </c>
      <c r="AG89" s="99" t="s">
        <v>4583</v>
      </c>
      <c r="AH89" s="103" t="s">
        <v>1804</v>
      </c>
      <c r="AI89" s="103" t="s">
        <v>1862</v>
      </c>
      <c r="AJ89" s="103" t="s">
        <v>1804</v>
      </c>
      <c r="AK89" s="103" t="s">
        <v>1862</v>
      </c>
      <c r="AL89" s="103" t="s">
        <v>1804</v>
      </c>
      <c r="AM89" s="103" t="s">
        <v>1862</v>
      </c>
      <c r="AN89" s="99" t="s">
        <v>4584</v>
      </c>
      <c r="AO89" s="103" t="s">
        <v>1862</v>
      </c>
      <c r="AP89" s="103">
        <v>1000</v>
      </c>
      <c r="AQ89" s="103" t="s">
        <v>4500</v>
      </c>
      <c r="AR89" s="103"/>
      <c r="AS89" s="106">
        <v>200000</v>
      </c>
      <c r="AT89" s="103" t="s">
        <v>4496</v>
      </c>
      <c r="AU89" s="103" t="s">
        <v>1548</v>
      </c>
      <c r="AV89" s="99"/>
      <c r="AW89" s="99" t="s">
        <v>4585</v>
      </c>
      <c r="AX89" s="99" t="s">
        <v>4543</v>
      </c>
      <c r="AY89" s="99" t="s">
        <v>4466</v>
      </c>
      <c r="AZ89" s="99" t="s">
        <v>4530</v>
      </c>
      <c r="BA89" s="103" t="s">
        <v>1634</v>
      </c>
      <c r="BB89" s="99"/>
      <c r="BC89" s="99">
        <v>20</v>
      </c>
      <c r="BD89" s="99"/>
      <c r="BE89" s="99">
        <v>250000</v>
      </c>
      <c r="BF89" s="103" t="s">
        <v>4468</v>
      </c>
      <c r="BG89" s="103" t="s">
        <v>1862</v>
      </c>
      <c r="BH89" s="103" t="s">
        <v>1862</v>
      </c>
      <c r="BI89" s="103" t="s">
        <v>1804</v>
      </c>
      <c r="BJ89" s="103" t="s">
        <v>1804</v>
      </c>
      <c r="BK89" s="103" t="s">
        <v>4586</v>
      </c>
      <c r="BL89" s="103" t="s">
        <v>4500</v>
      </c>
      <c r="BM89" s="103" t="s">
        <v>4500</v>
      </c>
      <c r="BN89" s="103" t="s">
        <v>4512</v>
      </c>
      <c r="BO89" s="103">
        <v>40</v>
      </c>
      <c r="BP89" s="103" t="s">
        <v>4500</v>
      </c>
      <c r="BQ89" s="107"/>
      <c r="BR89" s="99"/>
      <c r="BS89" s="99"/>
      <c r="BT89" s="103" t="s">
        <v>3186</v>
      </c>
      <c r="BU89" s="107" t="s">
        <v>4476</v>
      </c>
      <c r="BV89" s="103" t="s">
        <v>4476</v>
      </c>
      <c r="BW89" s="103" t="s">
        <v>1634</v>
      </c>
      <c r="BX89" s="103" t="s">
        <v>4501</v>
      </c>
      <c r="BY89" s="103" t="s">
        <v>4478</v>
      </c>
      <c r="BZ89" s="103" t="s">
        <v>4500</v>
      </c>
      <c r="CA89" s="103"/>
      <c r="CB89" s="103" t="s">
        <v>4502</v>
      </c>
      <c r="CC89" s="103"/>
      <c r="CD89" s="103"/>
      <c r="CE89" s="103"/>
      <c r="CF89" s="103"/>
      <c r="CG89" s="103" t="s">
        <v>5060</v>
      </c>
      <c r="CH89" s="103" t="s">
        <v>5061</v>
      </c>
      <c r="CI89" s="111">
        <v>70438990</v>
      </c>
      <c r="CJ89" s="99"/>
      <c r="CK89" s="108">
        <v>43364.398935185185</v>
      </c>
      <c r="CL89" s="108">
        <v>43364.459143518521</v>
      </c>
      <c r="CM89" s="95">
        <v>12.9780605</v>
      </c>
      <c r="CN89" s="95">
        <v>-0.14013809999999999</v>
      </c>
      <c r="CO89" s="99"/>
      <c r="CP89" s="99"/>
      <c r="CQ89" s="99"/>
      <c r="CR89" s="99"/>
      <c r="CS89" s="99"/>
      <c r="CT89" s="99"/>
      <c r="CU89" s="99"/>
      <c r="CV89" s="99"/>
      <c r="CW89" s="99"/>
      <c r="CX89" s="99"/>
      <c r="CY89" s="99"/>
      <c r="CZ89" s="99"/>
      <c r="DA89" s="99"/>
      <c r="DB89" s="99"/>
      <c r="DC89" s="99"/>
    </row>
    <row r="90" spans="1:107" ht="15.75" customHeight="1">
      <c r="A90" s="95">
        <v>90</v>
      </c>
      <c r="B90" s="99" t="s">
        <v>677</v>
      </c>
      <c r="C90" s="99" t="s">
        <v>678</v>
      </c>
      <c r="D90" s="99">
        <v>78639073</v>
      </c>
      <c r="E90" s="99" t="s">
        <v>155</v>
      </c>
      <c r="F90" s="95" t="s">
        <v>5062</v>
      </c>
      <c r="G90" s="95" t="s">
        <v>1068</v>
      </c>
      <c r="H90" s="95" t="s">
        <v>1081</v>
      </c>
      <c r="I90" s="95" t="s">
        <v>156</v>
      </c>
      <c r="J90" s="95"/>
      <c r="K90" s="99"/>
      <c r="L90" s="103" t="s">
        <v>4449</v>
      </c>
      <c r="M90" s="99" t="s">
        <v>4567</v>
      </c>
      <c r="N90" s="99" t="s">
        <v>4520</v>
      </c>
      <c r="O90" s="99" t="s">
        <v>4615</v>
      </c>
      <c r="P90" s="103">
        <v>2003</v>
      </c>
      <c r="Q90" s="103" t="s">
        <v>1862</v>
      </c>
      <c r="R90" s="99" t="s">
        <v>4755</v>
      </c>
      <c r="S90" s="103" t="s">
        <v>2282</v>
      </c>
      <c r="T90" s="103" t="s">
        <v>4490</v>
      </c>
      <c r="U90" s="99" t="s">
        <v>5063</v>
      </c>
      <c r="V90" s="95">
        <v>10.3231036</v>
      </c>
      <c r="W90" s="95">
        <v>-3.1679257000000001</v>
      </c>
      <c r="X90" s="104" t="s">
        <v>5064</v>
      </c>
      <c r="Y90" s="103" t="s">
        <v>1634</v>
      </c>
      <c r="Z90" s="103" t="s">
        <v>1634</v>
      </c>
      <c r="AA90" s="103" t="s">
        <v>1862</v>
      </c>
      <c r="AB90" s="105">
        <v>1200</v>
      </c>
      <c r="AC90" s="103">
        <v>30</v>
      </c>
      <c r="AD90" s="103">
        <v>1170</v>
      </c>
      <c r="AE90" s="103" t="s">
        <v>1634</v>
      </c>
      <c r="AF90" s="103" t="s">
        <v>4779</v>
      </c>
      <c r="AG90" s="99" t="s">
        <v>5065</v>
      </c>
      <c r="AH90" s="103" t="s">
        <v>1804</v>
      </c>
      <c r="AI90" s="103" t="s">
        <v>1804</v>
      </c>
      <c r="AJ90" s="103" t="s">
        <v>1862</v>
      </c>
      <c r="AK90" s="103" t="s">
        <v>1862</v>
      </c>
      <c r="AL90" s="103" t="s">
        <v>1804</v>
      </c>
      <c r="AM90" s="103" t="s">
        <v>1862</v>
      </c>
      <c r="AN90" s="99" t="s">
        <v>5066</v>
      </c>
      <c r="AO90" s="103" t="s">
        <v>1862</v>
      </c>
      <c r="AP90" s="103">
        <v>1000</v>
      </c>
      <c r="AQ90" s="103" t="s">
        <v>4461</v>
      </c>
      <c r="AR90" s="103">
        <v>510000</v>
      </c>
      <c r="AS90" s="106">
        <v>800000</v>
      </c>
      <c r="AT90" s="103" t="s">
        <v>4496</v>
      </c>
      <c r="AU90" s="103" t="s">
        <v>1634</v>
      </c>
      <c r="AV90" s="99" t="s">
        <v>4671</v>
      </c>
      <c r="AW90" s="99" t="s">
        <v>5067</v>
      </c>
      <c r="AX90" s="99" t="s">
        <v>5068</v>
      </c>
      <c r="AY90" s="99" t="s">
        <v>4466</v>
      </c>
      <c r="AZ90" s="99" t="s">
        <v>4561</v>
      </c>
      <c r="BA90" s="103"/>
      <c r="BB90" s="99">
        <v>1200</v>
      </c>
      <c r="BC90" s="99">
        <v>520</v>
      </c>
      <c r="BD90" s="99">
        <v>810000</v>
      </c>
      <c r="BE90" s="99">
        <v>700000</v>
      </c>
      <c r="BF90" s="103" t="s">
        <v>5069</v>
      </c>
      <c r="BG90" s="103" t="s">
        <v>1804</v>
      </c>
      <c r="BH90" s="103" t="s">
        <v>1862</v>
      </c>
      <c r="BI90" s="103" t="s">
        <v>1804</v>
      </c>
      <c r="BJ90" s="103" t="s">
        <v>1862</v>
      </c>
      <c r="BK90" s="103" t="s">
        <v>4478</v>
      </c>
      <c r="BL90" s="103" t="s">
        <v>4461</v>
      </c>
      <c r="BM90" s="103" t="s">
        <v>4461</v>
      </c>
      <c r="BN90" s="103" t="s">
        <v>4607</v>
      </c>
      <c r="BO90" s="103">
        <v>1100</v>
      </c>
      <c r="BP90" s="103" t="s">
        <v>4500</v>
      </c>
      <c r="BQ90" s="107" t="s">
        <v>4476</v>
      </c>
      <c r="BR90" s="99" t="s">
        <v>4476</v>
      </c>
      <c r="BS90" s="99" t="s">
        <v>5070</v>
      </c>
      <c r="BT90" s="103" t="s">
        <v>3186</v>
      </c>
      <c r="BU90" s="99" t="s">
        <v>4628</v>
      </c>
      <c r="BV90" s="103" t="s">
        <v>4476</v>
      </c>
      <c r="BW90" s="103" t="s">
        <v>4476</v>
      </c>
      <c r="BX90" s="103" t="s">
        <v>1548</v>
      </c>
      <c r="BY90" s="103" t="s">
        <v>4535</v>
      </c>
      <c r="BZ90" s="103" t="s">
        <v>4515</v>
      </c>
      <c r="CA90" s="103" t="s">
        <v>4461</v>
      </c>
      <c r="CB90" s="103">
        <v>1</v>
      </c>
      <c r="CC90" s="103" t="s">
        <v>4716</v>
      </c>
      <c r="CD90" s="103" t="s">
        <v>4480</v>
      </c>
      <c r="CE90" s="103" t="s">
        <v>4480</v>
      </c>
      <c r="CF90" s="103"/>
      <c r="CG90" s="103" t="s">
        <v>677</v>
      </c>
      <c r="CH90" s="103" t="s">
        <v>678</v>
      </c>
      <c r="CI90" s="103">
        <v>78639073</v>
      </c>
      <c r="CJ90" s="103"/>
      <c r="CK90" s="108">
        <v>43364.793900462966</v>
      </c>
      <c r="CL90" s="109">
        <v>43364.803020833337</v>
      </c>
      <c r="CM90" s="95">
        <v>10.3231036</v>
      </c>
      <c r="CN90" s="95">
        <v>-3.1679257000000001</v>
      </c>
      <c r="CO90" s="99"/>
      <c r="CP90" s="99"/>
      <c r="CQ90" s="99"/>
      <c r="CR90" s="99"/>
      <c r="CS90" s="99"/>
      <c r="CT90" s="99"/>
      <c r="CU90" s="99"/>
      <c r="CV90" s="99"/>
      <c r="CW90" s="99"/>
      <c r="CX90" s="99"/>
      <c r="CY90" s="99"/>
      <c r="CZ90" s="99"/>
      <c r="DA90" s="99"/>
      <c r="DB90" s="99"/>
      <c r="DC90" s="99"/>
    </row>
    <row r="91" spans="1:107" ht="15.75" customHeight="1">
      <c r="A91" s="95">
        <v>91</v>
      </c>
      <c r="B91" s="99" t="s">
        <v>679</v>
      </c>
      <c r="C91" s="99" t="s">
        <v>680</v>
      </c>
      <c r="D91" s="99">
        <v>75019678</v>
      </c>
      <c r="E91" s="99" t="s">
        <v>157</v>
      </c>
      <c r="F91" s="95" t="s">
        <v>7124</v>
      </c>
      <c r="G91" s="95" t="s">
        <v>1068</v>
      </c>
      <c r="H91" s="95" t="s">
        <v>1081</v>
      </c>
      <c r="I91" s="95" t="s">
        <v>127</v>
      </c>
      <c r="J91" s="95" t="s">
        <v>7125</v>
      </c>
      <c r="K91" s="99"/>
      <c r="L91" s="103" t="s">
        <v>4549</v>
      </c>
      <c r="M91" s="99" t="s">
        <v>5072</v>
      </c>
      <c r="N91" s="99" t="s">
        <v>4568</v>
      </c>
      <c r="O91" s="99" t="s">
        <v>5073</v>
      </c>
      <c r="P91" s="103">
        <v>2003</v>
      </c>
      <c r="Q91" s="103" t="s">
        <v>1862</v>
      </c>
      <c r="R91" s="99" t="s">
        <v>4551</v>
      </c>
      <c r="S91" s="103" t="s">
        <v>2282</v>
      </c>
      <c r="T91" s="103" t="s">
        <v>4490</v>
      </c>
      <c r="U91" s="99" t="s">
        <v>7126</v>
      </c>
      <c r="V91" s="95">
        <v>10.3325996</v>
      </c>
      <c r="W91" s="95">
        <v>-3.3388917</v>
      </c>
      <c r="X91" s="104" t="s">
        <v>4872</v>
      </c>
      <c r="Y91" s="103" t="s">
        <v>1548</v>
      </c>
      <c r="Z91" s="103" t="s">
        <v>1548</v>
      </c>
      <c r="AA91" s="103" t="s">
        <v>1862</v>
      </c>
      <c r="AB91" s="103">
        <v>256</v>
      </c>
      <c r="AC91" s="103">
        <v>230</v>
      </c>
      <c r="AD91" s="103">
        <v>26</v>
      </c>
      <c r="AE91" s="103" t="s">
        <v>1634</v>
      </c>
      <c r="AF91" s="103" t="s">
        <v>4637</v>
      </c>
      <c r="AG91" s="99" t="s">
        <v>5075</v>
      </c>
      <c r="AH91" s="103" t="s">
        <v>1862</v>
      </c>
      <c r="AI91" s="103" t="s">
        <v>1862</v>
      </c>
      <c r="AJ91" s="103" t="s">
        <v>1804</v>
      </c>
      <c r="AK91" s="103" t="s">
        <v>1804</v>
      </c>
      <c r="AL91" s="103" t="s">
        <v>1862</v>
      </c>
      <c r="AM91" s="103" t="s">
        <v>1804</v>
      </c>
      <c r="AN91" s="99" t="s">
        <v>5076</v>
      </c>
      <c r="AO91" s="103" t="s">
        <v>1862</v>
      </c>
      <c r="AP91" s="103">
        <v>1200</v>
      </c>
      <c r="AQ91" s="103" t="s">
        <v>4500</v>
      </c>
      <c r="AR91" s="103">
        <v>15000000</v>
      </c>
      <c r="AS91" s="106">
        <v>210000</v>
      </c>
      <c r="AT91" s="103" t="s">
        <v>4625</v>
      </c>
      <c r="AU91" s="103" t="s">
        <v>1634</v>
      </c>
      <c r="AV91" s="99" t="s">
        <v>4671</v>
      </c>
      <c r="AW91" s="99" t="s">
        <v>5077</v>
      </c>
      <c r="AX91" s="99" t="s">
        <v>5078</v>
      </c>
      <c r="AY91" s="99" t="s">
        <v>4466</v>
      </c>
      <c r="AZ91" s="99" t="s">
        <v>4530</v>
      </c>
      <c r="BA91" s="103" t="s">
        <v>1548</v>
      </c>
      <c r="BB91" s="99">
        <v>32000</v>
      </c>
      <c r="BC91" s="99">
        <v>210</v>
      </c>
      <c r="BD91" s="99">
        <v>14500000</v>
      </c>
      <c r="BE91" s="99">
        <v>180000</v>
      </c>
      <c r="BF91" s="103" t="s">
        <v>4842</v>
      </c>
      <c r="BG91" s="103" t="s">
        <v>1804</v>
      </c>
      <c r="BH91" s="103" t="s">
        <v>1862</v>
      </c>
      <c r="BI91" s="103" t="s">
        <v>1862</v>
      </c>
      <c r="BJ91" s="103" t="s">
        <v>1862</v>
      </c>
      <c r="BK91" s="103" t="s">
        <v>4478</v>
      </c>
      <c r="BL91" s="103" t="s">
        <v>4461</v>
      </c>
      <c r="BM91" s="103" t="s">
        <v>4461</v>
      </c>
      <c r="BN91" s="103" t="s">
        <v>4531</v>
      </c>
      <c r="BO91" s="103">
        <v>1000</v>
      </c>
      <c r="BP91" s="103" t="s">
        <v>4461</v>
      </c>
      <c r="BQ91" s="99" t="s">
        <v>4476</v>
      </c>
      <c r="BR91" s="99" t="s">
        <v>4476</v>
      </c>
      <c r="BS91" s="99" t="s">
        <v>4534</v>
      </c>
      <c r="BT91" s="103" t="s">
        <v>3186</v>
      </c>
      <c r="BU91" s="99" t="s">
        <v>4628</v>
      </c>
      <c r="BV91" s="103" t="s">
        <v>4476</v>
      </c>
      <c r="BW91" s="103" t="s">
        <v>4476</v>
      </c>
      <c r="BX91" s="103" t="s">
        <v>1548</v>
      </c>
      <c r="BY91" s="103" t="s">
        <v>4535</v>
      </c>
      <c r="BZ91" s="103" t="s">
        <v>4478</v>
      </c>
      <c r="CA91" s="103" t="s">
        <v>4461</v>
      </c>
      <c r="CB91" s="103">
        <v>1</v>
      </c>
      <c r="CC91" s="103" t="s">
        <v>4502</v>
      </c>
      <c r="CD91" s="103" t="s">
        <v>4502</v>
      </c>
      <c r="CE91" s="103" t="s">
        <v>4502</v>
      </c>
      <c r="CF91" s="103" t="s">
        <v>4691</v>
      </c>
      <c r="CG91" s="103" t="s">
        <v>5079</v>
      </c>
      <c r="CH91" s="103" t="s">
        <v>5080</v>
      </c>
      <c r="CI91" s="103">
        <v>74777785</v>
      </c>
      <c r="CJ91" s="103"/>
      <c r="CK91" s="108">
        <v>43364.406585648147</v>
      </c>
      <c r="CL91" s="109">
        <v>43364.757384259261</v>
      </c>
      <c r="CM91" s="95">
        <v>10.3325996</v>
      </c>
      <c r="CN91" s="95">
        <v>-3.3388917</v>
      </c>
      <c r="CO91" s="99"/>
      <c r="CP91" s="99"/>
      <c r="CQ91" s="99"/>
      <c r="CR91" s="99"/>
      <c r="CS91" s="99"/>
      <c r="CT91" s="99"/>
      <c r="CU91" s="99"/>
      <c r="CV91" s="99"/>
      <c r="CW91" s="99"/>
      <c r="CX91" s="99"/>
      <c r="CY91" s="99"/>
      <c r="CZ91" s="99"/>
      <c r="DA91" s="99"/>
      <c r="DB91" s="99"/>
      <c r="DC91" s="99"/>
    </row>
    <row r="92" spans="1:107" ht="15.75" customHeight="1">
      <c r="A92" s="95">
        <v>92</v>
      </c>
      <c r="B92" s="99" t="s">
        <v>681</v>
      </c>
      <c r="C92" s="99" t="s">
        <v>682</v>
      </c>
      <c r="D92" s="110">
        <v>66599447</v>
      </c>
      <c r="E92" s="99" t="s">
        <v>158</v>
      </c>
      <c r="F92" s="95" t="s">
        <v>4944</v>
      </c>
      <c r="G92" s="95" t="s">
        <v>1076</v>
      </c>
      <c r="H92" s="95" t="s">
        <v>1087</v>
      </c>
      <c r="I92" s="95" t="s">
        <v>111</v>
      </c>
      <c r="J92" s="95"/>
      <c r="K92" s="99"/>
      <c r="L92" s="103" t="s">
        <v>4449</v>
      </c>
      <c r="M92" s="99" t="s">
        <v>4450</v>
      </c>
      <c r="N92" s="99" t="s">
        <v>4520</v>
      </c>
      <c r="O92" s="99" t="s">
        <v>4694</v>
      </c>
      <c r="P92" s="103">
        <v>2005</v>
      </c>
      <c r="Q92" s="103" t="s">
        <v>1862</v>
      </c>
      <c r="R92" s="99" t="s">
        <v>4521</v>
      </c>
      <c r="S92" s="103" t="s">
        <v>2282</v>
      </c>
      <c r="T92" s="103" t="s">
        <v>4522</v>
      </c>
      <c r="U92" s="99" t="s">
        <v>4945</v>
      </c>
      <c r="V92" s="95">
        <v>12.0601649</v>
      </c>
      <c r="W92" s="95">
        <v>0.36542039999999998</v>
      </c>
      <c r="X92" s="104" t="s">
        <v>4946</v>
      </c>
      <c r="Y92" s="103" t="s">
        <v>1548</v>
      </c>
      <c r="Z92" s="103" t="s">
        <v>1548</v>
      </c>
      <c r="AA92" s="103" t="s">
        <v>1862</v>
      </c>
      <c r="AB92" s="103">
        <v>40</v>
      </c>
      <c r="AC92" s="103">
        <v>0</v>
      </c>
      <c r="AD92" s="103">
        <v>40</v>
      </c>
      <c r="AE92" s="103" t="s">
        <v>1634</v>
      </c>
      <c r="AF92" s="103" t="s">
        <v>4830</v>
      </c>
      <c r="AG92" s="99" t="s">
        <v>4695</v>
      </c>
      <c r="AH92" s="103" t="s">
        <v>1862</v>
      </c>
      <c r="AI92" s="103" t="s">
        <v>1862</v>
      </c>
      <c r="AJ92" s="103" t="s">
        <v>1804</v>
      </c>
      <c r="AK92" s="103" t="s">
        <v>1804</v>
      </c>
      <c r="AL92" s="103" t="s">
        <v>1804</v>
      </c>
      <c r="AM92" s="103" t="s">
        <v>1804</v>
      </c>
      <c r="AN92" s="99" t="s">
        <v>1646</v>
      </c>
      <c r="AO92" s="103" t="s">
        <v>1862</v>
      </c>
      <c r="AP92" s="103">
        <v>750</v>
      </c>
      <c r="AQ92" s="103" t="s">
        <v>4509</v>
      </c>
      <c r="AR92" s="103" t="s">
        <v>4831</v>
      </c>
      <c r="AS92" s="106">
        <v>350000</v>
      </c>
      <c r="AT92" s="103" t="s">
        <v>4625</v>
      </c>
      <c r="AU92" s="103" t="s">
        <v>1548</v>
      </c>
      <c r="AV92" s="99"/>
      <c r="AW92" s="99" t="s">
        <v>4680</v>
      </c>
      <c r="AX92" s="99" t="s">
        <v>4543</v>
      </c>
      <c r="AY92" s="99" t="s">
        <v>4466</v>
      </c>
      <c r="AZ92" s="99" t="s">
        <v>4467</v>
      </c>
      <c r="BA92" s="103" t="s">
        <v>1634</v>
      </c>
      <c r="BB92" s="99">
        <v>500</v>
      </c>
      <c r="BC92" s="99">
        <v>42</v>
      </c>
      <c r="BD92" s="99">
        <v>0</v>
      </c>
      <c r="BE92" s="99"/>
      <c r="BF92" s="103" t="s">
        <v>4511</v>
      </c>
      <c r="BG92" s="103" t="s">
        <v>1804</v>
      </c>
      <c r="BH92" s="103" t="s">
        <v>1862</v>
      </c>
      <c r="BI92" s="103" t="s">
        <v>1804</v>
      </c>
      <c r="BJ92" s="103" t="s">
        <v>1804</v>
      </c>
      <c r="BK92" s="103" t="s">
        <v>4478</v>
      </c>
      <c r="BL92" s="103" t="s">
        <v>4470</v>
      </c>
      <c r="BM92" s="103" t="s">
        <v>4461</v>
      </c>
      <c r="BN92" s="103" t="s">
        <v>4512</v>
      </c>
      <c r="BO92" s="103">
        <v>50</v>
      </c>
      <c r="BP92" s="103" t="s">
        <v>4509</v>
      </c>
      <c r="BQ92" s="107" t="s">
        <v>4476</v>
      </c>
      <c r="BR92" s="99" t="s">
        <v>4476</v>
      </c>
      <c r="BS92" s="99"/>
      <c r="BT92" s="103" t="s">
        <v>3186</v>
      </c>
      <c r="BU92" s="107" t="s">
        <v>4514</v>
      </c>
      <c r="BV92" s="103" t="s">
        <v>4476</v>
      </c>
      <c r="BW92" s="103" t="s">
        <v>1548</v>
      </c>
      <c r="BX92" s="103" t="s">
        <v>4501</v>
      </c>
      <c r="BY92" s="103" t="s">
        <v>4478</v>
      </c>
      <c r="BZ92" s="103" t="s">
        <v>4509</v>
      </c>
      <c r="CA92" s="103">
        <v>15</v>
      </c>
      <c r="CB92" s="103" t="s">
        <v>4475</v>
      </c>
      <c r="CC92" s="103" t="s">
        <v>4502</v>
      </c>
      <c r="CD92" s="103" t="s">
        <v>4475</v>
      </c>
      <c r="CE92" s="103" t="s">
        <v>4475</v>
      </c>
      <c r="CF92" s="103" t="s">
        <v>4482</v>
      </c>
      <c r="CG92" s="103" t="s">
        <v>5081</v>
      </c>
      <c r="CH92" s="103" t="s">
        <v>5082</v>
      </c>
      <c r="CI92" s="111">
        <v>66599447</v>
      </c>
      <c r="CJ92" s="99"/>
      <c r="CK92" s="108">
        <v>43364.601354166669</v>
      </c>
      <c r="CL92" s="108">
        <v>43364.61478009259</v>
      </c>
      <c r="CM92" s="95">
        <v>12.0601649</v>
      </c>
      <c r="CN92" s="95">
        <v>0.36542039999999998</v>
      </c>
      <c r="CO92" s="99"/>
      <c r="CP92" s="99"/>
      <c r="CQ92" s="99"/>
      <c r="CR92" s="99"/>
      <c r="CS92" s="99"/>
      <c r="CT92" s="99"/>
      <c r="CU92" s="99"/>
      <c r="CV92" s="99"/>
      <c r="CW92" s="99"/>
      <c r="CX92" s="99"/>
      <c r="CY92" s="99"/>
      <c r="CZ92" s="99"/>
      <c r="DA92" s="99"/>
      <c r="DB92" s="99"/>
      <c r="DC92" s="99"/>
    </row>
    <row r="93" spans="1:107" ht="15.75" customHeight="1">
      <c r="A93" s="95">
        <v>93</v>
      </c>
      <c r="B93" s="99" t="s">
        <v>683</v>
      </c>
      <c r="C93" s="99" t="s">
        <v>684</v>
      </c>
      <c r="D93" s="99">
        <v>70824110</v>
      </c>
      <c r="E93" s="99" t="s">
        <v>159</v>
      </c>
      <c r="F93" s="95" t="s">
        <v>5071</v>
      </c>
      <c r="G93" s="95" t="s">
        <v>1068</v>
      </c>
      <c r="H93" s="95" t="s">
        <v>1081</v>
      </c>
      <c r="I93" s="95"/>
      <c r="J93" s="99"/>
      <c r="K93" s="99"/>
      <c r="L93" s="103" t="s">
        <v>4549</v>
      </c>
      <c r="M93" s="99" t="s">
        <v>4487</v>
      </c>
      <c r="N93" s="99" t="s">
        <v>4520</v>
      </c>
      <c r="O93" s="99" t="s">
        <v>5083</v>
      </c>
      <c r="P93" s="103">
        <v>1999</v>
      </c>
      <c r="Q93" s="103" t="s">
        <v>1862</v>
      </c>
      <c r="R93" s="99" t="s">
        <v>4709</v>
      </c>
      <c r="S93" s="103" t="s">
        <v>2282</v>
      </c>
      <c r="T93" s="103" t="s">
        <v>4490</v>
      </c>
      <c r="U93" s="99" t="s">
        <v>5074</v>
      </c>
      <c r="V93" s="95">
        <v>10.3325996</v>
      </c>
      <c r="W93" s="95">
        <v>-3.3388917</v>
      </c>
      <c r="X93" s="104" t="s">
        <v>4872</v>
      </c>
      <c r="Y93" s="103" t="s">
        <v>1548</v>
      </c>
      <c r="Z93" s="103" t="s">
        <v>1548</v>
      </c>
      <c r="AA93" s="103" t="s">
        <v>1862</v>
      </c>
      <c r="AB93" s="103">
        <v>180</v>
      </c>
      <c r="AC93" s="103">
        <v>15</v>
      </c>
      <c r="AD93" s="103">
        <v>165</v>
      </c>
      <c r="AE93" s="103" t="s">
        <v>1634</v>
      </c>
      <c r="AF93" s="103" t="s">
        <v>5084</v>
      </c>
      <c r="AG93" s="99" t="s">
        <v>5085</v>
      </c>
      <c r="AH93" s="103" t="s">
        <v>1804</v>
      </c>
      <c r="AI93" s="103" t="s">
        <v>1862</v>
      </c>
      <c r="AJ93" s="103" t="s">
        <v>1804</v>
      </c>
      <c r="AK93" s="103" t="s">
        <v>1804</v>
      </c>
      <c r="AL93" s="103" t="s">
        <v>1862</v>
      </c>
      <c r="AM93" s="103" t="s">
        <v>1862</v>
      </c>
      <c r="AN93" s="99" t="s">
        <v>4495</v>
      </c>
      <c r="AO93" s="103" t="s">
        <v>1862</v>
      </c>
      <c r="AP93" s="103">
        <v>1300</v>
      </c>
      <c r="AQ93" s="103" t="s">
        <v>4500</v>
      </c>
      <c r="AR93" s="103">
        <v>250000</v>
      </c>
      <c r="AS93" s="106">
        <v>105000</v>
      </c>
      <c r="AT93" s="103" t="s">
        <v>4496</v>
      </c>
      <c r="AU93" s="103" t="s">
        <v>1634</v>
      </c>
      <c r="AV93" s="99" t="s">
        <v>4671</v>
      </c>
      <c r="AW93" s="99" t="s">
        <v>5086</v>
      </c>
      <c r="AX93" s="99" t="s">
        <v>5087</v>
      </c>
      <c r="AY93" s="99" t="s">
        <v>4466</v>
      </c>
      <c r="AZ93" s="99" t="s">
        <v>4530</v>
      </c>
      <c r="BA93" s="103" t="s">
        <v>1634</v>
      </c>
      <c r="BB93" s="99">
        <v>700</v>
      </c>
      <c r="BC93" s="99">
        <v>120</v>
      </c>
      <c r="BD93" s="99">
        <v>350000</v>
      </c>
      <c r="BE93" s="99">
        <v>200000</v>
      </c>
      <c r="BF93" s="103" t="s">
        <v>4689</v>
      </c>
      <c r="BG93" s="103" t="s">
        <v>1804</v>
      </c>
      <c r="BH93" s="103" t="s">
        <v>1804</v>
      </c>
      <c r="BI93" s="103" t="s">
        <v>1862</v>
      </c>
      <c r="BJ93" s="103" t="s">
        <v>1862</v>
      </c>
      <c r="BK93" s="103" t="s">
        <v>4478</v>
      </c>
      <c r="BL93" s="103" t="s">
        <v>4500</v>
      </c>
      <c r="BM93" s="103" t="s">
        <v>4500</v>
      </c>
      <c r="BN93" s="103" t="s">
        <v>4690</v>
      </c>
      <c r="BO93" s="103">
        <v>800</v>
      </c>
      <c r="BP93" s="103" t="s">
        <v>4461</v>
      </c>
      <c r="BQ93" s="99" t="s">
        <v>4476</v>
      </c>
      <c r="BR93" s="99" t="s">
        <v>4476</v>
      </c>
      <c r="BS93" s="99" t="s">
        <v>4564</v>
      </c>
      <c r="BT93" s="103" t="s">
        <v>3186</v>
      </c>
      <c r="BU93" s="99" t="s">
        <v>4502</v>
      </c>
      <c r="BV93" s="103" t="s">
        <v>4564</v>
      </c>
      <c r="BW93" s="103" t="s">
        <v>4564</v>
      </c>
      <c r="BX93" s="103" t="s">
        <v>1548</v>
      </c>
      <c r="BY93" s="103" t="s">
        <v>4535</v>
      </c>
      <c r="BZ93" s="103" t="s">
        <v>4478</v>
      </c>
      <c r="CA93" s="103" t="s">
        <v>4461</v>
      </c>
      <c r="CB93" s="103"/>
      <c r="CC93" s="103" t="s">
        <v>4502</v>
      </c>
      <c r="CD93" s="103" t="s">
        <v>4502</v>
      </c>
      <c r="CE93" s="103" t="s">
        <v>4481</v>
      </c>
      <c r="CF93" s="103"/>
      <c r="CG93" s="103" t="s">
        <v>683</v>
      </c>
      <c r="CH93" s="103" t="s">
        <v>684</v>
      </c>
      <c r="CI93" s="103">
        <v>76041451</v>
      </c>
      <c r="CJ93" s="103"/>
      <c r="CK93" s="108">
        <v>43364.424212962964</v>
      </c>
      <c r="CL93" s="109">
        <v>43364.769178240742</v>
      </c>
      <c r="CM93" s="95">
        <v>10.3325996</v>
      </c>
      <c r="CN93" s="95">
        <v>-3.3388917</v>
      </c>
      <c r="CO93" s="99"/>
      <c r="CP93" s="99"/>
      <c r="CQ93" s="99"/>
      <c r="CR93" s="99"/>
      <c r="CS93" s="99"/>
      <c r="CT93" s="99"/>
      <c r="CU93" s="99"/>
      <c r="CV93" s="99"/>
      <c r="CW93" s="99"/>
      <c r="CX93" s="99"/>
      <c r="CY93" s="99"/>
      <c r="CZ93" s="99"/>
      <c r="DA93" s="99"/>
      <c r="DB93" s="99"/>
      <c r="DC93" s="99"/>
    </row>
    <row r="94" spans="1:107" ht="15.75" customHeight="1">
      <c r="A94" s="95">
        <v>94</v>
      </c>
      <c r="B94" s="99" t="s">
        <v>685</v>
      </c>
      <c r="C94" s="99" t="s">
        <v>686</v>
      </c>
      <c r="D94" s="99">
        <v>70306621</v>
      </c>
      <c r="E94" s="99" t="s">
        <v>160</v>
      </c>
      <c r="F94" s="95" t="s">
        <v>5088</v>
      </c>
      <c r="G94" s="95" t="s">
        <v>1076</v>
      </c>
      <c r="H94" s="95" t="s">
        <v>1087</v>
      </c>
      <c r="I94" s="95" t="s">
        <v>111</v>
      </c>
      <c r="J94" s="95"/>
      <c r="K94" s="99"/>
      <c r="L94" s="103" t="s">
        <v>4449</v>
      </c>
      <c r="M94" s="99" t="s">
        <v>4567</v>
      </c>
      <c r="N94" s="99" t="s">
        <v>4520</v>
      </c>
      <c r="O94" s="99" t="s">
        <v>4694</v>
      </c>
      <c r="P94" s="103">
        <v>2005</v>
      </c>
      <c r="Q94" s="103" t="s">
        <v>1862</v>
      </c>
      <c r="R94" s="99" t="s">
        <v>4521</v>
      </c>
      <c r="S94" s="103" t="s">
        <v>2282</v>
      </c>
      <c r="T94" s="103" t="s">
        <v>4522</v>
      </c>
      <c r="U94" s="99" t="s">
        <v>5089</v>
      </c>
      <c r="V94" s="95">
        <v>12.0601649</v>
      </c>
      <c r="W94" s="95">
        <v>0.36542039999999998</v>
      </c>
      <c r="X94" s="104" t="s">
        <v>4946</v>
      </c>
      <c r="Y94" s="103" t="s">
        <v>1548</v>
      </c>
      <c r="Z94" s="103" t="s">
        <v>1548</v>
      </c>
      <c r="AA94" s="103" t="s">
        <v>1862</v>
      </c>
      <c r="AB94" s="103">
        <v>40</v>
      </c>
      <c r="AC94" s="103">
        <v>0</v>
      </c>
      <c r="AD94" s="103">
        <v>40</v>
      </c>
      <c r="AE94" s="103" t="s">
        <v>1634</v>
      </c>
      <c r="AF94" s="103" t="s">
        <v>4830</v>
      </c>
      <c r="AG94" s="99" t="s">
        <v>4695</v>
      </c>
      <c r="AH94" s="103" t="s">
        <v>1862</v>
      </c>
      <c r="AI94" s="103" t="s">
        <v>1862</v>
      </c>
      <c r="AJ94" s="103" t="s">
        <v>1804</v>
      </c>
      <c r="AK94" s="103" t="s">
        <v>1804</v>
      </c>
      <c r="AL94" s="103" t="s">
        <v>1804</v>
      </c>
      <c r="AM94" s="103" t="s">
        <v>1804</v>
      </c>
      <c r="AN94" s="99" t="s">
        <v>1646</v>
      </c>
      <c r="AO94" s="103" t="s">
        <v>1862</v>
      </c>
      <c r="AP94" s="103">
        <v>750</v>
      </c>
      <c r="AQ94" s="103" t="s">
        <v>4509</v>
      </c>
      <c r="AR94" s="103" t="s">
        <v>4831</v>
      </c>
      <c r="AS94" s="106">
        <v>350000</v>
      </c>
      <c r="AT94" s="103" t="s">
        <v>4625</v>
      </c>
      <c r="AU94" s="103" t="s">
        <v>1548</v>
      </c>
      <c r="AV94" s="99"/>
      <c r="AW94" s="99" t="s">
        <v>4680</v>
      </c>
      <c r="AX94" s="99" t="s">
        <v>4543</v>
      </c>
      <c r="AY94" s="99" t="s">
        <v>4466</v>
      </c>
      <c r="AZ94" s="99" t="s">
        <v>4467</v>
      </c>
      <c r="BA94" s="103" t="s">
        <v>1634</v>
      </c>
      <c r="BB94" s="99">
        <v>500</v>
      </c>
      <c r="BC94" s="99">
        <v>4800</v>
      </c>
      <c r="BD94" s="99">
        <v>0</v>
      </c>
      <c r="BE94" s="99"/>
      <c r="BF94" s="103" t="s">
        <v>4511</v>
      </c>
      <c r="BG94" s="103" t="s">
        <v>1804</v>
      </c>
      <c r="BH94" s="103" t="s">
        <v>1862</v>
      </c>
      <c r="BI94" s="103" t="s">
        <v>1804</v>
      </c>
      <c r="BJ94" s="103" t="s">
        <v>1804</v>
      </c>
      <c r="BK94" s="103" t="s">
        <v>4478</v>
      </c>
      <c r="BL94" s="103" t="s">
        <v>4470</v>
      </c>
      <c r="BM94" s="103" t="s">
        <v>4461</v>
      </c>
      <c r="BN94" s="103" t="s">
        <v>4512</v>
      </c>
      <c r="BO94" s="103">
        <v>50</v>
      </c>
      <c r="BP94" s="103" t="s">
        <v>4509</v>
      </c>
      <c r="BQ94" s="107" t="s">
        <v>4476</v>
      </c>
      <c r="BR94" s="99" t="s">
        <v>4476</v>
      </c>
      <c r="BS94" s="99"/>
      <c r="BT94" s="103" t="s">
        <v>3186</v>
      </c>
      <c r="BU94" s="107" t="s">
        <v>4514</v>
      </c>
      <c r="BV94" s="103" t="s">
        <v>4476</v>
      </c>
      <c r="BW94" s="103" t="s">
        <v>1548</v>
      </c>
      <c r="BX94" s="103" t="s">
        <v>4501</v>
      </c>
      <c r="BY94" s="103" t="s">
        <v>4478</v>
      </c>
      <c r="BZ94" s="103" t="s">
        <v>4509</v>
      </c>
      <c r="CA94" s="103">
        <v>15</v>
      </c>
      <c r="CB94" s="103" t="s">
        <v>4475</v>
      </c>
      <c r="CC94" s="103" t="s">
        <v>4502</v>
      </c>
      <c r="CD94" s="103" t="s">
        <v>4475</v>
      </c>
      <c r="CE94" s="103" t="s">
        <v>4475</v>
      </c>
      <c r="CF94" s="103" t="s">
        <v>4482</v>
      </c>
      <c r="CG94" s="103" t="s">
        <v>5090</v>
      </c>
      <c r="CH94" s="103" t="s">
        <v>5091</v>
      </c>
      <c r="CI94" s="103">
        <v>70306621</v>
      </c>
      <c r="CJ94" s="99"/>
      <c r="CK94" s="108">
        <v>43364.601354166669</v>
      </c>
      <c r="CL94" s="108">
        <v>43364.61478009259</v>
      </c>
      <c r="CM94" s="95">
        <v>12.0601649</v>
      </c>
      <c r="CN94" s="95">
        <v>0.36542039999999998</v>
      </c>
      <c r="CO94" s="99"/>
      <c r="CP94" s="99"/>
      <c r="CQ94" s="99"/>
      <c r="CR94" s="99"/>
      <c r="CS94" s="99"/>
      <c r="CT94" s="99"/>
      <c r="CU94" s="99"/>
      <c r="CV94" s="99"/>
      <c r="CW94" s="99"/>
      <c r="CX94" s="99"/>
      <c r="CY94" s="99"/>
      <c r="CZ94" s="99"/>
      <c r="DA94" s="99"/>
      <c r="DB94" s="99"/>
      <c r="DC94" s="99"/>
    </row>
    <row r="95" spans="1:107" ht="15.75" customHeight="1">
      <c r="A95" s="95">
        <v>95</v>
      </c>
      <c r="B95" s="99" t="s">
        <v>687</v>
      </c>
      <c r="C95" s="99" t="s">
        <v>688</v>
      </c>
      <c r="D95" s="99">
        <v>78942120</v>
      </c>
      <c r="E95" s="99" t="s">
        <v>161</v>
      </c>
      <c r="F95" s="95" t="s">
        <v>5071</v>
      </c>
      <c r="G95" s="95" t="s">
        <v>1068</v>
      </c>
      <c r="H95" s="95" t="s">
        <v>1081</v>
      </c>
      <c r="I95" s="95"/>
      <c r="J95" s="95"/>
      <c r="K95" s="99"/>
      <c r="L95" s="103" t="s">
        <v>4449</v>
      </c>
      <c r="M95" s="99" t="s">
        <v>4567</v>
      </c>
      <c r="N95" s="99" t="s">
        <v>4568</v>
      </c>
      <c r="O95" s="99" t="s">
        <v>4615</v>
      </c>
      <c r="P95" s="103">
        <v>2009</v>
      </c>
      <c r="Q95" s="103" t="s">
        <v>1862</v>
      </c>
      <c r="R95" s="99" t="s">
        <v>4755</v>
      </c>
      <c r="S95" s="103" t="s">
        <v>1541</v>
      </c>
      <c r="T95" s="103" t="s">
        <v>4490</v>
      </c>
      <c r="U95" s="99" t="s">
        <v>5074</v>
      </c>
      <c r="V95" s="95">
        <v>10.3325996</v>
      </c>
      <c r="W95" s="95">
        <v>-3.3388917</v>
      </c>
      <c r="X95" s="104" t="s">
        <v>4872</v>
      </c>
      <c r="Y95" s="103" t="s">
        <v>1634</v>
      </c>
      <c r="Z95" s="103" t="s">
        <v>1634</v>
      </c>
      <c r="AA95" s="103" t="s">
        <v>1862</v>
      </c>
      <c r="AB95" s="103">
        <v>430</v>
      </c>
      <c r="AC95" s="103">
        <v>20</v>
      </c>
      <c r="AD95" s="103">
        <v>410</v>
      </c>
      <c r="AE95" s="103" t="s">
        <v>1634</v>
      </c>
      <c r="AF95" s="103" t="s">
        <v>4779</v>
      </c>
      <c r="AG95" s="99" t="s">
        <v>4781</v>
      </c>
      <c r="AH95" s="103" t="s">
        <v>1804</v>
      </c>
      <c r="AI95" s="103" t="s">
        <v>1862</v>
      </c>
      <c r="AJ95" s="103" t="s">
        <v>1862</v>
      </c>
      <c r="AK95" s="103" t="s">
        <v>1862</v>
      </c>
      <c r="AL95" s="103" t="s">
        <v>1804</v>
      </c>
      <c r="AM95" s="103" t="s">
        <v>1862</v>
      </c>
      <c r="AN95" s="99" t="s">
        <v>4604</v>
      </c>
      <c r="AO95" s="103" t="s">
        <v>1862</v>
      </c>
      <c r="AP95" s="103">
        <v>1500</v>
      </c>
      <c r="AQ95" s="103" t="s">
        <v>4500</v>
      </c>
      <c r="AR95" s="103">
        <v>0</v>
      </c>
      <c r="AS95" s="106">
        <v>475000</v>
      </c>
      <c r="AT95" s="103" t="s">
        <v>4496</v>
      </c>
      <c r="AU95" s="103" t="s">
        <v>1634</v>
      </c>
      <c r="AV95" s="99" t="s">
        <v>4671</v>
      </c>
      <c r="AW95" s="99" t="s">
        <v>5092</v>
      </c>
      <c r="AX95" s="99" t="s">
        <v>5093</v>
      </c>
      <c r="AY95" s="99" t="s">
        <v>4466</v>
      </c>
      <c r="AZ95" s="99" t="s">
        <v>4561</v>
      </c>
      <c r="BA95" s="103" t="s">
        <v>1634</v>
      </c>
      <c r="BB95" s="99">
        <v>1200</v>
      </c>
      <c r="BC95" s="99">
        <v>195</v>
      </c>
      <c r="BD95" s="99">
        <v>0</v>
      </c>
      <c r="BE95" s="99">
        <v>375000</v>
      </c>
      <c r="BF95" s="103" t="s">
        <v>4689</v>
      </c>
      <c r="BG95" s="103" t="s">
        <v>1804</v>
      </c>
      <c r="BH95" s="103" t="s">
        <v>1804</v>
      </c>
      <c r="BI95" s="103" t="s">
        <v>1862</v>
      </c>
      <c r="BJ95" s="103" t="s">
        <v>1862</v>
      </c>
      <c r="BK95" s="103" t="s">
        <v>4478</v>
      </c>
      <c r="BL95" s="103" t="s">
        <v>4472</v>
      </c>
      <c r="BM95" s="103" t="s">
        <v>4500</v>
      </c>
      <c r="BN95" s="103" t="s">
        <v>5094</v>
      </c>
      <c r="BO95" s="103">
        <v>1300</v>
      </c>
      <c r="BP95" s="103" t="s">
        <v>4500</v>
      </c>
      <c r="BQ95" s="107" t="s">
        <v>4476</v>
      </c>
      <c r="BR95" s="99" t="s">
        <v>4534</v>
      </c>
      <c r="BS95" s="99" t="s">
        <v>4534</v>
      </c>
      <c r="BT95" s="103" t="s">
        <v>3186</v>
      </c>
      <c r="BU95" s="99" t="s">
        <v>4608</v>
      </c>
      <c r="BV95" s="103" t="s">
        <v>4476</v>
      </c>
      <c r="BW95" s="103" t="s">
        <v>4476</v>
      </c>
      <c r="BX95" s="103" t="s">
        <v>1548</v>
      </c>
      <c r="BY95" s="103" t="s">
        <v>4535</v>
      </c>
      <c r="BZ95" s="103" t="s">
        <v>4478</v>
      </c>
      <c r="CA95" s="103" t="s">
        <v>4461</v>
      </c>
      <c r="CB95" s="103">
        <v>1</v>
      </c>
      <c r="CC95" s="103" t="s">
        <v>4479</v>
      </c>
      <c r="CD95" s="103" t="s">
        <v>4475</v>
      </c>
      <c r="CE95" s="103" t="s">
        <v>4481</v>
      </c>
      <c r="CF95" s="103"/>
      <c r="CG95" s="103" t="s">
        <v>687</v>
      </c>
      <c r="CH95" s="103" t="s">
        <v>1003</v>
      </c>
      <c r="CI95" s="103">
        <v>78942120</v>
      </c>
      <c r="CJ95" s="103"/>
      <c r="CK95" s="108">
        <v>43364.77238425926</v>
      </c>
      <c r="CL95" s="109">
        <v>43364.783900462964</v>
      </c>
      <c r="CM95" s="95">
        <v>10.3325996</v>
      </c>
      <c r="CN95" s="95">
        <v>-3.3388917</v>
      </c>
      <c r="CO95" s="99"/>
      <c r="CP95" s="99"/>
      <c r="CQ95" s="99"/>
      <c r="CR95" s="99"/>
      <c r="CS95" s="99"/>
      <c r="CT95" s="99"/>
      <c r="CU95" s="99"/>
      <c r="CV95" s="99"/>
      <c r="CW95" s="99"/>
      <c r="CX95" s="99"/>
      <c r="CY95" s="99"/>
      <c r="CZ95" s="99"/>
      <c r="DA95" s="99"/>
      <c r="DB95" s="99"/>
      <c r="DC95" s="99"/>
    </row>
    <row r="96" spans="1:107" ht="15.75" customHeight="1">
      <c r="A96" s="95">
        <v>96</v>
      </c>
      <c r="B96" s="99" t="s">
        <v>689</v>
      </c>
      <c r="C96" s="99" t="s">
        <v>690</v>
      </c>
      <c r="D96" s="99">
        <v>75272877</v>
      </c>
      <c r="E96" s="99" t="s">
        <v>162</v>
      </c>
      <c r="F96" s="95" t="s">
        <v>5095</v>
      </c>
      <c r="G96" s="95" t="s">
        <v>1068</v>
      </c>
      <c r="H96" s="95" t="s">
        <v>1081</v>
      </c>
      <c r="I96" s="95" t="s">
        <v>156</v>
      </c>
      <c r="J96" s="95" t="s">
        <v>1096</v>
      </c>
      <c r="K96" s="99"/>
      <c r="L96" s="103" t="s">
        <v>4449</v>
      </c>
      <c r="M96" s="99" t="s">
        <v>4567</v>
      </c>
      <c r="N96" s="99" t="s">
        <v>4451</v>
      </c>
      <c r="O96" s="99" t="s">
        <v>4615</v>
      </c>
      <c r="P96" s="103">
        <v>2002</v>
      </c>
      <c r="Q96" s="103" t="s">
        <v>1862</v>
      </c>
      <c r="R96" s="99" t="s">
        <v>4755</v>
      </c>
      <c r="S96" s="103" t="s">
        <v>4803</v>
      </c>
      <c r="T96" s="103" t="s">
        <v>4634</v>
      </c>
      <c r="U96" s="99" t="s">
        <v>5096</v>
      </c>
      <c r="V96" s="95">
        <v>10.4231493</v>
      </c>
      <c r="W96" s="95">
        <v>-3.2583625999999999</v>
      </c>
      <c r="X96" s="104" t="s">
        <v>5097</v>
      </c>
      <c r="Y96" s="103" t="s">
        <v>1634</v>
      </c>
      <c r="Z96" s="103" t="s">
        <v>1634</v>
      </c>
      <c r="AA96" s="103" t="s">
        <v>1862</v>
      </c>
      <c r="AB96" s="103">
        <v>450</v>
      </c>
      <c r="AC96" s="103">
        <v>35</v>
      </c>
      <c r="AD96" s="103">
        <v>415</v>
      </c>
      <c r="AE96" s="103" t="s">
        <v>1634</v>
      </c>
      <c r="AF96" s="103" t="s">
        <v>5098</v>
      </c>
      <c r="AG96" s="99" t="s">
        <v>4745</v>
      </c>
      <c r="AH96" s="103" t="s">
        <v>1862</v>
      </c>
      <c r="AI96" s="103" t="s">
        <v>1862</v>
      </c>
      <c r="AJ96" s="103" t="s">
        <v>1862</v>
      </c>
      <c r="AK96" s="103" t="s">
        <v>1862</v>
      </c>
      <c r="AL96" s="103" t="s">
        <v>1862</v>
      </c>
      <c r="AM96" s="103" t="s">
        <v>1862</v>
      </c>
      <c r="AN96" s="99" t="s">
        <v>4638</v>
      </c>
      <c r="AO96" s="103" t="s">
        <v>1862</v>
      </c>
      <c r="AP96" s="103">
        <v>1500</v>
      </c>
      <c r="AQ96" s="103" t="s">
        <v>4461</v>
      </c>
      <c r="AR96" s="103">
        <v>520000</v>
      </c>
      <c r="AS96" s="106">
        <v>13500000</v>
      </c>
      <c r="AT96" s="103" t="s">
        <v>4510</v>
      </c>
      <c r="AU96" s="103" t="s">
        <v>1634</v>
      </c>
      <c r="AV96" s="99" t="s">
        <v>4463</v>
      </c>
      <c r="AW96" s="99" t="s">
        <v>5099</v>
      </c>
      <c r="AX96" s="99" t="s">
        <v>5100</v>
      </c>
      <c r="AY96" s="99" t="s">
        <v>4560</v>
      </c>
      <c r="AZ96" s="99" t="s">
        <v>4561</v>
      </c>
      <c r="BA96" s="103" t="s">
        <v>1634</v>
      </c>
      <c r="BB96" s="99">
        <v>22000</v>
      </c>
      <c r="BC96" s="99">
        <v>1500</v>
      </c>
      <c r="BD96" s="99">
        <v>650000</v>
      </c>
      <c r="BE96" s="99">
        <v>12500000</v>
      </c>
      <c r="BF96" s="103" t="s">
        <v>4889</v>
      </c>
      <c r="BG96" s="103" t="s">
        <v>1862</v>
      </c>
      <c r="BH96" s="103" t="s">
        <v>1862</v>
      </c>
      <c r="BI96" s="103" t="s">
        <v>1804</v>
      </c>
      <c r="BJ96" s="103" t="s">
        <v>1862</v>
      </c>
      <c r="BK96" s="103" t="s">
        <v>4478</v>
      </c>
      <c r="BL96" s="103" t="s">
        <v>4472</v>
      </c>
      <c r="BM96" s="103" t="s">
        <v>4461</v>
      </c>
      <c r="BN96" s="103" t="s">
        <v>4607</v>
      </c>
      <c r="BO96" s="103">
        <v>1200</v>
      </c>
      <c r="BP96" s="103" t="s">
        <v>4461</v>
      </c>
      <c r="BQ96" s="99" t="s">
        <v>4809</v>
      </c>
      <c r="BR96" s="99" t="s">
        <v>4534</v>
      </c>
      <c r="BS96" s="99" t="s">
        <v>4534</v>
      </c>
      <c r="BT96" s="103" t="s">
        <v>3186</v>
      </c>
      <c r="BU96" s="99" t="s">
        <v>5101</v>
      </c>
      <c r="BV96" s="103" t="s">
        <v>4476</v>
      </c>
      <c r="BW96" s="103" t="s">
        <v>4476</v>
      </c>
      <c r="BX96" s="103" t="s">
        <v>1548</v>
      </c>
      <c r="BY96" s="103" t="s">
        <v>4535</v>
      </c>
      <c r="BZ96" s="103" t="s">
        <v>4478</v>
      </c>
      <c r="CA96" s="103" t="s">
        <v>4461</v>
      </c>
      <c r="CB96" s="103">
        <v>100</v>
      </c>
      <c r="CC96" s="103" t="s">
        <v>4502</v>
      </c>
      <c r="CD96" s="103" t="s">
        <v>4480</v>
      </c>
      <c r="CE96" s="103" t="s">
        <v>4480</v>
      </c>
      <c r="CF96" s="103"/>
      <c r="CG96" s="103" t="s">
        <v>689</v>
      </c>
      <c r="CH96" s="103" t="s">
        <v>5102</v>
      </c>
      <c r="CI96" s="103">
        <v>65058117</v>
      </c>
      <c r="CJ96" s="103"/>
      <c r="CK96" s="108">
        <v>43364.465567129628</v>
      </c>
      <c r="CL96" s="109">
        <v>43364.749490740738</v>
      </c>
      <c r="CM96" s="95">
        <v>10.4231493</v>
      </c>
      <c r="CN96" s="95">
        <v>-3.2583625999999999</v>
      </c>
      <c r="CO96" s="99"/>
      <c r="CP96" s="99"/>
      <c r="CQ96" s="99"/>
      <c r="CR96" s="99"/>
      <c r="CS96" s="99"/>
      <c r="CT96" s="99"/>
      <c r="CU96" s="99"/>
      <c r="CV96" s="99"/>
      <c r="CW96" s="99"/>
      <c r="CX96" s="99"/>
      <c r="CY96" s="99"/>
      <c r="CZ96" s="99"/>
      <c r="DA96" s="99"/>
      <c r="DB96" s="99"/>
      <c r="DC96" s="99"/>
    </row>
    <row r="97" spans="1:107" ht="15.75" customHeight="1">
      <c r="A97" s="95">
        <v>97</v>
      </c>
      <c r="B97" s="99" t="s">
        <v>656</v>
      </c>
      <c r="C97" s="99" t="s">
        <v>691</v>
      </c>
      <c r="D97" s="99">
        <v>78872211</v>
      </c>
      <c r="E97" s="99" t="s">
        <v>163</v>
      </c>
      <c r="F97" s="95" t="s">
        <v>5103</v>
      </c>
      <c r="G97" s="95" t="s">
        <v>1068</v>
      </c>
      <c r="H97" s="95" t="s">
        <v>1081</v>
      </c>
      <c r="I97" s="95" t="s">
        <v>156</v>
      </c>
      <c r="J97" s="95" t="s">
        <v>1097</v>
      </c>
      <c r="K97" s="99"/>
      <c r="L97" s="103" t="s">
        <v>4449</v>
      </c>
      <c r="M97" s="99" t="s">
        <v>4450</v>
      </c>
      <c r="N97" s="99" t="s">
        <v>4520</v>
      </c>
      <c r="O97" s="99"/>
      <c r="P97" s="103">
        <v>1994</v>
      </c>
      <c r="Q97" s="103" t="s">
        <v>1862</v>
      </c>
      <c r="R97" s="99" t="s">
        <v>4551</v>
      </c>
      <c r="S97" s="103" t="s">
        <v>5104</v>
      </c>
      <c r="T97" s="103" t="s">
        <v>4490</v>
      </c>
      <c r="U97" s="99" t="s">
        <v>5105</v>
      </c>
      <c r="V97" s="95">
        <v>10.3325996</v>
      </c>
      <c r="W97" s="95">
        <v>-3.3388917</v>
      </c>
      <c r="X97" s="104" t="s">
        <v>4872</v>
      </c>
      <c r="Y97" s="103" t="s">
        <v>1634</v>
      </c>
      <c r="Z97" s="103" t="s">
        <v>1634</v>
      </c>
      <c r="AA97" s="103" t="s">
        <v>1862</v>
      </c>
      <c r="AB97" s="103">
        <v>52</v>
      </c>
      <c r="AC97" s="103">
        <v>2</v>
      </c>
      <c r="AD97" s="103">
        <v>50</v>
      </c>
      <c r="AE97" s="103" t="s">
        <v>1634</v>
      </c>
      <c r="AF97" s="103" t="s">
        <v>5084</v>
      </c>
      <c r="AG97" s="99" t="s">
        <v>5106</v>
      </c>
      <c r="AH97" s="103" t="s">
        <v>1804</v>
      </c>
      <c r="AI97" s="103" t="s">
        <v>1862</v>
      </c>
      <c r="AJ97" s="103" t="s">
        <v>1804</v>
      </c>
      <c r="AK97" s="103" t="s">
        <v>1804</v>
      </c>
      <c r="AL97" s="103" t="s">
        <v>1862</v>
      </c>
      <c r="AM97" s="103" t="s">
        <v>1804</v>
      </c>
      <c r="AN97" s="99" t="s">
        <v>5107</v>
      </c>
      <c r="AO97" s="103" t="s">
        <v>1862</v>
      </c>
      <c r="AP97" s="103">
        <v>750</v>
      </c>
      <c r="AQ97" s="103" t="s">
        <v>4500</v>
      </c>
      <c r="AR97" s="103">
        <v>150000</v>
      </c>
      <c r="AS97" s="106">
        <v>550000</v>
      </c>
      <c r="AT97" s="103" t="s">
        <v>4625</v>
      </c>
      <c r="AU97" s="103" t="s">
        <v>1634</v>
      </c>
      <c r="AV97" s="99" t="s">
        <v>4671</v>
      </c>
      <c r="AW97" s="99" t="s">
        <v>5108</v>
      </c>
      <c r="AX97" s="99" t="s">
        <v>5087</v>
      </c>
      <c r="AY97" s="99" t="s">
        <v>4466</v>
      </c>
      <c r="AZ97" s="99" t="s">
        <v>4467</v>
      </c>
      <c r="BA97" s="103" t="s">
        <v>1634</v>
      </c>
      <c r="BB97" s="99">
        <v>1100</v>
      </c>
      <c r="BC97" s="99">
        <v>250</v>
      </c>
      <c r="BD97" s="99">
        <v>550000</v>
      </c>
      <c r="BE97" s="99">
        <v>210000</v>
      </c>
      <c r="BF97" s="103" t="s">
        <v>4785</v>
      </c>
      <c r="BG97" s="103" t="s">
        <v>1804</v>
      </c>
      <c r="BH97" s="103" t="s">
        <v>1804</v>
      </c>
      <c r="BI97" s="103" t="s">
        <v>1804</v>
      </c>
      <c r="BJ97" s="103" t="s">
        <v>1862</v>
      </c>
      <c r="BK97" s="103" t="s">
        <v>4478</v>
      </c>
      <c r="BL97" s="103" t="s">
        <v>4461</v>
      </c>
      <c r="BM97" s="103" t="s">
        <v>4461</v>
      </c>
      <c r="BN97" s="103" t="s">
        <v>5109</v>
      </c>
      <c r="BO97" s="103">
        <v>1300</v>
      </c>
      <c r="BP97" s="103" t="s">
        <v>4500</v>
      </c>
      <c r="BQ97" s="99" t="s">
        <v>4476</v>
      </c>
      <c r="BR97" s="99" t="s">
        <v>4534</v>
      </c>
      <c r="BS97" s="99" t="s">
        <v>4534</v>
      </c>
      <c r="BT97" s="103" t="s">
        <v>3186</v>
      </c>
      <c r="BU97" s="99" t="s">
        <v>4502</v>
      </c>
      <c r="BV97" s="103" t="s">
        <v>4564</v>
      </c>
      <c r="BW97" s="103" t="s">
        <v>4476</v>
      </c>
      <c r="BX97" s="103" t="s">
        <v>1548</v>
      </c>
      <c r="BY97" s="103" t="s">
        <v>4535</v>
      </c>
      <c r="BZ97" s="103" t="s">
        <v>4478</v>
      </c>
      <c r="CA97" s="103" t="s">
        <v>4461</v>
      </c>
      <c r="CB97" s="103">
        <v>1</v>
      </c>
      <c r="CC97" s="103" t="s">
        <v>4502</v>
      </c>
      <c r="CD97" s="103" t="s">
        <v>4502</v>
      </c>
      <c r="CE97" s="103" t="s">
        <v>4502</v>
      </c>
      <c r="CF97" s="103"/>
      <c r="CG97" s="103" t="s">
        <v>656</v>
      </c>
      <c r="CH97" s="103" t="s">
        <v>5110</v>
      </c>
      <c r="CI97" s="103">
        <v>60003636</v>
      </c>
      <c r="CJ97" s="103"/>
      <c r="CK97" s="108">
        <v>43364.73033564815</v>
      </c>
      <c r="CL97" s="109">
        <v>43364.763842592591</v>
      </c>
      <c r="CM97" s="95">
        <v>10.3325996</v>
      </c>
      <c r="CN97" s="95">
        <v>-3.3388917</v>
      </c>
      <c r="CO97" s="99"/>
      <c r="CP97" s="99"/>
      <c r="CQ97" s="99"/>
      <c r="CR97" s="99"/>
      <c r="CS97" s="99"/>
      <c r="CT97" s="99"/>
      <c r="CU97" s="99"/>
      <c r="CV97" s="99"/>
      <c r="CW97" s="99"/>
      <c r="CX97" s="99"/>
      <c r="CY97" s="99"/>
      <c r="CZ97" s="99"/>
      <c r="DA97" s="99"/>
      <c r="DB97" s="99"/>
      <c r="DC97" s="99"/>
    </row>
    <row r="98" spans="1:107" ht="15.75" customHeight="1">
      <c r="A98" s="95">
        <v>98</v>
      </c>
      <c r="B98" s="99" t="s">
        <v>692</v>
      </c>
      <c r="C98" s="99" t="s">
        <v>693</v>
      </c>
      <c r="D98" s="99">
        <v>77764772</v>
      </c>
      <c r="E98" s="99" t="s">
        <v>164</v>
      </c>
      <c r="F98" s="95" t="s">
        <v>5111</v>
      </c>
      <c r="G98" s="95" t="s">
        <v>1042</v>
      </c>
      <c r="H98" s="95" t="s">
        <v>1078</v>
      </c>
      <c r="I98" s="95" t="s">
        <v>165</v>
      </c>
      <c r="J98" s="95"/>
      <c r="K98" s="99"/>
      <c r="L98" s="103" t="s">
        <v>4449</v>
      </c>
      <c r="M98" s="99" t="s">
        <v>4450</v>
      </c>
      <c r="N98" s="99" t="s">
        <v>1565</v>
      </c>
      <c r="O98" s="99" t="s">
        <v>4488</v>
      </c>
      <c r="P98" s="103">
        <v>2008</v>
      </c>
      <c r="Q98" s="103" t="s">
        <v>1862</v>
      </c>
      <c r="R98" s="99" t="s">
        <v>5112</v>
      </c>
      <c r="S98" s="103" t="s">
        <v>1541</v>
      </c>
      <c r="T98" s="103" t="s">
        <v>4634</v>
      </c>
      <c r="U98" s="99" t="s">
        <v>5113</v>
      </c>
      <c r="V98" s="95">
        <v>11.66503</v>
      </c>
      <c r="W98" s="95">
        <v>-1.0634024</v>
      </c>
      <c r="X98" s="104" t="s">
        <v>5114</v>
      </c>
      <c r="Y98" s="103" t="s">
        <v>1634</v>
      </c>
      <c r="Z98" s="103" t="s">
        <v>1634</v>
      </c>
      <c r="AA98" s="103" t="s">
        <v>1862</v>
      </c>
      <c r="AB98" s="103">
        <v>30</v>
      </c>
      <c r="AC98" s="103">
        <v>0</v>
      </c>
      <c r="AD98" s="103">
        <v>30</v>
      </c>
      <c r="AE98" s="103" t="s">
        <v>1634</v>
      </c>
      <c r="AF98" s="103" t="s">
        <v>4493</v>
      </c>
      <c r="AG98" s="99" t="s">
        <v>4781</v>
      </c>
      <c r="AH98" s="103" t="s">
        <v>1804</v>
      </c>
      <c r="AI98" s="103" t="s">
        <v>1862</v>
      </c>
      <c r="AJ98" s="103" t="s">
        <v>1862</v>
      </c>
      <c r="AK98" s="103" t="s">
        <v>1862</v>
      </c>
      <c r="AL98" s="103" t="s">
        <v>1804</v>
      </c>
      <c r="AM98" s="103" t="s">
        <v>1862</v>
      </c>
      <c r="AN98" s="99" t="s">
        <v>5115</v>
      </c>
      <c r="AO98" s="103" t="s">
        <v>1862</v>
      </c>
      <c r="AP98" s="103">
        <v>1500</v>
      </c>
      <c r="AQ98" s="103" t="s">
        <v>4461</v>
      </c>
      <c r="AR98" s="103">
        <v>1320000</v>
      </c>
      <c r="AS98" s="106">
        <v>5052000</v>
      </c>
      <c r="AT98" s="103" t="s">
        <v>4594</v>
      </c>
      <c r="AU98" s="103" t="s">
        <v>1634</v>
      </c>
      <c r="AV98" s="99" t="s">
        <v>4671</v>
      </c>
      <c r="AW98" s="99" t="s">
        <v>5116</v>
      </c>
      <c r="AX98" s="99" t="s">
        <v>4498</v>
      </c>
      <c r="AY98" s="99" t="s">
        <v>4560</v>
      </c>
      <c r="AZ98" s="99" t="s">
        <v>4530</v>
      </c>
      <c r="BA98" s="103" t="s">
        <v>1634</v>
      </c>
      <c r="BB98" s="99">
        <v>3600</v>
      </c>
      <c r="BC98" s="99">
        <v>7200</v>
      </c>
      <c r="BD98" s="99">
        <v>1500000</v>
      </c>
      <c r="BE98" s="99">
        <v>5150000</v>
      </c>
      <c r="BF98" s="103" t="s">
        <v>5117</v>
      </c>
      <c r="BG98" s="103" t="s">
        <v>1862</v>
      </c>
      <c r="BH98" s="103" t="s">
        <v>1804</v>
      </c>
      <c r="BI98" s="103" t="s">
        <v>1862</v>
      </c>
      <c r="BJ98" s="103" t="s">
        <v>1862</v>
      </c>
      <c r="BK98" s="103" t="s">
        <v>4478</v>
      </c>
      <c r="BL98" s="103" t="s">
        <v>4470</v>
      </c>
      <c r="BM98" s="103" t="s">
        <v>4461</v>
      </c>
      <c r="BN98" s="103" t="s">
        <v>5118</v>
      </c>
      <c r="BO98" s="103">
        <v>600</v>
      </c>
      <c r="BP98" s="103" t="s">
        <v>4500</v>
      </c>
      <c r="BQ98" s="107" t="s">
        <v>4574</v>
      </c>
      <c r="BR98" s="99" t="s">
        <v>4574</v>
      </c>
      <c r="BS98" s="99" t="s">
        <v>4574</v>
      </c>
      <c r="BT98" s="103" t="s">
        <v>3186</v>
      </c>
      <c r="BU98" s="99" t="s">
        <v>4608</v>
      </c>
      <c r="BV98" s="103" t="s">
        <v>4574</v>
      </c>
      <c r="BW98" s="103" t="s">
        <v>4574</v>
      </c>
      <c r="BX98" s="103" t="s">
        <v>1548</v>
      </c>
      <c r="BY98" s="103" t="s">
        <v>4535</v>
      </c>
      <c r="BZ98" s="103" t="s">
        <v>4478</v>
      </c>
      <c r="CA98" s="103" t="s">
        <v>4461</v>
      </c>
      <c r="CB98" s="103">
        <v>15000</v>
      </c>
      <c r="CC98" s="103"/>
      <c r="CD98" s="103"/>
      <c r="CE98" s="103"/>
      <c r="CF98" s="103"/>
      <c r="CG98" s="103" t="s">
        <v>5119</v>
      </c>
      <c r="CH98" s="103" t="s">
        <v>4028</v>
      </c>
      <c r="CI98" s="103">
        <v>69174563</v>
      </c>
      <c r="CJ98" s="103"/>
      <c r="CK98" s="108">
        <v>43365.877083333333</v>
      </c>
      <c r="CL98" s="109">
        <v>43365.921064814815</v>
      </c>
      <c r="CM98" s="95">
        <v>11.66503</v>
      </c>
      <c r="CN98" s="95">
        <v>-1.0634024</v>
      </c>
      <c r="CO98" s="99"/>
      <c r="CP98" s="99"/>
      <c r="CQ98" s="99"/>
      <c r="CR98" s="99"/>
      <c r="CS98" s="99"/>
      <c r="CT98" s="99"/>
      <c r="CU98" s="99"/>
      <c r="CV98" s="99"/>
      <c r="CW98" s="99"/>
      <c r="CX98" s="99"/>
      <c r="CY98" s="99"/>
      <c r="CZ98" s="99"/>
      <c r="DA98" s="99"/>
      <c r="DB98" s="99"/>
      <c r="DC98" s="99"/>
    </row>
    <row r="99" spans="1:107" ht="15.75" customHeight="1">
      <c r="A99" s="95">
        <v>99</v>
      </c>
      <c r="B99" s="99" t="s">
        <v>694</v>
      </c>
      <c r="C99" s="99" t="s">
        <v>695</v>
      </c>
      <c r="D99" s="110">
        <v>75109642</v>
      </c>
      <c r="E99" s="99" t="s">
        <v>166</v>
      </c>
      <c r="F99" s="95" t="s">
        <v>5120</v>
      </c>
      <c r="G99" s="95" t="s">
        <v>1068</v>
      </c>
      <c r="H99" s="95" t="s">
        <v>1081</v>
      </c>
      <c r="I99" s="95" t="s">
        <v>167</v>
      </c>
      <c r="J99" s="99"/>
      <c r="K99" s="99"/>
      <c r="L99" s="103" t="s">
        <v>4449</v>
      </c>
      <c r="M99" s="99" t="s">
        <v>4450</v>
      </c>
      <c r="N99" s="99" t="s">
        <v>4718</v>
      </c>
      <c r="O99" s="99" t="s">
        <v>4818</v>
      </c>
      <c r="P99" s="103">
        <v>2004</v>
      </c>
      <c r="Q99" s="103" t="s">
        <v>1862</v>
      </c>
      <c r="R99" s="99" t="s">
        <v>4633</v>
      </c>
      <c r="S99" s="103" t="s">
        <v>4803</v>
      </c>
      <c r="T99" s="103" t="s">
        <v>4634</v>
      </c>
      <c r="U99" s="99" t="s">
        <v>5121</v>
      </c>
      <c r="V99" s="95">
        <v>10.6302115</v>
      </c>
      <c r="W99" s="95">
        <v>-3.0551159000000001</v>
      </c>
      <c r="X99" s="104" t="s">
        <v>5122</v>
      </c>
      <c r="Y99" s="103" t="s">
        <v>1634</v>
      </c>
      <c r="Z99" s="103" t="s">
        <v>1634</v>
      </c>
      <c r="AA99" s="103" t="s">
        <v>1862</v>
      </c>
      <c r="AB99" s="103">
        <v>255</v>
      </c>
      <c r="AC99" s="103">
        <v>1</v>
      </c>
      <c r="AD99" s="103">
        <v>254</v>
      </c>
      <c r="AE99" s="103" t="s">
        <v>1634</v>
      </c>
      <c r="AF99" s="103" t="s">
        <v>4779</v>
      </c>
      <c r="AG99" s="99" t="s">
        <v>4554</v>
      </c>
      <c r="AH99" s="103" t="s">
        <v>1862</v>
      </c>
      <c r="AI99" s="103" t="s">
        <v>1862</v>
      </c>
      <c r="AJ99" s="103" t="s">
        <v>1862</v>
      </c>
      <c r="AK99" s="103" t="s">
        <v>1862</v>
      </c>
      <c r="AL99" s="103" t="s">
        <v>1804</v>
      </c>
      <c r="AM99" s="103" t="s">
        <v>1862</v>
      </c>
      <c r="AN99" s="99" t="s">
        <v>4638</v>
      </c>
      <c r="AO99" s="103" t="s">
        <v>1862</v>
      </c>
      <c r="AP99" s="103">
        <v>1800</v>
      </c>
      <c r="AQ99" s="112" t="s">
        <v>4461</v>
      </c>
      <c r="AR99" s="103"/>
      <c r="AS99" s="106">
        <v>47500000</v>
      </c>
      <c r="AT99" s="103" t="s">
        <v>4527</v>
      </c>
      <c r="AU99" s="103" t="s">
        <v>1634</v>
      </c>
      <c r="AV99" s="99" t="s">
        <v>4463</v>
      </c>
      <c r="AW99" s="99" t="s">
        <v>4639</v>
      </c>
      <c r="AX99" s="99" t="s">
        <v>4640</v>
      </c>
      <c r="AY99" s="99" t="s">
        <v>4641</v>
      </c>
      <c r="AZ99" s="99" t="s">
        <v>4530</v>
      </c>
      <c r="BA99" s="103" t="s">
        <v>1634</v>
      </c>
      <c r="BB99" s="99"/>
      <c r="BC99" s="99">
        <v>21000</v>
      </c>
      <c r="BD99" s="99"/>
      <c r="BE99" s="99">
        <v>40000000</v>
      </c>
      <c r="BF99" s="103" t="s">
        <v>4642</v>
      </c>
      <c r="BG99" s="103" t="s">
        <v>1862</v>
      </c>
      <c r="BH99" s="103" t="s">
        <v>1862</v>
      </c>
      <c r="BI99" s="103" t="s">
        <v>1862</v>
      </c>
      <c r="BJ99" s="103" t="s">
        <v>1862</v>
      </c>
      <c r="BK99" s="103" t="s">
        <v>4469</v>
      </c>
      <c r="BL99" s="103" t="s">
        <v>4472</v>
      </c>
      <c r="BM99" s="103" t="s">
        <v>4461</v>
      </c>
      <c r="BN99" s="103" t="s">
        <v>4643</v>
      </c>
      <c r="BO99" s="103">
        <v>500</v>
      </c>
      <c r="BP99" s="103" t="s">
        <v>4532</v>
      </c>
      <c r="BQ99" s="99" t="s">
        <v>4644</v>
      </c>
      <c r="BR99" s="99" t="s">
        <v>4644</v>
      </c>
      <c r="BS99" s="99" t="s">
        <v>4564</v>
      </c>
      <c r="BT99" s="103" t="s">
        <v>3186</v>
      </c>
      <c r="BU99" s="99"/>
      <c r="BV99" s="103" t="s">
        <v>4644</v>
      </c>
      <c r="BW99" s="103" t="s">
        <v>4644</v>
      </c>
      <c r="BX99" s="103"/>
      <c r="BY99" s="103"/>
      <c r="BZ99" s="103"/>
      <c r="CA99" s="103"/>
      <c r="CB99" s="103"/>
      <c r="CC99" s="103" t="s">
        <v>4502</v>
      </c>
      <c r="CD99" s="103" t="s">
        <v>4475</v>
      </c>
      <c r="CE99" s="112" t="s">
        <v>4475</v>
      </c>
      <c r="CF99" s="103"/>
      <c r="CG99" s="103" t="s">
        <v>694</v>
      </c>
      <c r="CH99" s="103" t="s">
        <v>695</v>
      </c>
      <c r="CI99" s="111">
        <v>75109642</v>
      </c>
      <c r="CJ99" s="103"/>
      <c r="CK99" s="108">
        <v>43364.693287037036</v>
      </c>
      <c r="CL99" s="109">
        <v>43364.732754629629</v>
      </c>
      <c r="CM99" s="95">
        <v>10.6302115</v>
      </c>
      <c r="CN99" s="95">
        <v>-3.0551159000000001</v>
      </c>
      <c r="CO99" s="99"/>
      <c r="CP99" s="99"/>
      <c r="CQ99" s="99"/>
      <c r="CR99" s="99"/>
      <c r="CS99" s="99"/>
      <c r="CT99" s="99"/>
      <c r="CU99" s="99"/>
      <c r="CV99" s="99"/>
      <c r="CW99" s="99"/>
      <c r="CX99" s="99"/>
      <c r="CY99" s="99"/>
      <c r="CZ99" s="99"/>
      <c r="DA99" s="99"/>
      <c r="DB99" s="99"/>
      <c r="DC99" s="99"/>
    </row>
    <row r="100" spans="1:107" ht="15.75" customHeight="1">
      <c r="A100" s="95">
        <v>100</v>
      </c>
      <c r="B100" s="99" t="s">
        <v>696</v>
      </c>
      <c r="C100" s="99" t="s">
        <v>697</v>
      </c>
      <c r="D100" s="99">
        <v>76339954</v>
      </c>
      <c r="E100" s="99" t="s">
        <v>168</v>
      </c>
      <c r="F100" s="95" t="s">
        <v>5123</v>
      </c>
      <c r="G100" s="95" t="s">
        <v>1042</v>
      </c>
      <c r="H100" s="95" t="s">
        <v>1043</v>
      </c>
      <c r="I100" s="95" t="s">
        <v>169</v>
      </c>
      <c r="J100" s="99"/>
      <c r="K100" s="99"/>
      <c r="L100" s="103" t="s">
        <v>4449</v>
      </c>
      <c r="M100" s="99" t="s">
        <v>4450</v>
      </c>
      <c r="N100" s="99" t="s">
        <v>4451</v>
      </c>
      <c r="O100" s="99"/>
      <c r="P100" s="103">
        <v>1992</v>
      </c>
      <c r="Q100" s="103" t="s">
        <v>1862</v>
      </c>
      <c r="R100" s="99" t="s">
        <v>5124</v>
      </c>
      <c r="S100" s="103" t="s">
        <v>1541</v>
      </c>
      <c r="T100" s="103" t="s">
        <v>4538</v>
      </c>
      <c r="U100" s="99" t="s">
        <v>5125</v>
      </c>
      <c r="V100" s="95">
        <v>11.0966798</v>
      </c>
      <c r="W100" s="95">
        <v>-0.96496879999999996</v>
      </c>
      <c r="X100" s="104" t="s">
        <v>4820</v>
      </c>
      <c r="Y100" s="103" t="s">
        <v>1548</v>
      </c>
      <c r="Z100" s="103" t="s">
        <v>1548</v>
      </c>
      <c r="AA100" s="103" t="s">
        <v>1862</v>
      </c>
      <c r="AB100" s="103">
        <v>40</v>
      </c>
      <c r="AC100" s="103">
        <v>0</v>
      </c>
      <c r="AD100" s="103">
        <v>40</v>
      </c>
      <c r="AE100" s="103" t="s">
        <v>1634</v>
      </c>
      <c r="AF100" s="103" t="s">
        <v>4458</v>
      </c>
      <c r="AG100" s="99" t="s">
        <v>4928</v>
      </c>
      <c r="AH100" s="103" t="s">
        <v>1804</v>
      </c>
      <c r="AI100" s="103" t="s">
        <v>1862</v>
      </c>
      <c r="AJ100" s="103" t="s">
        <v>1804</v>
      </c>
      <c r="AK100" s="103" t="s">
        <v>1804</v>
      </c>
      <c r="AL100" s="103" t="s">
        <v>1804</v>
      </c>
      <c r="AM100" s="103" t="s">
        <v>1862</v>
      </c>
      <c r="AN100" s="99" t="s">
        <v>4929</v>
      </c>
      <c r="AO100" s="103" t="s">
        <v>1862</v>
      </c>
      <c r="AP100" s="103">
        <v>2000</v>
      </c>
      <c r="AQ100" s="103" t="s">
        <v>4509</v>
      </c>
      <c r="AR100" s="103">
        <v>0</v>
      </c>
      <c r="AS100" s="106">
        <v>720000</v>
      </c>
      <c r="AT100" s="103" t="s">
        <v>4510</v>
      </c>
      <c r="AU100" s="103" t="s">
        <v>1548</v>
      </c>
      <c r="AV100" s="99"/>
      <c r="AW100" s="99"/>
      <c r="AX100" s="99" t="s">
        <v>5126</v>
      </c>
      <c r="AY100" s="99" t="s">
        <v>4560</v>
      </c>
      <c r="AZ100" s="99"/>
      <c r="BA100" s="103" t="s">
        <v>1634</v>
      </c>
      <c r="BB100" s="99">
        <v>0</v>
      </c>
      <c r="BC100" s="99">
        <v>15000</v>
      </c>
      <c r="BD100" s="99">
        <v>0</v>
      </c>
      <c r="BE100" s="99">
        <v>8500000</v>
      </c>
      <c r="BF100" s="103" t="s">
        <v>5127</v>
      </c>
      <c r="BG100" s="103" t="s">
        <v>1804</v>
      </c>
      <c r="BH100" s="103" t="s">
        <v>1862</v>
      </c>
      <c r="BI100" s="103" t="s">
        <v>1862</v>
      </c>
      <c r="BJ100" s="103" t="s">
        <v>1862</v>
      </c>
      <c r="BK100" s="103" t="s">
        <v>4469</v>
      </c>
      <c r="BL100" s="103" t="s">
        <v>4470</v>
      </c>
      <c r="BM100" s="103" t="s">
        <v>4461</v>
      </c>
      <c r="BN100" s="103" t="s">
        <v>5128</v>
      </c>
      <c r="BO100" s="103">
        <v>100</v>
      </c>
      <c r="BP100" s="103" t="s">
        <v>4461</v>
      </c>
      <c r="BQ100" s="99" t="s">
        <v>4474</v>
      </c>
      <c r="BR100" s="99" t="s">
        <v>5129</v>
      </c>
      <c r="BS100" s="99" t="s">
        <v>4476</v>
      </c>
      <c r="BT100" s="103" t="s">
        <v>3186</v>
      </c>
      <c r="BU100" s="99" t="s">
        <v>4475</v>
      </c>
      <c r="BV100" s="103" t="s">
        <v>4476</v>
      </c>
      <c r="BW100" s="103" t="s">
        <v>4476</v>
      </c>
      <c r="BX100" s="103" t="s">
        <v>1548</v>
      </c>
      <c r="BY100" s="103" t="s">
        <v>4729</v>
      </c>
      <c r="BZ100" s="103" t="s">
        <v>4478</v>
      </c>
      <c r="CA100" s="103" t="s">
        <v>4509</v>
      </c>
      <c r="CB100" s="103">
        <v>100</v>
      </c>
      <c r="CC100" s="103" t="s">
        <v>4479</v>
      </c>
      <c r="CD100" s="103" t="s">
        <v>4502</v>
      </c>
      <c r="CE100" s="103" t="s">
        <v>4502</v>
      </c>
      <c r="CF100" s="103" t="s">
        <v>4482</v>
      </c>
      <c r="CG100" s="103" t="s">
        <v>4576</v>
      </c>
      <c r="CH100" s="103" t="s">
        <v>697</v>
      </c>
      <c r="CI100" s="103">
        <v>76339954</v>
      </c>
      <c r="CJ100" s="103" t="s">
        <v>4931</v>
      </c>
      <c r="CK100" s="108">
        <v>43365.731087962966</v>
      </c>
      <c r="CL100" s="109">
        <v>43365.751516203702</v>
      </c>
      <c r="CM100" s="95">
        <v>11.0966798</v>
      </c>
      <c r="CN100" s="95">
        <v>-0.96496879999999996</v>
      </c>
      <c r="CO100" s="99"/>
      <c r="CP100" s="99"/>
      <c r="CQ100" s="99"/>
      <c r="CR100" s="99"/>
      <c r="CS100" s="99"/>
      <c r="CT100" s="99"/>
      <c r="CU100" s="99"/>
      <c r="CV100" s="99"/>
      <c r="CW100" s="99"/>
      <c r="CX100" s="99"/>
      <c r="CY100" s="99"/>
      <c r="CZ100" s="99"/>
      <c r="DA100" s="99"/>
      <c r="DB100" s="99"/>
      <c r="DC100" s="99"/>
    </row>
    <row r="101" spans="1:107" ht="15.75" customHeight="1">
      <c r="A101" s="95">
        <v>101</v>
      </c>
      <c r="B101" s="99" t="s">
        <v>698</v>
      </c>
      <c r="C101" s="99" t="s">
        <v>699</v>
      </c>
      <c r="D101" s="99">
        <v>60982363</v>
      </c>
      <c r="E101" s="99" t="s">
        <v>170</v>
      </c>
      <c r="F101" s="95" t="s">
        <v>5130</v>
      </c>
      <c r="G101" s="95" t="s">
        <v>1098</v>
      </c>
      <c r="H101" s="95" t="s">
        <v>1099</v>
      </c>
      <c r="I101" s="95" t="s">
        <v>171</v>
      </c>
      <c r="J101" s="95"/>
      <c r="K101" s="99"/>
      <c r="L101" s="103" t="s">
        <v>4449</v>
      </c>
      <c r="M101" s="99" t="s">
        <v>4632</v>
      </c>
      <c r="N101" s="99" t="s">
        <v>4451</v>
      </c>
      <c r="O101" s="99" t="s">
        <v>4452</v>
      </c>
      <c r="P101" s="103">
        <v>1999</v>
      </c>
      <c r="Q101" s="103" t="s">
        <v>1862</v>
      </c>
      <c r="R101" s="99" t="s">
        <v>4633</v>
      </c>
      <c r="S101" s="103" t="s">
        <v>1541</v>
      </c>
      <c r="T101" s="103" t="s">
        <v>4634</v>
      </c>
      <c r="U101" s="99" t="s">
        <v>5131</v>
      </c>
      <c r="V101" s="115">
        <v>10.67632</v>
      </c>
      <c r="W101" s="115">
        <v>-4.9721500000000001</v>
      </c>
      <c r="X101" s="104" t="s">
        <v>5132</v>
      </c>
      <c r="Y101" s="103" t="s">
        <v>1634</v>
      </c>
      <c r="Z101" s="103" t="s">
        <v>1634</v>
      </c>
      <c r="AA101" s="103" t="s">
        <v>1862</v>
      </c>
      <c r="AB101" s="103">
        <v>300</v>
      </c>
      <c r="AC101" s="103">
        <v>4</v>
      </c>
      <c r="AD101" s="103">
        <v>296</v>
      </c>
      <c r="AE101" s="103" t="s">
        <v>1634</v>
      </c>
      <c r="AF101" s="103" t="s">
        <v>4637</v>
      </c>
      <c r="AG101" s="99" t="s">
        <v>4554</v>
      </c>
      <c r="AH101" s="103" t="s">
        <v>1862</v>
      </c>
      <c r="AI101" s="103" t="s">
        <v>1862</v>
      </c>
      <c r="AJ101" s="103" t="s">
        <v>1862</v>
      </c>
      <c r="AK101" s="103" t="s">
        <v>1862</v>
      </c>
      <c r="AL101" s="103" t="s">
        <v>1804</v>
      </c>
      <c r="AM101" s="103" t="s">
        <v>1862</v>
      </c>
      <c r="AN101" s="99" t="s">
        <v>4638</v>
      </c>
      <c r="AO101" s="103" t="s">
        <v>1862</v>
      </c>
      <c r="AP101" s="103">
        <v>1500</v>
      </c>
      <c r="AQ101" s="112" t="s">
        <v>4461</v>
      </c>
      <c r="AR101" s="103"/>
      <c r="AS101" s="106">
        <v>40000000</v>
      </c>
      <c r="AT101" s="103" t="s">
        <v>4527</v>
      </c>
      <c r="AU101" s="103" t="s">
        <v>1634</v>
      </c>
      <c r="AV101" s="99" t="s">
        <v>4463</v>
      </c>
      <c r="AW101" s="99" t="s">
        <v>4639</v>
      </c>
      <c r="AX101" s="99" t="s">
        <v>4640</v>
      </c>
      <c r="AY101" s="99" t="s">
        <v>4641</v>
      </c>
      <c r="AZ101" s="99" t="s">
        <v>4530</v>
      </c>
      <c r="BA101" s="103" t="s">
        <v>1634</v>
      </c>
      <c r="BB101" s="99"/>
      <c r="BC101" s="99">
        <v>20500</v>
      </c>
      <c r="BD101" s="99"/>
      <c r="BE101" s="99">
        <v>41000000</v>
      </c>
      <c r="BF101" s="103" t="s">
        <v>4642</v>
      </c>
      <c r="BG101" s="103" t="s">
        <v>1862</v>
      </c>
      <c r="BH101" s="103" t="s">
        <v>1862</v>
      </c>
      <c r="BI101" s="103" t="s">
        <v>1862</v>
      </c>
      <c r="BJ101" s="103" t="s">
        <v>1862</v>
      </c>
      <c r="BK101" s="103" t="s">
        <v>4469</v>
      </c>
      <c r="BL101" s="103" t="s">
        <v>4472</v>
      </c>
      <c r="BM101" s="103" t="s">
        <v>4461</v>
      </c>
      <c r="BN101" s="103" t="s">
        <v>4643</v>
      </c>
      <c r="BO101" s="103">
        <v>400</v>
      </c>
      <c r="BP101" s="103" t="s">
        <v>4532</v>
      </c>
      <c r="BQ101" s="99" t="s">
        <v>4644</v>
      </c>
      <c r="BR101" s="99" t="s">
        <v>4644</v>
      </c>
      <c r="BS101" s="99" t="s">
        <v>4564</v>
      </c>
      <c r="BT101" s="103" t="s">
        <v>3186</v>
      </c>
      <c r="BU101" s="99"/>
      <c r="BV101" s="103" t="s">
        <v>4644</v>
      </c>
      <c r="BW101" s="103" t="s">
        <v>4644</v>
      </c>
      <c r="BX101" s="103"/>
      <c r="BY101" s="103"/>
      <c r="BZ101" s="103"/>
      <c r="CA101" s="103"/>
      <c r="CB101" s="103"/>
      <c r="CC101" s="103" t="s">
        <v>4502</v>
      </c>
      <c r="CD101" s="103" t="s">
        <v>4475</v>
      </c>
      <c r="CE101" s="112" t="s">
        <v>4475</v>
      </c>
      <c r="CF101" s="103"/>
      <c r="CG101" s="103" t="s">
        <v>698</v>
      </c>
      <c r="CH101" s="103" t="s">
        <v>699</v>
      </c>
      <c r="CI101" s="103">
        <v>60982363</v>
      </c>
      <c r="CJ101" s="103"/>
      <c r="CK101" s="108">
        <v>43364.693287037036</v>
      </c>
      <c r="CL101" s="109">
        <v>43364.732754629629</v>
      </c>
      <c r="CM101" s="95">
        <v>10.67632</v>
      </c>
      <c r="CN101" s="95">
        <v>-4.9721500000000001</v>
      </c>
      <c r="CO101" s="99"/>
      <c r="CP101" s="99"/>
      <c r="CQ101" s="99"/>
      <c r="CR101" s="99"/>
      <c r="CS101" s="99"/>
      <c r="CT101" s="99"/>
      <c r="CU101" s="99"/>
      <c r="CV101" s="99"/>
      <c r="CW101" s="99"/>
      <c r="CX101" s="99"/>
      <c r="CY101" s="99"/>
      <c r="CZ101" s="99"/>
      <c r="DA101" s="99"/>
      <c r="DB101" s="99"/>
      <c r="DC101" s="99"/>
    </row>
    <row r="102" spans="1:107" ht="15.75" customHeight="1">
      <c r="A102" s="95">
        <v>102</v>
      </c>
      <c r="B102" s="99" t="s">
        <v>700</v>
      </c>
      <c r="C102" s="99" t="s">
        <v>701</v>
      </c>
      <c r="D102" s="99">
        <v>79110262</v>
      </c>
      <c r="E102" s="99" t="s">
        <v>5133</v>
      </c>
      <c r="F102" s="95" t="s">
        <v>5134</v>
      </c>
      <c r="G102" s="95" t="s">
        <v>1042</v>
      </c>
      <c r="H102" s="95" t="s">
        <v>1043</v>
      </c>
      <c r="I102" s="95" t="s">
        <v>6</v>
      </c>
      <c r="J102" s="95" t="s">
        <v>106</v>
      </c>
      <c r="K102" s="99"/>
      <c r="L102" s="103" t="s">
        <v>4449</v>
      </c>
      <c r="M102" s="99" t="s">
        <v>4567</v>
      </c>
      <c r="N102" s="99" t="s">
        <v>4520</v>
      </c>
      <c r="O102" s="99" t="s">
        <v>4452</v>
      </c>
      <c r="P102" s="103">
        <v>2012</v>
      </c>
      <c r="Q102" s="103" t="s">
        <v>1548</v>
      </c>
      <c r="R102" s="99" t="s">
        <v>4453</v>
      </c>
      <c r="S102" s="103" t="s">
        <v>1541</v>
      </c>
      <c r="T102" s="103" t="s">
        <v>4538</v>
      </c>
      <c r="U102" s="99" t="s">
        <v>5135</v>
      </c>
      <c r="V102" s="95">
        <v>11.165243200000001</v>
      </c>
      <c r="W102" s="95">
        <v>-1.1400998</v>
      </c>
      <c r="X102" s="104" t="s">
        <v>4457</v>
      </c>
      <c r="Y102" s="103" t="s">
        <v>1634</v>
      </c>
      <c r="Z102" s="103" t="s">
        <v>1634</v>
      </c>
      <c r="AA102" s="103" t="s">
        <v>1862</v>
      </c>
      <c r="AB102" s="103">
        <v>50</v>
      </c>
      <c r="AC102" s="103">
        <v>0</v>
      </c>
      <c r="AD102" s="103">
        <v>50</v>
      </c>
      <c r="AE102" s="103" t="s">
        <v>1634</v>
      </c>
      <c r="AF102" s="103" t="s">
        <v>4927</v>
      </c>
      <c r="AG102" s="99" t="s">
        <v>5136</v>
      </c>
      <c r="AH102" s="103" t="s">
        <v>1804</v>
      </c>
      <c r="AI102" s="103" t="s">
        <v>1862</v>
      </c>
      <c r="AJ102" s="103" t="s">
        <v>1804</v>
      </c>
      <c r="AK102" s="103" t="s">
        <v>1862</v>
      </c>
      <c r="AL102" s="103" t="s">
        <v>1804</v>
      </c>
      <c r="AM102" s="103" t="s">
        <v>1862</v>
      </c>
      <c r="AN102" s="99" t="s">
        <v>4929</v>
      </c>
      <c r="AO102" s="103" t="s">
        <v>1862</v>
      </c>
      <c r="AP102" s="103">
        <v>750</v>
      </c>
      <c r="AQ102" s="103" t="s">
        <v>4461</v>
      </c>
      <c r="AR102" s="103">
        <v>0</v>
      </c>
      <c r="AS102" s="106">
        <v>10800000</v>
      </c>
      <c r="AT102" s="103" t="s">
        <v>4527</v>
      </c>
      <c r="AU102" s="103" t="s">
        <v>1548</v>
      </c>
      <c r="AV102" s="99"/>
      <c r="AW102" s="99"/>
      <c r="AX102" s="99" t="s">
        <v>4543</v>
      </c>
      <c r="AY102" s="99" t="s">
        <v>4560</v>
      </c>
      <c r="AZ102" s="99" t="s">
        <v>4467</v>
      </c>
      <c r="BA102" s="103" t="s">
        <v>1548</v>
      </c>
      <c r="BB102" s="99">
        <v>0</v>
      </c>
      <c r="BC102" s="99">
        <v>60</v>
      </c>
      <c r="BD102" s="99">
        <v>0</v>
      </c>
      <c r="BE102" s="99">
        <v>10800000</v>
      </c>
      <c r="BF102" s="103" t="s">
        <v>4468</v>
      </c>
      <c r="BG102" s="103" t="s">
        <v>1862</v>
      </c>
      <c r="BH102" s="103" t="s">
        <v>1862</v>
      </c>
      <c r="BI102" s="103" t="s">
        <v>1804</v>
      </c>
      <c r="BJ102" s="103" t="s">
        <v>1804</v>
      </c>
      <c r="BK102" s="103" t="s">
        <v>4478</v>
      </c>
      <c r="BL102" s="103" t="s">
        <v>4470</v>
      </c>
      <c r="BM102" s="103" t="s">
        <v>4461</v>
      </c>
      <c r="BN102" s="103" t="s">
        <v>5128</v>
      </c>
      <c r="BO102" s="103">
        <v>40</v>
      </c>
      <c r="BP102" s="103" t="s">
        <v>4461</v>
      </c>
      <c r="BQ102" s="99" t="s">
        <v>5137</v>
      </c>
      <c r="BR102" s="99" t="s">
        <v>4476</v>
      </c>
      <c r="BS102" s="99" t="s">
        <v>5137</v>
      </c>
      <c r="BT102" s="103" t="s">
        <v>3186</v>
      </c>
      <c r="BU102" s="99" t="s">
        <v>4475</v>
      </c>
      <c r="BV102" s="103" t="s">
        <v>4644</v>
      </c>
      <c r="BW102" s="103" t="s">
        <v>4476</v>
      </c>
      <c r="BX102" s="103" t="s">
        <v>1548</v>
      </c>
      <c r="BY102" s="103" t="s">
        <v>4729</v>
      </c>
      <c r="BZ102" s="103" t="s">
        <v>4515</v>
      </c>
      <c r="CA102" s="103" t="s">
        <v>4461</v>
      </c>
      <c r="CB102" s="103">
        <v>500</v>
      </c>
      <c r="CC102" s="103" t="s">
        <v>4502</v>
      </c>
      <c r="CD102" s="103" t="s">
        <v>4475</v>
      </c>
      <c r="CE102" s="103" t="s">
        <v>4475</v>
      </c>
      <c r="CF102" s="103" t="s">
        <v>4482</v>
      </c>
      <c r="CG102" s="103" t="s">
        <v>5138</v>
      </c>
      <c r="CH102" s="103" t="s">
        <v>582</v>
      </c>
      <c r="CI102" s="103">
        <v>79592816</v>
      </c>
      <c r="CJ102" s="103" t="s">
        <v>4931</v>
      </c>
      <c r="CK102" s="108">
        <v>43365.642407407409</v>
      </c>
      <c r="CL102" s="109">
        <v>43366.131631944445</v>
      </c>
      <c r="CM102" s="95">
        <v>11.165243200000001</v>
      </c>
      <c r="CN102" s="95">
        <v>-1.1400998</v>
      </c>
      <c r="CO102" s="99"/>
      <c r="CP102" s="99"/>
      <c r="CQ102" s="99"/>
      <c r="CR102" s="99"/>
      <c r="CS102" s="99"/>
      <c r="CT102" s="99"/>
      <c r="CU102" s="99"/>
      <c r="CV102" s="99"/>
      <c r="CW102" s="99"/>
      <c r="CX102" s="99"/>
      <c r="CY102" s="99"/>
      <c r="CZ102" s="99"/>
      <c r="DA102" s="99"/>
      <c r="DB102" s="99"/>
      <c r="DC102" s="99"/>
    </row>
    <row r="103" spans="1:107" ht="15.75" customHeight="1">
      <c r="A103" s="95">
        <v>103</v>
      </c>
      <c r="B103" s="99" t="s">
        <v>702</v>
      </c>
      <c r="C103" s="99" t="s">
        <v>703</v>
      </c>
      <c r="D103" s="99">
        <v>75446323</v>
      </c>
      <c r="E103" s="99" t="s">
        <v>173</v>
      </c>
      <c r="F103" s="95" t="s">
        <v>4939</v>
      </c>
      <c r="G103" s="95" t="s">
        <v>1086</v>
      </c>
      <c r="H103" s="95" t="s">
        <v>1070</v>
      </c>
      <c r="I103" s="95" t="s">
        <v>89</v>
      </c>
      <c r="J103" s="95"/>
      <c r="K103" s="99"/>
      <c r="L103" s="103" t="s">
        <v>4449</v>
      </c>
      <c r="M103" s="99" t="s">
        <v>4450</v>
      </c>
      <c r="N103" s="99" t="s">
        <v>4451</v>
      </c>
      <c r="O103" s="99" t="s">
        <v>4452</v>
      </c>
      <c r="P103" s="103">
        <v>2010</v>
      </c>
      <c r="Q103" s="103" t="s">
        <v>1862</v>
      </c>
      <c r="R103" s="99" t="s">
        <v>4453</v>
      </c>
      <c r="S103" s="103" t="s">
        <v>1541</v>
      </c>
      <c r="T103" s="103" t="s">
        <v>4522</v>
      </c>
      <c r="U103" s="99" t="s">
        <v>4940</v>
      </c>
      <c r="V103" s="95">
        <v>12.2562183</v>
      </c>
      <c r="W103" s="95">
        <v>-2.3517526000000002</v>
      </c>
      <c r="X103" s="104" t="s">
        <v>4839</v>
      </c>
      <c r="Y103" s="103" t="s">
        <v>1634</v>
      </c>
      <c r="Z103" s="103" t="s">
        <v>1634</v>
      </c>
      <c r="AA103" s="103" t="s">
        <v>1862</v>
      </c>
      <c r="AB103" s="103">
        <v>350</v>
      </c>
      <c r="AC103" s="103">
        <v>0</v>
      </c>
      <c r="AD103" s="103">
        <v>350</v>
      </c>
      <c r="AE103" s="103" t="s">
        <v>1634</v>
      </c>
      <c r="AF103" s="103" t="s">
        <v>4493</v>
      </c>
      <c r="AG103" s="99" t="s">
        <v>4459</v>
      </c>
      <c r="AH103" s="103" t="s">
        <v>1862</v>
      </c>
      <c r="AI103" s="103" t="s">
        <v>1862</v>
      </c>
      <c r="AJ103" s="103" t="s">
        <v>1862</v>
      </c>
      <c r="AK103" s="103" t="s">
        <v>1862</v>
      </c>
      <c r="AL103" s="103" t="s">
        <v>1862</v>
      </c>
      <c r="AM103" s="103" t="s">
        <v>1862</v>
      </c>
      <c r="AN103" s="99" t="s">
        <v>4460</v>
      </c>
      <c r="AO103" s="103" t="s">
        <v>1862</v>
      </c>
      <c r="AP103" s="103">
        <v>1200</v>
      </c>
      <c r="AQ103" s="103" t="s">
        <v>4461</v>
      </c>
      <c r="AR103" s="105">
        <v>600000000</v>
      </c>
      <c r="AS103" s="106">
        <v>500000000</v>
      </c>
      <c r="AT103" s="103" t="s">
        <v>4462</v>
      </c>
      <c r="AU103" s="103" t="s">
        <v>1634</v>
      </c>
      <c r="AV103" s="99" t="s">
        <v>4463</v>
      </c>
      <c r="AW103" s="99" t="s">
        <v>4464</v>
      </c>
      <c r="AX103" s="99" t="s">
        <v>4465</v>
      </c>
      <c r="AY103" s="99" t="s">
        <v>4466</v>
      </c>
      <c r="AZ103" s="99" t="s">
        <v>4467</v>
      </c>
      <c r="BA103" s="103" t="s">
        <v>1634</v>
      </c>
      <c r="BB103" s="99">
        <v>41666</v>
      </c>
      <c r="BC103" s="99">
        <v>16666</v>
      </c>
      <c r="BD103" s="99">
        <v>87500000</v>
      </c>
      <c r="BE103" s="99">
        <v>150000000</v>
      </c>
      <c r="BF103" s="103" t="s">
        <v>4468</v>
      </c>
      <c r="BG103" s="103" t="s">
        <v>1862</v>
      </c>
      <c r="BH103" s="103" t="s">
        <v>1862</v>
      </c>
      <c r="BI103" s="103" t="s">
        <v>1804</v>
      </c>
      <c r="BJ103" s="103" t="s">
        <v>1804</v>
      </c>
      <c r="BK103" s="103" t="s">
        <v>4469</v>
      </c>
      <c r="BL103" s="103" t="s">
        <v>4470</v>
      </c>
      <c r="BM103" s="103" t="s">
        <v>4461</v>
      </c>
      <c r="BN103" s="103" t="s">
        <v>4471</v>
      </c>
      <c r="BO103" s="103">
        <v>400</v>
      </c>
      <c r="BP103" s="103" t="s">
        <v>4472</v>
      </c>
      <c r="BQ103" s="107" t="s">
        <v>4473</v>
      </c>
      <c r="BR103" s="99" t="s">
        <v>4474</v>
      </c>
      <c r="BS103" s="99" t="s">
        <v>4474</v>
      </c>
      <c r="BT103" s="103" t="s">
        <v>3186</v>
      </c>
      <c r="BU103" s="107" t="s">
        <v>4476</v>
      </c>
      <c r="BV103" s="103" t="s">
        <v>4476</v>
      </c>
      <c r="BW103" s="103" t="s">
        <v>1548</v>
      </c>
      <c r="BX103" s="103" t="s">
        <v>4477</v>
      </c>
      <c r="BY103" s="103" t="s">
        <v>4478</v>
      </c>
      <c r="BZ103" s="103" t="s">
        <v>4461</v>
      </c>
      <c r="CA103" s="103">
        <v>2000</v>
      </c>
      <c r="CB103" s="103" t="s">
        <v>4475</v>
      </c>
      <c r="CC103" s="103" t="s">
        <v>4479</v>
      </c>
      <c r="CD103" s="103" t="s">
        <v>4480</v>
      </c>
      <c r="CE103" s="103" t="s">
        <v>4481</v>
      </c>
      <c r="CF103" s="103" t="s">
        <v>4482</v>
      </c>
      <c r="CG103" s="103" t="s">
        <v>5139</v>
      </c>
      <c r="CH103" s="103" t="s">
        <v>920</v>
      </c>
      <c r="CI103" s="103">
        <v>77176319</v>
      </c>
      <c r="CJ103" s="99"/>
      <c r="CK103" s="108">
        <v>43364.306145833332</v>
      </c>
      <c r="CL103" s="108">
        <v>43364.34574074074</v>
      </c>
      <c r="CM103" s="95">
        <v>12.2562183</v>
      </c>
      <c r="CN103" s="95">
        <v>-2.3517526000000002</v>
      </c>
      <c r="CO103" s="99"/>
      <c r="CP103" s="99"/>
      <c r="CQ103" s="99"/>
      <c r="CR103" s="99"/>
      <c r="CS103" s="99"/>
      <c r="CT103" s="99"/>
      <c r="CU103" s="99"/>
      <c r="CV103" s="99"/>
      <c r="CW103" s="99"/>
      <c r="CX103" s="99"/>
      <c r="CY103" s="99"/>
      <c r="CZ103" s="99"/>
      <c r="DA103" s="99"/>
      <c r="DB103" s="99"/>
      <c r="DC103" s="99"/>
    </row>
    <row r="104" spans="1:107" ht="15.75" customHeight="1">
      <c r="A104" s="95">
        <v>104</v>
      </c>
      <c r="B104" s="99" t="s">
        <v>704</v>
      </c>
      <c r="C104" s="99" t="s">
        <v>630</v>
      </c>
      <c r="D104" s="99"/>
      <c r="E104" s="99" t="s">
        <v>174</v>
      </c>
      <c r="F104" s="95" t="s">
        <v>4944</v>
      </c>
      <c r="G104" s="95" t="s">
        <v>1076</v>
      </c>
      <c r="H104" s="95" t="s">
        <v>1087</v>
      </c>
      <c r="I104" s="95" t="s">
        <v>111</v>
      </c>
      <c r="J104" s="99"/>
      <c r="K104" s="99"/>
      <c r="L104" s="103" t="s">
        <v>4449</v>
      </c>
      <c r="M104" s="99" t="s">
        <v>4567</v>
      </c>
      <c r="N104" s="99" t="s">
        <v>4451</v>
      </c>
      <c r="O104" s="99" t="s">
        <v>4648</v>
      </c>
      <c r="P104" s="103">
        <v>2001</v>
      </c>
      <c r="Q104" s="103" t="s">
        <v>1862</v>
      </c>
      <c r="R104" s="99" t="s">
        <v>4521</v>
      </c>
      <c r="S104" s="103" t="s">
        <v>2282</v>
      </c>
      <c r="T104" s="103" t="s">
        <v>4490</v>
      </c>
      <c r="U104" s="99" t="s">
        <v>4945</v>
      </c>
      <c r="V104" s="95">
        <v>12.0601649</v>
      </c>
      <c r="W104" s="95">
        <v>0.36542039999999998</v>
      </c>
      <c r="X104" s="104" t="s">
        <v>4946</v>
      </c>
      <c r="Y104" s="103" t="s">
        <v>1634</v>
      </c>
      <c r="Z104" s="103" t="s">
        <v>1634</v>
      </c>
      <c r="AA104" s="103" t="s">
        <v>1862</v>
      </c>
      <c r="AB104" s="103">
        <v>22</v>
      </c>
      <c r="AC104" s="103">
        <v>0</v>
      </c>
      <c r="AD104" s="103">
        <v>22</v>
      </c>
      <c r="AE104" s="103" t="s">
        <v>1634</v>
      </c>
      <c r="AF104" s="103" t="s">
        <v>4830</v>
      </c>
      <c r="AG104" s="99" t="s">
        <v>4624</v>
      </c>
      <c r="AH104" s="103" t="s">
        <v>1862</v>
      </c>
      <c r="AI104" s="103" t="s">
        <v>1862</v>
      </c>
      <c r="AJ104" s="103" t="s">
        <v>1804</v>
      </c>
      <c r="AK104" s="103" t="s">
        <v>1804</v>
      </c>
      <c r="AL104" s="103" t="s">
        <v>1804</v>
      </c>
      <c r="AM104" s="103" t="s">
        <v>1804</v>
      </c>
      <c r="AN104" s="99" t="s">
        <v>1646</v>
      </c>
      <c r="AO104" s="103" t="s">
        <v>1862</v>
      </c>
      <c r="AP104" s="103">
        <v>650</v>
      </c>
      <c r="AQ104" s="103" t="s">
        <v>4461</v>
      </c>
      <c r="AR104" s="103" t="s">
        <v>4831</v>
      </c>
      <c r="AS104" s="106">
        <v>200000</v>
      </c>
      <c r="AT104" s="103" t="s">
        <v>4542</v>
      </c>
      <c r="AU104" s="103" t="s">
        <v>1548</v>
      </c>
      <c r="AV104" s="99"/>
      <c r="AW104" s="99" t="s">
        <v>4652</v>
      </c>
      <c r="AX104" s="99" t="s">
        <v>4543</v>
      </c>
      <c r="AY104" s="99" t="s">
        <v>4466</v>
      </c>
      <c r="AZ104" s="99" t="s">
        <v>4467</v>
      </c>
      <c r="BA104" s="103" t="s">
        <v>1548</v>
      </c>
      <c r="BB104" s="99">
        <v>200</v>
      </c>
      <c r="BC104" s="99">
        <v>100</v>
      </c>
      <c r="BD104" s="99">
        <v>150000</v>
      </c>
      <c r="BE104" s="99">
        <v>250000</v>
      </c>
      <c r="BF104" s="103" t="s">
        <v>4653</v>
      </c>
      <c r="BG104" s="103" t="s">
        <v>1862</v>
      </c>
      <c r="BH104" s="103" t="s">
        <v>1804</v>
      </c>
      <c r="BI104" s="103" t="s">
        <v>1862</v>
      </c>
      <c r="BJ104" s="103" t="s">
        <v>1804</v>
      </c>
      <c r="BK104" s="103" t="s">
        <v>4478</v>
      </c>
      <c r="BL104" s="103" t="s">
        <v>4470</v>
      </c>
      <c r="BM104" s="103" t="s">
        <v>4461</v>
      </c>
      <c r="BN104" s="103" t="s">
        <v>4627</v>
      </c>
      <c r="BO104" s="103">
        <v>20</v>
      </c>
      <c r="BP104" s="103" t="s">
        <v>4499</v>
      </c>
      <c r="BQ104" s="107" t="s">
        <v>4476</v>
      </c>
      <c r="BR104" s="99" t="s">
        <v>4476</v>
      </c>
      <c r="BS104" s="99"/>
      <c r="BT104" s="103" t="s">
        <v>3186</v>
      </c>
      <c r="BU104" s="107" t="s">
        <v>4476</v>
      </c>
      <c r="BV104" s="103" t="s">
        <v>4574</v>
      </c>
      <c r="BW104" s="103" t="s">
        <v>1548</v>
      </c>
      <c r="BX104" s="103" t="s">
        <v>4501</v>
      </c>
      <c r="BY104" s="103" t="s">
        <v>4478</v>
      </c>
      <c r="BZ104" s="103" t="s">
        <v>4509</v>
      </c>
      <c r="CA104" s="103">
        <v>40</v>
      </c>
      <c r="CB104" s="103" t="s">
        <v>4628</v>
      </c>
      <c r="CC104" s="103" t="s">
        <v>4502</v>
      </c>
      <c r="CD104" s="103" t="s">
        <v>4502</v>
      </c>
      <c r="CE104" s="103" t="s">
        <v>4475</v>
      </c>
      <c r="CF104" s="103" t="s">
        <v>4482</v>
      </c>
      <c r="CG104" s="103" t="s">
        <v>5140</v>
      </c>
      <c r="CH104" s="103" t="s">
        <v>4942</v>
      </c>
      <c r="CI104" s="103">
        <v>70387018</v>
      </c>
      <c r="CJ104" s="99"/>
      <c r="CK104" s="108">
        <v>43364.527060185188</v>
      </c>
      <c r="CL104" s="108">
        <v>43364.540173611109</v>
      </c>
      <c r="CM104" s="95">
        <v>12.0601649</v>
      </c>
      <c r="CN104" s="95">
        <v>0.36542039999999998</v>
      </c>
      <c r="CO104" s="99"/>
      <c r="CP104" s="99"/>
      <c r="CQ104" s="99"/>
      <c r="CR104" s="99"/>
      <c r="CS104" s="99"/>
      <c r="CT104" s="99"/>
      <c r="CU104" s="99"/>
      <c r="CV104" s="99"/>
      <c r="CW104" s="99"/>
      <c r="CX104" s="99"/>
      <c r="CY104" s="99"/>
      <c r="CZ104" s="99"/>
      <c r="DA104" s="99"/>
      <c r="DB104" s="99"/>
      <c r="DC104" s="99"/>
    </row>
    <row r="105" spans="1:107" ht="15.75" customHeight="1">
      <c r="A105" s="95">
        <v>105</v>
      </c>
      <c r="B105" s="99" t="s">
        <v>705</v>
      </c>
      <c r="C105" s="99" t="s">
        <v>572</v>
      </c>
      <c r="D105" s="99">
        <v>76079260</v>
      </c>
      <c r="E105" s="99" t="s">
        <v>175</v>
      </c>
      <c r="F105" s="95" t="s">
        <v>5141</v>
      </c>
      <c r="G105" s="95" t="s">
        <v>1049</v>
      </c>
      <c r="H105" s="95" t="s">
        <v>1066</v>
      </c>
      <c r="I105" s="95" t="s">
        <v>509</v>
      </c>
      <c r="J105" s="99"/>
      <c r="K105" s="99"/>
      <c r="L105" s="103" t="s">
        <v>4449</v>
      </c>
      <c r="M105" s="99" t="s">
        <v>4450</v>
      </c>
      <c r="N105" s="99" t="s">
        <v>1565</v>
      </c>
      <c r="O105" s="99" t="s">
        <v>4754</v>
      </c>
      <c r="P105" s="103">
        <v>2016</v>
      </c>
      <c r="Q105" s="103" t="s">
        <v>1862</v>
      </c>
      <c r="R105" s="99" t="s">
        <v>5142</v>
      </c>
      <c r="S105" s="103" t="s">
        <v>1541</v>
      </c>
      <c r="T105" s="103" t="s">
        <v>4538</v>
      </c>
      <c r="U105" s="99" t="s">
        <v>5143</v>
      </c>
      <c r="V105" s="95">
        <v>12.2562183</v>
      </c>
      <c r="W105" s="95">
        <v>-2.3517526000000002</v>
      </c>
      <c r="X105" s="104" t="s">
        <v>4839</v>
      </c>
      <c r="Y105" s="103" t="s">
        <v>1548</v>
      </c>
      <c r="Z105" s="103" t="s">
        <v>1634</v>
      </c>
      <c r="AA105" s="103" t="s">
        <v>1862</v>
      </c>
      <c r="AB105" s="103">
        <v>12</v>
      </c>
      <c r="AC105" s="103">
        <v>0</v>
      </c>
      <c r="AD105" s="103">
        <v>12</v>
      </c>
      <c r="AE105" s="103" t="s">
        <v>1634</v>
      </c>
      <c r="AF105" s="103" t="s">
        <v>4493</v>
      </c>
      <c r="AG105" s="99" t="s">
        <v>5144</v>
      </c>
      <c r="AH105" s="103" t="s">
        <v>1804</v>
      </c>
      <c r="AI105" s="103" t="s">
        <v>1862</v>
      </c>
      <c r="AJ105" s="103" t="s">
        <v>1862</v>
      </c>
      <c r="AK105" s="103" t="s">
        <v>1804</v>
      </c>
      <c r="AL105" s="103" t="s">
        <v>1804</v>
      </c>
      <c r="AM105" s="103" t="s">
        <v>1804</v>
      </c>
      <c r="AN105" s="99" t="s">
        <v>4735</v>
      </c>
      <c r="AO105" s="103" t="s">
        <v>1862</v>
      </c>
      <c r="AP105" s="103">
        <v>800</v>
      </c>
      <c r="AQ105" s="103" t="s">
        <v>4461</v>
      </c>
      <c r="AR105" s="103">
        <v>1500000</v>
      </c>
      <c r="AS105" s="99"/>
      <c r="AT105" s="103" t="s">
        <v>4542</v>
      </c>
      <c r="AU105" s="103" t="s">
        <v>1548</v>
      </c>
      <c r="AV105" s="99"/>
      <c r="AW105" s="99" t="s">
        <v>4680</v>
      </c>
      <c r="AX105" s="99" t="s">
        <v>5145</v>
      </c>
      <c r="AY105" s="99" t="s">
        <v>4466</v>
      </c>
      <c r="AZ105" s="99" t="s">
        <v>4467</v>
      </c>
      <c r="BA105" s="103" t="s">
        <v>1634</v>
      </c>
      <c r="BB105" s="99">
        <v>3750</v>
      </c>
      <c r="BC105" s="99">
        <v>1500</v>
      </c>
      <c r="BD105" s="99">
        <v>1500000</v>
      </c>
      <c r="BE105" s="99">
        <v>1250000</v>
      </c>
      <c r="BF105" s="103" t="s">
        <v>4511</v>
      </c>
      <c r="BG105" s="103" t="s">
        <v>1804</v>
      </c>
      <c r="BH105" s="103" t="s">
        <v>1862</v>
      </c>
      <c r="BI105" s="103" t="s">
        <v>1804</v>
      </c>
      <c r="BJ105" s="103" t="s">
        <v>1804</v>
      </c>
      <c r="BK105" s="103" t="s">
        <v>4499</v>
      </c>
      <c r="BL105" s="103" t="s">
        <v>4470</v>
      </c>
      <c r="BM105" s="103" t="s">
        <v>4461</v>
      </c>
      <c r="BN105" s="103" t="s">
        <v>4512</v>
      </c>
      <c r="BO105" s="103">
        <v>400</v>
      </c>
      <c r="BP105" s="103" t="s">
        <v>4500</v>
      </c>
      <c r="BQ105" s="99" t="s">
        <v>5146</v>
      </c>
      <c r="BR105" s="99" t="s">
        <v>4476</v>
      </c>
      <c r="BS105" s="99" t="s">
        <v>4476</v>
      </c>
      <c r="BT105" s="103" t="s">
        <v>3186</v>
      </c>
      <c r="BU105" s="99" t="s">
        <v>4475</v>
      </c>
      <c r="BV105" s="103" t="s">
        <v>4476</v>
      </c>
      <c r="BW105" s="103" t="s">
        <v>4476</v>
      </c>
      <c r="BX105" s="103" t="s">
        <v>1548</v>
      </c>
      <c r="BY105" s="103" t="s">
        <v>4610</v>
      </c>
      <c r="BZ105" s="103" t="s">
        <v>4499</v>
      </c>
      <c r="CA105" s="103" t="s">
        <v>4461</v>
      </c>
      <c r="CB105" s="103"/>
      <c r="CC105" s="103" t="s">
        <v>4502</v>
      </c>
      <c r="CD105" s="103" t="s">
        <v>4475</v>
      </c>
      <c r="CE105" s="103" t="s">
        <v>4481</v>
      </c>
      <c r="CF105" s="103"/>
      <c r="CG105" s="103" t="s">
        <v>5147</v>
      </c>
      <c r="CH105" s="103" t="s">
        <v>572</v>
      </c>
      <c r="CI105" s="103">
        <v>76079260</v>
      </c>
      <c r="CJ105" s="103" t="s">
        <v>5148</v>
      </c>
      <c r="CK105" s="108">
        <v>43365.506238425929</v>
      </c>
      <c r="CL105" s="109">
        <v>43366.375706018516</v>
      </c>
      <c r="CM105" s="95">
        <v>12.2562183</v>
      </c>
      <c r="CN105" s="95">
        <v>-2.3517526000000002</v>
      </c>
      <c r="CO105" s="99"/>
      <c r="CP105" s="99"/>
      <c r="CQ105" s="99"/>
      <c r="CR105" s="99"/>
      <c r="CS105" s="99"/>
      <c r="CT105" s="99"/>
      <c r="CU105" s="99"/>
      <c r="CV105" s="99"/>
      <c r="CW105" s="99"/>
      <c r="CX105" s="99"/>
      <c r="CY105" s="99"/>
      <c r="CZ105" s="99"/>
      <c r="DA105" s="99"/>
      <c r="DB105" s="99"/>
      <c r="DC105" s="99"/>
    </row>
    <row r="106" spans="1:107" ht="15.75" customHeight="1">
      <c r="A106" s="95">
        <v>106</v>
      </c>
      <c r="B106" s="99" t="s">
        <v>706</v>
      </c>
      <c r="C106" s="99" t="s">
        <v>707</v>
      </c>
      <c r="D106" s="99">
        <v>64496548</v>
      </c>
      <c r="E106" s="99" t="s">
        <v>176</v>
      </c>
      <c r="F106" s="95" t="s">
        <v>5149</v>
      </c>
      <c r="G106" s="95" t="s">
        <v>1049</v>
      </c>
      <c r="H106" s="95" t="s">
        <v>1070</v>
      </c>
      <c r="I106" s="95" t="s">
        <v>177</v>
      </c>
      <c r="J106" s="95"/>
      <c r="K106" s="99"/>
      <c r="L106" s="103" t="s">
        <v>4449</v>
      </c>
      <c r="M106" s="99" t="s">
        <v>4450</v>
      </c>
      <c r="N106" s="99" t="s">
        <v>4718</v>
      </c>
      <c r="O106" s="99" t="s">
        <v>4452</v>
      </c>
      <c r="P106" s="103">
        <v>2001</v>
      </c>
      <c r="Q106" s="103" t="s">
        <v>1862</v>
      </c>
      <c r="R106" s="99" t="s">
        <v>4633</v>
      </c>
      <c r="S106" s="103" t="s">
        <v>1541</v>
      </c>
      <c r="T106" s="103" t="s">
        <v>4634</v>
      </c>
      <c r="U106" s="99" t="s">
        <v>5150</v>
      </c>
      <c r="V106" s="95">
        <v>12.206303200000001</v>
      </c>
      <c r="W106" s="95">
        <v>-2.3203136</v>
      </c>
      <c r="X106" s="104" t="s">
        <v>5151</v>
      </c>
      <c r="Y106" s="103" t="s">
        <v>1634</v>
      </c>
      <c r="Z106" s="103" t="s">
        <v>1634</v>
      </c>
      <c r="AA106" s="103" t="s">
        <v>1862</v>
      </c>
      <c r="AB106" s="103">
        <v>300</v>
      </c>
      <c r="AC106" s="103">
        <v>4</v>
      </c>
      <c r="AD106" s="103">
        <v>296</v>
      </c>
      <c r="AE106" s="103" t="s">
        <v>1634</v>
      </c>
      <c r="AF106" s="103" t="s">
        <v>4493</v>
      </c>
      <c r="AG106" s="99" t="s">
        <v>4554</v>
      </c>
      <c r="AH106" s="103" t="s">
        <v>1862</v>
      </c>
      <c r="AI106" s="103" t="s">
        <v>1862</v>
      </c>
      <c r="AJ106" s="103" t="s">
        <v>1862</v>
      </c>
      <c r="AK106" s="103" t="s">
        <v>1862</v>
      </c>
      <c r="AL106" s="103" t="s">
        <v>1804</v>
      </c>
      <c r="AM106" s="103" t="s">
        <v>1862</v>
      </c>
      <c r="AN106" s="99" t="s">
        <v>4638</v>
      </c>
      <c r="AO106" s="103" t="s">
        <v>1862</v>
      </c>
      <c r="AP106" s="103">
        <v>1500</v>
      </c>
      <c r="AQ106" s="112" t="s">
        <v>4461</v>
      </c>
      <c r="AR106" s="103"/>
      <c r="AS106" s="106">
        <v>50000000</v>
      </c>
      <c r="AT106" s="103" t="s">
        <v>4527</v>
      </c>
      <c r="AU106" s="103" t="s">
        <v>1634</v>
      </c>
      <c r="AV106" s="99" t="s">
        <v>4463</v>
      </c>
      <c r="AW106" s="99" t="s">
        <v>4639</v>
      </c>
      <c r="AX106" s="99" t="s">
        <v>4640</v>
      </c>
      <c r="AY106" s="99" t="s">
        <v>4641</v>
      </c>
      <c r="AZ106" s="99" t="s">
        <v>4530</v>
      </c>
      <c r="BA106" s="103" t="s">
        <v>1634</v>
      </c>
      <c r="BB106" s="99"/>
      <c r="BC106" s="99">
        <v>22000</v>
      </c>
      <c r="BD106" s="99"/>
      <c r="BE106" s="99">
        <v>41000000</v>
      </c>
      <c r="BF106" s="103" t="s">
        <v>4642</v>
      </c>
      <c r="BG106" s="103" t="s">
        <v>1862</v>
      </c>
      <c r="BH106" s="103" t="s">
        <v>1862</v>
      </c>
      <c r="BI106" s="103" t="s">
        <v>1862</v>
      </c>
      <c r="BJ106" s="103" t="s">
        <v>1862</v>
      </c>
      <c r="BK106" s="103" t="s">
        <v>4469</v>
      </c>
      <c r="BL106" s="103" t="s">
        <v>4472</v>
      </c>
      <c r="BM106" s="103" t="s">
        <v>4461</v>
      </c>
      <c r="BN106" s="103" t="s">
        <v>4643</v>
      </c>
      <c r="BO106" s="103">
        <v>375</v>
      </c>
      <c r="BP106" s="103" t="s">
        <v>4532</v>
      </c>
      <c r="BQ106" s="99" t="s">
        <v>4644</v>
      </c>
      <c r="BR106" s="99" t="s">
        <v>4644</v>
      </c>
      <c r="BS106" s="99" t="s">
        <v>4564</v>
      </c>
      <c r="BT106" s="103" t="s">
        <v>3186</v>
      </c>
      <c r="BU106" s="99"/>
      <c r="BV106" s="103" t="s">
        <v>4644</v>
      </c>
      <c r="BW106" s="103" t="s">
        <v>4644</v>
      </c>
      <c r="BX106" s="103"/>
      <c r="BY106" s="103"/>
      <c r="BZ106" s="103"/>
      <c r="CA106" s="103"/>
      <c r="CB106" s="103"/>
      <c r="CC106" s="103" t="s">
        <v>4502</v>
      </c>
      <c r="CD106" s="103" t="s">
        <v>4475</v>
      </c>
      <c r="CE106" s="112" t="s">
        <v>4475</v>
      </c>
      <c r="CF106" s="103"/>
      <c r="CG106" s="103" t="s">
        <v>706</v>
      </c>
      <c r="CH106" s="103" t="s">
        <v>707</v>
      </c>
      <c r="CI106" s="103">
        <v>64496548</v>
      </c>
      <c r="CJ106" s="103"/>
      <c r="CK106" s="108">
        <v>43364.693287037036</v>
      </c>
      <c r="CL106" s="109">
        <v>43364.732754629629</v>
      </c>
      <c r="CM106" s="95">
        <v>12.206303200000001</v>
      </c>
      <c r="CN106" s="95">
        <v>-2.3203136</v>
      </c>
      <c r="CO106" s="99"/>
      <c r="CP106" s="99"/>
      <c r="CQ106" s="99"/>
      <c r="CR106" s="99"/>
      <c r="CS106" s="99"/>
      <c r="CT106" s="99"/>
      <c r="CU106" s="99"/>
      <c r="CV106" s="99"/>
      <c r="CW106" s="99"/>
      <c r="CX106" s="99"/>
      <c r="CY106" s="99"/>
      <c r="CZ106" s="99"/>
      <c r="DA106" s="99"/>
      <c r="DB106" s="99"/>
      <c r="DC106" s="99"/>
    </row>
    <row r="107" spans="1:107" ht="15.75" customHeight="1">
      <c r="A107" s="95">
        <v>107</v>
      </c>
      <c r="B107" s="99" t="s">
        <v>708</v>
      </c>
      <c r="C107" s="99" t="s">
        <v>709</v>
      </c>
      <c r="D107" s="99">
        <v>73372912</v>
      </c>
      <c r="E107" s="99" t="s">
        <v>178</v>
      </c>
      <c r="F107" s="95" t="s">
        <v>4614</v>
      </c>
      <c r="G107" s="95" t="s">
        <v>1047</v>
      </c>
      <c r="H107" s="95" t="s">
        <v>1056</v>
      </c>
      <c r="I107" s="95" t="s">
        <v>26</v>
      </c>
      <c r="J107" s="95"/>
      <c r="K107" s="99"/>
      <c r="L107" s="103" t="s">
        <v>4449</v>
      </c>
      <c r="M107" s="99" t="s">
        <v>4450</v>
      </c>
      <c r="N107" s="99" t="s">
        <v>1565</v>
      </c>
      <c r="O107" s="99" t="s">
        <v>4615</v>
      </c>
      <c r="P107" s="103">
        <v>2006</v>
      </c>
      <c r="Q107" s="103" t="s">
        <v>1862</v>
      </c>
      <c r="R107" s="99" t="s">
        <v>4616</v>
      </c>
      <c r="S107" s="103" t="s">
        <v>1541</v>
      </c>
      <c r="T107" s="103" t="s">
        <v>4522</v>
      </c>
      <c r="U107" s="99" t="s">
        <v>4617</v>
      </c>
      <c r="V107" s="95">
        <v>12.2483626</v>
      </c>
      <c r="W107" s="95">
        <v>-0.62515410000000005</v>
      </c>
      <c r="X107" s="104" t="s">
        <v>4618</v>
      </c>
      <c r="Y107" s="103"/>
      <c r="Z107" s="103"/>
      <c r="AA107" s="103"/>
      <c r="AB107" s="103"/>
      <c r="AC107" s="103"/>
      <c r="AD107" s="103"/>
      <c r="AE107" s="103"/>
      <c r="AF107" s="103"/>
      <c r="AG107" s="99"/>
      <c r="AH107" s="103"/>
      <c r="AI107" s="103"/>
      <c r="AJ107" s="103"/>
      <c r="AK107" s="103"/>
      <c r="AL107" s="103"/>
      <c r="AM107" s="103"/>
      <c r="AN107" s="99"/>
      <c r="AO107" s="103"/>
      <c r="AP107" s="103"/>
      <c r="AQ107" s="103"/>
      <c r="AR107" s="103"/>
      <c r="AS107" s="99"/>
      <c r="AT107" s="103"/>
      <c r="AU107" s="103"/>
      <c r="AV107" s="99"/>
      <c r="AW107" s="99"/>
      <c r="AX107" s="99"/>
      <c r="AY107" s="99"/>
      <c r="AZ107" s="99"/>
      <c r="BA107" s="103"/>
      <c r="BB107" s="99"/>
      <c r="BC107" s="99"/>
      <c r="BD107" s="99"/>
      <c r="BE107" s="99"/>
      <c r="BF107" s="103"/>
      <c r="BG107" s="103"/>
      <c r="BH107" s="103"/>
      <c r="BI107" s="103"/>
      <c r="BJ107" s="103"/>
      <c r="BK107" s="103" t="s">
        <v>4499</v>
      </c>
      <c r="BL107" s="103"/>
      <c r="BM107" s="103"/>
      <c r="BN107" s="103"/>
      <c r="BO107" s="103"/>
      <c r="BP107" s="103"/>
      <c r="BQ107" s="107"/>
      <c r="BR107" s="99"/>
      <c r="BS107" s="99"/>
      <c r="BT107" s="103" t="s">
        <v>3186</v>
      </c>
      <c r="BU107" s="99"/>
      <c r="BV107" s="103"/>
      <c r="BW107" s="103"/>
      <c r="BX107" s="103"/>
      <c r="BY107" s="103"/>
      <c r="BZ107" s="103"/>
      <c r="CA107" s="103"/>
      <c r="CB107" s="103"/>
      <c r="CC107" s="103"/>
      <c r="CD107" s="103"/>
      <c r="CE107" s="103"/>
      <c r="CF107" s="103"/>
      <c r="CG107" s="103"/>
      <c r="CH107" s="103"/>
      <c r="CI107" s="103">
        <v>73372912</v>
      </c>
      <c r="CJ107" s="103"/>
      <c r="CK107" s="108">
        <v>43366.414895833332</v>
      </c>
      <c r="CL107" s="109">
        <v>43366.416990740741</v>
      </c>
      <c r="CM107" s="95">
        <v>12.2483626</v>
      </c>
      <c r="CN107" s="95">
        <v>-0.62515410000000005</v>
      </c>
      <c r="CO107" s="99"/>
      <c r="CP107" s="99"/>
      <c r="CQ107" s="99"/>
      <c r="CR107" s="99"/>
      <c r="CS107" s="99"/>
      <c r="CT107" s="99"/>
      <c r="CU107" s="99"/>
      <c r="CV107" s="99"/>
      <c r="CW107" s="99"/>
      <c r="CX107" s="99"/>
      <c r="CY107" s="99"/>
      <c r="CZ107" s="99"/>
      <c r="DA107" s="99"/>
      <c r="DB107" s="99"/>
      <c r="DC107" s="99"/>
    </row>
    <row r="108" spans="1:107" ht="15.75" customHeight="1">
      <c r="A108" s="95">
        <v>108</v>
      </c>
      <c r="B108" s="99" t="s">
        <v>710</v>
      </c>
      <c r="C108" s="99" t="s">
        <v>711</v>
      </c>
      <c r="D108" s="99">
        <v>71257027</v>
      </c>
      <c r="E108" s="99" t="s">
        <v>179</v>
      </c>
      <c r="F108" s="95" t="s">
        <v>5152</v>
      </c>
      <c r="G108" s="95" t="s">
        <v>1049</v>
      </c>
      <c r="H108" s="95" t="s">
        <v>1066</v>
      </c>
      <c r="I108" s="95" t="s">
        <v>89</v>
      </c>
      <c r="J108" s="95" t="s">
        <v>1100</v>
      </c>
      <c r="K108" s="99"/>
      <c r="L108" s="103" t="s">
        <v>4449</v>
      </c>
      <c r="M108" s="99" t="s">
        <v>4450</v>
      </c>
      <c r="N108" s="99" t="s">
        <v>4451</v>
      </c>
      <c r="O108" s="99" t="s">
        <v>4694</v>
      </c>
      <c r="P108" s="103">
        <v>2005</v>
      </c>
      <c r="Q108" s="103" t="s">
        <v>1862</v>
      </c>
      <c r="R108" s="99" t="s">
        <v>5153</v>
      </c>
      <c r="S108" s="103" t="s">
        <v>2282</v>
      </c>
      <c r="T108" s="103" t="s">
        <v>4538</v>
      </c>
      <c r="U108" s="99" t="s">
        <v>5154</v>
      </c>
      <c r="V108" s="95">
        <v>12.2562183</v>
      </c>
      <c r="W108" s="95">
        <v>-2.3517526000000002</v>
      </c>
      <c r="X108" s="104" t="s">
        <v>4839</v>
      </c>
      <c r="Y108" s="103" t="s">
        <v>1634</v>
      </c>
      <c r="Z108" s="103" t="s">
        <v>1634</v>
      </c>
      <c r="AA108" s="103" t="s">
        <v>1862</v>
      </c>
      <c r="AB108" s="103">
        <v>27</v>
      </c>
      <c r="AC108" s="103">
        <v>3</v>
      </c>
      <c r="AD108" s="103">
        <v>24</v>
      </c>
      <c r="AE108" s="103" t="s">
        <v>1634</v>
      </c>
      <c r="AF108" s="103" t="s">
        <v>4493</v>
      </c>
      <c r="AG108" s="99" t="s">
        <v>5155</v>
      </c>
      <c r="AH108" s="103" t="s">
        <v>1862</v>
      </c>
      <c r="AI108" s="103" t="s">
        <v>1804</v>
      </c>
      <c r="AJ108" s="103" t="s">
        <v>1804</v>
      </c>
      <c r="AK108" s="103" t="s">
        <v>1862</v>
      </c>
      <c r="AL108" s="103" t="s">
        <v>1862</v>
      </c>
      <c r="AM108" s="103" t="s">
        <v>1804</v>
      </c>
      <c r="AN108" s="99" t="s">
        <v>4735</v>
      </c>
      <c r="AO108" s="103" t="s">
        <v>1862</v>
      </c>
      <c r="AP108" s="103">
        <v>850</v>
      </c>
      <c r="AQ108" s="103" t="s">
        <v>4470</v>
      </c>
      <c r="AR108" s="103"/>
      <c r="AS108" s="99"/>
      <c r="AT108" s="103" t="s">
        <v>4542</v>
      </c>
      <c r="AU108" s="103" t="s">
        <v>1634</v>
      </c>
      <c r="AV108" s="99" t="s">
        <v>4671</v>
      </c>
      <c r="AW108" s="99" t="s">
        <v>4680</v>
      </c>
      <c r="AX108" s="99" t="s">
        <v>4543</v>
      </c>
      <c r="AY108" s="99" t="s">
        <v>4466</v>
      </c>
      <c r="AZ108" s="99" t="s">
        <v>4467</v>
      </c>
      <c r="BA108" s="103" t="s">
        <v>1634</v>
      </c>
      <c r="BB108" s="99"/>
      <c r="BC108" s="99">
        <v>2000</v>
      </c>
      <c r="BD108" s="99"/>
      <c r="BE108" s="99">
        <v>1020000</v>
      </c>
      <c r="BF108" s="103" t="s">
        <v>4511</v>
      </c>
      <c r="BG108" s="103" t="s">
        <v>1804</v>
      </c>
      <c r="BH108" s="103" t="s">
        <v>1862</v>
      </c>
      <c r="BI108" s="103" t="s">
        <v>1804</v>
      </c>
      <c r="BJ108" s="103" t="s">
        <v>1804</v>
      </c>
      <c r="BK108" s="103" t="s">
        <v>4499</v>
      </c>
      <c r="BL108" s="103" t="s">
        <v>4470</v>
      </c>
      <c r="BM108" s="103"/>
      <c r="BN108" s="103" t="s">
        <v>4607</v>
      </c>
      <c r="BO108" s="103">
        <v>4500</v>
      </c>
      <c r="BP108" s="103" t="s">
        <v>4500</v>
      </c>
      <c r="BQ108" s="99" t="s">
        <v>4476</v>
      </c>
      <c r="BR108" s="99" t="s">
        <v>4476</v>
      </c>
      <c r="BS108" s="99" t="s">
        <v>4476</v>
      </c>
      <c r="BT108" s="103" t="s">
        <v>3186</v>
      </c>
      <c r="BU108" s="99" t="s">
        <v>4475</v>
      </c>
      <c r="BV108" s="103" t="s">
        <v>4476</v>
      </c>
      <c r="BW108" s="103" t="s">
        <v>4476</v>
      </c>
      <c r="BX108" s="103" t="s">
        <v>1548</v>
      </c>
      <c r="BY108" s="103" t="s">
        <v>4501</v>
      </c>
      <c r="BZ108" s="103" t="s">
        <v>4499</v>
      </c>
      <c r="CA108" s="103" t="s">
        <v>4509</v>
      </c>
      <c r="CB108" s="103"/>
      <c r="CC108" s="103" t="s">
        <v>4502</v>
      </c>
      <c r="CD108" s="103" t="s">
        <v>4475</v>
      </c>
      <c r="CE108" s="103" t="s">
        <v>4481</v>
      </c>
      <c r="CF108" s="103"/>
      <c r="CG108" s="103" t="s">
        <v>5156</v>
      </c>
      <c r="CH108" s="103" t="s">
        <v>5157</v>
      </c>
      <c r="CI108" s="103">
        <v>71257027</v>
      </c>
      <c r="CJ108" s="103" t="s">
        <v>5158</v>
      </c>
      <c r="CK108" s="108">
        <v>43365.574259259258</v>
      </c>
      <c r="CL108" s="109">
        <v>43365.591053240743</v>
      </c>
      <c r="CM108" s="95">
        <v>12.2562183</v>
      </c>
      <c r="CN108" s="95">
        <v>-2.3517526000000002</v>
      </c>
      <c r="CO108" s="99"/>
      <c r="CP108" s="99"/>
      <c r="CQ108" s="99"/>
      <c r="CR108" s="99"/>
      <c r="CS108" s="99"/>
      <c r="CT108" s="99"/>
      <c r="CU108" s="99"/>
      <c r="CV108" s="99"/>
      <c r="CW108" s="99"/>
      <c r="CX108" s="99"/>
      <c r="CY108" s="99"/>
      <c r="CZ108" s="99"/>
      <c r="DA108" s="99"/>
      <c r="DB108" s="99"/>
      <c r="DC108" s="99"/>
    </row>
    <row r="109" spans="1:107" ht="15.75" customHeight="1">
      <c r="A109" s="95">
        <v>109</v>
      </c>
      <c r="B109" s="99" t="s">
        <v>7127</v>
      </c>
      <c r="C109" s="99" t="s">
        <v>712</v>
      </c>
      <c r="D109" s="99">
        <v>70739030</v>
      </c>
      <c r="E109" s="99" t="s">
        <v>7128</v>
      </c>
      <c r="F109" s="95" t="s">
        <v>5159</v>
      </c>
      <c r="G109" s="95" t="s">
        <v>1049</v>
      </c>
      <c r="H109" s="95" t="s">
        <v>1070</v>
      </c>
      <c r="I109" s="95" t="s">
        <v>89</v>
      </c>
      <c r="J109" s="95" t="s">
        <v>1101</v>
      </c>
      <c r="K109" s="99"/>
      <c r="L109" s="103" t="s">
        <v>4449</v>
      </c>
      <c r="M109" s="99" t="s">
        <v>4450</v>
      </c>
      <c r="N109" s="99" t="s">
        <v>4520</v>
      </c>
      <c r="O109" s="99" t="s">
        <v>4488</v>
      </c>
      <c r="P109" s="103">
        <v>2013</v>
      </c>
      <c r="Q109" s="103" t="s">
        <v>1862</v>
      </c>
      <c r="R109" s="99" t="s">
        <v>4551</v>
      </c>
      <c r="S109" s="103" t="s">
        <v>2282</v>
      </c>
      <c r="T109" s="103" t="s">
        <v>4538</v>
      </c>
      <c r="U109" s="99" t="s">
        <v>5160</v>
      </c>
      <c r="V109" s="95">
        <v>12.2562183</v>
      </c>
      <c r="W109" s="95">
        <v>-2.3517526000000002</v>
      </c>
      <c r="X109" s="104" t="s">
        <v>4839</v>
      </c>
      <c r="Y109" s="103" t="s">
        <v>1634</v>
      </c>
      <c r="Z109" s="103" t="s">
        <v>1634</v>
      </c>
      <c r="AA109" s="103" t="s">
        <v>1862</v>
      </c>
      <c r="AB109" s="103">
        <v>39</v>
      </c>
      <c r="AC109" s="103">
        <v>2</v>
      </c>
      <c r="AD109" s="103">
        <v>37</v>
      </c>
      <c r="AE109" s="103" t="s">
        <v>1634</v>
      </c>
      <c r="AF109" s="103" t="s">
        <v>4493</v>
      </c>
      <c r="AG109" s="99" t="s">
        <v>4624</v>
      </c>
      <c r="AH109" s="103" t="s">
        <v>1862</v>
      </c>
      <c r="AI109" s="103" t="s">
        <v>1862</v>
      </c>
      <c r="AJ109" s="103" t="s">
        <v>1804</v>
      </c>
      <c r="AK109" s="103" t="s">
        <v>1804</v>
      </c>
      <c r="AL109" s="103" t="s">
        <v>1804</v>
      </c>
      <c r="AM109" s="103" t="s">
        <v>1804</v>
      </c>
      <c r="AN109" s="99" t="s">
        <v>5161</v>
      </c>
      <c r="AO109" s="103" t="s">
        <v>1862</v>
      </c>
      <c r="AP109" s="103">
        <v>1200</v>
      </c>
      <c r="AQ109" s="103" t="s">
        <v>4500</v>
      </c>
      <c r="AR109" s="103">
        <v>1000000</v>
      </c>
      <c r="AS109" s="106">
        <v>15000000</v>
      </c>
      <c r="AT109" s="103" t="s">
        <v>4496</v>
      </c>
      <c r="AU109" s="103" t="s">
        <v>1634</v>
      </c>
      <c r="AV109" s="99" t="s">
        <v>4671</v>
      </c>
      <c r="AW109" s="99" t="s">
        <v>4605</v>
      </c>
      <c r="AX109" s="99" t="s">
        <v>4606</v>
      </c>
      <c r="AY109" s="99" t="s">
        <v>4466</v>
      </c>
      <c r="AZ109" s="99" t="s">
        <v>4467</v>
      </c>
      <c r="BA109" s="103" t="s">
        <v>1634</v>
      </c>
      <c r="BB109" s="99">
        <v>10</v>
      </c>
      <c r="BC109" s="99"/>
      <c r="BD109" s="99">
        <v>75000000</v>
      </c>
      <c r="BE109" s="99">
        <v>2000000</v>
      </c>
      <c r="BF109" s="103" t="s">
        <v>4415</v>
      </c>
      <c r="BG109" s="103" t="s">
        <v>1862</v>
      </c>
      <c r="BH109" s="103" t="s">
        <v>1804</v>
      </c>
      <c r="BI109" s="103" t="s">
        <v>1804</v>
      </c>
      <c r="BJ109" s="103" t="s">
        <v>1804</v>
      </c>
      <c r="BK109" s="103" t="s">
        <v>4478</v>
      </c>
      <c r="BL109" s="103" t="s">
        <v>4470</v>
      </c>
      <c r="BM109" s="103"/>
      <c r="BN109" s="103"/>
      <c r="BO109" s="103">
        <v>200</v>
      </c>
      <c r="BP109" s="103" t="s">
        <v>4461</v>
      </c>
      <c r="BQ109" s="107" t="s">
        <v>4534</v>
      </c>
      <c r="BR109" s="99" t="s">
        <v>4534</v>
      </c>
      <c r="BS109" s="99" t="s">
        <v>4574</v>
      </c>
      <c r="BT109" s="103" t="s">
        <v>3186</v>
      </c>
      <c r="BU109" s="99" t="s">
        <v>4475</v>
      </c>
      <c r="BV109" s="103" t="s">
        <v>4514</v>
      </c>
      <c r="BW109" s="103" t="s">
        <v>4476</v>
      </c>
      <c r="BX109" s="103" t="s">
        <v>1634</v>
      </c>
      <c r="BY109" s="103" t="s">
        <v>4535</v>
      </c>
      <c r="BZ109" s="103" t="s">
        <v>4478</v>
      </c>
      <c r="CA109" s="103" t="s">
        <v>4461</v>
      </c>
      <c r="CB109" s="103">
        <v>5000</v>
      </c>
      <c r="CC109" s="103" t="s">
        <v>4479</v>
      </c>
      <c r="CD109" s="103" t="s">
        <v>4502</v>
      </c>
      <c r="CE109" s="103" t="s">
        <v>4481</v>
      </c>
      <c r="CF109" s="103" t="s">
        <v>4691</v>
      </c>
      <c r="CG109" s="103" t="s">
        <v>5162</v>
      </c>
      <c r="CH109" s="103" t="s">
        <v>5163</v>
      </c>
      <c r="CI109" s="103">
        <v>70382271</v>
      </c>
      <c r="CJ109" s="103" t="s">
        <v>5164</v>
      </c>
      <c r="CK109" s="108">
        <v>43366.442407407405</v>
      </c>
      <c r="CL109" s="109">
        <v>43366.461736111109</v>
      </c>
      <c r="CM109" s="95">
        <v>12.2562183</v>
      </c>
      <c r="CN109" s="95">
        <v>-2.3517526000000002</v>
      </c>
      <c r="CO109" s="99"/>
      <c r="CP109" s="99"/>
      <c r="CQ109" s="99"/>
      <c r="CR109" s="99"/>
      <c r="CS109" s="99"/>
      <c r="CT109" s="99"/>
      <c r="CU109" s="99"/>
      <c r="CV109" s="99"/>
      <c r="CW109" s="99"/>
      <c r="CX109" s="99"/>
      <c r="CY109" s="99"/>
      <c r="CZ109" s="99"/>
      <c r="DA109" s="99"/>
      <c r="DB109" s="99"/>
      <c r="DC109" s="99"/>
    </row>
    <row r="110" spans="1:107" ht="15.75" customHeight="1">
      <c r="A110" s="95">
        <v>110</v>
      </c>
      <c r="B110" s="99" t="s">
        <v>713</v>
      </c>
      <c r="C110" s="99" t="s">
        <v>714</v>
      </c>
      <c r="D110" s="99">
        <v>70224211</v>
      </c>
      <c r="E110" s="99" t="s">
        <v>181</v>
      </c>
      <c r="F110" s="95" t="s">
        <v>5165</v>
      </c>
      <c r="G110" s="95" t="s">
        <v>1102</v>
      </c>
      <c r="H110" s="95" t="s">
        <v>1103</v>
      </c>
      <c r="I110" s="95" t="s">
        <v>182</v>
      </c>
      <c r="J110" s="95"/>
      <c r="K110" s="99"/>
      <c r="L110" s="103" t="s">
        <v>4449</v>
      </c>
      <c r="M110" s="99" t="s">
        <v>4450</v>
      </c>
      <c r="N110" s="99" t="s">
        <v>4451</v>
      </c>
      <c r="O110" s="99" t="s">
        <v>4754</v>
      </c>
      <c r="P110" s="103">
        <v>1985</v>
      </c>
      <c r="Q110" s="103" t="s">
        <v>1862</v>
      </c>
      <c r="R110" s="99" t="s">
        <v>4687</v>
      </c>
      <c r="S110" s="103" t="s">
        <v>1541</v>
      </c>
      <c r="T110" s="103" t="s">
        <v>4538</v>
      </c>
      <c r="U110" s="99" t="s">
        <v>5166</v>
      </c>
      <c r="V110" s="95">
        <v>11.786332399999999</v>
      </c>
      <c r="W110" s="95">
        <v>-0.36542039999999998</v>
      </c>
      <c r="X110" s="104" t="s">
        <v>5167</v>
      </c>
      <c r="Y110" s="103" t="s">
        <v>1548</v>
      </c>
      <c r="Z110" s="103" t="s">
        <v>1548</v>
      </c>
      <c r="AA110" s="103" t="s">
        <v>1862</v>
      </c>
      <c r="AB110" s="103">
        <v>30</v>
      </c>
      <c r="AC110" s="103">
        <v>0</v>
      </c>
      <c r="AD110" s="103">
        <v>30</v>
      </c>
      <c r="AE110" s="103" t="s">
        <v>1634</v>
      </c>
      <c r="AF110" s="103" t="s">
        <v>4493</v>
      </c>
      <c r="AG110" s="99" t="s">
        <v>4554</v>
      </c>
      <c r="AH110" s="103" t="s">
        <v>1862</v>
      </c>
      <c r="AI110" s="103" t="s">
        <v>1862</v>
      </c>
      <c r="AJ110" s="103" t="s">
        <v>1862</v>
      </c>
      <c r="AK110" s="103" t="s">
        <v>1862</v>
      </c>
      <c r="AL110" s="103" t="s">
        <v>1804</v>
      </c>
      <c r="AM110" s="103" t="s">
        <v>1862</v>
      </c>
      <c r="AN110" s="99" t="s">
        <v>4782</v>
      </c>
      <c r="AO110" s="103" t="s">
        <v>1862</v>
      </c>
      <c r="AP110" s="103">
        <v>1500</v>
      </c>
      <c r="AQ110" s="103" t="s">
        <v>4461</v>
      </c>
      <c r="AR110" s="103">
        <v>0</v>
      </c>
      <c r="AS110" s="106">
        <v>2000000</v>
      </c>
      <c r="AT110" s="103" t="s">
        <v>4510</v>
      </c>
      <c r="AU110" s="103" t="s">
        <v>1634</v>
      </c>
      <c r="AV110" s="99" t="s">
        <v>4463</v>
      </c>
      <c r="AW110" s="99" t="s">
        <v>5168</v>
      </c>
      <c r="AX110" s="99" t="s">
        <v>5169</v>
      </c>
      <c r="AY110" s="99" t="s">
        <v>4560</v>
      </c>
      <c r="AZ110" s="99" t="s">
        <v>4530</v>
      </c>
      <c r="BA110" s="103" t="s">
        <v>1634</v>
      </c>
      <c r="BB110" s="99">
        <v>0</v>
      </c>
      <c r="BC110" s="99">
        <v>2000</v>
      </c>
      <c r="BD110" s="99">
        <v>0</v>
      </c>
      <c r="BE110" s="99">
        <v>3000000</v>
      </c>
      <c r="BF110" s="103" t="s">
        <v>4749</v>
      </c>
      <c r="BG110" s="103" t="s">
        <v>1804</v>
      </c>
      <c r="BH110" s="103" t="s">
        <v>1862</v>
      </c>
      <c r="BI110" s="103" t="s">
        <v>1862</v>
      </c>
      <c r="BJ110" s="103" t="s">
        <v>1804</v>
      </c>
      <c r="BK110" s="103" t="s">
        <v>4478</v>
      </c>
      <c r="BL110" s="103" t="s">
        <v>4472</v>
      </c>
      <c r="BM110" s="103" t="s">
        <v>4461</v>
      </c>
      <c r="BN110" s="103" t="s">
        <v>4562</v>
      </c>
      <c r="BO110" s="103">
        <v>1000</v>
      </c>
      <c r="BP110" s="103" t="s">
        <v>4500</v>
      </c>
      <c r="BQ110" s="99" t="s">
        <v>5170</v>
      </c>
      <c r="BR110" s="99" t="s">
        <v>4564</v>
      </c>
      <c r="BS110" s="99"/>
      <c r="BT110" s="103" t="s">
        <v>3186</v>
      </c>
      <c r="BU110" s="99" t="s">
        <v>4475</v>
      </c>
      <c r="BV110" s="103" t="s">
        <v>4476</v>
      </c>
      <c r="BW110" s="103" t="s">
        <v>4476</v>
      </c>
      <c r="BX110" s="103" t="s">
        <v>1548</v>
      </c>
      <c r="BY110" s="103" t="s">
        <v>4535</v>
      </c>
      <c r="BZ110" s="103" t="s">
        <v>4478</v>
      </c>
      <c r="CA110" s="103" t="s">
        <v>4461</v>
      </c>
      <c r="CB110" s="103">
        <v>50</v>
      </c>
      <c r="CC110" s="103" t="s">
        <v>4502</v>
      </c>
      <c r="CD110" s="103" t="s">
        <v>4475</v>
      </c>
      <c r="CE110" s="103" t="s">
        <v>4481</v>
      </c>
      <c r="CF110" s="103"/>
      <c r="CG110" s="103" t="s">
        <v>713</v>
      </c>
      <c r="CH110" s="103" t="s">
        <v>714</v>
      </c>
      <c r="CI110" s="103">
        <v>70224211</v>
      </c>
      <c r="CJ110" s="103" t="s">
        <v>5171</v>
      </c>
      <c r="CK110" s="108">
        <v>43365.698935185188</v>
      </c>
      <c r="CL110" s="109">
        <v>43365.776192129626</v>
      </c>
      <c r="CM110" s="95">
        <v>11.786332399999999</v>
      </c>
      <c r="CN110" s="95">
        <v>-0.36542039999999998</v>
      </c>
      <c r="CO110" s="99"/>
      <c r="CP110" s="99"/>
      <c r="CQ110" s="99"/>
      <c r="CR110" s="99"/>
      <c r="CS110" s="99"/>
      <c r="CT110" s="99"/>
      <c r="CU110" s="99"/>
      <c r="CV110" s="99"/>
      <c r="CW110" s="99"/>
      <c r="CX110" s="99"/>
      <c r="CY110" s="99"/>
      <c r="CZ110" s="99"/>
      <c r="DA110" s="99"/>
      <c r="DB110" s="99"/>
      <c r="DC110" s="99"/>
    </row>
    <row r="111" spans="1:107" ht="15.75" customHeight="1">
      <c r="A111" s="95">
        <v>111</v>
      </c>
      <c r="B111" s="99" t="s">
        <v>715</v>
      </c>
      <c r="C111" s="99" t="s">
        <v>716</v>
      </c>
      <c r="D111" s="99">
        <v>72656419</v>
      </c>
      <c r="E111" s="99" t="s">
        <v>183</v>
      </c>
      <c r="F111" s="95" t="s">
        <v>5172</v>
      </c>
      <c r="G111" s="95" t="s">
        <v>1049</v>
      </c>
      <c r="H111" s="95" t="s">
        <v>1065</v>
      </c>
      <c r="I111" s="95" t="s">
        <v>184</v>
      </c>
      <c r="J111" s="95" t="s">
        <v>1104</v>
      </c>
      <c r="K111" s="99"/>
      <c r="L111" s="103" t="s">
        <v>4449</v>
      </c>
      <c r="M111" s="99" t="s">
        <v>5072</v>
      </c>
      <c r="N111" s="99" t="s">
        <v>4451</v>
      </c>
      <c r="O111" s="99" t="s">
        <v>4452</v>
      </c>
      <c r="P111" s="103">
        <v>2004</v>
      </c>
      <c r="Q111" s="103" t="s">
        <v>1862</v>
      </c>
      <c r="R111" s="99" t="s">
        <v>4521</v>
      </c>
      <c r="S111" s="103" t="s">
        <v>1541</v>
      </c>
      <c r="T111" s="103" t="s">
        <v>4538</v>
      </c>
      <c r="U111" s="99" t="s">
        <v>5173</v>
      </c>
      <c r="V111" s="95">
        <v>12.632201999999999</v>
      </c>
      <c r="W111" s="95">
        <v>-2.6750102</v>
      </c>
      <c r="X111" s="104" t="s">
        <v>5174</v>
      </c>
      <c r="Y111" s="103"/>
      <c r="Z111" s="103"/>
      <c r="AA111" s="103" t="s">
        <v>1862</v>
      </c>
      <c r="AB111" s="103">
        <v>20</v>
      </c>
      <c r="AC111" s="103">
        <v>0</v>
      </c>
      <c r="AD111" s="103">
        <v>20</v>
      </c>
      <c r="AE111" s="103"/>
      <c r="AF111" s="103" t="s">
        <v>4935</v>
      </c>
      <c r="AG111" s="99" t="s">
        <v>4494</v>
      </c>
      <c r="AH111" s="103" t="s">
        <v>1862</v>
      </c>
      <c r="AI111" s="103" t="s">
        <v>1862</v>
      </c>
      <c r="AJ111" s="103" t="s">
        <v>1804</v>
      </c>
      <c r="AK111" s="103" t="s">
        <v>1804</v>
      </c>
      <c r="AL111" s="103" t="s">
        <v>1862</v>
      </c>
      <c r="AM111" s="103" t="s">
        <v>1862</v>
      </c>
      <c r="AN111" s="99" t="s">
        <v>4735</v>
      </c>
      <c r="AO111" s="103" t="s">
        <v>1862</v>
      </c>
      <c r="AP111" s="103">
        <v>600</v>
      </c>
      <c r="AQ111" s="103" t="s">
        <v>4461</v>
      </c>
      <c r="AR111" s="103">
        <v>700000</v>
      </c>
      <c r="AS111" s="106">
        <v>600000</v>
      </c>
      <c r="AT111" s="103" t="s">
        <v>4625</v>
      </c>
      <c r="AU111" s="103" t="s">
        <v>1548</v>
      </c>
      <c r="AV111" s="99"/>
      <c r="AW111" s="99" t="s">
        <v>5175</v>
      </c>
      <c r="AX111" s="99" t="s">
        <v>5028</v>
      </c>
      <c r="AY111" s="99" t="s">
        <v>4466</v>
      </c>
      <c r="AZ111" s="99" t="s">
        <v>4530</v>
      </c>
      <c r="BA111" s="103" t="s">
        <v>1548</v>
      </c>
      <c r="BB111" s="99">
        <v>3000</v>
      </c>
      <c r="BC111" s="99">
        <v>1800</v>
      </c>
      <c r="BD111" s="99">
        <v>480000</v>
      </c>
      <c r="BE111" s="99">
        <v>370000</v>
      </c>
      <c r="BF111" s="103" t="s">
        <v>4544</v>
      </c>
      <c r="BG111" s="103" t="s">
        <v>1862</v>
      </c>
      <c r="BH111" s="103" t="s">
        <v>1862</v>
      </c>
      <c r="BI111" s="103" t="s">
        <v>1804</v>
      </c>
      <c r="BJ111" s="103" t="s">
        <v>1804</v>
      </c>
      <c r="BK111" s="103" t="s">
        <v>4478</v>
      </c>
      <c r="BL111" s="103" t="s">
        <v>4472</v>
      </c>
      <c r="BM111" s="103" t="s">
        <v>4461</v>
      </c>
      <c r="BN111" s="103" t="s">
        <v>4690</v>
      </c>
      <c r="BO111" s="103">
        <v>500</v>
      </c>
      <c r="BP111" s="103" t="s">
        <v>4532</v>
      </c>
      <c r="BQ111" s="99" t="s">
        <v>4476</v>
      </c>
      <c r="BR111" s="99" t="s">
        <v>4476</v>
      </c>
      <c r="BS111" s="99" t="s">
        <v>4476</v>
      </c>
      <c r="BT111" s="103" t="s">
        <v>3186</v>
      </c>
      <c r="BU111" s="99" t="s">
        <v>4480</v>
      </c>
      <c r="BV111" s="103" t="s">
        <v>4476</v>
      </c>
      <c r="BW111" s="103" t="s">
        <v>4476</v>
      </c>
      <c r="BX111" s="103" t="s">
        <v>1548</v>
      </c>
      <c r="BY111" s="103" t="s">
        <v>4535</v>
      </c>
      <c r="BZ111" s="103" t="s">
        <v>4478</v>
      </c>
      <c r="CA111" s="103" t="s">
        <v>4461</v>
      </c>
      <c r="CB111" s="103">
        <v>500</v>
      </c>
      <c r="CC111" s="103" t="s">
        <v>4502</v>
      </c>
      <c r="CD111" s="103" t="s">
        <v>4480</v>
      </c>
      <c r="CE111" s="103" t="s">
        <v>4480</v>
      </c>
      <c r="CF111" s="103"/>
      <c r="CG111" s="103" t="s">
        <v>731</v>
      </c>
      <c r="CH111" s="103" t="s">
        <v>732</v>
      </c>
      <c r="CI111" s="103">
        <v>70321172</v>
      </c>
      <c r="CJ111" s="103" t="s">
        <v>5176</v>
      </c>
      <c r="CK111" s="108">
        <v>43366.446192129632</v>
      </c>
      <c r="CL111" s="109">
        <v>43366.47115740741</v>
      </c>
      <c r="CM111" s="95">
        <v>12.632201999999999</v>
      </c>
      <c r="CN111" s="95">
        <v>-2.6750102</v>
      </c>
      <c r="CO111" s="99"/>
      <c r="CP111" s="99"/>
      <c r="CQ111" s="99"/>
      <c r="CR111" s="99"/>
      <c r="CS111" s="99"/>
      <c r="CT111" s="99"/>
      <c r="CU111" s="99"/>
      <c r="CV111" s="99"/>
      <c r="CW111" s="99"/>
      <c r="CX111" s="99"/>
      <c r="CY111" s="99"/>
      <c r="CZ111" s="99"/>
      <c r="DA111" s="99"/>
      <c r="DB111" s="99"/>
      <c r="DC111" s="99"/>
    </row>
    <row r="112" spans="1:107" ht="15.75" customHeight="1">
      <c r="A112" s="95">
        <v>112</v>
      </c>
      <c r="B112" s="99" t="s">
        <v>717</v>
      </c>
      <c r="C112" s="99" t="s">
        <v>718</v>
      </c>
      <c r="D112" s="99">
        <v>79276810</v>
      </c>
      <c r="E112" s="99" t="s">
        <v>185</v>
      </c>
      <c r="F112" s="95" t="s">
        <v>5177</v>
      </c>
      <c r="G112" s="95" t="s">
        <v>1049</v>
      </c>
      <c r="H112" s="95" t="s">
        <v>1065</v>
      </c>
      <c r="I112" s="95" t="s">
        <v>184</v>
      </c>
      <c r="J112" s="95" t="s">
        <v>1105</v>
      </c>
      <c r="K112" s="99"/>
      <c r="L112" s="103" t="s">
        <v>4449</v>
      </c>
      <c r="M112" s="99" t="s">
        <v>4450</v>
      </c>
      <c r="N112" s="99" t="s">
        <v>4520</v>
      </c>
      <c r="O112" s="99" t="s">
        <v>4488</v>
      </c>
      <c r="P112" s="103">
        <v>2004</v>
      </c>
      <c r="Q112" s="103" t="s">
        <v>1862</v>
      </c>
      <c r="R112" s="99" t="s">
        <v>5178</v>
      </c>
      <c r="S112" s="103" t="s">
        <v>1541</v>
      </c>
      <c r="T112" s="103" t="s">
        <v>4538</v>
      </c>
      <c r="U112" s="99" t="s">
        <v>5179</v>
      </c>
      <c r="V112" s="95">
        <v>12.3802333</v>
      </c>
      <c r="W112" s="95">
        <v>-2.5492903</v>
      </c>
      <c r="X112" s="104" t="s">
        <v>5180</v>
      </c>
      <c r="Y112" s="103" t="s">
        <v>1634</v>
      </c>
      <c r="Z112" s="103" t="s">
        <v>1634</v>
      </c>
      <c r="AA112" s="103" t="s">
        <v>1862</v>
      </c>
      <c r="AB112" s="103">
        <v>24</v>
      </c>
      <c r="AC112" s="103">
        <v>0</v>
      </c>
      <c r="AD112" s="103">
        <v>24</v>
      </c>
      <c r="AE112" s="103" t="s">
        <v>1634</v>
      </c>
      <c r="AF112" s="103" t="s">
        <v>4935</v>
      </c>
      <c r="AG112" s="99"/>
      <c r="AH112" s="103"/>
      <c r="AI112" s="103"/>
      <c r="AJ112" s="103"/>
      <c r="AK112" s="103"/>
      <c r="AL112" s="103"/>
      <c r="AM112" s="103"/>
      <c r="AN112" s="99"/>
      <c r="AO112" s="103"/>
      <c r="AP112" s="103"/>
      <c r="AQ112" s="103"/>
      <c r="AR112" s="103"/>
      <c r="AS112" s="99"/>
      <c r="AT112" s="103"/>
      <c r="AU112" s="103" t="s">
        <v>1634</v>
      </c>
      <c r="AV112" s="99" t="s">
        <v>4463</v>
      </c>
      <c r="AW112" s="99" t="s">
        <v>5181</v>
      </c>
      <c r="AX112" s="99" t="s">
        <v>5182</v>
      </c>
      <c r="AY112" s="99" t="s">
        <v>4466</v>
      </c>
      <c r="AZ112" s="99" t="s">
        <v>4467</v>
      </c>
      <c r="BA112" s="103" t="s">
        <v>1634</v>
      </c>
      <c r="BB112" s="99">
        <v>3000</v>
      </c>
      <c r="BC112" s="99">
        <v>2500</v>
      </c>
      <c r="BD112" s="99">
        <v>400000</v>
      </c>
      <c r="BE112" s="99">
        <v>350000</v>
      </c>
      <c r="BF112" s="103" t="s">
        <v>4544</v>
      </c>
      <c r="BG112" s="103" t="s">
        <v>1862</v>
      </c>
      <c r="BH112" s="103" t="s">
        <v>1862</v>
      </c>
      <c r="BI112" s="103" t="s">
        <v>1804</v>
      </c>
      <c r="BJ112" s="103" t="s">
        <v>1804</v>
      </c>
      <c r="BK112" s="103" t="s">
        <v>4478</v>
      </c>
      <c r="BL112" s="103" t="s">
        <v>4470</v>
      </c>
      <c r="BM112" s="103" t="s">
        <v>4470</v>
      </c>
      <c r="BN112" s="103" t="s">
        <v>4512</v>
      </c>
      <c r="BO112" s="103">
        <v>200</v>
      </c>
      <c r="BP112" s="103" t="s">
        <v>4461</v>
      </c>
      <c r="BQ112" s="107" t="s">
        <v>5146</v>
      </c>
      <c r="BR112" s="99" t="s">
        <v>4534</v>
      </c>
      <c r="BS112" s="99" t="s">
        <v>4564</v>
      </c>
      <c r="BT112" s="103" t="s">
        <v>3186</v>
      </c>
      <c r="BU112" s="99" t="s">
        <v>4628</v>
      </c>
      <c r="BV112" s="103" t="s">
        <v>4476</v>
      </c>
      <c r="BW112" s="103" t="s">
        <v>4476</v>
      </c>
      <c r="BX112" s="103" t="s">
        <v>1634</v>
      </c>
      <c r="BY112" s="103" t="s">
        <v>4535</v>
      </c>
      <c r="BZ112" s="103" t="s">
        <v>4515</v>
      </c>
      <c r="CA112" s="103" t="s">
        <v>4461</v>
      </c>
      <c r="CB112" s="103">
        <v>400</v>
      </c>
      <c r="CC112" s="103" t="s">
        <v>4730</v>
      </c>
      <c r="CD112" s="103" t="s">
        <v>4475</v>
      </c>
      <c r="CE112" s="103" t="s">
        <v>4481</v>
      </c>
      <c r="CF112" s="103" t="s">
        <v>4691</v>
      </c>
      <c r="CG112" s="103" t="s">
        <v>5183</v>
      </c>
      <c r="CH112" s="103" t="s">
        <v>584</v>
      </c>
      <c r="CI112" s="103">
        <v>70321172</v>
      </c>
      <c r="CJ112" s="103" t="s">
        <v>5184</v>
      </c>
      <c r="CK112" s="108">
        <v>43366.466562499998</v>
      </c>
      <c r="CL112" s="109">
        <v>43366.484837962962</v>
      </c>
      <c r="CM112" s="95">
        <v>12.3802333</v>
      </c>
      <c r="CN112" s="95">
        <v>-2.5492903</v>
      </c>
      <c r="CO112" s="99"/>
      <c r="CP112" s="99"/>
      <c r="CQ112" s="99"/>
      <c r="CR112" s="99"/>
      <c r="CS112" s="99"/>
      <c r="CT112" s="99"/>
      <c r="CU112" s="99"/>
      <c r="CV112" s="99"/>
      <c r="CW112" s="99"/>
      <c r="CX112" s="99"/>
      <c r="CY112" s="99"/>
      <c r="CZ112" s="99"/>
      <c r="DA112" s="99"/>
      <c r="DB112" s="99"/>
      <c r="DC112" s="99"/>
    </row>
    <row r="113" spans="1:107" ht="15.75" customHeight="1">
      <c r="A113" s="95">
        <v>113</v>
      </c>
      <c r="B113" s="99" t="s">
        <v>719</v>
      </c>
      <c r="C113" s="99" t="s">
        <v>720</v>
      </c>
      <c r="D113" s="99">
        <v>63517915</v>
      </c>
      <c r="E113" s="99" t="s">
        <v>5185</v>
      </c>
      <c r="F113" s="95" t="s">
        <v>5186</v>
      </c>
      <c r="G113" s="95" t="s">
        <v>1049</v>
      </c>
      <c r="H113" s="95" t="s">
        <v>1065</v>
      </c>
      <c r="I113" s="95" t="s">
        <v>184</v>
      </c>
      <c r="J113" s="95" t="s">
        <v>140</v>
      </c>
      <c r="K113" s="99"/>
      <c r="L113" s="103" t="s">
        <v>4449</v>
      </c>
      <c r="M113" s="99" t="s">
        <v>4450</v>
      </c>
      <c r="N113" s="99" t="s">
        <v>4568</v>
      </c>
      <c r="O113" s="99" t="s">
        <v>4488</v>
      </c>
      <c r="P113" s="103">
        <v>2004</v>
      </c>
      <c r="Q113" s="103" t="s">
        <v>1862</v>
      </c>
      <c r="R113" s="99" t="s">
        <v>5178</v>
      </c>
      <c r="S113" s="103" t="s">
        <v>1541</v>
      </c>
      <c r="T113" s="103" t="s">
        <v>4538</v>
      </c>
      <c r="U113" s="99" t="s">
        <v>5187</v>
      </c>
      <c r="V113" s="95">
        <v>12.3802333</v>
      </c>
      <c r="W113" s="95">
        <v>-2.5492903</v>
      </c>
      <c r="X113" s="104" t="s">
        <v>5180</v>
      </c>
      <c r="Y113" s="103" t="s">
        <v>1634</v>
      </c>
      <c r="Z113" s="103" t="s">
        <v>1634</v>
      </c>
      <c r="AA113" s="103" t="s">
        <v>1862</v>
      </c>
      <c r="AB113" s="103">
        <v>16</v>
      </c>
      <c r="AC113" s="103">
        <v>0</v>
      </c>
      <c r="AD113" s="103">
        <v>16</v>
      </c>
      <c r="AE113" s="103" t="s">
        <v>1634</v>
      </c>
      <c r="AF113" s="103" t="s">
        <v>4935</v>
      </c>
      <c r="AG113" s="99" t="s">
        <v>4554</v>
      </c>
      <c r="AH113" s="103" t="s">
        <v>1862</v>
      </c>
      <c r="AI113" s="103" t="s">
        <v>1862</v>
      </c>
      <c r="AJ113" s="103" t="s">
        <v>1862</v>
      </c>
      <c r="AK113" s="103" t="s">
        <v>1862</v>
      </c>
      <c r="AL113" s="103" t="s">
        <v>1804</v>
      </c>
      <c r="AM113" s="103" t="s">
        <v>1862</v>
      </c>
      <c r="AN113" s="99" t="s">
        <v>4735</v>
      </c>
      <c r="AO113" s="103" t="s">
        <v>1862</v>
      </c>
      <c r="AP113" s="103">
        <v>1200</v>
      </c>
      <c r="AQ113" s="103" t="s">
        <v>4470</v>
      </c>
      <c r="AR113" s="103">
        <v>1000000</v>
      </c>
      <c r="AS113" s="106">
        <v>2500000</v>
      </c>
      <c r="AT113" s="103" t="s">
        <v>4496</v>
      </c>
      <c r="AU113" s="103" t="s">
        <v>1634</v>
      </c>
      <c r="AV113" s="99" t="s">
        <v>4463</v>
      </c>
      <c r="AW113" s="99" t="s">
        <v>5181</v>
      </c>
      <c r="AX113" s="99" t="s">
        <v>5188</v>
      </c>
      <c r="AY113" s="99" t="s">
        <v>4560</v>
      </c>
      <c r="AZ113" s="99" t="s">
        <v>4530</v>
      </c>
      <c r="BA113" s="103" t="s">
        <v>1634</v>
      </c>
      <c r="BB113" s="99"/>
      <c r="BC113" s="99">
        <v>3000</v>
      </c>
      <c r="BD113" s="99">
        <v>1500000</v>
      </c>
      <c r="BE113" s="99">
        <v>2900000</v>
      </c>
      <c r="BF113" s="103" t="s">
        <v>5117</v>
      </c>
      <c r="BG113" s="103" t="s">
        <v>1862</v>
      </c>
      <c r="BH113" s="103" t="s">
        <v>1804</v>
      </c>
      <c r="BI113" s="103" t="s">
        <v>1862</v>
      </c>
      <c r="BJ113" s="103" t="s">
        <v>1862</v>
      </c>
      <c r="BK113" s="103" t="s">
        <v>4478</v>
      </c>
      <c r="BL113" s="103" t="s">
        <v>4470</v>
      </c>
      <c r="BM113" s="103" t="s">
        <v>4461</v>
      </c>
      <c r="BN113" s="103" t="s">
        <v>4545</v>
      </c>
      <c r="BO113" s="103">
        <v>200</v>
      </c>
      <c r="BP113" s="103" t="s">
        <v>4532</v>
      </c>
      <c r="BQ113" s="107" t="s">
        <v>4534</v>
      </c>
      <c r="BR113" s="99" t="s">
        <v>4564</v>
      </c>
      <c r="BS113" s="99" t="s">
        <v>4564</v>
      </c>
      <c r="BT113" s="103" t="s">
        <v>3186</v>
      </c>
      <c r="BU113" s="99" t="s">
        <v>4475</v>
      </c>
      <c r="BV113" s="103" t="s">
        <v>4514</v>
      </c>
      <c r="BW113" s="103" t="s">
        <v>4476</v>
      </c>
      <c r="BX113" s="103" t="s">
        <v>1634</v>
      </c>
      <c r="BY113" s="103" t="s">
        <v>4535</v>
      </c>
      <c r="BZ113" s="103" t="s">
        <v>4515</v>
      </c>
      <c r="CA113" s="103" t="s">
        <v>4461</v>
      </c>
      <c r="CB113" s="103">
        <v>300</v>
      </c>
      <c r="CC113" s="103" t="s">
        <v>4479</v>
      </c>
      <c r="CD113" s="103" t="s">
        <v>4475</v>
      </c>
      <c r="CE113" s="103" t="s">
        <v>4481</v>
      </c>
      <c r="CF113" s="103" t="s">
        <v>4691</v>
      </c>
      <c r="CG113" s="103" t="s">
        <v>5189</v>
      </c>
      <c r="CH113" s="103" t="s">
        <v>732</v>
      </c>
      <c r="CI113" s="103">
        <v>70321172</v>
      </c>
      <c r="CJ113" s="103" t="s">
        <v>5190</v>
      </c>
      <c r="CK113" s="108">
        <v>43366.485023148147</v>
      </c>
      <c r="CL113" s="109">
        <v>43366.500254629631</v>
      </c>
      <c r="CM113" s="95">
        <v>12.3802333</v>
      </c>
      <c r="CN113" s="95">
        <v>-2.5492903</v>
      </c>
      <c r="CO113" s="99"/>
      <c r="CP113" s="99"/>
      <c r="CQ113" s="99"/>
      <c r="CR113" s="99"/>
      <c r="CS113" s="99"/>
      <c r="CT113" s="99"/>
      <c r="CU113" s="99"/>
      <c r="CV113" s="99"/>
      <c r="CW113" s="99"/>
      <c r="CX113" s="99"/>
      <c r="CY113" s="99"/>
      <c r="CZ113" s="99"/>
      <c r="DA113" s="99"/>
      <c r="DB113" s="99"/>
      <c r="DC113" s="99"/>
    </row>
    <row r="114" spans="1:107" ht="15.75" customHeight="1">
      <c r="A114" s="95">
        <v>115</v>
      </c>
      <c r="B114" s="99" t="s">
        <v>721</v>
      </c>
      <c r="C114" s="99" t="s">
        <v>722</v>
      </c>
      <c r="D114" s="99">
        <v>70857330</v>
      </c>
      <c r="E114" s="99" t="s">
        <v>189</v>
      </c>
      <c r="F114" s="95" t="s">
        <v>4720</v>
      </c>
      <c r="G114" s="95" t="s">
        <v>1057</v>
      </c>
      <c r="H114" s="95" t="s">
        <v>1063</v>
      </c>
      <c r="I114" s="95" t="s">
        <v>50</v>
      </c>
      <c r="J114" s="95"/>
      <c r="K114" s="99"/>
      <c r="L114" s="103" t="s">
        <v>4449</v>
      </c>
      <c r="M114" s="99" t="s">
        <v>4787</v>
      </c>
      <c r="N114" s="99" t="s">
        <v>4718</v>
      </c>
      <c r="O114" s="99" t="s">
        <v>4452</v>
      </c>
      <c r="P114" s="103">
        <v>1999</v>
      </c>
      <c r="Q114" s="103" t="s">
        <v>1862</v>
      </c>
      <c r="R114" s="99" t="s">
        <v>4633</v>
      </c>
      <c r="S114" s="103" t="s">
        <v>1541</v>
      </c>
      <c r="T114" s="103" t="s">
        <v>4634</v>
      </c>
      <c r="U114" s="99" t="s">
        <v>4722</v>
      </c>
      <c r="V114" s="95">
        <v>12.765364099999999</v>
      </c>
      <c r="W114" s="95">
        <v>-2.9000651999999998</v>
      </c>
      <c r="X114" s="104" t="s">
        <v>4723</v>
      </c>
      <c r="Y114" s="103" t="s">
        <v>1634</v>
      </c>
      <c r="Z114" s="103" t="s">
        <v>1634</v>
      </c>
      <c r="AA114" s="103" t="s">
        <v>1862</v>
      </c>
      <c r="AB114" s="103">
        <v>350</v>
      </c>
      <c r="AC114" s="103">
        <v>3</v>
      </c>
      <c r="AD114" s="103">
        <v>347</v>
      </c>
      <c r="AE114" s="103" t="s">
        <v>1634</v>
      </c>
      <c r="AF114" s="103" t="s">
        <v>4493</v>
      </c>
      <c r="AG114" s="99" t="s">
        <v>4554</v>
      </c>
      <c r="AH114" s="103" t="s">
        <v>1862</v>
      </c>
      <c r="AI114" s="103" t="s">
        <v>1862</v>
      </c>
      <c r="AJ114" s="103" t="s">
        <v>1862</v>
      </c>
      <c r="AK114" s="103" t="s">
        <v>1862</v>
      </c>
      <c r="AL114" s="103" t="s">
        <v>1804</v>
      </c>
      <c r="AM114" s="103" t="s">
        <v>1862</v>
      </c>
      <c r="AN114" s="99" t="s">
        <v>4638</v>
      </c>
      <c r="AO114" s="103" t="s">
        <v>1862</v>
      </c>
      <c r="AP114" s="103">
        <v>1750</v>
      </c>
      <c r="AQ114" s="112" t="s">
        <v>4461</v>
      </c>
      <c r="AR114" s="103"/>
      <c r="AS114" s="106">
        <v>55000000</v>
      </c>
      <c r="AT114" s="103" t="s">
        <v>4527</v>
      </c>
      <c r="AU114" s="103" t="s">
        <v>1634</v>
      </c>
      <c r="AV114" s="99" t="s">
        <v>4463</v>
      </c>
      <c r="AW114" s="99" t="s">
        <v>4639</v>
      </c>
      <c r="AX114" s="99" t="s">
        <v>4640</v>
      </c>
      <c r="AY114" s="99" t="s">
        <v>4641</v>
      </c>
      <c r="AZ114" s="99" t="s">
        <v>4530</v>
      </c>
      <c r="BA114" s="103" t="s">
        <v>1634</v>
      </c>
      <c r="BB114" s="99"/>
      <c r="BC114" s="99">
        <v>30000</v>
      </c>
      <c r="BD114" s="99"/>
      <c r="BE114" s="99">
        <v>45000000</v>
      </c>
      <c r="BF114" s="103" t="s">
        <v>4642</v>
      </c>
      <c r="BG114" s="103" t="s">
        <v>1862</v>
      </c>
      <c r="BH114" s="103" t="s">
        <v>1862</v>
      </c>
      <c r="BI114" s="103" t="s">
        <v>1862</v>
      </c>
      <c r="BJ114" s="103" t="s">
        <v>1862</v>
      </c>
      <c r="BK114" s="103" t="s">
        <v>4469</v>
      </c>
      <c r="BL114" s="103" t="s">
        <v>4472</v>
      </c>
      <c r="BM114" s="103" t="s">
        <v>4461</v>
      </c>
      <c r="BN114" s="103" t="s">
        <v>4643</v>
      </c>
      <c r="BO114" s="103">
        <v>500</v>
      </c>
      <c r="BP114" s="103" t="s">
        <v>4532</v>
      </c>
      <c r="BQ114" s="99" t="s">
        <v>4644</v>
      </c>
      <c r="BR114" s="99" t="s">
        <v>4644</v>
      </c>
      <c r="BS114" s="99" t="s">
        <v>4564</v>
      </c>
      <c r="BT114" s="103" t="s">
        <v>3186</v>
      </c>
      <c r="BU114" s="99"/>
      <c r="BV114" s="103" t="s">
        <v>4644</v>
      </c>
      <c r="BW114" s="103" t="s">
        <v>4644</v>
      </c>
      <c r="BX114" s="103"/>
      <c r="BY114" s="103"/>
      <c r="BZ114" s="103"/>
      <c r="CA114" s="103"/>
      <c r="CB114" s="103"/>
      <c r="CC114" s="103" t="s">
        <v>4502</v>
      </c>
      <c r="CD114" s="103" t="s">
        <v>4475</v>
      </c>
      <c r="CE114" s="112" t="s">
        <v>4475</v>
      </c>
      <c r="CF114" s="103"/>
      <c r="CG114" s="103" t="s">
        <v>721</v>
      </c>
      <c r="CH114" s="103" t="s">
        <v>722</v>
      </c>
      <c r="CI114" s="103">
        <v>70857330</v>
      </c>
      <c r="CJ114" s="103"/>
      <c r="CK114" s="108">
        <v>43364.693287037036</v>
      </c>
      <c r="CL114" s="109">
        <v>43364.732754629629</v>
      </c>
      <c r="CM114" s="95">
        <v>12.765364099999999</v>
      </c>
      <c r="CN114" s="95">
        <v>-2.9000651999999998</v>
      </c>
      <c r="CO114" s="99"/>
      <c r="CP114" s="99"/>
      <c r="CQ114" s="99"/>
      <c r="CR114" s="99"/>
      <c r="CS114" s="99"/>
      <c r="CT114" s="99"/>
      <c r="CU114" s="99"/>
      <c r="CV114" s="99"/>
      <c r="CW114" s="99"/>
      <c r="CX114" s="99"/>
      <c r="CY114" s="99"/>
      <c r="CZ114" s="99"/>
      <c r="DA114" s="99"/>
      <c r="DB114" s="99"/>
      <c r="DC114" s="99"/>
    </row>
    <row r="115" spans="1:107" ht="15.75" customHeight="1">
      <c r="A115" s="95">
        <v>116</v>
      </c>
      <c r="B115" s="99" t="s">
        <v>723</v>
      </c>
      <c r="C115" s="99" t="s">
        <v>724</v>
      </c>
      <c r="D115" s="99">
        <v>75059336</v>
      </c>
      <c r="E115" s="99" t="s">
        <v>5191</v>
      </c>
      <c r="F115" s="95" t="s">
        <v>5172</v>
      </c>
      <c r="G115" s="95" t="s">
        <v>1049</v>
      </c>
      <c r="H115" s="95" t="s">
        <v>1065</v>
      </c>
      <c r="I115" s="95" t="s">
        <v>184</v>
      </c>
      <c r="J115" s="95" t="s">
        <v>1104</v>
      </c>
      <c r="K115" s="99"/>
      <c r="L115" s="103" t="s">
        <v>4449</v>
      </c>
      <c r="M115" s="99" t="s">
        <v>4567</v>
      </c>
      <c r="N115" s="99" t="s">
        <v>1565</v>
      </c>
      <c r="O115" s="99" t="s">
        <v>4488</v>
      </c>
      <c r="P115" s="103">
        <v>2004</v>
      </c>
      <c r="Q115" s="103" t="s">
        <v>1862</v>
      </c>
      <c r="R115" s="99" t="s">
        <v>4521</v>
      </c>
      <c r="S115" s="103" t="s">
        <v>1541</v>
      </c>
      <c r="T115" s="103" t="s">
        <v>4538</v>
      </c>
      <c r="U115" s="99" t="s">
        <v>5173</v>
      </c>
      <c r="V115" s="95">
        <v>12.632201999999999</v>
      </c>
      <c r="W115" s="95">
        <v>-2.6750102</v>
      </c>
      <c r="X115" s="104" t="s">
        <v>5174</v>
      </c>
      <c r="Y115" s="103" t="s">
        <v>1634</v>
      </c>
      <c r="Z115" s="103" t="s">
        <v>4499</v>
      </c>
      <c r="AA115" s="103" t="s">
        <v>1862</v>
      </c>
      <c r="AB115" s="103">
        <v>38</v>
      </c>
      <c r="AC115" s="103">
        <v>0</v>
      </c>
      <c r="AD115" s="103">
        <v>38</v>
      </c>
      <c r="AE115" s="103" t="s">
        <v>1634</v>
      </c>
      <c r="AF115" s="103" t="s">
        <v>4935</v>
      </c>
      <c r="AG115" s="99" t="s">
        <v>4494</v>
      </c>
      <c r="AH115" s="103" t="s">
        <v>1862</v>
      </c>
      <c r="AI115" s="103" t="s">
        <v>1862</v>
      </c>
      <c r="AJ115" s="103" t="s">
        <v>1804</v>
      </c>
      <c r="AK115" s="103" t="s">
        <v>1804</v>
      </c>
      <c r="AL115" s="103" t="s">
        <v>1862</v>
      </c>
      <c r="AM115" s="103" t="s">
        <v>1862</v>
      </c>
      <c r="AN115" s="99" t="s">
        <v>4735</v>
      </c>
      <c r="AO115" s="103" t="s">
        <v>1862</v>
      </c>
      <c r="AP115" s="103">
        <v>600</v>
      </c>
      <c r="AQ115" s="103" t="s">
        <v>4461</v>
      </c>
      <c r="AR115" s="103">
        <v>300000</v>
      </c>
      <c r="AS115" s="106">
        <v>200000</v>
      </c>
      <c r="AT115" s="103" t="s">
        <v>4496</v>
      </c>
      <c r="AU115" s="103" t="s">
        <v>1548</v>
      </c>
      <c r="AV115" s="99"/>
      <c r="AW115" s="99"/>
      <c r="AX115" s="99" t="s">
        <v>4888</v>
      </c>
      <c r="AY115" s="99" t="s">
        <v>4466</v>
      </c>
      <c r="AZ115" s="99" t="s">
        <v>4467</v>
      </c>
      <c r="BA115" s="103" t="s">
        <v>1548</v>
      </c>
      <c r="BB115" s="99">
        <v>19000</v>
      </c>
      <c r="BC115" s="99">
        <v>950</v>
      </c>
      <c r="BD115" s="99">
        <v>225000</v>
      </c>
      <c r="BE115" s="99">
        <v>175000</v>
      </c>
      <c r="BF115" s="103" t="s">
        <v>4889</v>
      </c>
      <c r="BG115" s="103" t="s">
        <v>1862</v>
      </c>
      <c r="BH115" s="103" t="s">
        <v>1862</v>
      </c>
      <c r="BI115" s="103" t="s">
        <v>1804</v>
      </c>
      <c r="BJ115" s="103" t="s">
        <v>1862</v>
      </c>
      <c r="BK115" s="103" t="s">
        <v>4478</v>
      </c>
      <c r="BL115" s="103" t="s">
        <v>4461</v>
      </c>
      <c r="BM115" s="103" t="s">
        <v>4461</v>
      </c>
      <c r="BN115" s="103" t="s">
        <v>4690</v>
      </c>
      <c r="BO115" s="103">
        <v>450</v>
      </c>
      <c r="BP115" s="103" t="s">
        <v>4532</v>
      </c>
      <c r="BQ115" s="99" t="s">
        <v>4476</v>
      </c>
      <c r="BR115" s="99" t="s">
        <v>4476</v>
      </c>
      <c r="BS115" s="99" t="s">
        <v>4476</v>
      </c>
      <c r="BT115" s="103" t="s">
        <v>3186</v>
      </c>
      <c r="BU115" s="99" t="s">
        <v>4480</v>
      </c>
      <c r="BV115" s="103" t="s">
        <v>4476</v>
      </c>
      <c r="BW115" s="103" t="s">
        <v>4476</v>
      </c>
      <c r="BX115" s="103" t="s">
        <v>1548</v>
      </c>
      <c r="BY115" s="103" t="s">
        <v>4595</v>
      </c>
      <c r="BZ115" s="103" t="s">
        <v>4478</v>
      </c>
      <c r="CA115" s="103" t="s">
        <v>4461</v>
      </c>
      <c r="CB115" s="103">
        <v>500</v>
      </c>
      <c r="CC115" s="103" t="s">
        <v>4716</v>
      </c>
      <c r="CD115" s="103" t="s">
        <v>4502</v>
      </c>
      <c r="CE115" s="103" t="s">
        <v>4502</v>
      </c>
      <c r="CF115" s="103"/>
      <c r="CG115" s="103" t="s">
        <v>731</v>
      </c>
      <c r="CH115" s="103" t="s">
        <v>732</v>
      </c>
      <c r="CI115" s="103">
        <v>70321172</v>
      </c>
      <c r="CJ115" s="103" t="s">
        <v>5192</v>
      </c>
      <c r="CK115" s="108">
        <v>43366.502337962964</v>
      </c>
      <c r="CL115" s="109">
        <v>43366.511840277781</v>
      </c>
      <c r="CM115" s="95">
        <v>12.632201999999999</v>
      </c>
      <c r="CN115" s="95">
        <v>-2.6750102</v>
      </c>
      <c r="CO115" s="99"/>
      <c r="CP115" s="99"/>
      <c r="CQ115" s="99"/>
      <c r="CR115" s="99"/>
      <c r="CS115" s="99"/>
      <c r="CT115" s="99"/>
      <c r="CU115" s="99"/>
      <c r="CV115" s="99"/>
      <c r="CW115" s="99"/>
      <c r="CX115" s="99"/>
      <c r="CY115" s="99"/>
      <c r="CZ115" s="99"/>
      <c r="DA115" s="99"/>
      <c r="DB115" s="99"/>
      <c r="DC115" s="99"/>
    </row>
    <row r="116" spans="1:107" ht="15.75" customHeight="1">
      <c r="A116" s="95">
        <v>117</v>
      </c>
      <c r="B116" s="99" t="s">
        <v>565</v>
      </c>
      <c r="C116" s="99" t="s">
        <v>566</v>
      </c>
      <c r="D116" s="99">
        <v>75182980</v>
      </c>
      <c r="E116" s="99" t="s">
        <v>191</v>
      </c>
      <c r="F116" s="95" t="s">
        <v>5193</v>
      </c>
      <c r="G116" s="95" t="s">
        <v>1098</v>
      </c>
      <c r="H116" s="95" t="s">
        <v>1099</v>
      </c>
      <c r="I116" s="95" t="s">
        <v>192</v>
      </c>
      <c r="J116" s="95"/>
      <c r="K116" s="99"/>
      <c r="L116" s="103" t="s">
        <v>4449</v>
      </c>
      <c r="M116" s="99" t="s">
        <v>4450</v>
      </c>
      <c r="N116" s="99" t="s">
        <v>4718</v>
      </c>
      <c r="O116" s="99" t="s">
        <v>4452</v>
      </c>
      <c r="P116" s="103">
        <v>2001</v>
      </c>
      <c r="Q116" s="103" t="s">
        <v>1862</v>
      </c>
      <c r="R116" s="99" t="s">
        <v>4633</v>
      </c>
      <c r="S116" s="103" t="s">
        <v>1541</v>
      </c>
      <c r="T116" s="103" t="s">
        <v>4634</v>
      </c>
      <c r="U116" s="99" t="s">
        <v>5194</v>
      </c>
      <c r="V116" s="95">
        <v>10.5776211</v>
      </c>
      <c r="W116" s="95">
        <v>-5.3556616999999997</v>
      </c>
      <c r="X116" s="104" t="s">
        <v>5195</v>
      </c>
      <c r="Y116" s="103" t="s">
        <v>1634</v>
      </c>
      <c r="Z116" s="103" t="s">
        <v>1634</v>
      </c>
      <c r="AA116" s="103" t="s">
        <v>1862</v>
      </c>
      <c r="AB116" s="103">
        <v>400</v>
      </c>
      <c r="AC116" s="103">
        <v>10</v>
      </c>
      <c r="AD116" s="103">
        <v>380</v>
      </c>
      <c r="AE116" s="103" t="s">
        <v>1634</v>
      </c>
      <c r="AF116" s="103" t="s">
        <v>4637</v>
      </c>
      <c r="AG116" s="99" t="s">
        <v>4554</v>
      </c>
      <c r="AH116" s="103" t="s">
        <v>1862</v>
      </c>
      <c r="AI116" s="103" t="s">
        <v>1862</v>
      </c>
      <c r="AJ116" s="103" t="s">
        <v>1862</v>
      </c>
      <c r="AK116" s="103" t="s">
        <v>1862</v>
      </c>
      <c r="AL116" s="103" t="s">
        <v>1804</v>
      </c>
      <c r="AM116" s="103" t="s">
        <v>1862</v>
      </c>
      <c r="AN116" s="99" t="s">
        <v>4638</v>
      </c>
      <c r="AO116" s="103" t="s">
        <v>1862</v>
      </c>
      <c r="AP116" s="103">
        <v>1700</v>
      </c>
      <c r="AQ116" s="112" t="s">
        <v>4461</v>
      </c>
      <c r="AR116" s="103"/>
      <c r="AS116" s="106">
        <v>60000000</v>
      </c>
      <c r="AT116" s="103" t="s">
        <v>4527</v>
      </c>
      <c r="AU116" s="103" t="s">
        <v>1634</v>
      </c>
      <c r="AV116" s="99" t="s">
        <v>4463</v>
      </c>
      <c r="AW116" s="99" t="s">
        <v>4639</v>
      </c>
      <c r="AX116" s="99" t="s">
        <v>4640</v>
      </c>
      <c r="AY116" s="99" t="s">
        <v>4641</v>
      </c>
      <c r="AZ116" s="99" t="s">
        <v>4530</v>
      </c>
      <c r="BA116" s="103" t="s">
        <v>1634</v>
      </c>
      <c r="BB116" s="99"/>
      <c r="BC116" s="99">
        <v>25000</v>
      </c>
      <c r="BD116" s="99"/>
      <c r="BE116" s="99">
        <v>40000000</v>
      </c>
      <c r="BF116" s="103" t="s">
        <v>4642</v>
      </c>
      <c r="BG116" s="103" t="s">
        <v>1862</v>
      </c>
      <c r="BH116" s="103" t="s">
        <v>1862</v>
      </c>
      <c r="BI116" s="103" t="s">
        <v>1862</v>
      </c>
      <c r="BJ116" s="103" t="s">
        <v>1862</v>
      </c>
      <c r="BK116" s="103" t="s">
        <v>4469</v>
      </c>
      <c r="BL116" s="103" t="s">
        <v>4472</v>
      </c>
      <c r="BM116" s="103" t="s">
        <v>4461</v>
      </c>
      <c r="BN116" s="103" t="s">
        <v>4643</v>
      </c>
      <c r="BO116" s="103">
        <v>350</v>
      </c>
      <c r="BP116" s="103" t="s">
        <v>4532</v>
      </c>
      <c r="BQ116" s="99" t="s">
        <v>4644</v>
      </c>
      <c r="BR116" s="99" t="s">
        <v>4644</v>
      </c>
      <c r="BS116" s="99" t="s">
        <v>4564</v>
      </c>
      <c r="BT116" s="103" t="s">
        <v>3186</v>
      </c>
      <c r="BU116" s="99"/>
      <c r="BV116" s="103" t="s">
        <v>4644</v>
      </c>
      <c r="BW116" s="103" t="s">
        <v>4644</v>
      </c>
      <c r="BX116" s="103"/>
      <c r="BY116" s="103"/>
      <c r="BZ116" s="103"/>
      <c r="CA116" s="103"/>
      <c r="CB116" s="103"/>
      <c r="CC116" s="103" t="s">
        <v>4502</v>
      </c>
      <c r="CD116" s="103" t="s">
        <v>4475</v>
      </c>
      <c r="CE116" s="112" t="s">
        <v>4475</v>
      </c>
      <c r="CF116" s="103"/>
      <c r="CG116" s="103" t="s">
        <v>683</v>
      </c>
      <c r="CH116" s="103" t="s">
        <v>3183</v>
      </c>
      <c r="CI116" s="103">
        <v>75182980</v>
      </c>
      <c r="CJ116" s="103"/>
      <c r="CK116" s="108">
        <v>43364.693287037036</v>
      </c>
      <c r="CL116" s="109">
        <v>43364.732754629629</v>
      </c>
      <c r="CM116" s="95">
        <v>10.5776211</v>
      </c>
      <c r="CN116" s="95">
        <v>-5.3556616999999997</v>
      </c>
      <c r="CO116" s="99"/>
      <c r="CP116" s="99"/>
      <c r="CQ116" s="99"/>
      <c r="CR116" s="99"/>
      <c r="CS116" s="99"/>
      <c r="CT116" s="99"/>
      <c r="CU116" s="99"/>
      <c r="CV116" s="99"/>
      <c r="CW116" s="99"/>
      <c r="CX116" s="99"/>
      <c r="CY116" s="99"/>
      <c r="CZ116" s="99"/>
      <c r="DA116" s="99"/>
      <c r="DB116" s="99"/>
      <c r="DC116" s="99"/>
    </row>
    <row r="117" spans="1:107" ht="15.75" customHeight="1">
      <c r="A117" s="95">
        <v>118</v>
      </c>
      <c r="B117" s="99" t="s">
        <v>725</v>
      </c>
      <c r="C117" s="99" t="s">
        <v>726</v>
      </c>
      <c r="D117" s="99">
        <v>71572245</v>
      </c>
      <c r="E117" s="99" t="s">
        <v>193</v>
      </c>
      <c r="F117" s="95" t="s">
        <v>5196</v>
      </c>
      <c r="G117" s="95" t="s">
        <v>1049</v>
      </c>
      <c r="H117" s="95" t="s">
        <v>1065</v>
      </c>
      <c r="I117" s="95" t="s">
        <v>184</v>
      </c>
      <c r="J117" s="95" t="s">
        <v>1106</v>
      </c>
      <c r="K117" s="99"/>
      <c r="L117" s="103" t="s">
        <v>4449</v>
      </c>
      <c r="M117" s="99" t="s">
        <v>4450</v>
      </c>
      <c r="N117" s="99" t="s">
        <v>1565</v>
      </c>
      <c r="O117" s="99" t="s">
        <v>4488</v>
      </c>
      <c r="P117" s="103">
        <v>2004</v>
      </c>
      <c r="Q117" s="103" t="s">
        <v>1862</v>
      </c>
      <c r="R117" s="99" t="s">
        <v>5178</v>
      </c>
      <c r="S117" s="103" t="s">
        <v>1541</v>
      </c>
      <c r="T117" s="103" t="s">
        <v>4538</v>
      </c>
      <c r="U117" s="99" t="s">
        <v>5197</v>
      </c>
      <c r="V117" s="95">
        <v>12.51667</v>
      </c>
      <c r="W117" s="95">
        <v>-2.65</v>
      </c>
      <c r="X117" s="104" t="s">
        <v>5198</v>
      </c>
      <c r="Y117" s="103" t="s">
        <v>1634</v>
      </c>
      <c r="Z117" s="103" t="s">
        <v>1634</v>
      </c>
      <c r="AA117" s="103" t="s">
        <v>1862</v>
      </c>
      <c r="AB117" s="103">
        <v>25</v>
      </c>
      <c r="AC117" s="103">
        <v>0</v>
      </c>
      <c r="AD117" s="103">
        <v>25</v>
      </c>
      <c r="AE117" s="103" t="s">
        <v>1634</v>
      </c>
      <c r="AF117" s="103" t="s">
        <v>4935</v>
      </c>
      <c r="AG117" s="99" t="s">
        <v>5199</v>
      </c>
      <c r="AH117" s="103" t="s">
        <v>1862</v>
      </c>
      <c r="AI117" s="103" t="s">
        <v>1862</v>
      </c>
      <c r="AJ117" s="103" t="s">
        <v>1804</v>
      </c>
      <c r="AK117" s="103" t="s">
        <v>1862</v>
      </c>
      <c r="AL117" s="103" t="s">
        <v>1804</v>
      </c>
      <c r="AM117" s="103" t="s">
        <v>1804</v>
      </c>
      <c r="AN117" s="99" t="s">
        <v>4638</v>
      </c>
      <c r="AO117" s="103" t="s">
        <v>1862</v>
      </c>
      <c r="AP117" s="103">
        <v>1200</v>
      </c>
      <c r="AQ117" s="103" t="s">
        <v>4470</v>
      </c>
      <c r="AR117" s="103">
        <v>900000</v>
      </c>
      <c r="AS117" s="106">
        <v>1500000</v>
      </c>
      <c r="AT117" s="103" t="s">
        <v>4496</v>
      </c>
      <c r="AU117" s="103" t="s">
        <v>1634</v>
      </c>
      <c r="AV117" s="99" t="s">
        <v>4671</v>
      </c>
      <c r="AW117" s="99" t="s">
        <v>5181</v>
      </c>
      <c r="AX117" s="99" t="s">
        <v>4606</v>
      </c>
      <c r="AY117" s="99" t="s">
        <v>4466</v>
      </c>
      <c r="AZ117" s="99" t="s">
        <v>4467</v>
      </c>
      <c r="BA117" s="103" t="s">
        <v>1634</v>
      </c>
      <c r="BB117" s="99">
        <v>350</v>
      </c>
      <c r="BC117" s="99">
        <v>400</v>
      </c>
      <c r="BD117" s="99">
        <v>1500000</v>
      </c>
      <c r="BE117" s="99">
        <v>2000000</v>
      </c>
      <c r="BF117" s="103" t="s">
        <v>4544</v>
      </c>
      <c r="BG117" s="103" t="s">
        <v>1862</v>
      </c>
      <c r="BH117" s="103" t="s">
        <v>1862</v>
      </c>
      <c r="BI117" s="103" t="s">
        <v>1804</v>
      </c>
      <c r="BJ117" s="103" t="s">
        <v>1804</v>
      </c>
      <c r="BK117" s="103" t="s">
        <v>4478</v>
      </c>
      <c r="BL117" s="103" t="s">
        <v>4470</v>
      </c>
      <c r="BM117" s="103" t="s">
        <v>4461</v>
      </c>
      <c r="BN117" s="103" t="s">
        <v>4512</v>
      </c>
      <c r="BO117" s="103">
        <v>200</v>
      </c>
      <c r="BP117" s="103" t="s">
        <v>4461</v>
      </c>
      <c r="BQ117" s="99" t="s">
        <v>4476</v>
      </c>
      <c r="BR117" s="99" t="s">
        <v>4476</v>
      </c>
      <c r="BS117" s="99"/>
      <c r="BT117" s="103" t="s">
        <v>3186</v>
      </c>
      <c r="BU117" s="99" t="s">
        <v>4475</v>
      </c>
      <c r="BV117" s="103" t="s">
        <v>4476</v>
      </c>
      <c r="BW117" s="103" t="s">
        <v>4476</v>
      </c>
      <c r="BX117" s="103" t="s">
        <v>1634</v>
      </c>
      <c r="BY117" s="103" t="s">
        <v>5200</v>
      </c>
      <c r="BZ117" s="103" t="s">
        <v>4478</v>
      </c>
      <c r="CA117" s="103" t="s">
        <v>4461</v>
      </c>
      <c r="CB117" s="103">
        <v>500</v>
      </c>
      <c r="CC117" s="103" t="s">
        <v>4502</v>
      </c>
      <c r="CD117" s="103" t="s">
        <v>4475</v>
      </c>
      <c r="CE117" s="103" t="s">
        <v>4481</v>
      </c>
      <c r="CF117" s="103" t="s">
        <v>4691</v>
      </c>
      <c r="CG117" s="103" t="s">
        <v>5201</v>
      </c>
      <c r="CH117" s="103" t="s">
        <v>732</v>
      </c>
      <c r="CI117" s="103">
        <v>70321172</v>
      </c>
      <c r="CJ117" s="103" t="s">
        <v>5202</v>
      </c>
      <c r="CK117" s="108">
        <v>43366.501261574071</v>
      </c>
      <c r="CL117" s="109">
        <v>43366.516145833331</v>
      </c>
      <c r="CM117" s="95">
        <v>12.51667</v>
      </c>
      <c r="CN117" s="95">
        <v>-2.65</v>
      </c>
      <c r="CO117" s="99"/>
      <c r="CP117" s="99"/>
      <c r="CQ117" s="99"/>
      <c r="CR117" s="99"/>
      <c r="CS117" s="99"/>
      <c r="CT117" s="99"/>
      <c r="CU117" s="99"/>
      <c r="CV117" s="99"/>
      <c r="CW117" s="99"/>
      <c r="CX117" s="99"/>
      <c r="CY117" s="99"/>
      <c r="CZ117" s="99"/>
      <c r="DA117" s="99"/>
      <c r="DB117" s="99"/>
      <c r="DC117" s="99"/>
    </row>
    <row r="118" spans="1:107" ht="15.75" customHeight="1">
      <c r="A118" s="95">
        <v>119</v>
      </c>
      <c r="B118" s="99" t="s">
        <v>727</v>
      </c>
      <c r="C118" s="99" t="s">
        <v>728</v>
      </c>
      <c r="D118" s="99">
        <v>68460106</v>
      </c>
      <c r="E118" s="99" t="s">
        <v>194</v>
      </c>
      <c r="F118" s="95" t="s">
        <v>5203</v>
      </c>
      <c r="G118" s="95" t="s">
        <v>1049</v>
      </c>
      <c r="H118" s="95" t="s">
        <v>1065</v>
      </c>
      <c r="I118" s="95" t="s">
        <v>184</v>
      </c>
      <c r="J118" s="95" t="s">
        <v>1107</v>
      </c>
      <c r="K118" s="99"/>
      <c r="L118" s="103" t="s">
        <v>4449</v>
      </c>
      <c r="M118" s="99" t="s">
        <v>4487</v>
      </c>
      <c r="N118" s="99"/>
      <c r="O118" s="99" t="s">
        <v>4488</v>
      </c>
      <c r="P118" s="103">
        <v>2004</v>
      </c>
      <c r="Q118" s="103" t="s">
        <v>1862</v>
      </c>
      <c r="R118" s="99" t="s">
        <v>4521</v>
      </c>
      <c r="S118" s="103" t="s">
        <v>1541</v>
      </c>
      <c r="T118" s="103" t="s">
        <v>4538</v>
      </c>
      <c r="U118" s="99" t="s">
        <v>5204</v>
      </c>
      <c r="V118" s="95">
        <v>12.44477</v>
      </c>
      <c r="W118" s="95">
        <v>-2.688158</v>
      </c>
      <c r="X118" s="104" t="s">
        <v>4743</v>
      </c>
      <c r="Y118" s="103" t="s">
        <v>1634</v>
      </c>
      <c r="Z118" s="103" t="s">
        <v>1548</v>
      </c>
      <c r="AA118" s="103" t="s">
        <v>1862</v>
      </c>
      <c r="AB118" s="103">
        <v>30</v>
      </c>
      <c r="AC118" s="103">
        <v>0</v>
      </c>
      <c r="AD118" s="103">
        <v>30</v>
      </c>
      <c r="AE118" s="103" t="s">
        <v>1634</v>
      </c>
      <c r="AF118" s="103" t="s">
        <v>4935</v>
      </c>
      <c r="AG118" s="99" t="s">
        <v>4494</v>
      </c>
      <c r="AH118" s="103" t="s">
        <v>1862</v>
      </c>
      <c r="AI118" s="103" t="s">
        <v>1862</v>
      </c>
      <c r="AJ118" s="103" t="s">
        <v>1804</v>
      </c>
      <c r="AK118" s="103" t="s">
        <v>1804</v>
      </c>
      <c r="AL118" s="103" t="s">
        <v>1862</v>
      </c>
      <c r="AM118" s="103" t="s">
        <v>1862</v>
      </c>
      <c r="AN118" s="99" t="s">
        <v>4604</v>
      </c>
      <c r="AO118" s="103" t="s">
        <v>1862</v>
      </c>
      <c r="AP118" s="103">
        <v>600</v>
      </c>
      <c r="AQ118" s="103" t="s">
        <v>4461</v>
      </c>
      <c r="AR118" s="103">
        <v>400000</v>
      </c>
      <c r="AS118" s="106">
        <v>325000</v>
      </c>
      <c r="AT118" s="103" t="s">
        <v>4496</v>
      </c>
      <c r="AU118" s="103" t="s">
        <v>1548</v>
      </c>
      <c r="AV118" s="99"/>
      <c r="AW118" s="99"/>
      <c r="AX118" s="99" t="s">
        <v>4913</v>
      </c>
      <c r="AY118" s="99" t="s">
        <v>4466</v>
      </c>
      <c r="AZ118" s="99" t="s">
        <v>4530</v>
      </c>
      <c r="BA118" s="103" t="s">
        <v>1548</v>
      </c>
      <c r="BB118" s="99">
        <v>2500</v>
      </c>
      <c r="BC118" s="99">
        <v>1800</v>
      </c>
      <c r="BD118" s="99">
        <v>325000</v>
      </c>
      <c r="BE118" s="99">
        <v>250000</v>
      </c>
      <c r="BF118" s="103" t="s">
        <v>4715</v>
      </c>
      <c r="BG118" s="103" t="s">
        <v>1862</v>
      </c>
      <c r="BH118" s="103" t="s">
        <v>1862</v>
      </c>
      <c r="BI118" s="103" t="s">
        <v>1862</v>
      </c>
      <c r="BJ118" s="103" t="s">
        <v>1804</v>
      </c>
      <c r="BK118" s="103" t="s">
        <v>4478</v>
      </c>
      <c r="BL118" s="103" t="s">
        <v>4472</v>
      </c>
      <c r="BM118" s="103" t="s">
        <v>4461</v>
      </c>
      <c r="BN118" s="103" t="s">
        <v>4690</v>
      </c>
      <c r="BO118" s="103">
        <v>500</v>
      </c>
      <c r="BP118" s="103" t="s">
        <v>4532</v>
      </c>
      <c r="BQ118" s="99" t="s">
        <v>4476</v>
      </c>
      <c r="BR118" s="99" t="s">
        <v>4476</v>
      </c>
      <c r="BS118" s="99" t="s">
        <v>4476</v>
      </c>
      <c r="BT118" s="103" t="s">
        <v>3186</v>
      </c>
      <c r="BU118" s="99" t="s">
        <v>4480</v>
      </c>
      <c r="BV118" s="103" t="s">
        <v>4476</v>
      </c>
      <c r="BW118" s="103" t="s">
        <v>4476</v>
      </c>
      <c r="BX118" s="103" t="s">
        <v>1548</v>
      </c>
      <c r="BY118" s="103" t="s">
        <v>4546</v>
      </c>
      <c r="BZ118" s="103" t="s">
        <v>4478</v>
      </c>
      <c r="CA118" s="103" t="s">
        <v>4461</v>
      </c>
      <c r="CB118" s="103">
        <v>400</v>
      </c>
      <c r="CC118" s="103" t="s">
        <v>4716</v>
      </c>
      <c r="CD118" s="103" t="s">
        <v>4502</v>
      </c>
      <c r="CE118" s="103" t="s">
        <v>4502</v>
      </c>
      <c r="CF118" s="103"/>
      <c r="CG118" s="103" t="s">
        <v>731</v>
      </c>
      <c r="CH118" s="103" t="s">
        <v>732</v>
      </c>
      <c r="CI118" s="103">
        <v>70321172</v>
      </c>
      <c r="CJ118" s="103" t="s">
        <v>5205</v>
      </c>
      <c r="CK118" s="108">
        <v>43366.512002314812</v>
      </c>
      <c r="CL118" s="109">
        <v>43366.522511574076</v>
      </c>
      <c r="CM118" s="95">
        <v>12.44477</v>
      </c>
      <c r="CN118" s="95">
        <v>-2.688158</v>
      </c>
      <c r="CO118" s="99"/>
      <c r="CP118" s="99"/>
      <c r="CQ118" s="99"/>
      <c r="CR118" s="99"/>
      <c r="CS118" s="99"/>
      <c r="CT118" s="99"/>
      <c r="CU118" s="99"/>
      <c r="CV118" s="99"/>
      <c r="CW118" s="99"/>
      <c r="CX118" s="99"/>
      <c r="CY118" s="99"/>
      <c r="CZ118" s="99"/>
      <c r="DA118" s="99"/>
      <c r="DB118" s="99"/>
      <c r="DC118" s="99"/>
    </row>
    <row r="119" spans="1:107" ht="15.75" customHeight="1">
      <c r="A119" s="95">
        <v>120</v>
      </c>
      <c r="B119" s="99" t="s">
        <v>719</v>
      </c>
      <c r="C119" s="99" t="s">
        <v>566</v>
      </c>
      <c r="D119" s="99">
        <v>70803036</v>
      </c>
      <c r="E119" s="99" t="s">
        <v>195</v>
      </c>
      <c r="F119" s="95" t="s">
        <v>5206</v>
      </c>
      <c r="G119" s="95" t="s">
        <v>1049</v>
      </c>
      <c r="H119" s="95" t="s">
        <v>1065</v>
      </c>
      <c r="I119" s="95" t="s">
        <v>184</v>
      </c>
      <c r="J119" s="95" t="s">
        <v>1108</v>
      </c>
      <c r="K119" s="99"/>
      <c r="L119" s="103" t="s">
        <v>4449</v>
      </c>
      <c r="M119" s="99" t="s">
        <v>4567</v>
      </c>
      <c r="N119" s="99" t="s">
        <v>4451</v>
      </c>
      <c r="O119" s="99" t="s">
        <v>4488</v>
      </c>
      <c r="P119" s="103">
        <v>2004</v>
      </c>
      <c r="Q119" s="103" t="s">
        <v>1862</v>
      </c>
      <c r="R119" s="99" t="s">
        <v>5178</v>
      </c>
      <c r="S119" s="103" t="s">
        <v>1541</v>
      </c>
      <c r="T119" s="103" t="s">
        <v>4538</v>
      </c>
      <c r="U119" s="99" t="s">
        <v>5207</v>
      </c>
      <c r="V119" s="95">
        <v>12.150186100000001</v>
      </c>
      <c r="W119" s="95">
        <v>-2.6983868000000002</v>
      </c>
      <c r="X119" s="104" t="s">
        <v>4910</v>
      </c>
      <c r="Y119" s="103" t="s">
        <v>1634</v>
      </c>
      <c r="Z119" s="103" t="s">
        <v>1634</v>
      </c>
      <c r="AA119" s="103" t="s">
        <v>1862</v>
      </c>
      <c r="AB119" s="103">
        <v>25</v>
      </c>
      <c r="AC119" s="103">
        <v>0</v>
      </c>
      <c r="AD119" s="103">
        <v>25</v>
      </c>
      <c r="AE119" s="103" t="s">
        <v>1634</v>
      </c>
      <c r="AF119" s="103" t="s">
        <v>4935</v>
      </c>
      <c r="AG119" s="99" t="s">
        <v>5208</v>
      </c>
      <c r="AH119" s="103" t="s">
        <v>1862</v>
      </c>
      <c r="AI119" s="103" t="s">
        <v>1862</v>
      </c>
      <c r="AJ119" s="103" t="s">
        <v>1804</v>
      </c>
      <c r="AK119" s="103" t="s">
        <v>1862</v>
      </c>
      <c r="AL119" s="103" t="s">
        <v>1804</v>
      </c>
      <c r="AM119" s="103" t="s">
        <v>1804</v>
      </c>
      <c r="AN119" s="99" t="s">
        <v>4735</v>
      </c>
      <c r="AO119" s="103" t="s">
        <v>1862</v>
      </c>
      <c r="AP119" s="103">
        <v>1150</v>
      </c>
      <c r="AQ119" s="103" t="s">
        <v>4470</v>
      </c>
      <c r="AR119" s="103">
        <v>2000000</v>
      </c>
      <c r="AS119" s="106">
        <v>2500000</v>
      </c>
      <c r="AT119" s="103" t="s">
        <v>4496</v>
      </c>
      <c r="AU119" s="103" t="s">
        <v>1634</v>
      </c>
      <c r="AV119" s="99" t="s">
        <v>4463</v>
      </c>
      <c r="AW119" s="99" t="s">
        <v>5181</v>
      </c>
      <c r="AX119" s="99" t="s">
        <v>5209</v>
      </c>
      <c r="AY119" s="99" t="s">
        <v>4466</v>
      </c>
      <c r="AZ119" s="99" t="s">
        <v>4530</v>
      </c>
      <c r="BA119" s="103" t="s">
        <v>1634</v>
      </c>
      <c r="BB119" s="99">
        <v>450</v>
      </c>
      <c r="BC119" s="99">
        <v>375</v>
      </c>
      <c r="BD119" s="99">
        <v>1500000</v>
      </c>
      <c r="BE119" s="99">
        <v>3000000</v>
      </c>
      <c r="BF119" s="103" t="s">
        <v>4544</v>
      </c>
      <c r="BG119" s="103" t="s">
        <v>1862</v>
      </c>
      <c r="BH119" s="103" t="s">
        <v>1862</v>
      </c>
      <c r="BI119" s="103" t="s">
        <v>1804</v>
      </c>
      <c r="BJ119" s="103" t="s">
        <v>1804</v>
      </c>
      <c r="BK119" s="103" t="s">
        <v>4478</v>
      </c>
      <c r="BL119" s="103" t="s">
        <v>4470</v>
      </c>
      <c r="BM119" s="103" t="s">
        <v>4461</v>
      </c>
      <c r="BN119" s="103" t="s">
        <v>5210</v>
      </c>
      <c r="BO119" s="103">
        <v>200</v>
      </c>
      <c r="BP119" s="103" t="s">
        <v>4532</v>
      </c>
      <c r="BQ119" s="107" t="s">
        <v>4476</v>
      </c>
      <c r="BR119" s="99" t="s">
        <v>4476</v>
      </c>
      <c r="BS119" s="99" t="s">
        <v>4476</v>
      </c>
      <c r="BT119" s="103" t="s">
        <v>3186</v>
      </c>
      <c r="BU119" s="99" t="s">
        <v>4475</v>
      </c>
      <c r="BV119" s="103" t="s">
        <v>4476</v>
      </c>
      <c r="BW119" s="103" t="s">
        <v>4476</v>
      </c>
      <c r="BX119" s="103" t="s">
        <v>1634</v>
      </c>
      <c r="BY119" s="103" t="s">
        <v>4535</v>
      </c>
      <c r="BZ119" s="103" t="s">
        <v>4478</v>
      </c>
      <c r="CA119" s="103" t="s">
        <v>4461</v>
      </c>
      <c r="CB119" s="103">
        <v>250</v>
      </c>
      <c r="CC119" s="103" t="s">
        <v>4479</v>
      </c>
      <c r="CD119" s="103" t="s">
        <v>4480</v>
      </c>
      <c r="CE119" s="103" t="s">
        <v>4481</v>
      </c>
      <c r="CF119" s="103" t="s">
        <v>4691</v>
      </c>
      <c r="CG119" s="103" t="s">
        <v>959</v>
      </c>
      <c r="CH119" s="103" t="s">
        <v>732</v>
      </c>
      <c r="CI119" s="103">
        <v>70321272</v>
      </c>
      <c r="CJ119" s="103" t="s">
        <v>5211</v>
      </c>
      <c r="CK119" s="108">
        <v>43366.517812500002</v>
      </c>
      <c r="CL119" s="109">
        <v>43366.529386574075</v>
      </c>
      <c r="CM119" s="95">
        <v>12.150186100000001</v>
      </c>
      <c r="CN119" s="95">
        <v>-2.6983868000000002</v>
      </c>
      <c r="CO119" s="99"/>
      <c r="CP119" s="99"/>
      <c r="CQ119" s="99"/>
      <c r="CR119" s="99"/>
      <c r="CS119" s="99"/>
      <c r="CT119" s="99"/>
      <c r="CU119" s="99"/>
      <c r="CV119" s="99"/>
      <c r="CW119" s="99"/>
      <c r="CX119" s="99"/>
      <c r="CY119" s="99"/>
      <c r="CZ119" s="99"/>
      <c r="DA119" s="99"/>
      <c r="DB119" s="99"/>
      <c r="DC119" s="99"/>
    </row>
    <row r="120" spans="1:107" ht="15.75" customHeight="1">
      <c r="A120" s="95">
        <v>121</v>
      </c>
      <c r="B120" s="99" t="s">
        <v>729</v>
      </c>
      <c r="C120" s="99" t="s">
        <v>730</v>
      </c>
      <c r="D120" s="99">
        <v>62754532</v>
      </c>
      <c r="E120" s="99" t="s">
        <v>5212</v>
      </c>
      <c r="F120" s="95" t="s">
        <v>5213</v>
      </c>
      <c r="G120" s="95" t="s">
        <v>1049</v>
      </c>
      <c r="H120" s="95" t="s">
        <v>1065</v>
      </c>
      <c r="I120" s="95" t="s">
        <v>184</v>
      </c>
      <c r="J120" s="95" t="s">
        <v>1109</v>
      </c>
      <c r="K120" s="99"/>
      <c r="L120" s="103" t="s">
        <v>4449</v>
      </c>
      <c r="M120" s="99" t="s">
        <v>4487</v>
      </c>
      <c r="N120" s="99" t="s">
        <v>1565</v>
      </c>
      <c r="O120" s="99" t="s">
        <v>4452</v>
      </c>
      <c r="P120" s="103">
        <v>2004</v>
      </c>
      <c r="Q120" s="103" t="s">
        <v>1548</v>
      </c>
      <c r="R120" s="99" t="s">
        <v>4521</v>
      </c>
      <c r="S120" s="103" t="s">
        <v>1541</v>
      </c>
      <c r="T120" s="103" t="s">
        <v>4538</v>
      </c>
      <c r="U120" s="99" t="s">
        <v>5214</v>
      </c>
      <c r="V120" s="95">
        <v>12.3802333</v>
      </c>
      <c r="W120" s="95">
        <v>-2.5492903</v>
      </c>
      <c r="X120" s="104" t="s">
        <v>5180</v>
      </c>
      <c r="Y120" s="103" t="s">
        <v>1634</v>
      </c>
      <c r="Z120" s="103" t="s">
        <v>1634</v>
      </c>
      <c r="AA120" s="103" t="s">
        <v>1862</v>
      </c>
      <c r="AB120" s="103">
        <v>36</v>
      </c>
      <c r="AC120" s="103">
        <v>0</v>
      </c>
      <c r="AD120" s="103">
        <v>36</v>
      </c>
      <c r="AE120" s="103" t="s">
        <v>1634</v>
      </c>
      <c r="AF120" s="103" t="s">
        <v>4935</v>
      </c>
      <c r="AG120" s="99" t="s">
        <v>4879</v>
      </c>
      <c r="AH120" s="103" t="s">
        <v>1862</v>
      </c>
      <c r="AI120" s="103" t="s">
        <v>1862</v>
      </c>
      <c r="AJ120" s="103" t="s">
        <v>1804</v>
      </c>
      <c r="AK120" s="103" t="s">
        <v>1804</v>
      </c>
      <c r="AL120" s="103" t="s">
        <v>1804</v>
      </c>
      <c r="AM120" s="103" t="s">
        <v>1862</v>
      </c>
      <c r="AN120" s="99" t="s">
        <v>4735</v>
      </c>
      <c r="AO120" s="103" t="s">
        <v>1862</v>
      </c>
      <c r="AP120" s="103">
        <v>600</v>
      </c>
      <c r="AQ120" s="103" t="s">
        <v>4461</v>
      </c>
      <c r="AR120" s="103">
        <v>400000</v>
      </c>
      <c r="AS120" s="106">
        <v>280000</v>
      </c>
      <c r="AT120" s="103" t="s">
        <v>4496</v>
      </c>
      <c r="AU120" s="103" t="s">
        <v>1548</v>
      </c>
      <c r="AV120" s="99"/>
      <c r="AW120" s="99"/>
      <c r="AX120" s="99" t="s">
        <v>4913</v>
      </c>
      <c r="AY120" s="99" t="s">
        <v>4466</v>
      </c>
      <c r="AZ120" s="99" t="s">
        <v>4467</v>
      </c>
      <c r="BA120" s="103" t="s">
        <v>1548</v>
      </c>
      <c r="BB120" s="99">
        <v>2000</v>
      </c>
      <c r="BC120" s="99">
        <v>1250</v>
      </c>
      <c r="BD120" s="99">
        <v>350000</v>
      </c>
      <c r="BE120" s="99">
        <v>200000</v>
      </c>
      <c r="BF120" s="103" t="s">
        <v>4544</v>
      </c>
      <c r="BG120" s="103" t="s">
        <v>1862</v>
      </c>
      <c r="BH120" s="103" t="s">
        <v>1862</v>
      </c>
      <c r="BI120" s="103" t="s">
        <v>1804</v>
      </c>
      <c r="BJ120" s="103" t="s">
        <v>1804</v>
      </c>
      <c r="BK120" s="103" t="s">
        <v>4478</v>
      </c>
      <c r="BL120" s="103" t="s">
        <v>4472</v>
      </c>
      <c r="BM120" s="103" t="s">
        <v>4461</v>
      </c>
      <c r="BN120" s="103" t="s">
        <v>4690</v>
      </c>
      <c r="BO120" s="103">
        <v>500</v>
      </c>
      <c r="BP120" s="103" t="s">
        <v>4532</v>
      </c>
      <c r="BQ120" s="99" t="s">
        <v>4476</v>
      </c>
      <c r="BR120" s="99" t="s">
        <v>4476</v>
      </c>
      <c r="BS120" s="99" t="s">
        <v>4476</v>
      </c>
      <c r="BT120" s="103" t="s">
        <v>3186</v>
      </c>
      <c r="BU120" s="99" t="s">
        <v>4480</v>
      </c>
      <c r="BV120" s="103" t="s">
        <v>4476</v>
      </c>
      <c r="BW120" s="103" t="s">
        <v>4476</v>
      </c>
      <c r="BX120" s="103" t="s">
        <v>1548</v>
      </c>
      <c r="BY120" s="103" t="s">
        <v>4546</v>
      </c>
      <c r="BZ120" s="103" t="s">
        <v>4478</v>
      </c>
      <c r="CA120" s="103" t="s">
        <v>4461</v>
      </c>
      <c r="CB120" s="103">
        <v>450</v>
      </c>
      <c r="CC120" s="103" t="s">
        <v>4716</v>
      </c>
      <c r="CD120" s="103" t="s">
        <v>4502</v>
      </c>
      <c r="CE120" s="103" t="s">
        <v>4502</v>
      </c>
      <c r="CF120" s="103"/>
      <c r="CG120" s="103" t="s">
        <v>731</v>
      </c>
      <c r="CH120" s="103" t="s">
        <v>732</v>
      </c>
      <c r="CI120" s="103">
        <v>70321172</v>
      </c>
      <c r="CJ120" s="103" t="s">
        <v>5215</v>
      </c>
      <c r="CK120" s="108">
        <v>43366.511863425927</v>
      </c>
      <c r="CL120" s="109">
        <v>43366.530115740738</v>
      </c>
      <c r="CM120" s="95">
        <v>12.3802333</v>
      </c>
      <c r="CN120" s="95">
        <v>-2.5492903</v>
      </c>
      <c r="CO120" s="99"/>
      <c r="CP120" s="99"/>
      <c r="CQ120" s="99"/>
      <c r="CR120" s="99"/>
      <c r="CS120" s="99"/>
      <c r="CT120" s="99"/>
      <c r="CU120" s="99"/>
      <c r="CV120" s="99"/>
      <c r="CW120" s="99"/>
      <c r="CX120" s="99"/>
      <c r="CY120" s="99"/>
      <c r="CZ120" s="99"/>
      <c r="DA120" s="99"/>
      <c r="DB120" s="99"/>
      <c r="DC120" s="99"/>
    </row>
    <row r="121" spans="1:107" ht="15.75" customHeight="1">
      <c r="A121" s="95">
        <v>122</v>
      </c>
      <c r="B121" s="99" t="s">
        <v>731</v>
      </c>
      <c r="C121" s="99" t="s">
        <v>732</v>
      </c>
      <c r="D121" s="99">
        <v>70321172</v>
      </c>
      <c r="E121" s="99" t="s">
        <v>5216</v>
      </c>
      <c r="F121" s="95" t="s">
        <v>5217</v>
      </c>
      <c r="G121" s="95" t="s">
        <v>1049</v>
      </c>
      <c r="H121" s="95" t="s">
        <v>1065</v>
      </c>
      <c r="I121" s="95" t="s">
        <v>184</v>
      </c>
      <c r="J121" s="95" t="s">
        <v>1110</v>
      </c>
      <c r="K121" s="99"/>
      <c r="L121" s="103" t="s">
        <v>4449</v>
      </c>
      <c r="M121" s="99" t="s">
        <v>4487</v>
      </c>
      <c r="N121" s="99" t="s">
        <v>4520</v>
      </c>
      <c r="O121" s="99" t="s">
        <v>4452</v>
      </c>
      <c r="P121" s="103">
        <v>2003</v>
      </c>
      <c r="Q121" s="103" t="s">
        <v>1862</v>
      </c>
      <c r="R121" s="99" t="s">
        <v>4991</v>
      </c>
      <c r="S121" s="103" t="s">
        <v>1541</v>
      </c>
      <c r="T121" s="103" t="s">
        <v>4505</v>
      </c>
      <c r="U121" s="99" t="s">
        <v>5218</v>
      </c>
      <c r="V121" s="95">
        <v>12.3802333</v>
      </c>
      <c r="W121" s="95">
        <v>-2.5492903</v>
      </c>
      <c r="X121" s="104" t="s">
        <v>5180</v>
      </c>
      <c r="Y121" s="103" t="s">
        <v>1634</v>
      </c>
      <c r="Z121" s="103" t="s">
        <v>1634</v>
      </c>
      <c r="AA121" s="103" t="s">
        <v>1862</v>
      </c>
      <c r="AB121" s="103">
        <v>24</v>
      </c>
      <c r="AC121" s="103">
        <v>0</v>
      </c>
      <c r="AD121" s="103">
        <v>24</v>
      </c>
      <c r="AE121" s="103" t="s">
        <v>1634</v>
      </c>
      <c r="AF121" s="103" t="s">
        <v>4935</v>
      </c>
      <c r="AG121" s="99" t="s">
        <v>5199</v>
      </c>
      <c r="AH121" s="103" t="s">
        <v>1862</v>
      </c>
      <c r="AI121" s="103" t="s">
        <v>1862</v>
      </c>
      <c r="AJ121" s="103" t="s">
        <v>1804</v>
      </c>
      <c r="AK121" s="103" t="s">
        <v>1862</v>
      </c>
      <c r="AL121" s="103" t="s">
        <v>1804</v>
      </c>
      <c r="AM121" s="103" t="s">
        <v>1804</v>
      </c>
      <c r="AN121" s="99" t="s">
        <v>5016</v>
      </c>
      <c r="AO121" s="103" t="s">
        <v>1862</v>
      </c>
      <c r="AP121" s="103">
        <v>750</v>
      </c>
      <c r="AQ121" s="103" t="s">
        <v>4461</v>
      </c>
      <c r="AR121" s="103">
        <v>20000000</v>
      </c>
      <c r="AS121" s="106">
        <v>15000000</v>
      </c>
      <c r="AT121" s="103" t="s">
        <v>4496</v>
      </c>
      <c r="AU121" s="103" t="s">
        <v>1634</v>
      </c>
      <c r="AV121" s="99" t="s">
        <v>4463</v>
      </c>
      <c r="AW121" s="99" t="s">
        <v>5027</v>
      </c>
      <c r="AX121" s="99" t="s">
        <v>5219</v>
      </c>
      <c r="AY121" s="99" t="s">
        <v>4560</v>
      </c>
      <c r="AZ121" s="99" t="s">
        <v>4561</v>
      </c>
      <c r="BA121" s="103" t="s">
        <v>1634</v>
      </c>
      <c r="BB121" s="99">
        <v>25000</v>
      </c>
      <c r="BC121" s="99">
        <v>13000</v>
      </c>
      <c r="BD121" s="99">
        <v>16000000</v>
      </c>
      <c r="BE121" s="99">
        <v>13500000</v>
      </c>
      <c r="BF121" s="103" t="s">
        <v>4749</v>
      </c>
      <c r="BG121" s="103" t="s">
        <v>1804</v>
      </c>
      <c r="BH121" s="103" t="s">
        <v>1862</v>
      </c>
      <c r="BI121" s="103" t="s">
        <v>1862</v>
      </c>
      <c r="BJ121" s="103" t="s">
        <v>1804</v>
      </c>
      <c r="BK121" s="103" t="s">
        <v>4586</v>
      </c>
      <c r="BL121" s="103" t="s">
        <v>4461</v>
      </c>
      <c r="BM121" s="103" t="s">
        <v>4461</v>
      </c>
      <c r="BN121" s="103" t="s">
        <v>4531</v>
      </c>
      <c r="BO121" s="103">
        <v>800</v>
      </c>
      <c r="BP121" s="103" t="s">
        <v>4500</v>
      </c>
      <c r="BQ121" s="107" t="s">
        <v>4476</v>
      </c>
      <c r="BR121" s="99" t="s">
        <v>4476</v>
      </c>
      <c r="BS121" s="99" t="s">
        <v>4476</v>
      </c>
      <c r="BT121" s="103" t="s">
        <v>3186</v>
      </c>
      <c r="BU121" s="99" t="s">
        <v>4480</v>
      </c>
      <c r="BV121" s="103" t="s">
        <v>4476</v>
      </c>
      <c r="BW121" s="103" t="s">
        <v>4476</v>
      </c>
      <c r="BX121" s="103" t="s">
        <v>1548</v>
      </c>
      <c r="BY121" s="103" t="s">
        <v>4546</v>
      </c>
      <c r="BZ121" s="103" t="s">
        <v>4515</v>
      </c>
      <c r="CA121" s="103" t="s">
        <v>4461</v>
      </c>
      <c r="CB121" s="103">
        <v>500</v>
      </c>
      <c r="CC121" s="103" t="s">
        <v>4716</v>
      </c>
      <c r="CD121" s="103" t="s">
        <v>4480</v>
      </c>
      <c r="CE121" s="103" t="s">
        <v>4480</v>
      </c>
      <c r="CF121" s="103"/>
      <c r="CG121" s="103" t="s">
        <v>731</v>
      </c>
      <c r="CH121" s="103" t="s">
        <v>732</v>
      </c>
      <c r="CI121" s="103">
        <v>70321172</v>
      </c>
      <c r="CJ121" s="103" t="s">
        <v>5192</v>
      </c>
      <c r="CK121" s="108">
        <v>43366.522592592592</v>
      </c>
      <c r="CL121" s="109">
        <v>43366.543680555558</v>
      </c>
      <c r="CM121" s="95">
        <v>12.3802333</v>
      </c>
      <c r="CN121" s="95">
        <v>-2.5492903</v>
      </c>
      <c r="CO121" s="99"/>
      <c r="CP121" s="99"/>
      <c r="CQ121" s="99"/>
      <c r="CR121" s="99"/>
      <c r="CS121" s="99"/>
      <c r="CT121" s="99"/>
      <c r="CU121" s="99"/>
      <c r="CV121" s="99"/>
      <c r="CW121" s="99"/>
      <c r="CX121" s="99"/>
      <c r="CY121" s="99"/>
      <c r="CZ121" s="99"/>
      <c r="DA121" s="99"/>
      <c r="DB121" s="99"/>
      <c r="DC121" s="99"/>
    </row>
    <row r="122" spans="1:107" ht="15.75" customHeight="1">
      <c r="A122" s="95">
        <v>123</v>
      </c>
      <c r="B122" s="99" t="s">
        <v>733</v>
      </c>
      <c r="C122" s="99" t="s">
        <v>734</v>
      </c>
      <c r="D122" s="99">
        <v>61614859</v>
      </c>
      <c r="E122" s="99" t="s">
        <v>198</v>
      </c>
      <c r="F122" s="95" t="s">
        <v>5206</v>
      </c>
      <c r="G122" s="95" t="s">
        <v>1049</v>
      </c>
      <c r="H122" s="95" t="s">
        <v>1065</v>
      </c>
      <c r="I122" s="95" t="s">
        <v>184</v>
      </c>
      <c r="J122" s="95" t="s">
        <v>1108</v>
      </c>
      <c r="K122" s="99"/>
      <c r="L122" s="103" t="s">
        <v>4449</v>
      </c>
      <c r="M122" s="99" t="s">
        <v>4450</v>
      </c>
      <c r="N122" s="99" t="s">
        <v>1565</v>
      </c>
      <c r="O122" s="99" t="s">
        <v>4488</v>
      </c>
      <c r="P122" s="103">
        <v>2003</v>
      </c>
      <c r="Q122" s="103" t="s">
        <v>1862</v>
      </c>
      <c r="R122" s="99" t="s">
        <v>4489</v>
      </c>
      <c r="S122" s="103" t="s">
        <v>1541</v>
      </c>
      <c r="T122" s="103" t="s">
        <v>4538</v>
      </c>
      <c r="U122" s="99" t="s">
        <v>5207</v>
      </c>
      <c r="V122" s="95">
        <v>12.150186100000001</v>
      </c>
      <c r="W122" s="95">
        <v>-2.6983868000000002</v>
      </c>
      <c r="X122" s="104" t="s">
        <v>4910</v>
      </c>
      <c r="Y122" s="103" t="s">
        <v>1634</v>
      </c>
      <c r="Z122" s="103" t="s">
        <v>1634</v>
      </c>
      <c r="AA122" s="103" t="s">
        <v>1862</v>
      </c>
      <c r="AB122" s="103">
        <v>25</v>
      </c>
      <c r="AC122" s="103">
        <v>0</v>
      </c>
      <c r="AD122" s="103">
        <v>25</v>
      </c>
      <c r="AE122" s="103" t="s">
        <v>1634</v>
      </c>
      <c r="AF122" s="103" t="s">
        <v>4935</v>
      </c>
      <c r="AG122" s="99" t="s">
        <v>5199</v>
      </c>
      <c r="AH122" s="103" t="s">
        <v>1862</v>
      </c>
      <c r="AI122" s="103" t="s">
        <v>1862</v>
      </c>
      <c r="AJ122" s="103" t="s">
        <v>1804</v>
      </c>
      <c r="AK122" s="103" t="s">
        <v>1862</v>
      </c>
      <c r="AL122" s="103" t="s">
        <v>1804</v>
      </c>
      <c r="AM122" s="103" t="s">
        <v>1804</v>
      </c>
      <c r="AN122" s="99" t="s">
        <v>4638</v>
      </c>
      <c r="AO122" s="103" t="s">
        <v>1862</v>
      </c>
      <c r="AP122" s="103">
        <v>1200</v>
      </c>
      <c r="AQ122" s="103" t="s">
        <v>4470</v>
      </c>
      <c r="AR122" s="103">
        <v>900000</v>
      </c>
      <c r="AS122" s="106">
        <v>1500000</v>
      </c>
      <c r="AT122" s="103" t="s">
        <v>4496</v>
      </c>
      <c r="AU122" s="103" t="s">
        <v>1634</v>
      </c>
      <c r="AV122" s="99" t="s">
        <v>4463</v>
      </c>
      <c r="AW122" s="99" t="s">
        <v>5181</v>
      </c>
      <c r="AX122" s="99" t="s">
        <v>4543</v>
      </c>
      <c r="AY122" s="99" t="s">
        <v>4466</v>
      </c>
      <c r="AZ122" s="99" t="s">
        <v>4467</v>
      </c>
      <c r="BA122" s="103" t="s">
        <v>1634</v>
      </c>
      <c r="BB122" s="99">
        <v>300</v>
      </c>
      <c r="BC122" s="99">
        <v>250</v>
      </c>
      <c r="BD122" s="99">
        <v>200000</v>
      </c>
      <c r="BE122" s="99">
        <v>2500000</v>
      </c>
      <c r="BF122" s="103" t="s">
        <v>4544</v>
      </c>
      <c r="BG122" s="103" t="s">
        <v>1862</v>
      </c>
      <c r="BH122" s="103" t="s">
        <v>1862</v>
      </c>
      <c r="BI122" s="103" t="s">
        <v>1804</v>
      </c>
      <c r="BJ122" s="103" t="s">
        <v>1804</v>
      </c>
      <c r="BK122" s="103" t="s">
        <v>4499</v>
      </c>
      <c r="BL122" s="103" t="s">
        <v>4509</v>
      </c>
      <c r="BM122" s="103" t="s">
        <v>4461</v>
      </c>
      <c r="BN122" s="103" t="s">
        <v>4512</v>
      </c>
      <c r="BO122" s="103">
        <v>200</v>
      </c>
      <c r="BP122" s="103" t="s">
        <v>4461</v>
      </c>
      <c r="BQ122" s="107" t="s">
        <v>4476</v>
      </c>
      <c r="BR122" s="99" t="s">
        <v>4476</v>
      </c>
      <c r="BS122" s="99" t="s">
        <v>4476</v>
      </c>
      <c r="BT122" s="103" t="s">
        <v>3186</v>
      </c>
      <c r="BU122" s="99" t="s">
        <v>4628</v>
      </c>
      <c r="BV122" s="103" t="s">
        <v>4476</v>
      </c>
      <c r="BW122" s="103" t="s">
        <v>4476</v>
      </c>
      <c r="BX122" s="103" t="s">
        <v>1634</v>
      </c>
      <c r="BY122" s="103" t="s">
        <v>4535</v>
      </c>
      <c r="BZ122" s="103" t="s">
        <v>4478</v>
      </c>
      <c r="CA122" s="103" t="s">
        <v>4461</v>
      </c>
      <c r="CB122" s="103">
        <v>300</v>
      </c>
      <c r="CC122" s="103" t="s">
        <v>4479</v>
      </c>
      <c r="CD122" s="103" t="s">
        <v>4475</v>
      </c>
      <c r="CE122" s="103" t="s">
        <v>4481</v>
      </c>
      <c r="CF122" s="103" t="s">
        <v>4691</v>
      </c>
      <c r="CG122" s="103" t="s">
        <v>959</v>
      </c>
      <c r="CH122" s="103" t="s">
        <v>732</v>
      </c>
      <c r="CI122" s="103">
        <v>70321172</v>
      </c>
      <c r="CJ122" s="103" t="s">
        <v>5220</v>
      </c>
      <c r="CK122" s="108">
        <v>43366.538541666669</v>
      </c>
      <c r="CL122" s="109">
        <v>43366.549837962964</v>
      </c>
      <c r="CM122" s="95">
        <v>12.150186100000001</v>
      </c>
      <c r="CN122" s="95">
        <v>-2.6983868000000002</v>
      </c>
      <c r="CO122" s="99"/>
      <c r="CP122" s="99"/>
      <c r="CQ122" s="99"/>
      <c r="CR122" s="99"/>
      <c r="CS122" s="99"/>
      <c r="CT122" s="99"/>
      <c r="CU122" s="99"/>
      <c r="CV122" s="99"/>
      <c r="CW122" s="99"/>
      <c r="CX122" s="99"/>
      <c r="CY122" s="99"/>
      <c r="CZ122" s="99"/>
      <c r="DA122" s="99"/>
      <c r="DB122" s="99"/>
      <c r="DC122" s="99"/>
    </row>
    <row r="123" spans="1:107" ht="15.75" customHeight="1">
      <c r="A123" s="95">
        <v>124</v>
      </c>
      <c r="B123" s="99" t="s">
        <v>627</v>
      </c>
      <c r="C123" s="99" t="s">
        <v>735</v>
      </c>
      <c r="D123" s="99">
        <v>75244495</v>
      </c>
      <c r="E123" s="99" t="s">
        <v>5221</v>
      </c>
      <c r="F123" s="95" t="s">
        <v>5222</v>
      </c>
      <c r="G123" s="95" t="s">
        <v>1049</v>
      </c>
      <c r="H123" s="95" t="s">
        <v>1065</v>
      </c>
      <c r="I123" s="95" t="s">
        <v>184</v>
      </c>
      <c r="J123" s="95" t="s">
        <v>1111</v>
      </c>
      <c r="K123" s="99"/>
      <c r="L123" s="103" t="s">
        <v>4449</v>
      </c>
      <c r="M123" s="99" t="s">
        <v>4487</v>
      </c>
      <c r="N123" s="99" t="s">
        <v>4520</v>
      </c>
      <c r="O123" s="99" t="s">
        <v>4452</v>
      </c>
      <c r="P123" s="103">
        <v>2004</v>
      </c>
      <c r="Q123" s="103" t="s">
        <v>1862</v>
      </c>
      <c r="R123" s="99" t="s">
        <v>4453</v>
      </c>
      <c r="S123" s="103" t="s">
        <v>1541</v>
      </c>
      <c r="T123" s="103" t="s">
        <v>4538</v>
      </c>
      <c r="U123" s="99" t="s">
        <v>5223</v>
      </c>
      <c r="V123" s="95">
        <v>12.150186100000001</v>
      </c>
      <c r="W123" s="95">
        <v>-2.6983868000000002</v>
      </c>
      <c r="X123" s="104" t="s">
        <v>4910</v>
      </c>
      <c r="Y123" s="103" t="s">
        <v>1634</v>
      </c>
      <c r="Z123" s="103" t="s">
        <v>4499</v>
      </c>
      <c r="AA123" s="103" t="s">
        <v>1862</v>
      </c>
      <c r="AB123" s="103">
        <v>34</v>
      </c>
      <c r="AC123" s="103">
        <v>0</v>
      </c>
      <c r="AD123" s="103">
        <v>34</v>
      </c>
      <c r="AE123" s="103" t="s">
        <v>1634</v>
      </c>
      <c r="AF123" s="103" t="s">
        <v>4935</v>
      </c>
      <c r="AG123" s="99" t="s">
        <v>4494</v>
      </c>
      <c r="AH123" s="103" t="s">
        <v>1862</v>
      </c>
      <c r="AI123" s="103" t="s">
        <v>1862</v>
      </c>
      <c r="AJ123" s="103" t="s">
        <v>1804</v>
      </c>
      <c r="AK123" s="103" t="s">
        <v>1804</v>
      </c>
      <c r="AL123" s="103" t="s">
        <v>1862</v>
      </c>
      <c r="AM123" s="103" t="s">
        <v>1862</v>
      </c>
      <c r="AN123" s="99" t="s">
        <v>4604</v>
      </c>
      <c r="AO123" s="103" t="s">
        <v>1862</v>
      </c>
      <c r="AP123" s="103">
        <v>600</v>
      </c>
      <c r="AQ123" s="103" t="s">
        <v>4461</v>
      </c>
      <c r="AR123" s="103">
        <v>300000</v>
      </c>
      <c r="AS123" s="106">
        <v>200000</v>
      </c>
      <c r="AT123" s="103" t="s">
        <v>4496</v>
      </c>
      <c r="AU123" s="103" t="s">
        <v>1548</v>
      </c>
      <c r="AV123" s="99"/>
      <c r="AW123" s="99"/>
      <c r="AX123" s="99" t="s">
        <v>5224</v>
      </c>
      <c r="AY123" s="99" t="s">
        <v>4466</v>
      </c>
      <c r="AZ123" s="99" t="s">
        <v>4467</v>
      </c>
      <c r="BA123" s="103" t="s">
        <v>1548</v>
      </c>
      <c r="BB123" s="99">
        <v>12000</v>
      </c>
      <c r="BC123" s="99">
        <v>600</v>
      </c>
      <c r="BD123" s="99">
        <v>240000</v>
      </c>
      <c r="BE123" s="99">
        <v>160000</v>
      </c>
      <c r="BF123" s="103" t="s">
        <v>4544</v>
      </c>
      <c r="BG123" s="103" t="s">
        <v>1862</v>
      </c>
      <c r="BH123" s="103" t="s">
        <v>1862</v>
      </c>
      <c r="BI123" s="103" t="s">
        <v>1804</v>
      </c>
      <c r="BJ123" s="103" t="s">
        <v>1804</v>
      </c>
      <c r="BK123" s="103" t="s">
        <v>4478</v>
      </c>
      <c r="BL123" s="103" t="s">
        <v>4472</v>
      </c>
      <c r="BM123" s="103" t="s">
        <v>4461</v>
      </c>
      <c r="BN123" s="103" t="s">
        <v>4690</v>
      </c>
      <c r="BO123" s="103">
        <v>450</v>
      </c>
      <c r="BP123" s="103" t="s">
        <v>4532</v>
      </c>
      <c r="BQ123" s="99" t="s">
        <v>4476</v>
      </c>
      <c r="BR123" s="99" t="s">
        <v>4476</v>
      </c>
      <c r="BS123" s="99" t="s">
        <v>4476</v>
      </c>
      <c r="BT123" s="103" t="s">
        <v>3186</v>
      </c>
      <c r="BU123" s="99" t="s">
        <v>4480</v>
      </c>
      <c r="BV123" s="103" t="s">
        <v>4476</v>
      </c>
      <c r="BW123" s="103" t="s">
        <v>4476</v>
      </c>
      <c r="BX123" s="103" t="s">
        <v>1548</v>
      </c>
      <c r="BY123" s="103" t="s">
        <v>4546</v>
      </c>
      <c r="BZ123" s="103" t="s">
        <v>4478</v>
      </c>
      <c r="CA123" s="103" t="s">
        <v>4461</v>
      </c>
      <c r="CB123" s="103">
        <v>400</v>
      </c>
      <c r="CC123" s="103" t="s">
        <v>4716</v>
      </c>
      <c r="CD123" s="103" t="s">
        <v>4502</v>
      </c>
      <c r="CE123" s="103" t="s">
        <v>4502</v>
      </c>
      <c r="CF123" s="103"/>
      <c r="CG123" s="103" t="s">
        <v>731</v>
      </c>
      <c r="CH123" s="103" t="s">
        <v>732</v>
      </c>
      <c r="CI123" s="103">
        <v>70321172</v>
      </c>
      <c r="CJ123" s="103" t="s">
        <v>5225</v>
      </c>
      <c r="CK123" s="108">
        <v>43366.545092592591</v>
      </c>
      <c r="CL123" s="109">
        <v>43366.558946759258</v>
      </c>
      <c r="CM123" s="95">
        <v>12.150186100000001</v>
      </c>
      <c r="CN123" s="95">
        <v>-2.6983868000000002</v>
      </c>
      <c r="CO123" s="99"/>
      <c r="CP123" s="99"/>
      <c r="CQ123" s="99"/>
      <c r="CR123" s="99"/>
      <c r="CS123" s="99"/>
      <c r="CT123" s="99"/>
      <c r="CU123" s="99"/>
      <c r="CV123" s="99"/>
      <c r="CW123" s="99"/>
      <c r="CX123" s="99"/>
      <c r="CY123" s="99"/>
      <c r="CZ123" s="99"/>
      <c r="DA123" s="99"/>
      <c r="DB123" s="99"/>
      <c r="DC123" s="99"/>
    </row>
    <row r="124" spans="1:107" ht="15.75" customHeight="1">
      <c r="A124" s="95">
        <v>125</v>
      </c>
      <c r="B124" s="99" t="s">
        <v>736</v>
      </c>
      <c r="C124" s="99" t="s">
        <v>737</v>
      </c>
      <c r="D124" s="99">
        <v>56401645</v>
      </c>
      <c r="E124" s="99" t="s">
        <v>199</v>
      </c>
      <c r="F124" s="95" t="s">
        <v>5226</v>
      </c>
      <c r="G124" s="95" t="s">
        <v>1057</v>
      </c>
      <c r="H124" s="95" t="s">
        <v>1061</v>
      </c>
      <c r="I124" s="95" t="s">
        <v>200</v>
      </c>
      <c r="J124" s="95" t="s">
        <v>200</v>
      </c>
      <c r="K124" s="99"/>
      <c r="L124" s="103" t="s">
        <v>4449</v>
      </c>
      <c r="M124" s="99" t="s">
        <v>4567</v>
      </c>
      <c r="N124" s="99" t="s">
        <v>1565</v>
      </c>
      <c r="O124" s="99" t="s">
        <v>4947</v>
      </c>
      <c r="P124" s="103">
        <v>2012</v>
      </c>
      <c r="Q124" s="103" t="s">
        <v>1862</v>
      </c>
      <c r="R124" s="99"/>
      <c r="S124" s="103" t="s">
        <v>1541</v>
      </c>
      <c r="T124" s="103" t="s">
        <v>5227</v>
      </c>
      <c r="U124" s="99" t="s">
        <v>5228</v>
      </c>
      <c r="V124" s="95">
        <v>11.8992612</v>
      </c>
      <c r="W124" s="95">
        <v>-4.3385828999999996</v>
      </c>
      <c r="X124" s="104" t="s">
        <v>5229</v>
      </c>
      <c r="Y124" s="103"/>
      <c r="Z124" s="103"/>
      <c r="AA124" s="103"/>
      <c r="AB124" s="103"/>
      <c r="AC124" s="103"/>
      <c r="AD124" s="103"/>
      <c r="AE124" s="103"/>
      <c r="AF124" s="103"/>
      <c r="AG124" s="99"/>
      <c r="AH124" s="103"/>
      <c r="AI124" s="103"/>
      <c r="AJ124" s="103"/>
      <c r="AK124" s="103"/>
      <c r="AL124" s="103"/>
      <c r="AM124" s="103"/>
      <c r="AN124" s="99"/>
      <c r="AO124" s="103"/>
      <c r="AP124" s="103"/>
      <c r="AQ124" s="103"/>
      <c r="AR124" s="103"/>
      <c r="AS124" s="99"/>
      <c r="AT124" s="103"/>
      <c r="AU124" s="103"/>
      <c r="AV124" s="99"/>
      <c r="AW124" s="99"/>
      <c r="AX124" s="99"/>
      <c r="AY124" s="99"/>
      <c r="AZ124" s="99"/>
      <c r="BA124" s="103"/>
      <c r="BB124" s="99"/>
      <c r="BC124" s="99">
        <v>2000</v>
      </c>
      <c r="BD124" s="99"/>
      <c r="BE124" s="99"/>
      <c r="BF124" s="103"/>
      <c r="BG124" s="103"/>
      <c r="BH124" s="103"/>
      <c r="BI124" s="103"/>
      <c r="BJ124" s="103"/>
      <c r="BK124" s="103" t="s">
        <v>4499</v>
      </c>
      <c r="BL124" s="103"/>
      <c r="BM124" s="103"/>
      <c r="BN124" s="103"/>
      <c r="BO124" s="103"/>
      <c r="BP124" s="103"/>
      <c r="BQ124" s="107"/>
      <c r="BR124" s="99"/>
      <c r="BS124" s="99"/>
      <c r="BT124" s="103" t="s">
        <v>3186</v>
      </c>
      <c r="BU124" s="99"/>
      <c r="BV124" s="103"/>
      <c r="BW124" s="103"/>
      <c r="BX124" s="103"/>
      <c r="BY124" s="103"/>
      <c r="BZ124" s="103"/>
      <c r="CA124" s="103"/>
      <c r="CB124" s="103"/>
      <c r="CC124" s="103"/>
      <c r="CD124" s="103"/>
      <c r="CE124" s="103"/>
      <c r="CF124" s="103"/>
      <c r="CG124" s="103"/>
      <c r="CH124" s="103"/>
      <c r="CI124" s="103">
        <v>56401645</v>
      </c>
      <c r="CJ124" s="103" t="s">
        <v>4675</v>
      </c>
      <c r="CK124" s="108">
        <v>43365.374502314815</v>
      </c>
      <c r="CL124" s="109">
        <v>43365.405127314814</v>
      </c>
      <c r="CM124" s="95">
        <v>11.8992612</v>
      </c>
      <c r="CN124" s="95">
        <v>-4.3385828999999996</v>
      </c>
      <c r="CO124" s="99"/>
      <c r="CP124" s="99"/>
      <c r="CQ124" s="99"/>
      <c r="CR124" s="99"/>
      <c r="CS124" s="99"/>
      <c r="CT124" s="99"/>
      <c r="CU124" s="99"/>
      <c r="CV124" s="99"/>
      <c r="CW124" s="99"/>
      <c r="CX124" s="99"/>
      <c r="CY124" s="99"/>
      <c r="CZ124" s="99"/>
      <c r="DA124" s="99"/>
      <c r="DB124" s="99"/>
      <c r="DC124" s="99"/>
    </row>
    <row r="125" spans="1:107" ht="15.75" customHeight="1">
      <c r="A125" s="95">
        <v>126</v>
      </c>
      <c r="B125" s="99" t="s">
        <v>738</v>
      </c>
      <c r="C125" s="99" t="s">
        <v>739</v>
      </c>
      <c r="D125" s="99">
        <v>76323046</v>
      </c>
      <c r="E125" s="99" t="s">
        <v>201</v>
      </c>
      <c r="F125" s="95" t="s">
        <v>4666</v>
      </c>
      <c r="G125" s="95" t="s">
        <v>1057</v>
      </c>
      <c r="H125" s="95" t="s">
        <v>1061</v>
      </c>
      <c r="I125" s="95" t="s">
        <v>37</v>
      </c>
      <c r="J125" s="95" t="s">
        <v>1112</v>
      </c>
      <c r="K125" s="99"/>
      <c r="L125" s="103" t="s">
        <v>4449</v>
      </c>
      <c r="M125" s="99" t="s">
        <v>4450</v>
      </c>
      <c r="N125" s="99" t="s">
        <v>1565</v>
      </c>
      <c r="O125" s="99" t="s">
        <v>4947</v>
      </c>
      <c r="P125" s="103">
        <v>2009</v>
      </c>
      <c r="Q125" s="103" t="s">
        <v>1862</v>
      </c>
      <c r="R125" s="99" t="s">
        <v>4709</v>
      </c>
      <c r="S125" s="103" t="s">
        <v>1541</v>
      </c>
      <c r="T125" s="103" t="s">
        <v>4522</v>
      </c>
      <c r="U125" s="99" t="s">
        <v>5230</v>
      </c>
      <c r="V125" s="95">
        <v>12.184640699999999</v>
      </c>
      <c r="W125" s="95">
        <v>-4.0848788999999996</v>
      </c>
      <c r="X125" s="104" t="s">
        <v>4668</v>
      </c>
      <c r="Y125" s="103" t="s">
        <v>1634</v>
      </c>
      <c r="Z125" s="103" t="s">
        <v>1634</v>
      </c>
      <c r="AA125" s="103" t="s">
        <v>1862</v>
      </c>
      <c r="AB125" s="103">
        <v>200</v>
      </c>
      <c r="AC125" s="103">
        <v>4</v>
      </c>
      <c r="AD125" s="103">
        <v>160</v>
      </c>
      <c r="AE125" s="103" t="s">
        <v>1634</v>
      </c>
      <c r="AF125" s="103" t="s">
        <v>5084</v>
      </c>
      <c r="AG125" s="99" t="s">
        <v>5231</v>
      </c>
      <c r="AH125" s="103" t="s">
        <v>1862</v>
      </c>
      <c r="AI125" s="103" t="s">
        <v>1862</v>
      </c>
      <c r="AJ125" s="103" t="s">
        <v>1862</v>
      </c>
      <c r="AK125" s="103" t="s">
        <v>1804</v>
      </c>
      <c r="AL125" s="103" t="s">
        <v>1862</v>
      </c>
      <c r="AM125" s="103" t="s">
        <v>1862</v>
      </c>
      <c r="AN125" s="99" t="s">
        <v>4670</v>
      </c>
      <c r="AO125" s="103" t="s">
        <v>1862</v>
      </c>
      <c r="AP125" s="103">
        <v>160</v>
      </c>
      <c r="AQ125" s="103" t="s">
        <v>4461</v>
      </c>
      <c r="AR125" s="103"/>
      <c r="AS125" s="99"/>
      <c r="AT125" s="103" t="s">
        <v>4625</v>
      </c>
      <c r="AU125" s="103" t="s">
        <v>1634</v>
      </c>
      <c r="AV125" s="99" t="s">
        <v>4671</v>
      </c>
      <c r="AW125" s="99" t="s">
        <v>5232</v>
      </c>
      <c r="AX125" s="99" t="s">
        <v>5233</v>
      </c>
      <c r="AY125" s="99" t="s">
        <v>4466</v>
      </c>
      <c r="AZ125" s="99" t="s">
        <v>4530</v>
      </c>
      <c r="BA125" s="103"/>
      <c r="BB125" s="99">
        <v>1400</v>
      </c>
      <c r="BC125" s="99">
        <v>300</v>
      </c>
      <c r="BD125" s="99">
        <v>224000</v>
      </c>
      <c r="BE125" s="99">
        <v>225000</v>
      </c>
      <c r="BF125" s="103" t="s">
        <v>4415</v>
      </c>
      <c r="BG125" s="103" t="s">
        <v>1862</v>
      </c>
      <c r="BH125" s="103" t="s">
        <v>1804</v>
      </c>
      <c r="BI125" s="103" t="s">
        <v>1804</v>
      </c>
      <c r="BJ125" s="103" t="s">
        <v>1804</v>
      </c>
      <c r="BK125" s="103" t="s">
        <v>4478</v>
      </c>
      <c r="BL125" s="103" t="s">
        <v>4472</v>
      </c>
      <c r="BM125" s="103" t="s">
        <v>4461</v>
      </c>
      <c r="BN125" s="103" t="s">
        <v>4545</v>
      </c>
      <c r="BO125" s="103">
        <v>300</v>
      </c>
      <c r="BP125" s="103" t="s">
        <v>4500</v>
      </c>
      <c r="BQ125" s="99" t="s">
        <v>4476</v>
      </c>
      <c r="BR125" s="99" t="s">
        <v>4476</v>
      </c>
      <c r="BS125" s="99"/>
      <c r="BT125" s="103" t="s">
        <v>3186</v>
      </c>
      <c r="BU125" s="99" t="s">
        <v>4475</v>
      </c>
      <c r="BV125" s="103" t="s">
        <v>4476</v>
      </c>
      <c r="BW125" s="103" t="s">
        <v>4476</v>
      </c>
      <c r="BX125" s="103" t="s">
        <v>1634</v>
      </c>
      <c r="BY125" s="103" t="s">
        <v>4535</v>
      </c>
      <c r="BZ125" s="103" t="s">
        <v>4478</v>
      </c>
      <c r="CA125" s="103" t="s">
        <v>4461</v>
      </c>
      <c r="CB125" s="103">
        <v>60</v>
      </c>
      <c r="CC125" s="103" t="s">
        <v>4502</v>
      </c>
      <c r="CD125" s="103" t="s">
        <v>4475</v>
      </c>
      <c r="CE125" s="103" t="s">
        <v>4502</v>
      </c>
      <c r="CF125" s="103"/>
      <c r="CG125" s="103" t="s">
        <v>738</v>
      </c>
      <c r="CH125" s="103" t="s">
        <v>739</v>
      </c>
      <c r="CI125" s="103">
        <v>76323046</v>
      </c>
      <c r="CJ125" s="103"/>
      <c r="CK125" s="108">
        <v>43364.663530092592</v>
      </c>
      <c r="CL125" s="109">
        <v>43365.40420138889</v>
      </c>
      <c r="CM125" s="95">
        <v>12.184640699999999</v>
      </c>
      <c r="CN125" s="95">
        <v>-4.0848788999999996</v>
      </c>
      <c r="CO125" s="99"/>
      <c r="CP125" s="99"/>
      <c r="CQ125" s="99"/>
      <c r="CR125" s="99"/>
      <c r="CS125" s="99"/>
      <c r="CT125" s="99"/>
      <c r="CU125" s="99"/>
      <c r="CV125" s="99"/>
      <c r="CW125" s="99"/>
      <c r="CX125" s="99"/>
      <c r="CY125" s="99"/>
      <c r="CZ125" s="99"/>
      <c r="DA125" s="99"/>
      <c r="DB125" s="99"/>
      <c r="DC125" s="99"/>
    </row>
    <row r="126" spans="1:107" ht="15.75" customHeight="1">
      <c r="A126" s="95">
        <v>127</v>
      </c>
      <c r="B126" s="99" t="s">
        <v>740</v>
      </c>
      <c r="C126" s="99" t="s">
        <v>741</v>
      </c>
      <c r="D126" s="110">
        <v>71679147</v>
      </c>
      <c r="E126" s="99" t="s">
        <v>202</v>
      </c>
      <c r="F126" s="95" t="s">
        <v>5234</v>
      </c>
      <c r="G126" s="95" t="s">
        <v>1057</v>
      </c>
      <c r="H126" s="95" t="s">
        <v>1061</v>
      </c>
      <c r="I126" s="95" t="s">
        <v>37</v>
      </c>
      <c r="J126" s="95" t="s">
        <v>37</v>
      </c>
      <c r="K126" s="99"/>
      <c r="L126" s="103" t="s">
        <v>4449</v>
      </c>
      <c r="M126" s="99" t="s">
        <v>4450</v>
      </c>
      <c r="N126" s="99" t="s">
        <v>1565</v>
      </c>
      <c r="O126" s="99" t="s">
        <v>4488</v>
      </c>
      <c r="P126" s="103">
        <v>2004</v>
      </c>
      <c r="Q126" s="103" t="s">
        <v>1862</v>
      </c>
      <c r="R126" s="99" t="s">
        <v>5178</v>
      </c>
      <c r="S126" s="103" t="s">
        <v>1541</v>
      </c>
      <c r="T126" s="103" t="s">
        <v>4522</v>
      </c>
      <c r="U126" s="99" t="s">
        <v>5235</v>
      </c>
      <c r="V126" s="95">
        <v>12.184640699999999</v>
      </c>
      <c r="W126" s="95">
        <v>-4.0848788999999996</v>
      </c>
      <c r="X126" s="104" t="s">
        <v>4668</v>
      </c>
      <c r="Y126" s="103" t="s">
        <v>1634</v>
      </c>
      <c r="Z126" s="103" t="s">
        <v>1634</v>
      </c>
      <c r="AA126" s="103" t="s">
        <v>1862</v>
      </c>
      <c r="AB126" s="103">
        <v>25</v>
      </c>
      <c r="AC126" s="103">
        <v>0</v>
      </c>
      <c r="AD126" s="103">
        <v>25</v>
      </c>
      <c r="AE126" s="103" t="s">
        <v>1634</v>
      </c>
      <c r="AF126" s="103" t="s">
        <v>4493</v>
      </c>
      <c r="AG126" s="99" t="s">
        <v>5199</v>
      </c>
      <c r="AH126" s="103" t="s">
        <v>1862</v>
      </c>
      <c r="AI126" s="103" t="s">
        <v>1862</v>
      </c>
      <c r="AJ126" s="103" t="s">
        <v>1804</v>
      </c>
      <c r="AK126" s="103" t="s">
        <v>1862</v>
      </c>
      <c r="AL126" s="103" t="s">
        <v>1804</v>
      </c>
      <c r="AM126" s="103" t="s">
        <v>1804</v>
      </c>
      <c r="AN126" s="99" t="s">
        <v>4638</v>
      </c>
      <c r="AO126" s="103" t="s">
        <v>1862</v>
      </c>
      <c r="AP126" s="103">
        <v>1200</v>
      </c>
      <c r="AQ126" s="103" t="s">
        <v>4470</v>
      </c>
      <c r="AR126" s="103">
        <v>900000</v>
      </c>
      <c r="AS126" s="106">
        <v>1500000</v>
      </c>
      <c r="AT126" s="103" t="s">
        <v>4496</v>
      </c>
      <c r="AU126" s="103" t="s">
        <v>1634</v>
      </c>
      <c r="AV126" s="99" t="s">
        <v>4671</v>
      </c>
      <c r="AW126" s="99" t="s">
        <v>5181</v>
      </c>
      <c r="AX126" s="99" t="s">
        <v>4606</v>
      </c>
      <c r="AY126" s="99" t="s">
        <v>4466</v>
      </c>
      <c r="AZ126" s="99" t="s">
        <v>4467</v>
      </c>
      <c r="BA126" s="103" t="s">
        <v>1634</v>
      </c>
      <c r="BB126" s="99">
        <v>350</v>
      </c>
      <c r="BC126" s="99">
        <v>400</v>
      </c>
      <c r="BD126" s="99">
        <v>1500000</v>
      </c>
      <c r="BE126" s="99">
        <v>2000000</v>
      </c>
      <c r="BF126" s="103" t="s">
        <v>4544</v>
      </c>
      <c r="BG126" s="103" t="s">
        <v>1862</v>
      </c>
      <c r="BH126" s="103" t="s">
        <v>1862</v>
      </c>
      <c r="BI126" s="103" t="s">
        <v>1804</v>
      </c>
      <c r="BJ126" s="103" t="s">
        <v>1804</v>
      </c>
      <c r="BK126" s="103" t="s">
        <v>4478</v>
      </c>
      <c r="BL126" s="103" t="s">
        <v>4470</v>
      </c>
      <c r="BM126" s="103" t="s">
        <v>4461</v>
      </c>
      <c r="BN126" s="103" t="s">
        <v>4512</v>
      </c>
      <c r="BO126" s="103">
        <v>200</v>
      </c>
      <c r="BP126" s="103" t="s">
        <v>4461</v>
      </c>
      <c r="BQ126" s="99" t="s">
        <v>4476</v>
      </c>
      <c r="BR126" s="99" t="s">
        <v>4476</v>
      </c>
      <c r="BS126" s="99"/>
      <c r="BT126" s="103" t="s">
        <v>3186</v>
      </c>
      <c r="BU126" s="99" t="s">
        <v>4476</v>
      </c>
      <c r="BV126" s="103" t="s">
        <v>4476</v>
      </c>
      <c r="BW126" s="103" t="s">
        <v>1634</v>
      </c>
      <c r="BX126" s="103" t="s">
        <v>5200</v>
      </c>
      <c r="BY126" s="103" t="s">
        <v>4478</v>
      </c>
      <c r="BZ126" s="103" t="s">
        <v>4461</v>
      </c>
      <c r="CA126" s="103">
        <v>500</v>
      </c>
      <c r="CB126" s="103" t="s">
        <v>4475</v>
      </c>
      <c r="CC126" s="103" t="s">
        <v>4502</v>
      </c>
      <c r="CD126" s="103" t="s">
        <v>4475</v>
      </c>
      <c r="CE126" s="112" t="s">
        <v>4481</v>
      </c>
      <c r="CF126" s="103"/>
      <c r="CG126" s="103" t="s">
        <v>740</v>
      </c>
      <c r="CH126" s="103" t="s">
        <v>5236</v>
      </c>
      <c r="CI126" s="111">
        <v>71679147</v>
      </c>
      <c r="CJ126" s="99"/>
      <c r="CK126" s="108">
        <v>43366.501261574071</v>
      </c>
      <c r="CL126" s="108">
        <v>43366.516145833331</v>
      </c>
      <c r="CM126" s="95">
        <v>12.184640699999999</v>
      </c>
      <c r="CN126" s="95">
        <v>-4.0848788999999996</v>
      </c>
      <c r="CO126" s="99"/>
      <c r="CP126" s="99"/>
      <c r="CQ126" s="99"/>
      <c r="CR126" s="99"/>
      <c r="CS126" s="99"/>
      <c r="CT126" s="99"/>
      <c r="CU126" s="99"/>
      <c r="CV126" s="99"/>
      <c r="CW126" s="99"/>
      <c r="CX126" s="99"/>
      <c r="CY126" s="99"/>
      <c r="CZ126" s="99"/>
      <c r="DA126" s="99"/>
      <c r="DB126" s="99"/>
      <c r="DC126" s="99"/>
    </row>
    <row r="127" spans="1:107" ht="15.75" customHeight="1">
      <c r="A127" s="95">
        <v>128</v>
      </c>
      <c r="B127" s="99" t="s">
        <v>742</v>
      </c>
      <c r="C127" s="99" t="s">
        <v>743</v>
      </c>
      <c r="D127" s="99">
        <v>75071907</v>
      </c>
      <c r="E127" s="99" t="s">
        <v>203</v>
      </c>
      <c r="F127" s="95" t="s">
        <v>5237</v>
      </c>
      <c r="G127" s="95" t="s">
        <v>1085</v>
      </c>
      <c r="H127" s="95" t="s">
        <v>1113</v>
      </c>
      <c r="I127" s="95" t="s">
        <v>37</v>
      </c>
      <c r="J127" s="95"/>
      <c r="K127" s="99"/>
      <c r="L127" s="103" t="s">
        <v>4449</v>
      </c>
      <c r="M127" s="99" t="s">
        <v>4487</v>
      </c>
      <c r="N127" s="99" t="s">
        <v>4451</v>
      </c>
      <c r="O127" s="99" t="s">
        <v>5238</v>
      </c>
      <c r="P127" s="103">
        <v>2008</v>
      </c>
      <c r="Q127" s="103" t="s">
        <v>1862</v>
      </c>
      <c r="R127" s="99" t="s">
        <v>4521</v>
      </c>
      <c r="S127" s="103" t="s">
        <v>1541</v>
      </c>
      <c r="T127" s="103" t="s">
        <v>4538</v>
      </c>
      <c r="U127" s="99" t="s">
        <v>5239</v>
      </c>
      <c r="V127" s="95">
        <v>11.391939499999999</v>
      </c>
      <c r="W127" s="95">
        <v>-4.9766539999999999</v>
      </c>
      <c r="X127" s="104" t="s">
        <v>5240</v>
      </c>
      <c r="Y127" s="103" t="s">
        <v>1634</v>
      </c>
      <c r="Z127" s="103" t="s">
        <v>1634</v>
      </c>
      <c r="AA127" s="103" t="s">
        <v>1862</v>
      </c>
      <c r="AB127" s="103">
        <v>50</v>
      </c>
      <c r="AC127" s="103">
        <v>0</v>
      </c>
      <c r="AD127" s="103">
        <v>50</v>
      </c>
      <c r="AE127" s="103" t="s">
        <v>1634</v>
      </c>
      <c r="AF127" s="103" t="s">
        <v>4637</v>
      </c>
      <c r="AG127" s="99" t="s">
        <v>4902</v>
      </c>
      <c r="AH127" s="103" t="s">
        <v>1862</v>
      </c>
      <c r="AI127" s="103" t="s">
        <v>1862</v>
      </c>
      <c r="AJ127" s="103" t="s">
        <v>1804</v>
      </c>
      <c r="AK127" s="103" t="s">
        <v>1804</v>
      </c>
      <c r="AL127" s="103" t="s">
        <v>1862</v>
      </c>
      <c r="AM127" s="103" t="s">
        <v>1862</v>
      </c>
      <c r="AN127" s="99" t="s">
        <v>4584</v>
      </c>
      <c r="AO127" s="103" t="s">
        <v>1862</v>
      </c>
      <c r="AP127" s="103">
        <v>1000</v>
      </c>
      <c r="AQ127" s="103" t="s">
        <v>4461</v>
      </c>
      <c r="AR127" s="103">
        <v>4000000</v>
      </c>
      <c r="AS127" s="106">
        <v>700000</v>
      </c>
      <c r="AT127" s="103" t="s">
        <v>4625</v>
      </c>
      <c r="AU127" s="103" t="s">
        <v>1634</v>
      </c>
      <c r="AV127" s="99" t="s">
        <v>5241</v>
      </c>
      <c r="AW127" s="99" t="s">
        <v>5242</v>
      </c>
      <c r="AX127" s="99" t="s">
        <v>5243</v>
      </c>
      <c r="AY127" s="99" t="s">
        <v>4560</v>
      </c>
      <c r="AZ127" s="99" t="s">
        <v>4530</v>
      </c>
      <c r="BA127" s="103" t="s">
        <v>1634</v>
      </c>
      <c r="BB127" s="99">
        <v>400</v>
      </c>
      <c r="BC127" s="99">
        <v>700</v>
      </c>
      <c r="BD127" s="99">
        <v>200000</v>
      </c>
      <c r="BE127" s="99">
        <v>700000</v>
      </c>
      <c r="BF127" s="103" t="s">
        <v>4415</v>
      </c>
      <c r="BG127" s="103" t="s">
        <v>1862</v>
      </c>
      <c r="BH127" s="103" t="s">
        <v>1804</v>
      </c>
      <c r="BI127" s="103" t="s">
        <v>1804</v>
      </c>
      <c r="BJ127" s="103" t="s">
        <v>1804</v>
      </c>
      <c r="BK127" s="103" t="s">
        <v>4478</v>
      </c>
      <c r="BL127" s="103" t="s">
        <v>4472</v>
      </c>
      <c r="BM127" s="103" t="s">
        <v>4461</v>
      </c>
      <c r="BN127" s="103" t="s">
        <v>4545</v>
      </c>
      <c r="BO127" s="103">
        <v>200</v>
      </c>
      <c r="BP127" s="103" t="s">
        <v>4532</v>
      </c>
      <c r="BQ127" s="99" t="s">
        <v>4476</v>
      </c>
      <c r="BR127" s="99" t="s">
        <v>4476</v>
      </c>
      <c r="BS127" s="99"/>
      <c r="BT127" s="103" t="s">
        <v>3186</v>
      </c>
      <c r="BU127" s="99" t="s">
        <v>4475</v>
      </c>
      <c r="BV127" s="103" t="s">
        <v>4476</v>
      </c>
      <c r="BW127" s="103" t="s">
        <v>4476</v>
      </c>
      <c r="BX127" s="103" t="s">
        <v>1548</v>
      </c>
      <c r="BY127" s="103" t="s">
        <v>4535</v>
      </c>
      <c r="BZ127" s="103" t="s">
        <v>4478</v>
      </c>
      <c r="CA127" s="103" t="s">
        <v>4461</v>
      </c>
      <c r="CB127" s="103"/>
      <c r="CC127" s="103" t="s">
        <v>4502</v>
      </c>
      <c r="CD127" s="103" t="s">
        <v>4502</v>
      </c>
      <c r="CE127" s="103" t="s">
        <v>4502</v>
      </c>
      <c r="CF127" s="103"/>
      <c r="CG127" s="103" t="s">
        <v>742</v>
      </c>
      <c r="CH127" s="103" t="s">
        <v>743</v>
      </c>
      <c r="CI127" s="103">
        <v>75071907</v>
      </c>
      <c r="CJ127" s="103" t="s">
        <v>4675</v>
      </c>
      <c r="CK127" s="108">
        <v>43364.713009259256</v>
      </c>
      <c r="CL127" s="109">
        <v>43364.737696759257</v>
      </c>
      <c r="CM127" s="95">
        <v>11.391939499999999</v>
      </c>
      <c r="CN127" s="95">
        <v>-4.9766539999999999</v>
      </c>
      <c r="CO127" s="99"/>
      <c r="CP127" s="99"/>
      <c r="CQ127" s="99"/>
      <c r="CR127" s="99"/>
      <c r="CS127" s="99"/>
      <c r="CT127" s="99"/>
      <c r="CU127" s="99"/>
      <c r="CV127" s="99"/>
      <c r="CW127" s="99"/>
      <c r="CX127" s="99"/>
      <c r="CY127" s="99"/>
      <c r="CZ127" s="99"/>
      <c r="DA127" s="99"/>
      <c r="DB127" s="99"/>
      <c r="DC127" s="99"/>
    </row>
    <row r="128" spans="1:107" ht="15.75" customHeight="1">
      <c r="A128" s="95">
        <v>129</v>
      </c>
      <c r="B128" s="99" t="s">
        <v>744</v>
      </c>
      <c r="C128" s="99" t="s">
        <v>558</v>
      </c>
      <c r="D128" s="99">
        <v>68170193</v>
      </c>
      <c r="E128" s="99" t="s">
        <v>204</v>
      </c>
      <c r="F128" s="95" t="s">
        <v>4666</v>
      </c>
      <c r="G128" s="95" t="s">
        <v>1057</v>
      </c>
      <c r="H128" s="95" t="s">
        <v>1061</v>
      </c>
      <c r="I128" s="95" t="s">
        <v>37</v>
      </c>
      <c r="J128" s="95"/>
      <c r="K128" s="99"/>
      <c r="L128" s="103" t="s">
        <v>4449</v>
      </c>
      <c r="M128" s="99" t="s">
        <v>4450</v>
      </c>
      <c r="N128" s="99" t="s">
        <v>1565</v>
      </c>
      <c r="O128" s="99" t="s">
        <v>4947</v>
      </c>
      <c r="P128" s="103">
        <v>2008</v>
      </c>
      <c r="Q128" s="103" t="s">
        <v>1862</v>
      </c>
      <c r="R128" s="99" t="s">
        <v>4709</v>
      </c>
      <c r="S128" s="103" t="s">
        <v>1541</v>
      </c>
      <c r="T128" s="103" t="s">
        <v>4538</v>
      </c>
      <c r="U128" s="99" t="s">
        <v>4667</v>
      </c>
      <c r="V128" s="95">
        <v>12.184640699999999</v>
      </c>
      <c r="W128" s="95">
        <v>-4.0848788999999996</v>
      </c>
      <c r="X128" s="104" t="s">
        <v>4668</v>
      </c>
      <c r="Y128" s="103" t="s">
        <v>1634</v>
      </c>
      <c r="Z128" s="103" t="s">
        <v>1634</v>
      </c>
      <c r="AA128" s="103" t="s">
        <v>1862</v>
      </c>
      <c r="AB128" s="103">
        <v>17</v>
      </c>
      <c r="AC128" s="103">
        <v>4</v>
      </c>
      <c r="AD128" s="103">
        <v>13</v>
      </c>
      <c r="AE128" s="103" t="s">
        <v>1634</v>
      </c>
      <c r="AF128" s="103" t="s">
        <v>4637</v>
      </c>
      <c r="AG128" s="99" t="s">
        <v>4724</v>
      </c>
      <c r="AH128" s="103" t="s">
        <v>1804</v>
      </c>
      <c r="AI128" s="103" t="s">
        <v>1804</v>
      </c>
      <c r="AJ128" s="103" t="s">
        <v>1804</v>
      </c>
      <c r="AK128" s="103" t="s">
        <v>1804</v>
      </c>
      <c r="AL128" s="103" t="s">
        <v>1804</v>
      </c>
      <c r="AM128" s="103" t="s">
        <v>1804</v>
      </c>
      <c r="AN128" s="99" t="s">
        <v>4735</v>
      </c>
      <c r="AO128" s="103" t="s">
        <v>1862</v>
      </c>
      <c r="AP128" s="103">
        <v>600</v>
      </c>
      <c r="AQ128" s="103" t="s">
        <v>4472</v>
      </c>
      <c r="AR128" s="103">
        <v>720000</v>
      </c>
      <c r="AS128" s="106">
        <v>300000</v>
      </c>
      <c r="AT128" s="103" t="s">
        <v>4625</v>
      </c>
      <c r="AU128" s="103" t="s">
        <v>1634</v>
      </c>
      <c r="AV128" s="99" t="s">
        <v>4671</v>
      </c>
      <c r="AW128" s="99" t="s">
        <v>4791</v>
      </c>
      <c r="AX128" s="99" t="s">
        <v>5244</v>
      </c>
      <c r="AY128" s="99" t="s">
        <v>4466</v>
      </c>
      <c r="AZ128" s="99" t="s">
        <v>4530</v>
      </c>
      <c r="BA128" s="103" t="s">
        <v>1548</v>
      </c>
      <c r="BB128" s="99">
        <v>4000</v>
      </c>
      <c r="BC128" s="99">
        <v>300</v>
      </c>
      <c r="BD128" s="99">
        <v>720000</v>
      </c>
      <c r="BE128" s="99">
        <v>300000</v>
      </c>
      <c r="BF128" s="103" t="s">
        <v>4415</v>
      </c>
      <c r="BG128" s="103" t="s">
        <v>1862</v>
      </c>
      <c r="BH128" s="103" t="s">
        <v>1804</v>
      </c>
      <c r="BI128" s="103" t="s">
        <v>1804</v>
      </c>
      <c r="BJ128" s="103" t="s">
        <v>1804</v>
      </c>
      <c r="BK128" s="103" t="s">
        <v>4478</v>
      </c>
      <c r="BL128" s="103" t="s">
        <v>4472</v>
      </c>
      <c r="BM128" s="103" t="s">
        <v>4461</v>
      </c>
      <c r="BN128" s="103" t="s">
        <v>5245</v>
      </c>
      <c r="BO128" s="103">
        <v>300</v>
      </c>
      <c r="BP128" s="103" t="s">
        <v>4532</v>
      </c>
      <c r="BQ128" s="107" t="s">
        <v>4476</v>
      </c>
      <c r="BR128" s="99" t="s">
        <v>4476</v>
      </c>
      <c r="BS128" s="99"/>
      <c r="BT128" s="103" t="s">
        <v>3186</v>
      </c>
      <c r="BU128" s="99" t="s">
        <v>4502</v>
      </c>
      <c r="BV128" s="103" t="s">
        <v>4476</v>
      </c>
      <c r="BW128" s="103" t="s">
        <v>4476</v>
      </c>
      <c r="BX128" s="103" t="s">
        <v>1634</v>
      </c>
      <c r="BY128" s="103" t="s">
        <v>4810</v>
      </c>
      <c r="BZ128" s="103" t="s">
        <v>4478</v>
      </c>
      <c r="CA128" s="103" t="s">
        <v>5039</v>
      </c>
      <c r="CB128" s="103">
        <v>200</v>
      </c>
      <c r="CC128" s="103" t="s">
        <v>4479</v>
      </c>
      <c r="CD128" s="103" t="s">
        <v>4480</v>
      </c>
      <c r="CE128" s="103" t="s">
        <v>4480</v>
      </c>
      <c r="CF128" s="103"/>
      <c r="CG128" s="103" t="s">
        <v>5246</v>
      </c>
      <c r="CH128" s="103" t="s">
        <v>5247</v>
      </c>
      <c r="CI128" s="103">
        <v>79293306</v>
      </c>
      <c r="CJ128" s="103" t="s">
        <v>4675</v>
      </c>
      <c r="CK128" s="108">
        <v>43365.420324074075</v>
      </c>
      <c r="CL128" s="109">
        <v>43365.434884259259</v>
      </c>
      <c r="CM128" s="95">
        <v>12.184640699999999</v>
      </c>
      <c r="CN128" s="95">
        <v>-4.0848788999999996</v>
      </c>
      <c r="CO128" s="99"/>
      <c r="CP128" s="99"/>
      <c r="CQ128" s="99"/>
      <c r="CR128" s="99"/>
      <c r="CS128" s="99"/>
      <c r="CT128" s="99"/>
      <c r="CU128" s="99"/>
      <c r="CV128" s="99"/>
      <c r="CW128" s="99"/>
      <c r="CX128" s="99"/>
      <c r="CY128" s="99"/>
      <c r="CZ128" s="99"/>
      <c r="DA128" s="99"/>
      <c r="DB128" s="99"/>
      <c r="DC128" s="99"/>
    </row>
    <row r="129" spans="1:107" ht="15.75" customHeight="1">
      <c r="A129" s="95">
        <v>130</v>
      </c>
      <c r="B129" s="99" t="s">
        <v>745</v>
      </c>
      <c r="C129" s="99" t="s">
        <v>746</v>
      </c>
      <c r="D129" s="99">
        <v>75273933</v>
      </c>
      <c r="E129" s="99" t="s">
        <v>205</v>
      </c>
      <c r="F129" s="95" t="s">
        <v>4666</v>
      </c>
      <c r="G129" s="95" t="s">
        <v>1057</v>
      </c>
      <c r="H129" s="95" t="s">
        <v>1061</v>
      </c>
      <c r="I129" s="95" t="s">
        <v>37</v>
      </c>
      <c r="J129" s="95"/>
      <c r="K129" s="99"/>
      <c r="L129" s="103" t="s">
        <v>4449</v>
      </c>
      <c r="M129" s="99" t="s">
        <v>4450</v>
      </c>
      <c r="N129" s="99" t="s">
        <v>4520</v>
      </c>
      <c r="O129" s="99" t="s">
        <v>5238</v>
      </c>
      <c r="P129" s="103">
        <v>2008</v>
      </c>
      <c r="Q129" s="103" t="s">
        <v>1862</v>
      </c>
      <c r="R129" s="99" t="s">
        <v>4709</v>
      </c>
      <c r="S129" s="103" t="s">
        <v>2282</v>
      </c>
      <c r="T129" s="103" t="s">
        <v>4490</v>
      </c>
      <c r="U129" s="99" t="s">
        <v>4667</v>
      </c>
      <c r="V129" s="95">
        <v>12.184640699999999</v>
      </c>
      <c r="W129" s="95">
        <v>-4.0848788999999996</v>
      </c>
      <c r="X129" s="104" t="s">
        <v>4668</v>
      </c>
      <c r="Y129" s="103" t="s">
        <v>1634</v>
      </c>
      <c r="Z129" s="103" t="s">
        <v>1634</v>
      </c>
      <c r="AA129" s="103" t="s">
        <v>1862</v>
      </c>
      <c r="AB129" s="103">
        <v>35</v>
      </c>
      <c r="AC129" s="103">
        <v>0</v>
      </c>
      <c r="AD129" s="103">
        <v>35</v>
      </c>
      <c r="AE129" s="103" t="s">
        <v>1634</v>
      </c>
      <c r="AF129" s="103" t="s">
        <v>4637</v>
      </c>
      <c r="AG129" s="99" t="s">
        <v>4902</v>
      </c>
      <c r="AH129" s="103" t="s">
        <v>1862</v>
      </c>
      <c r="AI129" s="103" t="s">
        <v>1862</v>
      </c>
      <c r="AJ129" s="103" t="s">
        <v>1804</v>
      </c>
      <c r="AK129" s="103" t="s">
        <v>1804</v>
      </c>
      <c r="AL129" s="103" t="s">
        <v>1862</v>
      </c>
      <c r="AM129" s="103" t="s">
        <v>1862</v>
      </c>
      <c r="AN129" s="99" t="s">
        <v>4526</v>
      </c>
      <c r="AO129" s="103" t="s">
        <v>1862</v>
      </c>
      <c r="AP129" s="103">
        <v>160</v>
      </c>
      <c r="AQ129" s="103" t="s">
        <v>4472</v>
      </c>
      <c r="AR129" s="103">
        <v>1500000</v>
      </c>
      <c r="AS129" s="106">
        <v>33750</v>
      </c>
      <c r="AT129" s="103" t="s">
        <v>4625</v>
      </c>
      <c r="AU129" s="103" t="s">
        <v>1634</v>
      </c>
      <c r="AV129" s="99" t="s">
        <v>4671</v>
      </c>
      <c r="AW129" s="99" t="s">
        <v>5175</v>
      </c>
      <c r="AX129" s="99" t="s">
        <v>5248</v>
      </c>
      <c r="AY129" s="99" t="s">
        <v>4466</v>
      </c>
      <c r="AZ129" s="99" t="s">
        <v>4530</v>
      </c>
      <c r="BA129" s="103" t="s">
        <v>1634</v>
      </c>
      <c r="BB129" s="99">
        <v>3500</v>
      </c>
      <c r="BC129" s="99">
        <v>135</v>
      </c>
      <c r="BD129" s="99">
        <v>550455</v>
      </c>
      <c r="BE129" s="99">
        <v>202500</v>
      </c>
      <c r="BF129" s="103" t="s">
        <v>4415</v>
      </c>
      <c r="BG129" s="103" t="s">
        <v>1862</v>
      </c>
      <c r="BH129" s="103" t="s">
        <v>1804</v>
      </c>
      <c r="BI129" s="103" t="s">
        <v>1804</v>
      </c>
      <c r="BJ129" s="103" t="s">
        <v>1804</v>
      </c>
      <c r="BK129" s="103" t="s">
        <v>4478</v>
      </c>
      <c r="BL129" s="103" t="s">
        <v>4472</v>
      </c>
      <c r="BM129" s="103" t="s">
        <v>4461</v>
      </c>
      <c r="BN129" s="103" t="s">
        <v>4545</v>
      </c>
      <c r="BO129" s="103">
        <v>600</v>
      </c>
      <c r="BP129" s="103" t="s">
        <v>4500</v>
      </c>
      <c r="BQ129" s="99" t="s">
        <v>4476</v>
      </c>
      <c r="BR129" s="99" t="s">
        <v>4476</v>
      </c>
      <c r="BS129" s="99"/>
      <c r="BT129" s="103" t="s">
        <v>3186</v>
      </c>
      <c r="BU129" s="99" t="s">
        <v>4475</v>
      </c>
      <c r="BV129" s="103" t="s">
        <v>4476</v>
      </c>
      <c r="BW129" s="103" t="s">
        <v>4476</v>
      </c>
      <c r="BX129" s="103" t="s">
        <v>1548</v>
      </c>
      <c r="BY129" s="103" t="s">
        <v>4535</v>
      </c>
      <c r="BZ129" s="103" t="s">
        <v>4478</v>
      </c>
      <c r="CA129" s="103" t="s">
        <v>4461</v>
      </c>
      <c r="CB129" s="103">
        <v>40</v>
      </c>
      <c r="CC129" s="103" t="s">
        <v>4502</v>
      </c>
      <c r="CD129" s="103" t="s">
        <v>4502</v>
      </c>
      <c r="CE129" s="103" t="s">
        <v>4502</v>
      </c>
      <c r="CF129" s="103"/>
      <c r="CG129" s="103" t="s">
        <v>745</v>
      </c>
      <c r="CH129" s="103" t="s">
        <v>746</v>
      </c>
      <c r="CI129" s="103">
        <v>75273933</v>
      </c>
      <c r="CJ129" s="103"/>
      <c r="CK129" s="108">
        <v>43364.591678240744</v>
      </c>
      <c r="CL129" s="109">
        <v>43364.728402777779</v>
      </c>
      <c r="CM129" s="95">
        <v>12.184640699999999</v>
      </c>
      <c r="CN129" s="95">
        <v>-4.0848788999999996</v>
      </c>
      <c r="CO129" s="99"/>
      <c r="CP129" s="99"/>
      <c r="CQ129" s="99"/>
      <c r="CR129" s="99"/>
      <c r="CS129" s="99"/>
      <c r="CT129" s="99"/>
      <c r="CU129" s="99"/>
      <c r="CV129" s="99"/>
      <c r="CW129" s="99"/>
      <c r="CX129" s="99"/>
      <c r="CY129" s="99"/>
      <c r="CZ129" s="99"/>
      <c r="DA129" s="99"/>
      <c r="DB129" s="99"/>
      <c r="DC129" s="99"/>
    </row>
    <row r="130" spans="1:107" ht="15.75" customHeight="1">
      <c r="A130" s="95">
        <v>131</v>
      </c>
      <c r="B130" s="99" t="s">
        <v>747</v>
      </c>
      <c r="C130" s="99" t="s">
        <v>748</v>
      </c>
      <c r="D130" s="99">
        <v>75198978</v>
      </c>
      <c r="E130" s="99" t="s">
        <v>206</v>
      </c>
      <c r="F130" s="95" t="s">
        <v>5249</v>
      </c>
      <c r="G130" s="95" t="s">
        <v>1049</v>
      </c>
      <c r="H130" s="95" t="s">
        <v>1065</v>
      </c>
      <c r="I130" s="95" t="s">
        <v>184</v>
      </c>
      <c r="J130" s="95" t="s">
        <v>1114</v>
      </c>
      <c r="K130" s="99"/>
      <c r="L130" s="103" t="s">
        <v>4449</v>
      </c>
      <c r="M130" s="99" t="s">
        <v>4487</v>
      </c>
      <c r="N130" s="99" t="s">
        <v>1565</v>
      </c>
      <c r="O130" s="99" t="s">
        <v>4452</v>
      </c>
      <c r="P130" s="103">
        <v>2004</v>
      </c>
      <c r="Q130" s="103" t="s">
        <v>1862</v>
      </c>
      <c r="R130" s="99" t="s">
        <v>4504</v>
      </c>
      <c r="S130" s="103" t="s">
        <v>1541</v>
      </c>
      <c r="T130" s="103" t="s">
        <v>4538</v>
      </c>
      <c r="U130" s="99" t="s">
        <v>5250</v>
      </c>
      <c r="V130" s="95">
        <v>12.150186100000001</v>
      </c>
      <c r="W130" s="95">
        <v>-2.6983868000000002</v>
      </c>
      <c r="X130" s="104" t="s">
        <v>4910</v>
      </c>
      <c r="Y130" s="103" t="s">
        <v>1634</v>
      </c>
      <c r="Z130" s="103" t="s">
        <v>1634</v>
      </c>
      <c r="AA130" s="103" t="s">
        <v>1862</v>
      </c>
      <c r="AB130" s="103">
        <v>53</v>
      </c>
      <c r="AC130" s="103">
        <v>0</v>
      </c>
      <c r="AD130" s="103">
        <v>53</v>
      </c>
      <c r="AE130" s="103" t="s">
        <v>1634</v>
      </c>
      <c r="AF130" s="103" t="s">
        <v>4935</v>
      </c>
      <c r="AG130" s="99" t="s">
        <v>4494</v>
      </c>
      <c r="AH130" s="103" t="s">
        <v>1862</v>
      </c>
      <c r="AI130" s="103" t="s">
        <v>1862</v>
      </c>
      <c r="AJ130" s="103" t="s">
        <v>1804</v>
      </c>
      <c r="AK130" s="103" t="s">
        <v>1804</v>
      </c>
      <c r="AL130" s="103" t="s">
        <v>1862</v>
      </c>
      <c r="AM130" s="103" t="s">
        <v>1862</v>
      </c>
      <c r="AN130" s="99" t="s">
        <v>4604</v>
      </c>
      <c r="AO130" s="103" t="s">
        <v>1862</v>
      </c>
      <c r="AP130" s="103">
        <v>600</v>
      </c>
      <c r="AQ130" s="103" t="s">
        <v>4461</v>
      </c>
      <c r="AR130" s="103">
        <v>350000</v>
      </c>
      <c r="AS130" s="106">
        <v>250000</v>
      </c>
      <c r="AT130" s="103" t="s">
        <v>4625</v>
      </c>
      <c r="AU130" s="103" t="s">
        <v>1548</v>
      </c>
      <c r="AV130" s="99"/>
      <c r="AW130" s="99"/>
      <c r="AX130" s="99" t="s">
        <v>5251</v>
      </c>
      <c r="AY130" s="99" t="s">
        <v>4466</v>
      </c>
      <c r="AZ130" s="99" t="s">
        <v>4467</v>
      </c>
      <c r="BA130" s="103" t="s">
        <v>1548</v>
      </c>
      <c r="BB130" s="99">
        <v>1500</v>
      </c>
      <c r="BC130" s="99">
        <v>800</v>
      </c>
      <c r="BD130" s="99">
        <v>275000</v>
      </c>
      <c r="BE130" s="99">
        <v>180000</v>
      </c>
      <c r="BF130" s="103" t="s">
        <v>4715</v>
      </c>
      <c r="BG130" s="103" t="s">
        <v>1862</v>
      </c>
      <c r="BH130" s="103" t="s">
        <v>1862</v>
      </c>
      <c r="BI130" s="103" t="s">
        <v>1862</v>
      </c>
      <c r="BJ130" s="103" t="s">
        <v>1804</v>
      </c>
      <c r="BK130" s="103" t="s">
        <v>4478</v>
      </c>
      <c r="BL130" s="103" t="s">
        <v>4472</v>
      </c>
      <c r="BM130" s="103" t="s">
        <v>4461</v>
      </c>
      <c r="BN130" s="103" t="s">
        <v>4531</v>
      </c>
      <c r="BO130" s="103">
        <v>500</v>
      </c>
      <c r="BP130" s="103" t="s">
        <v>4532</v>
      </c>
      <c r="BQ130" s="99" t="s">
        <v>4476</v>
      </c>
      <c r="BR130" s="99" t="s">
        <v>4476</v>
      </c>
      <c r="BS130" s="99" t="s">
        <v>4476</v>
      </c>
      <c r="BT130" s="103" t="s">
        <v>3186</v>
      </c>
      <c r="BU130" s="99" t="s">
        <v>4480</v>
      </c>
      <c r="BV130" s="103" t="s">
        <v>4476</v>
      </c>
      <c r="BW130" s="103" t="s">
        <v>4476</v>
      </c>
      <c r="BX130" s="103" t="s">
        <v>1548</v>
      </c>
      <c r="BY130" s="103" t="s">
        <v>4535</v>
      </c>
      <c r="BZ130" s="103" t="s">
        <v>4478</v>
      </c>
      <c r="CA130" s="103" t="s">
        <v>4461</v>
      </c>
      <c r="CB130" s="103">
        <v>500</v>
      </c>
      <c r="CC130" s="103" t="s">
        <v>4502</v>
      </c>
      <c r="CD130" s="103" t="s">
        <v>4502</v>
      </c>
      <c r="CE130" s="103" t="s">
        <v>4502</v>
      </c>
      <c r="CF130" s="103"/>
      <c r="CG130" s="103" t="s">
        <v>731</v>
      </c>
      <c r="CH130" s="103" t="s">
        <v>732</v>
      </c>
      <c r="CI130" s="103">
        <v>71321172</v>
      </c>
      <c r="CJ130" s="103" t="s">
        <v>5252</v>
      </c>
      <c r="CK130" s="108">
        <v>43366.531018518515</v>
      </c>
      <c r="CL130" s="109">
        <v>43366.563738425924</v>
      </c>
      <c r="CM130" s="95">
        <v>12.150186100000001</v>
      </c>
      <c r="CN130" s="95">
        <v>-2.6983868000000002</v>
      </c>
      <c r="CO130" s="99"/>
      <c r="CP130" s="99"/>
      <c r="CQ130" s="99"/>
      <c r="CR130" s="99"/>
      <c r="CS130" s="99"/>
      <c r="CT130" s="99"/>
      <c r="CU130" s="99"/>
      <c r="CV130" s="99"/>
      <c r="CW130" s="99"/>
      <c r="CX130" s="99"/>
      <c r="CY130" s="99"/>
      <c r="CZ130" s="99"/>
      <c r="DA130" s="99"/>
      <c r="DB130" s="99"/>
      <c r="DC130" s="99"/>
    </row>
    <row r="131" spans="1:107" ht="15.75" customHeight="1">
      <c r="A131" s="95">
        <v>132</v>
      </c>
      <c r="B131" s="99" t="s">
        <v>705</v>
      </c>
      <c r="C131" s="99" t="s">
        <v>749</v>
      </c>
      <c r="D131" s="99">
        <v>63065604</v>
      </c>
      <c r="E131" s="99" t="s">
        <v>5253</v>
      </c>
      <c r="F131" s="95" t="s">
        <v>5254</v>
      </c>
      <c r="G131" s="95" t="s">
        <v>1049</v>
      </c>
      <c r="H131" s="95" t="s">
        <v>1065</v>
      </c>
      <c r="I131" s="95" t="s">
        <v>184</v>
      </c>
      <c r="J131" s="95" t="s">
        <v>1115</v>
      </c>
      <c r="K131" s="99"/>
      <c r="L131" s="103" t="s">
        <v>4449</v>
      </c>
      <c r="M131" s="99" t="s">
        <v>4487</v>
      </c>
      <c r="N131" s="99" t="s">
        <v>1565</v>
      </c>
      <c r="O131" s="99" t="s">
        <v>4452</v>
      </c>
      <c r="P131" s="103">
        <v>2003</v>
      </c>
      <c r="Q131" s="103" t="s">
        <v>1862</v>
      </c>
      <c r="R131" s="99" t="s">
        <v>4521</v>
      </c>
      <c r="S131" s="103" t="s">
        <v>1541</v>
      </c>
      <c r="T131" s="103" t="s">
        <v>4538</v>
      </c>
      <c r="U131" s="99" t="s">
        <v>5255</v>
      </c>
      <c r="V131" s="95">
        <v>12.3802333</v>
      </c>
      <c r="W131" s="95">
        <v>-2.5492903</v>
      </c>
      <c r="X131" s="104" t="s">
        <v>5180</v>
      </c>
      <c r="Y131" s="103" t="s">
        <v>1634</v>
      </c>
      <c r="Z131" s="103" t="s">
        <v>1634</v>
      </c>
      <c r="AA131" s="103" t="s">
        <v>1862</v>
      </c>
      <c r="AB131" s="103">
        <v>27</v>
      </c>
      <c r="AC131" s="103"/>
      <c r="AD131" s="103">
        <v>27</v>
      </c>
      <c r="AE131" s="103" t="s">
        <v>1634</v>
      </c>
      <c r="AF131" s="103" t="s">
        <v>4935</v>
      </c>
      <c r="AG131" s="99" t="s">
        <v>4624</v>
      </c>
      <c r="AH131" s="103" t="s">
        <v>1862</v>
      </c>
      <c r="AI131" s="103" t="s">
        <v>1862</v>
      </c>
      <c r="AJ131" s="103" t="s">
        <v>1804</v>
      </c>
      <c r="AK131" s="103" t="s">
        <v>1804</v>
      </c>
      <c r="AL131" s="103" t="s">
        <v>1804</v>
      </c>
      <c r="AM131" s="103" t="s">
        <v>1804</v>
      </c>
      <c r="AN131" s="99" t="s">
        <v>4526</v>
      </c>
      <c r="AO131" s="103" t="s">
        <v>1862</v>
      </c>
      <c r="AP131" s="103">
        <v>600</v>
      </c>
      <c r="AQ131" s="103" t="s">
        <v>4461</v>
      </c>
      <c r="AR131" s="103">
        <v>250000</v>
      </c>
      <c r="AS131" s="106">
        <v>175000</v>
      </c>
      <c r="AT131" s="103" t="s">
        <v>4496</v>
      </c>
      <c r="AU131" s="103" t="s">
        <v>1548</v>
      </c>
      <c r="AV131" s="99"/>
      <c r="AW131" s="99"/>
      <c r="AX131" s="99" t="s">
        <v>4913</v>
      </c>
      <c r="AY131" s="99" t="s">
        <v>4466</v>
      </c>
      <c r="AZ131" s="99" t="s">
        <v>4467</v>
      </c>
      <c r="BA131" s="103" t="s">
        <v>1548</v>
      </c>
      <c r="BB131" s="99">
        <v>800</v>
      </c>
      <c r="BC131" s="99">
        <v>450</v>
      </c>
      <c r="BD131" s="99">
        <v>200000</v>
      </c>
      <c r="BE131" s="99">
        <v>120000</v>
      </c>
      <c r="BF131" s="103" t="s">
        <v>4544</v>
      </c>
      <c r="BG131" s="103" t="s">
        <v>1862</v>
      </c>
      <c r="BH131" s="103" t="s">
        <v>1862</v>
      </c>
      <c r="BI131" s="103" t="s">
        <v>1804</v>
      </c>
      <c r="BJ131" s="103" t="s">
        <v>1804</v>
      </c>
      <c r="BK131" s="103" t="s">
        <v>4478</v>
      </c>
      <c r="BL131" s="103" t="s">
        <v>4472</v>
      </c>
      <c r="BM131" s="103" t="s">
        <v>4461</v>
      </c>
      <c r="BN131" s="103" t="s">
        <v>4690</v>
      </c>
      <c r="BO131" s="103">
        <v>300</v>
      </c>
      <c r="BP131" s="103" t="s">
        <v>4532</v>
      </c>
      <c r="BQ131" s="99" t="s">
        <v>4476</v>
      </c>
      <c r="BR131" s="99" t="s">
        <v>4476</v>
      </c>
      <c r="BS131" s="99" t="s">
        <v>4476</v>
      </c>
      <c r="BT131" s="103" t="s">
        <v>3186</v>
      </c>
      <c r="BU131" s="99" t="s">
        <v>4480</v>
      </c>
      <c r="BV131" s="103" t="s">
        <v>4476</v>
      </c>
      <c r="BW131" s="103" t="s">
        <v>4476</v>
      </c>
      <c r="BX131" s="103" t="s">
        <v>1548</v>
      </c>
      <c r="BY131" s="103" t="s">
        <v>4595</v>
      </c>
      <c r="BZ131" s="103" t="s">
        <v>4478</v>
      </c>
      <c r="CA131" s="103" t="s">
        <v>4461</v>
      </c>
      <c r="CB131" s="103">
        <v>250</v>
      </c>
      <c r="CC131" s="103" t="s">
        <v>4716</v>
      </c>
      <c r="CD131" s="103" t="s">
        <v>4502</v>
      </c>
      <c r="CE131" s="103" t="s">
        <v>4502</v>
      </c>
      <c r="CF131" s="103"/>
      <c r="CG131" s="103" t="s">
        <v>731</v>
      </c>
      <c r="CH131" s="103" t="s">
        <v>732</v>
      </c>
      <c r="CI131" s="103">
        <v>70321172</v>
      </c>
      <c r="CJ131" s="103" t="s">
        <v>5256</v>
      </c>
      <c r="CK131" s="108">
        <v>43366.563634259262</v>
      </c>
      <c r="CL131" s="109">
        <v>43366.574525462966</v>
      </c>
      <c r="CM131" s="95">
        <v>12.3802333</v>
      </c>
      <c r="CN131" s="95">
        <v>-2.5492903</v>
      </c>
      <c r="CO131" s="99"/>
      <c r="CP131" s="99"/>
      <c r="CQ131" s="99"/>
      <c r="CR131" s="99"/>
      <c r="CS131" s="99"/>
      <c r="CT131" s="99"/>
      <c r="CU131" s="99"/>
      <c r="CV131" s="99"/>
      <c r="CW131" s="99"/>
      <c r="CX131" s="99"/>
      <c r="CY131" s="99"/>
      <c r="CZ131" s="99"/>
      <c r="DA131" s="99"/>
      <c r="DB131" s="99"/>
      <c r="DC131" s="99"/>
    </row>
    <row r="132" spans="1:107" ht="15.75" customHeight="1">
      <c r="A132" s="95">
        <v>133</v>
      </c>
      <c r="B132" s="99" t="s">
        <v>731</v>
      </c>
      <c r="C132" s="99" t="s">
        <v>750</v>
      </c>
      <c r="D132" s="99">
        <v>70527743</v>
      </c>
      <c r="E132" s="99" t="s">
        <v>508</v>
      </c>
      <c r="F132" s="95" t="s">
        <v>5172</v>
      </c>
      <c r="G132" s="95" t="s">
        <v>1049</v>
      </c>
      <c r="H132" s="95" t="s">
        <v>1065</v>
      </c>
      <c r="I132" s="95" t="s">
        <v>184</v>
      </c>
      <c r="J132" s="95" t="s">
        <v>1104</v>
      </c>
      <c r="K132" s="99"/>
      <c r="L132" s="103" t="s">
        <v>4449</v>
      </c>
      <c r="M132" s="99" t="s">
        <v>4487</v>
      </c>
      <c r="N132" s="99" t="s">
        <v>1565</v>
      </c>
      <c r="O132" s="99"/>
      <c r="P132" s="103">
        <v>2004</v>
      </c>
      <c r="Q132" s="103" t="s">
        <v>1862</v>
      </c>
      <c r="R132" s="99" t="s">
        <v>4551</v>
      </c>
      <c r="S132" s="103" t="s">
        <v>1541</v>
      </c>
      <c r="T132" s="103" t="s">
        <v>4538</v>
      </c>
      <c r="U132" s="99" t="s">
        <v>5173</v>
      </c>
      <c r="V132" s="95">
        <v>12.632201999999999</v>
      </c>
      <c r="W132" s="95">
        <v>-2.6750102</v>
      </c>
      <c r="X132" s="104" t="s">
        <v>5174</v>
      </c>
      <c r="Y132" s="103" t="s">
        <v>1634</v>
      </c>
      <c r="Z132" s="103" t="s">
        <v>1634</v>
      </c>
      <c r="AA132" s="103" t="s">
        <v>1862</v>
      </c>
      <c r="AB132" s="103">
        <v>34</v>
      </c>
      <c r="AC132" s="103">
        <v>0</v>
      </c>
      <c r="AD132" s="103">
        <v>34</v>
      </c>
      <c r="AE132" s="103" t="s">
        <v>1634</v>
      </c>
      <c r="AF132" s="103" t="s">
        <v>4935</v>
      </c>
      <c r="AG132" s="99" t="s">
        <v>4879</v>
      </c>
      <c r="AH132" s="103" t="s">
        <v>1862</v>
      </c>
      <c r="AI132" s="103" t="s">
        <v>1862</v>
      </c>
      <c r="AJ132" s="103" t="s">
        <v>1804</v>
      </c>
      <c r="AK132" s="103" t="s">
        <v>1804</v>
      </c>
      <c r="AL132" s="103" t="s">
        <v>1804</v>
      </c>
      <c r="AM132" s="103" t="s">
        <v>1862</v>
      </c>
      <c r="AN132" s="99" t="s">
        <v>4526</v>
      </c>
      <c r="AO132" s="103" t="s">
        <v>1862</v>
      </c>
      <c r="AP132" s="103">
        <v>600</v>
      </c>
      <c r="AQ132" s="103" t="s">
        <v>4461</v>
      </c>
      <c r="AR132" s="103">
        <v>350000</v>
      </c>
      <c r="AS132" s="106">
        <v>250000</v>
      </c>
      <c r="AT132" s="103" t="s">
        <v>4496</v>
      </c>
      <c r="AU132" s="103" t="s">
        <v>1548</v>
      </c>
      <c r="AV132" s="99"/>
      <c r="AW132" s="99"/>
      <c r="AX132" s="99" t="s">
        <v>5257</v>
      </c>
      <c r="AY132" s="99" t="s">
        <v>4466</v>
      </c>
      <c r="AZ132" s="99" t="s">
        <v>4467</v>
      </c>
      <c r="BA132" s="103" t="s">
        <v>1548</v>
      </c>
      <c r="BB132" s="99">
        <v>1000</v>
      </c>
      <c r="BC132" s="99">
        <v>750</v>
      </c>
      <c r="BD132" s="99">
        <v>250000</v>
      </c>
      <c r="BE132" s="99">
        <v>180000</v>
      </c>
      <c r="BF132" s="103" t="s">
        <v>4544</v>
      </c>
      <c r="BG132" s="103" t="s">
        <v>1862</v>
      </c>
      <c r="BH132" s="103" t="s">
        <v>1862</v>
      </c>
      <c r="BI132" s="103" t="s">
        <v>1804</v>
      </c>
      <c r="BJ132" s="103" t="s">
        <v>1804</v>
      </c>
      <c r="BK132" s="103" t="s">
        <v>4478</v>
      </c>
      <c r="BL132" s="103" t="s">
        <v>4472</v>
      </c>
      <c r="BM132" s="103" t="s">
        <v>4461</v>
      </c>
      <c r="BN132" s="103" t="s">
        <v>4690</v>
      </c>
      <c r="BO132" s="103">
        <v>400</v>
      </c>
      <c r="BP132" s="103" t="s">
        <v>4532</v>
      </c>
      <c r="BQ132" s="99" t="s">
        <v>4476</v>
      </c>
      <c r="BR132" s="99" t="s">
        <v>4476</v>
      </c>
      <c r="BS132" s="99" t="s">
        <v>4476</v>
      </c>
      <c r="BT132" s="103" t="s">
        <v>3186</v>
      </c>
      <c r="BU132" s="99" t="s">
        <v>4480</v>
      </c>
      <c r="BV132" s="103" t="s">
        <v>4476</v>
      </c>
      <c r="BW132" s="103" t="s">
        <v>4476</v>
      </c>
      <c r="BX132" s="103" t="s">
        <v>1548</v>
      </c>
      <c r="BY132" s="103" t="s">
        <v>4595</v>
      </c>
      <c r="BZ132" s="103" t="s">
        <v>4478</v>
      </c>
      <c r="CA132" s="103" t="s">
        <v>4461</v>
      </c>
      <c r="CB132" s="103">
        <v>350</v>
      </c>
      <c r="CC132" s="103" t="s">
        <v>4502</v>
      </c>
      <c r="CD132" s="103" t="s">
        <v>4480</v>
      </c>
      <c r="CE132" s="103" t="s">
        <v>4502</v>
      </c>
      <c r="CF132" s="103"/>
      <c r="CG132" s="103" t="s">
        <v>731</v>
      </c>
      <c r="CH132" s="103" t="s">
        <v>732</v>
      </c>
      <c r="CI132" s="103">
        <v>70321172</v>
      </c>
      <c r="CJ132" s="103" t="s">
        <v>5258</v>
      </c>
      <c r="CK132" s="108">
        <v>43366.566064814811</v>
      </c>
      <c r="CL132" s="109">
        <v>43366.579201388886</v>
      </c>
      <c r="CM132" s="95">
        <v>12.632201999999999</v>
      </c>
      <c r="CN132" s="95">
        <v>-2.6750102</v>
      </c>
      <c r="CO132" s="99"/>
      <c r="CP132" s="99"/>
      <c r="CQ132" s="99"/>
      <c r="CR132" s="99"/>
      <c r="CS132" s="99"/>
      <c r="CT132" s="99"/>
      <c r="CU132" s="99"/>
      <c r="CV132" s="99"/>
      <c r="CW132" s="99"/>
      <c r="CX132" s="99"/>
      <c r="CY132" s="99"/>
      <c r="CZ132" s="99"/>
      <c r="DA132" s="99"/>
      <c r="DB132" s="99"/>
      <c r="DC132" s="99"/>
    </row>
    <row r="133" spans="1:107" ht="15.75" customHeight="1">
      <c r="A133" s="95">
        <v>134</v>
      </c>
      <c r="B133" s="99" t="s">
        <v>751</v>
      </c>
      <c r="C133" s="99" t="s">
        <v>752</v>
      </c>
      <c r="D133" s="110">
        <v>70054472</v>
      </c>
      <c r="E133" s="99" t="s">
        <v>209</v>
      </c>
      <c r="F133" s="95" t="s">
        <v>5259</v>
      </c>
      <c r="G133" s="95" t="s">
        <v>1076</v>
      </c>
      <c r="H133" s="95" t="s">
        <v>1116</v>
      </c>
      <c r="I133" s="95" t="s">
        <v>210</v>
      </c>
      <c r="J133" s="95"/>
      <c r="K133" s="99"/>
      <c r="L133" s="103" t="s">
        <v>4449</v>
      </c>
      <c r="M133" s="99" t="s">
        <v>4487</v>
      </c>
      <c r="N133" s="99" t="s">
        <v>1565</v>
      </c>
      <c r="O133" s="99" t="s">
        <v>4452</v>
      </c>
      <c r="P133" s="103">
        <v>2004</v>
      </c>
      <c r="Q133" s="103" t="s">
        <v>1862</v>
      </c>
      <c r="R133" s="99" t="s">
        <v>4521</v>
      </c>
      <c r="S133" s="103" t="s">
        <v>2282</v>
      </c>
      <c r="T133" s="103" t="s">
        <v>4522</v>
      </c>
      <c r="U133" s="99" t="s">
        <v>5260</v>
      </c>
      <c r="V133" s="95">
        <v>11.248952299999999</v>
      </c>
      <c r="W133" s="95">
        <v>0.70499250000000002</v>
      </c>
      <c r="X133" s="104" t="s">
        <v>5261</v>
      </c>
      <c r="Y133" s="103" t="s">
        <v>1634</v>
      </c>
      <c r="Z133" s="103" t="s">
        <v>1634</v>
      </c>
      <c r="AA133" s="103" t="s">
        <v>1862</v>
      </c>
      <c r="AB133" s="103">
        <v>26</v>
      </c>
      <c r="AC133" s="103">
        <v>0</v>
      </c>
      <c r="AD133" s="103">
        <v>26</v>
      </c>
      <c r="AE133" s="103" t="s">
        <v>1634</v>
      </c>
      <c r="AF133" s="103" t="s">
        <v>4830</v>
      </c>
      <c r="AG133" s="99" t="s">
        <v>4494</v>
      </c>
      <c r="AH133" s="103" t="s">
        <v>1862</v>
      </c>
      <c r="AI133" s="103" t="s">
        <v>1862</v>
      </c>
      <c r="AJ133" s="103" t="s">
        <v>1804</v>
      </c>
      <c r="AK133" s="103" t="s">
        <v>1804</v>
      </c>
      <c r="AL133" s="103" t="s">
        <v>1862</v>
      </c>
      <c r="AM133" s="103" t="s">
        <v>1862</v>
      </c>
      <c r="AN133" s="99" t="s">
        <v>4735</v>
      </c>
      <c r="AO133" s="103" t="s">
        <v>1862</v>
      </c>
      <c r="AP133" s="103">
        <v>600</v>
      </c>
      <c r="AQ133" s="103" t="s">
        <v>4461</v>
      </c>
      <c r="AR133" s="103">
        <v>375000</v>
      </c>
      <c r="AS133" s="106">
        <v>280000</v>
      </c>
      <c r="AT133" s="103" t="s">
        <v>4496</v>
      </c>
      <c r="AU133" s="103" t="s">
        <v>1548</v>
      </c>
      <c r="AV133" s="99"/>
      <c r="AW133" s="99"/>
      <c r="AX133" s="99" t="s">
        <v>4913</v>
      </c>
      <c r="AY133" s="99" t="s">
        <v>4466</v>
      </c>
      <c r="AZ133" s="99" t="s">
        <v>4467</v>
      </c>
      <c r="BA133" s="103" t="s">
        <v>1548</v>
      </c>
      <c r="BB133" s="99">
        <v>2000</v>
      </c>
      <c r="BC133" s="99">
        <v>1250</v>
      </c>
      <c r="BD133" s="99">
        <v>375000</v>
      </c>
      <c r="BE133" s="99">
        <v>225000</v>
      </c>
      <c r="BF133" s="103" t="s">
        <v>4544</v>
      </c>
      <c r="BG133" s="103" t="s">
        <v>1862</v>
      </c>
      <c r="BH133" s="103" t="s">
        <v>1862</v>
      </c>
      <c r="BI133" s="103" t="s">
        <v>1804</v>
      </c>
      <c r="BJ133" s="103" t="s">
        <v>1804</v>
      </c>
      <c r="BK133" s="103" t="s">
        <v>4478</v>
      </c>
      <c r="BL133" s="103" t="s">
        <v>4472</v>
      </c>
      <c r="BM133" s="103" t="s">
        <v>4461</v>
      </c>
      <c r="BN133" s="103" t="s">
        <v>4690</v>
      </c>
      <c r="BO133" s="103">
        <v>450</v>
      </c>
      <c r="BP133" s="103" t="s">
        <v>4532</v>
      </c>
      <c r="BQ133" s="99" t="s">
        <v>4476</v>
      </c>
      <c r="BR133" s="99" t="s">
        <v>4476</v>
      </c>
      <c r="BS133" s="99" t="s">
        <v>4476</v>
      </c>
      <c r="BT133" s="103" t="s">
        <v>3186</v>
      </c>
      <c r="BU133" s="99" t="s">
        <v>4476</v>
      </c>
      <c r="BV133" s="103" t="s">
        <v>4476</v>
      </c>
      <c r="BW133" s="103" t="s">
        <v>1548</v>
      </c>
      <c r="BX133" s="103" t="s">
        <v>4610</v>
      </c>
      <c r="BY133" s="103" t="s">
        <v>4478</v>
      </c>
      <c r="BZ133" s="103" t="s">
        <v>4461</v>
      </c>
      <c r="CA133" s="103">
        <v>500</v>
      </c>
      <c r="CB133" s="103" t="s">
        <v>4480</v>
      </c>
      <c r="CC133" s="103" t="s">
        <v>4502</v>
      </c>
      <c r="CD133" s="103" t="s">
        <v>4502</v>
      </c>
      <c r="CE133" s="103" t="s">
        <v>4502</v>
      </c>
      <c r="CF133" s="103"/>
      <c r="CG133" s="103" t="s">
        <v>751</v>
      </c>
      <c r="CH133" s="103" t="s">
        <v>752</v>
      </c>
      <c r="CI133" s="111">
        <v>70054472</v>
      </c>
      <c r="CJ133" s="99"/>
      <c r="CK133" s="108">
        <v>43366.478055555555</v>
      </c>
      <c r="CL133" s="108">
        <v>43366.505844907406</v>
      </c>
      <c r="CM133" s="95">
        <v>11.248952299999999</v>
      </c>
      <c r="CN133" s="95">
        <v>0.70499250000000002</v>
      </c>
      <c r="CO133" s="99"/>
      <c r="CP133" s="99"/>
      <c r="CQ133" s="99"/>
      <c r="CR133" s="99"/>
      <c r="CS133" s="99"/>
      <c r="CT133" s="99"/>
      <c r="CU133" s="99"/>
      <c r="CV133" s="99"/>
      <c r="CW133" s="99"/>
      <c r="CX133" s="99"/>
      <c r="CY133" s="99"/>
      <c r="CZ133" s="99"/>
      <c r="DA133" s="99"/>
      <c r="DB133" s="99"/>
      <c r="DC133" s="99"/>
    </row>
    <row r="134" spans="1:107" ht="15.75" customHeight="1">
      <c r="A134" s="95">
        <v>135</v>
      </c>
      <c r="B134" s="99" t="s">
        <v>753</v>
      </c>
      <c r="C134" s="99" t="s">
        <v>712</v>
      </c>
      <c r="D134" s="99">
        <v>62572338</v>
      </c>
      <c r="E134" s="99" t="s">
        <v>211</v>
      </c>
      <c r="F134" s="95" t="s">
        <v>5206</v>
      </c>
      <c r="G134" s="95" t="s">
        <v>1049</v>
      </c>
      <c r="H134" s="95" t="s">
        <v>1065</v>
      </c>
      <c r="I134" s="95" t="s">
        <v>184</v>
      </c>
      <c r="J134" s="95" t="s">
        <v>1108</v>
      </c>
      <c r="K134" s="99"/>
      <c r="L134" s="103" t="s">
        <v>4449</v>
      </c>
      <c r="M134" s="99" t="s">
        <v>4487</v>
      </c>
      <c r="N134" s="99" t="s">
        <v>1565</v>
      </c>
      <c r="O134" s="99" t="s">
        <v>4452</v>
      </c>
      <c r="P134" s="103">
        <v>2004</v>
      </c>
      <c r="Q134" s="103" t="s">
        <v>1862</v>
      </c>
      <c r="R134" s="99" t="s">
        <v>4521</v>
      </c>
      <c r="S134" s="103" t="s">
        <v>1541</v>
      </c>
      <c r="T134" s="103" t="s">
        <v>4538</v>
      </c>
      <c r="U134" s="99" t="s">
        <v>5207</v>
      </c>
      <c r="V134" s="95">
        <v>12.150186100000001</v>
      </c>
      <c r="W134" s="95">
        <v>-2.6983868000000002</v>
      </c>
      <c r="X134" s="104" t="s">
        <v>4910</v>
      </c>
      <c r="Y134" s="103" t="s">
        <v>1634</v>
      </c>
      <c r="Z134" s="103" t="s">
        <v>4499</v>
      </c>
      <c r="AA134" s="103" t="s">
        <v>1862</v>
      </c>
      <c r="AB134" s="103">
        <v>27</v>
      </c>
      <c r="AC134" s="103">
        <v>0</v>
      </c>
      <c r="AD134" s="103">
        <v>27</v>
      </c>
      <c r="AE134" s="103" t="s">
        <v>1634</v>
      </c>
      <c r="AF134" s="103" t="s">
        <v>4935</v>
      </c>
      <c r="AG134" s="99" t="s">
        <v>4494</v>
      </c>
      <c r="AH134" s="103" t="s">
        <v>1862</v>
      </c>
      <c r="AI134" s="103" t="s">
        <v>1862</v>
      </c>
      <c r="AJ134" s="103" t="s">
        <v>1804</v>
      </c>
      <c r="AK134" s="103" t="s">
        <v>1804</v>
      </c>
      <c r="AL134" s="103" t="s">
        <v>1862</v>
      </c>
      <c r="AM134" s="103" t="s">
        <v>1862</v>
      </c>
      <c r="AN134" s="99" t="s">
        <v>4604</v>
      </c>
      <c r="AO134" s="103" t="s">
        <v>1862</v>
      </c>
      <c r="AP134" s="103">
        <v>600</v>
      </c>
      <c r="AQ134" s="103" t="s">
        <v>4500</v>
      </c>
      <c r="AR134" s="103">
        <v>400000</v>
      </c>
      <c r="AS134" s="106">
        <v>250000</v>
      </c>
      <c r="AT134" s="103" t="s">
        <v>4496</v>
      </c>
      <c r="AU134" s="103" t="s">
        <v>1548</v>
      </c>
      <c r="AV134" s="99"/>
      <c r="AW134" s="99"/>
      <c r="AX134" s="99" t="s">
        <v>4913</v>
      </c>
      <c r="AY134" s="99" t="s">
        <v>4466</v>
      </c>
      <c r="AZ134" s="99" t="s">
        <v>4530</v>
      </c>
      <c r="BA134" s="103" t="s">
        <v>1548</v>
      </c>
      <c r="BB134" s="99">
        <v>13000</v>
      </c>
      <c r="BC134" s="99">
        <v>800</v>
      </c>
      <c r="BD134" s="99">
        <v>325000</v>
      </c>
      <c r="BE134" s="99">
        <v>20000</v>
      </c>
      <c r="BF134" s="103" t="s">
        <v>4544</v>
      </c>
      <c r="BG134" s="103" t="s">
        <v>1862</v>
      </c>
      <c r="BH134" s="103" t="s">
        <v>1862</v>
      </c>
      <c r="BI134" s="103" t="s">
        <v>1804</v>
      </c>
      <c r="BJ134" s="103" t="s">
        <v>1804</v>
      </c>
      <c r="BK134" s="103" t="s">
        <v>4478</v>
      </c>
      <c r="BL134" s="103" t="s">
        <v>4472</v>
      </c>
      <c r="BM134" s="103" t="s">
        <v>4461</v>
      </c>
      <c r="BN134" s="103" t="s">
        <v>4690</v>
      </c>
      <c r="BO134" s="103">
        <v>350</v>
      </c>
      <c r="BP134" s="103" t="s">
        <v>4532</v>
      </c>
      <c r="BQ134" s="99" t="s">
        <v>4476</v>
      </c>
      <c r="BR134" s="99" t="s">
        <v>4476</v>
      </c>
      <c r="BS134" s="99" t="s">
        <v>4476</v>
      </c>
      <c r="BT134" s="103" t="s">
        <v>3186</v>
      </c>
      <c r="BU134" s="99" t="s">
        <v>4480</v>
      </c>
      <c r="BV134" s="103" t="s">
        <v>4476</v>
      </c>
      <c r="BW134" s="103" t="s">
        <v>4476</v>
      </c>
      <c r="BX134" s="103" t="s">
        <v>1548</v>
      </c>
      <c r="BY134" s="103" t="s">
        <v>4546</v>
      </c>
      <c r="BZ134" s="103" t="s">
        <v>4478</v>
      </c>
      <c r="CA134" s="103" t="s">
        <v>4461</v>
      </c>
      <c r="CB134" s="103">
        <v>250</v>
      </c>
      <c r="CC134" s="103" t="s">
        <v>4716</v>
      </c>
      <c r="CD134" s="103" t="s">
        <v>4502</v>
      </c>
      <c r="CE134" s="103" t="s">
        <v>4502</v>
      </c>
      <c r="CF134" s="103"/>
      <c r="CG134" s="103" t="s">
        <v>2923</v>
      </c>
      <c r="CH134" s="103" t="s">
        <v>732</v>
      </c>
      <c r="CI134" s="103">
        <v>70321172</v>
      </c>
      <c r="CJ134" s="103" t="s">
        <v>5262</v>
      </c>
      <c r="CK134" s="108">
        <v>43366.574560185189</v>
      </c>
      <c r="CL134" s="109">
        <v>43366.586550925924</v>
      </c>
      <c r="CM134" s="95">
        <v>12.150186100000001</v>
      </c>
      <c r="CN134" s="95">
        <v>-2.6983868000000002</v>
      </c>
      <c r="CO134" s="99"/>
      <c r="CP134" s="99"/>
      <c r="CQ134" s="99"/>
      <c r="CR134" s="99"/>
      <c r="CS134" s="99"/>
      <c r="CT134" s="99"/>
      <c r="CU134" s="99"/>
      <c r="CV134" s="99"/>
      <c r="CW134" s="99"/>
      <c r="CX134" s="99"/>
      <c r="CY134" s="99"/>
      <c r="CZ134" s="99"/>
      <c r="DA134" s="99"/>
      <c r="DB134" s="99"/>
      <c r="DC134" s="99"/>
    </row>
    <row r="135" spans="1:107" ht="15.75" customHeight="1">
      <c r="A135" s="95">
        <v>136</v>
      </c>
      <c r="B135" s="99" t="s">
        <v>754</v>
      </c>
      <c r="C135" s="99" t="s">
        <v>755</v>
      </c>
      <c r="D135" s="99">
        <v>72902389</v>
      </c>
      <c r="E135" s="99" t="s">
        <v>212</v>
      </c>
      <c r="F135" s="95" t="s">
        <v>5263</v>
      </c>
      <c r="G135" s="95" t="s">
        <v>1052</v>
      </c>
      <c r="H135" s="95" t="s">
        <v>1117</v>
      </c>
      <c r="I135" s="95" t="s">
        <v>213</v>
      </c>
      <c r="J135" s="95"/>
      <c r="K135" s="99"/>
      <c r="L135" s="103" t="s">
        <v>4449</v>
      </c>
      <c r="M135" s="99" t="s">
        <v>4487</v>
      </c>
      <c r="N135" s="99" t="s">
        <v>4520</v>
      </c>
      <c r="O135" s="99" t="s">
        <v>5264</v>
      </c>
      <c r="P135" s="103">
        <v>2010</v>
      </c>
      <c r="Q135" s="103" t="s">
        <v>1862</v>
      </c>
      <c r="R135" s="99" t="s">
        <v>4504</v>
      </c>
      <c r="S135" s="103" t="s">
        <v>1541</v>
      </c>
      <c r="T135" s="103" t="s">
        <v>4522</v>
      </c>
      <c r="U135" s="99" t="s">
        <v>5265</v>
      </c>
      <c r="V135" s="99">
        <v>12.1631813</v>
      </c>
      <c r="W135" s="99">
        <v>-0.2244662</v>
      </c>
      <c r="X135" s="104" t="s">
        <v>5266</v>
      </c>
      <c r="Y135" s="103" t="s">
        <v>1634</v>
      </c>
      <c r="Z135" s="103" t="s">
        <v>1548</v>
      </c>
      <c r="AA135" s="103" t="s">
        <v>1862</v>
      </c>
      <c r="AB135" s="103">
        <v>39</v>
      </c>
      <c r="AC135" s="103">
        <v>0</v>
      </c>
      <c r="AD135" s="103">
        <v>39</v>
      </c>
      <c r="AE135" s="103" t="s">
        <v>1634</v>
      </c>
      <c r="AF135" s="103" t="s">
        <v>4493</v>
      </c>
      <c r="AG135" s="99" t="s">
        <v>5267</v>
      </c>
      <c r="AH135" s="103" t="s">
        <v>1804</v>
      </c>
      <c r="AI135" s="103" t="s">
        <v>1862</v>
      </c>
      <c r="AJ135" s="103" t="s">
        <v>1862</v>
      </c>
      <c r="AK135" s="103" t="s">
        <v>1862</v>
      </c>
      <c r="AL135" s="103" t="s">
        <v>1804</v>
      </c>
      <c r="AM135" s="103" t="s">
        <v>1862</v>
      </c>
      <c r="AN135" s="99" t="s">
        <v>4735</v>
      </c>
      <c r="AO135" s="103" t="s">
        <v>1862</v>
      </c>
      <c r="AP135" s="103">
        <v>750</v>
      </c>
      <c r="AQ135" s="103" t="s">
        <v>4500</v>
      </c>
      <c r="AR135" s="103">
        <v>0</v>
      </c>
      <c r="AS135" s="106">
        <v>30000</v>
      </c>
      <c r="AT135" s="103" t="s">
        <v>4542</v>
      </c>
      <c r="AU135" s="103" t="s">
        <v>1548</v>
      </c>
      <c r="AV135" s="99"/>
      <c r="AW135" s="99"/>
      <c r="AX135" s="99" t="s">
        <v>5268</v>
      </c>
      <c r="AY135" s="99" t="s">
        <v>4560</v>
      </c>
      <c r="AZ135" s="99" t="s">
        <v>4467</v>
      </c>
      <c r="BA135" s="103" t="s">
        <v>1634</v>
      </c>
      <c r="BB135" s="99">
        <v>0</v>
      </c>
      <c r="BC135" s="99">
        <v>45</v>
      </c>
      <c r="BD135" s="99">
        <v>0</v>
      </c>
      <c r="BE135" s="99">
        <v>30000</v>
      </c>
      <c r="BF135" s="103" t="s">
        <v>4988</v>
      </c>
      <c r="BG135" s="103" t="s">
        <v>1804</v>
      </c>
      <c r="BH135" s="103" t="s">
        <v>1862</v>
      </c>
      <c r="BI135" s="103" t="s">
        <v>1862</v>
      </c>
      <c r="BJ135" s="103" t="s">
        <v>1862</v>
      </c>
      <c r="BK135" s="103" t="s">
        <v>4586</v>
      </c>
      <c r="BL135" s="103" t="s">
        <v>4472</v>
      </c>
      <c r="BM135" s="103" t="s">
        <v>4472</v>
      </c>
      <c r="BN135" s="103" t="s">
        <v>4690</v>
      </c>
      <c r="BO135" s="103">
        <v>300</v>
      </c>
      <c r="BP135" s="103" t="s">
        <v>4532</v>
      </c>
      <c r="BQ135" s="99"/>
      <c r="BR135" s="99" t="s">
        <v>4564</v>
      </c>
      <c r="BS135" s="99"/>
      <c r="BT135" s="103" t="s">
        <v>3186</v>
      </c>
      <c r="BU135" s="99"/>
      <c r="BV135" s="103" t="s">
        <v>4476</v>
      </c>
      <c r="BW135" s="103" t="s">
        <v>4476</v>
      </c>
      <c r="BX135" s="103" t="s">
        <v>1548</v>
      </c>
      <c r="BY135" s="103" t="s">
        <v>4535</v>
      </c>
      <c r="BZ135" s="103" t="s">
        <v>4515</v>
      </c>
      <c r="CA135" s="103" t="s">
        <v>4500</v>
      </c>
      <c r="CB135" s="103">
        <v>50</v>
      </c>
      <c r="CC135" s="103" t="s">
        <v>4502</v>
      </c>
      <c r="CD135" s="103" t="s">
        <v>4475</v>
      </c>
      <c r="CE135" s="103" t="s">
        <v>4481</v>
      </c>
      <c r="CF135" s="103" t="s">
        <v>4482</v>
      </c>
      <c r="CG135" s="103" t="s">
        <v>754</v>
      </c>
      <c r="CH135" s="103" t="s">
        <v>755</v>
      </c>
      <c r="CI135" s="103">
        <v>72902389</v>
      </c>
      <c r="CJ135" s="103"/>
      <c r="CK135" s="108">
        <v>43364.441238425927</v>
      </c>
      <c r="CL135" s="109">
        <v>43364.482546296298</v>
      </c>
      <c r="CM135" s="95">
        <v>12.1631813</v>
      </c>
      <c r="CN135" s="95">
        <v>-0.2244662</v>
      </c>
      <c r="CO135" s="99"/>
      <c r="CP135" s="99"/>
      <c r="CQ135" s="99"/>
      <c r="CR135" s="99"/>
      <c r="CS135" s="99"/>
      <c r="CT135" s="99"/>
      <c r="CU135" s="99"/>
      <c r="CV135" s="99"/>
      <c r="CW135" s="99"/>
      <c r="CX135" s="99"/>
      <c r="CY135" s="99"/>
      <c r="CZ135" s="99"/>
      <c r="DA135" s="99"/>
      <c r="DB135" s="99"/>
      <c r="DC135" s="99"/>
    </row>
    <row r="136" spans="1:107" ht="15.75" customHeight="1">
      <c r="A136" s="95">
        <v>137</v>
      </c>
      <c r="B136" s="99" t="s">
        <v>756</v>
      </c>
      <c r="C136" s="99" t="s">
        <v>626</v>
      </c>
      <c r="D136" s="99">
        <v>51983043</v>
      </c>
      <c r="E136" s="99" t="s">
        <v>214</v>
      </c>
      <c r="F136" s="95" t="s">
        <v>5263</v>
      </c>
      <c r="G136" s="95" t="s">
        <v>1052</v>
      </c>
      <c r="H136" s="95" t="s">
        <v>1117</v>
      </c>
      <c r="I136" s="95" t="s">
        <v>213</v>
      </c>
      <c r="J136" s="95"/>
      <c r="K136" s="99"/>
      <c r="L136" s="103" t="s">
        <v>4449</v>
      </c>
      <c r="M136" s="99" t="s">
        <v>4567</v>
      </c>
      <c r="N136" s="99" t="s">
        <v>4520</v>
      </c>
      <c r="O136" s="99" t="s">
        <v>4947</v>
      </c>
      <c r="P136" s="103">
        <v>2012</v>
      </c>
      <c r="Q136" s="103" t="s">
        <v>1862</v>
      </c>
      <c r="R136" s="99" t="s">
        <v>4687</v>
      </c>
      <c r="S136" s="103" t="s">
        <v>1541</v>
      </c>
      <c r="T136" s="103" t="s">
        <v>4522</v>
      </c>
      <c r="U136" s="99" t="s">
        <v>5265</v>
      </c>
      <c r="V136" s="99">
        <v>12.1631813</v>
      </c>
      <c r="W136" s="99">
        <v>-0.2244662</v>
      </c>
      <c r="X136" s="104" t="s">
        <v>5266</v>
      </c>
      <c r="Y136" s="103" t="s">
        <v>1548</v>
      </c>
      <c r="Z136" s="103" t="s">
        <v>1548</v>
      </c>
      <c r="AA136" s="103" t="s">
        <v>1862</v>
      </c>
      <c r="AB136" s="103">
        <v>40</v>
      </c>
      <c r="AC136" s="103">
        <v>0</v>
      </c>
      <c r="AD136" s="103">
        <v>40</v>
      </c>
      <c r="AE136" s="103" t="s">
        <v>1634</v>
      </c>
      <c r="AF136" s="103" t="s">
        <v>4493</v>
      </c>
      <c r="AG136" s="99" t="s">
        <v>5269</v>
      </c>
      <c r="AH136" s="103" t="s">
        <v>1804</v>
      </c>
      <c r="AI136" s="103" t="s">
        <v>1862</v>
      </c>
      <c r="AJ136" s="103" t="s">
        <v>1804</v>
      </c>
      <c r="AK136" s="103" t="s">
        <v>1862</v>
      </c>
      <c r="AL136" s="103" t="s">
        <v>1862</v>
      </c>
      <c r="AM136" s="103" t="s">
        <v>1862</v>
      </c>
      <c r="AN136" s="99" t="s">
        <v>4604</v>
      </c>
      <c r="AO136" s="103" t="s">
        <v>1862</v>
      </c>
      <c r="AP136" s="103">
        <v>750</v>
      </c>
      <c r="AQ136" s="103" t="s">
        <v>4470</v>
      </c>
      <c r="AR136" s="103">
        <v>10000</v>
      </c>
      <c r="AS136" s="106">
        <v>50000</v>
      </c>
      <c r="AT136" s="103" t="s">
        <v>4496</v>
      </c>
      <c r="AU136" s="103" t="s">
        <v>1548</v>
      </c>
      <c r="AV136" s="99"/>
      <c r="AW136" s="99"/>
      <c r="AX136" s="99" t="s">
        <v>4543</v>
      </c>
      <c r="AY136" s="99" t="s">
        <v>4560</v>
      </c>
      <c r="AZ136" s="99" t="s">
        <v>4467</v>
      </c>
      <c r="BA136" s="103" t="s">
        <v>1548</v>
      </c>
      <c r="BB136" s="99">
        <v>50</v>
      </c>
      <c r="BC136" s="99">
        <v>40</v>
      </c>
      <c r="BD136" s="99">
        <v>15000</v>
      </c>
      <c r="BE136" s="99">
        <v>60000</v>
      </c>
      <c r="BF136" s="103" t="s">
        <v>4842</v>
      </c>
      <c r="BG136" s="103" t="s">
        <v>1804</v>
      </c>
      <c r="BH136" s="103" t="s">
        <v>1862</v>
      </c>
      <c r="BI136" s="103" t="s">
        <v>1862</v>
      </c>
      <c r="BJ136" s="103" t="s">
        <v>1862</v>
      </c>
      <c r="BK136" s="103" t="s">
        <v>4478</v>
      </c>
      <c r="BL136" s="103" t="s">
        <v>4472</v>
      </c>
      <c r="BM136" s="103" t="s">
        <v>4500</v>
      </c>
      <c r="BN136" s="103" t="s">
        <v>4531</v>
      </c>
      <c r="BO136" s="103">
        <v>125</v>
      </c>
      <c r="BP136" s="103" t="s">
        <v>4532</v>
      </c>
      <c r="BQ136" s="99" t="s">
        <v>4476</v>
      </c>
      <c r="BR136" s="99" t="s">
        <v>4564</v>
      </c>
      <c r="BS136" s="99"/>
      <c r="BT136" s="103" t="s">
        <v>3186</v>
      </c>
      <c r="BU136" s="99" t="s">
        <v>4475</v>
      </c>
      <c r="BV136" s="103" t="s">
        <v>4476</v>
      </c>
      <c r="BW136" s="103" t="s">
        <v>4476</v>
      </c>
      <c r="BX136" s="103" t="s">
        <v>1548</v>
      </c>
      <c r="BY136" s="103" t="s">
        <v>4610</v>
      </c>
      <c r="BZ136" s="103" t="s">
        <v>4515</v>
      </c>
      <c r="CA136" s="103" t="s">
        <v>4461</v>
      </c>
      <c r="CB136" s="103">
        <v>100</v>
      </c>
      <c r="CC136" s="103" t="s">
        <v>4502</v>
      </c>
      <c r="CD136" s="103" t="s">
        <v>4475</v>
      </c>
      <c r="CE136" s="103" t="s">
        <v>4481</v>
      </c>
      <c r="CF136" s="103" t="s">
        <v>4482</v>
      </c>
      <c r="CG136" s="103" t="s">
        <v>756</v>
      </c>
      <c r="CH136" s="103" t="s">
        <v>626</v>
      </c>
      <c r="CI136" s="103">
        <v>51983043</v>
      </c>
      <c r="CJ136" s="103"/>
      <c r="CK136" s="108">
        <v>43364.617673611108</v>
      </c>
      <c r="CL136" s="109">
        <v>43364.859930555554</v>
      </c>
      <c r="CM136" s="95">
        <v>12.1631813</v>
      </c>
      <c r="CN136" s="95">
        <v>-0.2244662</v>
      </c>
      <c r="CO136" s="99"/>
      <c r="CP136" s="99"/>
      <c r="CQ136" s="99"/>
      <c r="CR136" s="99"/>
      <c r="CS136" s="99"/>
      <c r="CT136" s="99"/>
      <c r="CU136" s="99"/>
      <c r="CV136" s="99"/>
      <c r="CW136" s="99"/>
      <c r="CX136" s="99"/>
      <c r="CY136" s="99"/>
      <c r="CZ136" s="99"/>
      <c r="DA136" s="99"/>
      <c r="DB136" s="99"/>
      <c r="DC136" s="99"/>
    </row>
    <row r="137" spans="1:107" ht="15.75" customHeight="1">
      <c r="A137" s="95">
        <v>138</v>
      </c>
      <c r="B137" s="99" t="s">
        <v>653</v>
      </c>
      <c r="C137" s="99" t="s">
        <v>757</v>
      </c>
      <c r="D137" s="99">
        <v>71381646</v>
      </c>
      <c r="E137" s="99" t="s">
        <v>215</v>
      </c>
      <c r="F137" s="95" t="s">
        <v>5263</v>
      </c>
      <c r="G137" s="95" t="s">
        <v>1052</v>
      </c>
      <c r="H137" s="95" t="s">
        <v>1117</v>
      </c>
      <c r="I137" s="95" t="s">
        <v>213</v>
      </c>
      <c r="J137" s="95"/>
      <c r="K137" s="99"/>
      <c r="L137" s="103" t="s">
        <v>4449</v>
      </c>
      <c r="M137" s="99" t="s">
        <v>4487</v>
      </c>
      <c r="N137" s="99" t="s">
        <v>4451</v>
      </c>
      <c r="O137" s="99" t="s">
        <v>4452</v>
      </c>
      <c r="P137" s="103">
        <v>2012</v>
      </c>
      <c r="Q137" s="103" t="s">
        <v>1862</v>
      </c>
      <c r="R137" s="99" t="s">
        <v>4687</v>
      </c>
      <c r="S137" s="103" t="s">
        <v>1541</v>
      </c>
      <c r="T137" s="103" t="s">
        <v>4522</v>
      </c>
      <c r="U137" s="99" t="s">
        <v>5265</v>
      </c>
      <c r="V137" s="99">
        <v>12.1631813</v>
      </c>
      <c r="W137" s="99">
        <v>-0.2244662</v>
      </c>
      <c r="X137" s="104" t="s">
        <v>5266</v>
      </c>
      <c r="Y137" s="103" t="s">
        <v>1634</v>
      </c>
      <c r="Z137" s="103" t="s">
        <v>1634</v>
      </c>
      <c r="AA137" s="103" t="s">
        <v>1862</v>
      </c>
      <c r="AB137" s="103">
        <v>12</v>
      </c>
      <c r="AC137" s="103">
        <v>0</v>
      </c>
      <c r="AD137" s="103">
        <v>12</v>
      </c>
      <c r="AE137" s="103" t="s">
        <v>1634</v>
      </c>
      <c r="AF137" s="103" t="s">
        <v>4493</v>
      </c>
      <c r="AG137" s="99" t="s">
        <v>4928</v>
      </c>
      <c r="AH137" s="103" t="s">
        <v>1804</v>
      </c>
      <c r="AI137" s="103" t="s">
        <v>1862</v>
      </c>
      <c r="AJ137" s="103" t="s">
        <v>1804</v>
      </c>
      <c r="AK137" s="103" t="s">
        <v>1804</v>
      </c>
      <c r="AL137" s="103" t="s">
        <v>1804</v>
      </c>
      <c r="AM137" s="103" t="s">
        <v>1862</v>
      </c>
      <c r="AN137" s="99" t="s">
        <v>4735</v>
      </c>
      <c r="AO137" s="103" t="s">
        <v>1862</v>
      </c>
      <c r="AP137" s="103">
        <v>1000</v>
      </c>
      <c r="AQ137" s="103" t="s">
        <v>4500</v>
      </c>
      <c r="AR137" s="103">
        <v>0</v>
      </c>
      <c r="AS137" s="106">
        <v>200000</v>
      </c>
      <c r="AT137" s="103" t="s">
        <v>4496</v>
      </c>
      <c r="AU137" s="103" t="s">
        <v>1634</v>
      </c>
      <c r="AV137" s="99" t="s">
        <v>4463</v>
      </c>
      <c r="AW137" s="99" t="s">
        <v>4866</v>
      </c>
      <c r="AX137" s="99" t="s">
        <v>5270</v>
      </c>
      <c r="AY137" s="99" t="s">
        <v>4560</v>
      </c>
      <c r="AZ137" s="99" t="s">
        <v>4467</v>
      </c>
      <c r="BA137" s="103" t="s">
        <v>1548</v>
      </c>
      <c r="BB137" s="99">
        <v>0</v>
      </c>
      <c r="BC137" s="99">
        <v>1000</v>
      </c>
      <c r="BD137" s="99">
        <v>0</v>
      </c>
      <c r="BE137" s="99">
        <v>100000</v>
      </c>
      <c r="BF137" s="103" t="s">
        <v>4689</v>
      </c>
      <c r="BG137" s="103" t="s">
        <v>1804</v>
      </c>
      <c r="BH137" s="103" t="s">
        <v>1804</v>
      </c>
      <c r="BI137" s="103" t="s">
        <v>1862</v>
      </c>
      <c r="BJ137" s="103" t="s">
        <v>1862</v>
      </c>
      <c r="BK137" s="103" t="s">
        <v>4478</v>
      </c>
      <c r="BL137" s="103" t="s">
        <v>4470</v>
      </c>
      <c r="BM137" s="103" t="s">
        <v>4461</v>
      </c>
      <c r="BN137" s="103" t="s">
        <v>4545</v>
      </c>
      <c r="BO137" s="103">
        <v>400</v>
      </c>
      <c r="BP137" s="103" t="s">
        <v>4532</v>
      </c>
      <c r="BQ137" s="99" t="s">
        <v>4476</v>
      </c>
      <c r="BR137" s="99" t="s">
        <v>4564</v>
      </c>
      <c r="BS137" s="99"/>
      <c r="BT137" s="103" t="s">
        <v>3186</v>
      </c>
      <c r="BU137" s="99" t="s">
        <v>4502</v>
      </c>
      <c r="BV137" s="103" t="s">
        <v>4476</v>
      </c>
      <c r="BW137" s="103" t="s">
        <v>4476</v>
      </c>
      <c r="BX137" s="103" t="s">
        <v>1548</v>
      </c>
      <c r="BY137" s="103" t="s">
        <v>4535</v>
      </c>
      <c r="BZ137" s="103" t="s">
        <v>4515</v>
      </c>
      <c r="CA137" s="103" t="s">
        <v>4461</v>
      </c>
      <c r="CB137" s="103">
        <v>50</v>
      </c>
      <c r="CC137" s="103" t="s">
        <v>4502</v>
      </c>
      <c r="CD137" s="103" t="s">
        <v>4502</v>
      </c>
      <c r="CE137" s="103" t="s">
        <v>4502</v>
      </c>
      <c r="CF137" s="103" t="s">
        <v>4482</v>
      </c>
      <c r="CG137" s="103" t="s">
        <v>653</v>
      </c>
      <c r="CH137" s="103" t="s">
        <v>755</v>
      </c>
      <c r="CI137" s="103">
        <v>72018309</v>
      </c>
      <c r="CJ137" s="103"/>
      <c r="CK137" s="108">
        <v>43364.678391203706</v>
      </c>
      <c r="CL137" s="109">
        <v>43364.845150462963</v>
      </c>
      <c r="CM137" s="95">
        <v>12.1631813</v>
      </c>
      <c r="CN137" s="95">
        <v>-0.2244662</v>
      </c>
      <c r="CO137" s="99"/>
      <c r="CP137" s="99"/>
      <c r="CQ137" s="99"/>
      <c r="CR137" s="99"/>
      <c r="CS137" s="99"/>
      <c r="CT137" s="99"/>
      <c r="CU137" s="99"/>
      <c r="CV137" s="99"/>
      <c r="CW137" s="99"/>
      <c r="CX137" s="99"/>
      <c r="CY137" s="99"/>
      <c r="CZ137" s="99"/>
      <c r="DA137" s="99"/>
      <c r="DB137" s="99"/>
      <c r="DC137" s="99"/>
    </row>
    <row r="138" spans="1:107" ht="15.75" customHeight="1">
      <c r="A138" s="95">
        <v>139</v>
      </c>
      <c r="B138" s="99" t="s">
        <v>575</v>
      </c>
      <c r="C138" s="99" t="s">
        <v>758</v>
      </c>
      <c r="D138" s="99">
        <v>71257083</v>
      </c>
      <c r="E138" s="99" t="s">
        <v>216</v>
      </c>
      <c r="F138" s="95" t="s">
        <v>5271</v>
      </c>
      <c r="G138" s="95" t="s">
        <v>1052</v>
      </c>
      <c r="H138" s="95" t="s">
        <v>1054</v>
      </c>
      <c r="I138" s="95" t="s">
        <v>217</v>
      </c>
      <c r="J138" s="95"/>
      <c r="K138" s="99"/>
      <c r="L138" s="103" t="s">
        <v>4449</v>
      </c>
      <c r="M138" s="99" t="s">
        <v>4567</v>
      </c>
      <c r="N138" s="99" t="s">
        <v>1565</v>
      </c>
      <c r="O138" s="99" t="s">
        <v>4754</v>
      </c>
      <c r="P138" s="103">
        <v>1996</v>
      </c>
      <c r="Q138" s="103" t="s">
        <v>1862</v>
      </c>
      <c r="R138" s="99" t="s">
        <v>4521</v>
      </c>
      <c r="S138" s="103" t="s">
        <v>1541</v>
      </c>
      <c r="T138" s="103" t="s">
        <v>4538</v>
      </c>
      <c r="U138" s="99" t="s">
        <v>5272</v>
      </c>
      <c r="V138" s="99">
        <v>11.5247674</v>
      </c>
      <c r="W138" s="99">
        <v>0.14949879999999999</v>
      </c>
      <c r="X138" s="104" t="s">
        <v>5273</v>
      </c>
      <c r="Y138" s="103" t="s">
        <v>1634</v>
      </c>
      <c r="Z138" s="103" t="s">
        <v>1634</v>
      </c>
      <c r="AA138" s="103" t="s">
        <v>1862</v>
      </c>
      <c r="AB138" s="103">
        <v>35</v>
      </c>
      <c r="AC138" s="103">
        <v>0</v>
      </c>
      <c r="AD138" s="103">
        <v>35</v>
      </c>
      <c r="AE138" s="103" t="s">
        <v>1634</v>
      </c>
      <c r="AF138" s="103" t="s">
        <v>4582</v>
      </c>
      <c r="AG138" s="99" t="s">
        <v>4771</v>
      </c>
      <c r="AH138" s="103" t="s">
        <v>1804</v>
      </c>
      <c r="AI138" s="103" t="s">
        <v>1862</v>
      </c>
      <c r="AJ138" s="103" t="s">
        <v>1862</v>
      </c>
      <c r="AK138" s="103" t="s">
        <v>1862</v>
      </c>
      <c r="AL138" s="103" t="s">
        <v>1804</v>
      </c>
      <c r="AM138" s="103" t="s">
        <v>1862</v>
      </c>
      <c r="AN138" s="99" t="s">
        <v>4735</v>
      </c>
      <c r="AO138" s="103" t="s">
        <v>1862</v>
      </c>
      <c r="AP138" s="103">
        <v>600</v>
      </c>
      <c r="AQ138" s="103" t="s">
        <v>4500</v>
      </c>
      <c r="AR138" s="103"/>
      <c r="AS138" s="106">
        <v>70000</v>
      </c>
      <c r="AT138" s="103" t="s">
        <v>4496</v>
      </c>
      <c r="AU138" s="103" t="s">
        <v>1548</v>
      </c>
      <c r="AV138" s="99"/>
      <c r="AW138" s="99" t="s">
        <v>5175</v>
      </c>
      <c r="AX138" s="99" t="s">
        <v>4543</v>
      </c>
      <c r="AY138" s="99" t="s">
        <v>4466</v>
      </c>
      <c r="AZ138" s="99" t="s">
        <v>4530</v>
      </c>
      <c r="BA138" s="103" t="s">
        <v>1548</v>
      </c>
      <c r="BB138" s="99"/>
      <c r="BC138" s="99">
        <v>90</v>
      </c>
      <c r="BD138" s="99"/>
      <c r="BE138" s="99">
        <v>65000</v>
      </c>
      <c r="BF138" s="103" t="s">
        <v>5274</v>
      </c>
      <c r="BG138" s="103" t="s">
        <v>1862</v>
      </c>
      <c r="BH138" s="103" t="s">
        <v>1862</v>
      </c>
      <c r="BI138" s="103" t="s">
        <v>1862</v>
      </c>
      <c r="BJ138" s="103" t="s">
        <v>1804</v>
      </c>
      <c r="BK138" s="103" t="s">
        <v>4478</v>
      </c>
      <c r="BL138" s="103" t="s">
        <v>4500</v>
      </c>
      <c r="BM138" s="103" t="s">
        <v>4500</v>
      </c>
      <c r="BN138" s="103" t="s">
        <v>4531</v>
      </c>
      <c r="BO138" s="103">
        <v>200</v>
      </c>
      <c r="BP138" s="103" t="s">
        <v>4500</v>
      </c>
      <c r="BQ138" s="99" t="s">
        <v>4476</v>
      </c>
      <c r="BR138" s="99" t="s">
        <v>4476</v>
      </c>
      <c r="BS138" s="99" t="s">
        <v>4476</v>
      </c>
      <c r="BT138" s="103" t="s">
        <v>3186</v>
      </c>
      <c r="BU138" s="99" t="s">
        <v>4502</v>
      </c>
      <c r="BV138" s="103" t="s">
        <v>4476</v>
      </c>
      <c r="BW138" s="103" t="s">
        <v>4476</v>
      </c>
      <c r="BX138" s="103" t="s">
        <v>1634</v>
      </c>
      <c r="BY138" s="103" t="s">
        <v>4501</v>
      </c>
      <c r="BZ138" s="103" t="s">
        <v>4478</v>
      </c>
      <c r="CA138" s="103" t="s">
        <v>4500</v>
      </c>
      <c r="CB138" s="103">
        <v>70</v>
      </c>
      <c r="CC138" s="103" t="s">
        <v>4502</v>
      </c>
      <c r="CD138" s="103" t="s">
        <v>4502</v>
      </c>
      <c r="CE138" s="103" t="s">
        <v>4502</v>
      </c>
      <c r="CF138" s="103" t="s">
        <v>4482</v>
      </c>
      <c r="CG138" s="103" t="s">
        <v>575</v>
      </c>
      <c r="CH138" s="103" t="s">
        <v>758</v>
      </c>
      <c r="CI138" s="103">
        <v>71257083</v>
      </c>
      <c r="CJ138" s="103" t="s">
        <v>5275</v>
      </c>
      <c r="CK138" s="108">
        <v>43366.495046296295</v>
      </c>
      <c r="CL138" s="109">
        <v>43366.528449074074</v>
      </c>
      <c r="CM138" s="95">
        <v>11.5247674</v>
      </c>
      <c r="CN138" s="95">
        <v>0.14949879999999999</v>
      </c>
      <c r="CO138" s="99"/>
      <c r="CP138" s="99"/>
      <c r="CQ138" s="99"/>
      <c r="CR138" s="99"/>
      <c r="CS138" s="99"/>
      <c r="CT138" s="99"/>
      <c r="CU138" s="99"/>
      <c r="CV138" s="99"/>
      <c r="CW138" s="99"/>
      <c r="CX138" s="99"/>
      <c r="CY138" s="99"/>
      <c r="CZ138" s="99"/>
      <c r="DA138" s="99"/>
      <c r="DB138" s="99"/>
      <c r="DC138" s="99"/>
    </row>
    <row r="139" spans="1:107" ht="15.75" customHeight="1">
      <c r="A139" s="95">
        <v>140</v>
      </c>
      <c r="B139" s="99" t="s">
        <v>759</v>
      </c>
      <c r="C139" s="99" t="s">
        <v>760</v>
      </c>
      <c r="D139" s="99">
        <v>51435290</v>
      </c>
      <c r="E139" s="99" t="s">
        <v>188</v>
      </c>
      <c r="F139" s="95" t="s">
        <v>5206</v>
      </c>
      <c r="G139" s="95" t="s">
        <v>1049</v>
      </c>
      <c r="H139" s="95" t="s">
        <v>1065</v>
      </c>
      <c r="I139" s="95" t="s">
        <v>184</v>
      </c>
      <c r="J139" s="95" t="s">
        <v>1108</v>
      </c>
      <c r="K139" s="99"/>
      <c r="L139" s="103" t="s">
        <v>4449</v>
      </c>
      <c r="M139" s="99" t="s">
        <v>4487</v>
      </c>
      <c r="N139" s="99" t="s">
        <v>1565</v>
      </c>
      <c r="O139" s="99" t="s">
        <v>4452</v>
      </c>
      <c r="P139" s="103">
        <v>2004</v>
      </c>
      <c r="Q139" s="103" t="s">
        <v>1862</v>
      </c>
      <c r="R139" s="99" t="s">
        <v>4551</v>
      </c>
      <c r="S139" s="103" t="s">
        <v>1541</v>
      </c>
      <c r="T139" s="103" t="s">
        <v>4538</v>
      </c>
      <c r="U139" s="99" t="s">
        <v>5207</v>
      </c>
      <c r="V139" s="95">
        <v>12.150186100000001</v>
      </c>
      <c r="W139" s="95">
        <v>-2.6983868000000002</v>
      </c>
      <c r="X139" s="104" t="s">
        <v>4910</v>
      </c>
      <c r="Y139" s="103" t="s">
        <v>1634</v>
      </c>
      <c r="Z139" s="103" t="s">
        <v>1634</v>
      </c>
      <c r="AA139" s="103" t="s">
        <v>1862</v>
      </c>
      <c r="AB139" s="103">
        <v>53</v>
      </c>
      <c r="AC139" s="103">
        <v>0</v>
      </c>
      <c r="AD139" s="103">
        <v>53</v>
      </c>
      <c r="AE139" s="103" t="s">
        <v>1634</v>
      </c>
      <c r="AF139" s="103" t="s">
        <v>4935</v>
      </c>
      <c r="AG139" s="99" t="s">
        <v>4879</v>
      </c>
      <c r="AH139" s="103" t="s">
        <v>1862</v>
      </c>
      <c r="AI139" s="103" t="s">
        <v>1862</v>
      </c>
      <c r="AJ139" s="103" t="s">
        <v>1804</v>
      </c>
      <c r="AK139" s="103" t="s">
        <v>1804</v>
      </c>
      <c r="AL139" s="103" t="s">
        <v>1804</v>
      </c>
      <c r="AM139" s="103" t="s">
        <v>1862</v>
      </c>
      <c r="AN139" s="99" t="s">
        <v>4526</v>
      </c>
      <c r="AO139" s="103" t="s">
        <v>1862</v>
      </c>
      <c r="AP139" s="103">
        <v>600</v>
      </c>
      <c r="AQ139" s="103" t="s">
        <v>4461</v>
      </c>
      <c r="AR139" s="103">
        <v>320000</v>
      </c>
      <c r="AS139" s="106">
        <v>210000</v>
      </c>
      <c r="AT139" s="103" t="s">
        <v>4496</v>
      </c>
      <c r="AU139" s="103" t="s">
        <v>1548</v>
      </c>
      <c r="AV139" s="99"/>
      <c r="AW139" s="99"/>
      <c r="AX139" s="99" t="s">
        <v>4937</v>
      </c>
      <c r="AY139" s="99" t="s">
        <v>4466</v>
      </c>
      <c r="AZ139" s="99" t="s">
        <v>4467</v>
      </c>
      <c r="BA139" s="103" t="s">
        <v>1548</v>
      </c>
      <c r="BB139" s="99">
        <v>900</v>
      </c>
      <c r="BC139" s="99">
        <v>600</v>
      </c>
      <c r="BD139" s="99">
        <v>275000</v>
      </c>
      <c r="BE139" s="99">
        <v>150000</v>
      </c>
      <c r="BF139" s="103" t="s">
        <v>4544</v>
      </c>
      <c r="BG139" s="103" t="s">
        <v>1862</v>
      </c>
      <c r="BH139" s="103" t="s">
        <v>1862</v>
      </c>
      <c r="BI139" s="103" t="s">
        <v>1804</v>
      </c>
      <c r="BJ139" s="103" t="s">
        <v>1804</v>
      </c>
      <c r="BK139" s="103" t="s">
        <v>4478</v>
      </c>
      <c r="BL139" s="103" t="s">
        <v>4472</v>
      </c>
      <c r="BM139" s="103" t="s">
        <v>4461</v>
      </c>
      <c r="BN139" s="103" t="s">
        <v>4690</v>
      </c>
      <c r="BO139" s="103">
        <v>400</v>
      </c>
      <c r="BP139" s="103" t="s">
        <v>4532</v>
      </c>
      <c r="BQ139" s="99" t="s">
        <v>4476</v>
      </c>
      <c r="BR139" s="99" t="s">
        <v>4476</v>
      </c>
      <c r="BS139" s="99" t="s">
        <v>4476</v>
      </c>
      <c r="BT139" s="103" t="s">
        <v>3186</v>
      </c>
      <c r="BU139" s="99" t="s">
        <v>4480</v>
      </c>
      <c r="BV139" s="103" t="s">
        <v>4476</v>
      </c>
      <c r="BW139" s="103" t="s">
        <v>4476</v>
      </c>
      <c r="BX139" s="103" t="s">
        <v>1548</v>
      </c>
      <c r="BY139" s="103" t="s">
        <v>4546</v>
      </c>
      <c r="BZ139" s="103" t="s">
        <v>4478</v>
      </c>
      <c r="CA139" s="103" t="s">
        <v>4461</v>
      </c>
      <c r="CB139" s="103">
        <v>250</v>
      </c>
      <c r="CC139" s="103" t="s">
        <v>4716</v>
      </c>
      <c r="CD139" s="103" t="s">
        <v>4480</v>
      </c>
      <c r="CE139" s="103" t="s">
        <v>4502</v>
      </c>
      <c r="CF139" s="103"/>
      <c r="CG139" s="103" t="s">
        <v>731</v>
      </c>
      <c r="CH139" s="103" t="s">
        <v>732</v>
      </c>
      <c r="CI139" s="103">
        <v>70321172</v>
      </c>
      <c r="CJ139" s="103" t="s">
        <v>5276</v>
      </c>
      <c r="CK139" s="108">
        <v>43366.579421296294</v>
      </c>
      <c r="CL139" s="109">
        <v>43366.591481481482</v>
      </c>
      <c r="CM139" s="95">
        <v>12.150186100000001</v>
      </c>
      <c r="CN139" s="95">
        <v>-2.6983868000000002</v>
      </c>
      <c r="CO139" s="99"/>
      <c r="CP139" s="99"/>
      <c r="CQ139" s="99"/>
      <c r="CR139" s="99"/>
      <c r="CS139" s="99"/>
      <c r="CT139" s="99"/>
      <c r="CU139" s="99"/>
      <c r="CV139" s="99"/>
      <c r="CW139" s="99"/>
      <c r="CX139" s="99"/>
      <c r="CY139" s="99"/>
      <c r="CZ139" s="99"/>
      <c r="DA139" s="99"/>
      <c r="DB139" s="99"/>
      <c r="DC139" s="99"/>
    </row>
    <row r="140" spans="1:107" ht="15.75" customHeight="1">
      <c r="A140" s="95">
        <v>141</v>
      </c>
      <c r="B140" s="99" t="s">
        <v>549</v>
      </c>
      <c r="C140" s="99" t="s">
        <v>552</v>
      </c>
      <c r="D140" s="99">
        <v>76127336</v>
      </c>
      <c r="E140" s="99" t="s">
        <v>218</v>
      </c>
      <c r="F140" s="95" t="s">
        <v>5277</v>
      </c>
      <c r="G140" s="95" t="s">
        <v>1057</v>
      </c>
      <c r="H140" s="95" t="s">
        <v>1058</v>
      </c>
      <c r="I140" s="95" t="s">
        <v>40</v>
      </c>
      <c r="J140" s="95" t="s">
        <v>28</v>
      </c>
      <c r="K140" s="99"/>
      <c r="L140" s="103" t="s">
        <v>4449</v>
      </c>
      <c r="M140" s="99"/>
      <c r="N140" s="99"/>
      <c r="O140" s="99"/>
      <c r="P140" s="103"/>
      <c r="Q140" s="103"/>
      <c r="R140" s="99"/>
      <c r="S140" s="103" t="s">
        <v>1541</v>
      </c>
      <c r="T140" s="103" t="s">
        <v>5227</v>
      </c>
      <c r="U140" s="99" t="s">
        <v>5278</v>
      </c>
      <c r="V140" s="95">
        <v>13.0695031</v>
      </c>
      <c r="W140" s="95">
        <v>-3.0626283999999999</v>
      </c>
      <c r="X140" s="104" t="s">
        <v>4650</v>
      </c>
      <c r="Y140" s="103"/>
      <c r="Z140" s="103"/>
      <c r="AA140" s="103"/>
      <c r="AB140" s="103"/>
      <c r="AC140" s="103"/>
      <c r="AD140" s="103"/>
      <c r="AE140" s="103"/>
      <c r="AF140" s="103"/>
      <c r="AG140" s="99"/>
      <c r="AH140" s="103"/>
      <c r="AI140" s="103"/>
      <c r="AJ140" s="103"/>
      <c r="AK140" s="103"/>
      <c r="AL140" s="103"/>
      <c r="AM140" s="103"/>
      <c r="AN140" s="99"/>
      <c r="AO140" s="103"/>
      <c r="AP140" s="103"/>
      <c r="AQ140" s="103"/>
      <c r="AR140" s="103"/>
      <c r="AS140" s="99"/>
      <c r="AT140" s="103"/>
      <c r="AU140" s="103"/>
      <c r="AV140" s="99"/>
      <c r="AW140" s="99"/>
      <c r="AX140" s="99"/>
      <c r="AY140" s="99"/>
      <c r="AZ140" s="99"/>
      <c r="BA140" s="103"/>
      <c r="BB140" s="99"/>
      <c r="BC140" s="99">
        <v>1000</v>
      </c>
      <c r="BD140" s="99"/>
      <c r="BE140" s="99"/>
      <c r="BF140" s="103"/>
      <c r="BG140" s="103"/>
      <c r="BH140" s="103"/>
      <c r="BI140" s="103"/>
      <c r="BJ140" s="103"/>
      <c r="BK140" s="103" t="s">
        <v>4499</v>
      </c>
      <c r="BL140" s="103"/>
      <c r="BM140" s="103"/>
      <c r="BN140" s="103"/>
      <c r="BO140" s="103"/>
      <c r="BP140" s="103"/>
      <c r="BQ140" s="107"/>
      <c r="BR140" s="99"/>
      <c r="BS140" s="99"/>
      <c r="BT140" s="103" t="s">
        <v>3186</v>
      </c>
      <c r="BU140" s="99"/>
      <c r="BV140" s="103"/>
      <c r="BW140" s="103"/>
      <c r="BX140" s="103"/>
      <c r="BY140" s="103"/>
      <c r="BZ140" s="103"/>
      <c r="CA140" s="103"/>
      <c r="CB140" s="103"/>
      <c r="CC140" s="103"/>
      <c r="CD140" s="103"/>
      <c r="CE140" s="103"/>
      <c r="CF140" s="103"/>
      <c r="CG140" s="103" t="s">
        <v>549</v>
      </c>
      <c r="CH140" s="103" t="s">
        <v>552</v>
      </c>
      <c r="CI140" s="103">
        <v>76127336</v>
      </c>
      <c r="CJ140" s="103" t="s">
        <v>5279</v>
      </c>
      <c r="CK140" s="108">
        <v>43366.287638888891</v>
      </c>
      <c r="CL140" s="109">
        <v>43366.289467592593</v>
      </c>
      <c r="CM140" s="95">
        <v>13.0695031</v>
      </c>
      <c r="CN140" s="95">
        <v>-3.0626283999999999</v>
      </c>
      <c r="CO140" s="99"/>
      <c r="CP140" s="99"/>
      <c r="CQ140" s="99"/>
      <c r="CR140" s="99"/>
      <c r="CS140" s="99"/>
      <c r="CT140" s="99"/>
      <c r="CU140" s="99"/>
      <c r="CV140" s="99"/>
      <c r="CW140" s="99"/>
      <c r="CX140" s="99"/>
      <c r="CY140" s="99"/>
      <c r="CZ140" s="99"/>
      <c r="DA140" s="99"/>
      <c r="DB140" s="99"/>
      <c r="DC140" s="99"/>
    </row>
    <row r="141" spans="1:107" ht="15.75" customHeight="1">
      <c r="A141" s="95">
        <v>142</v>
      </c>
      <c r="B141" s="99" t="s">
        <v>761</v>
      </c>
      <c r="C141" s="99" t="s">
        <v>566</v>
      </c>
      <c r="D141" s="99">
        <v>75642995</v>
      </c>
      <c r="E141" s="99" t="s">
        <v>219</v>
      </c>
      <c r="F141" s="95" t="s">
        <v>4677</v>
      </c>
      <c r="G141" s="95" t="s">
        <v>1057</v>
      </c>
      <c r="H141" s="95" t="s">
        <v>1058</v>
      </c>
      <c r="I141" s="95" t="s">
        <v>40</v>
      </c>
      <c r="J141" s="95"/>
      <c r="K141" s="99"/>
      <c r="L141" s="103" t="s">
        <v>4449</v>
      </c>
      <c r="M141" s="99"/>
      <c r="N141" s="99"/>
      <c r="O141" s="99"/>
      <c r="P141" s="103"/>
      <c r="Q141" s="103"/>
      <c r="R141" s="99"/>
      <c r="S141" s="103" t="s">
        <v>1541</v>
      </c>
      <c r="T141" s="103" t="s">
        <v>5227</v>
      </c>
      <c r="U141" s="99" t="s">
        <v>4678</v>
      </c>
      <c r="V141" s="95">
        <v>13.0695031</v>
      </c>
      <c r="W141" s="95">
        <v>-3.0626283999999999</v>
      </c>
      <c r="X141" s="104" t="s">
        <v>4650</v>
      </c>
      <c r="Y141" s="103"/>
      <c r="Z141" s="103"/>
      <c r="AA141" s="103"/>
      <c r="AB141" s="103"/>
      <c r="AC141" s="103"/>
      <c r="AD141" s="103"/>
      <c r="AE141" s="103"/>
      <c r="AF141" s="103"/>
      <c r="AG141" s="99"/>
      <c r="AH141" s="103"/>
      <c r="AI141" s="103"/>
      <c r="AJ141" s="103"/>
      <c r="AK141" s="103"/>
      <c r="AL141" s="103"/>
      <c r="AM141" s="103"/>
      <c r="AN141" s="99"/>
      <c r="AO141" s="103"/>
      <c r="AP141" s="103"/>
      <c r="AQ141" s="103"/>
      <c r="AR141" s="103"/>
      <c r="AS141" s="99"/>
      <c r="AT141" s="103"/>
      <c r="AU141" s="103"/>
      <c r="AV141" s="99"/>
      <c r="AW141" s="99"/>
      <c r="AX141" s="99"/>
      <c r="AY141" s="99"/>
      <c r="AZ141" s="99"/>
      <c r="BA141" s="103"/>
      <c r="BB141" s="99"/>
      <c r="BC141" s="99"/>
      <c r="BD141" s="99"/>
      <c r="BE141" s="99"/>
      <c r="BF141" s="103"/>
      <c r="BG141" s="103"/>
      <c r="BH141" s="103"/>
      <c r="BI141" s="103"/>
      <c r="BJ141" s="103"/>
      <c r="BK141" s="103" t="s">
        <v>4499</v>
      </c>
      <c r="BL141" s="103"/>
      <c r="BM141" s="103"/>
      <c r="BN141" s="103"/>
      <c r="BO141" s="103"/>
      <c r="BP141" s="103"/>
      <c r="BQ141" s="107"/>
      <c r="BR141" s="99"/>
      <c r="BS141" s="99"/>
      <c r="BT141" s="103" t="s">
        <v>3186</v>
      </c>
      <c r="BU141" s="99"/>
      <c r="BV141" s="103"/>
      <c r="BW141" s="103"/>
      <c r="BX141" s="103"/>
      <c r="BY141" s="103"/>
      <c r="BZ141" s="103"/>
      <c r="CA141" s="103"/>
      <c r="CB141" s="103"/>
      <c r="CC141" s="103"/>
      <c r="CD141" s="103"/>
      <c r="CE141" s="103"/>
      <c r="CF141" s="103"/>
      <c r="CG141" s="103" t="s">
        <v>761</v>
      </c>
      <c r="CH141" s="103" t="s">
        <v>566</v>
      </c>
      <c r="CI141" s="103">
        <v>75642995</v>
      </c>
      <c r="CJ141" s="103" t="s">
        <v>5280</v>
      </c>
      <c r="CK141" s="108">
        <v>43366.29005787037</v>
      </c>
      <c r="CL141" s="109">
        <v>43366.291574074072</v>
      </c>
      <c r="CM141" s="95">
        <v>13.0695031</v>
      </c>
      <c r="CN141" s="95">
        <v>-3.0626283999999999</v>
      </c>
      <c r="CO141" s="99"/>
      <c r="CP141" s="99"/>
      <c r="CQ141" s="99"/>
      <c r="CR141" s="99"/>
      <c r="CS141" s="99"/>
      <c r="CT141" s="99"/>
      <c r="CU141" s="99"/>
      <c r="CV141" s="99"/>
      <c r="CW141" s="99"/>
      <c r="CX141" s="99"/>
      <c r="CY141" s="99"/>
      <c r="CZ141" s="99"/>
      <c r="DA141" s="99"/>
      <c r="DB141" s="99"/>
      <c r="DC141" s="99"/>
    </row>
    <row r="142" spans="1:107" ht="15.75" customHeight="1">
      <c r="A142" s="95">
        <v>143</v>
      </c>
      <c r="B142" s="99" t="s">
        <v>527</v>
      </c>
      <c r="C142" s="99" t="s">
        <v>534</v>
      </c>
      <c r="D142" s="99">
        <v>70391626</v>
      </c>
      <c r="E142" s="99" t="s">
        <v>220</v>
      </c>
      <c r="F142" s="95" t="s">
        <v>4677</v>
      </c>
      <c r="G142" s="95" t="s">
        <v>1057</v>
      </c>
      <c r="H142" s="95" t="s">
        <v>1058</v>
      </c>
      <c r="I142" s="95" t="s">
        <v>40</v>
      </c>
      <c r="J142" s="95"/>
      <c r="K142" s="99"/>
      <c r="L142" s="103" t="s">
        <v>4449</v>
      </c>
      <c r="M142" s="99" t="s">
        <v>4487</v>
      </c>
      <c r="N142" s="99" t="s">
        <v>4520</v>
      </c>
      <c r="O142" s="99" t="s">
        <v>4488</v>
      </c>
      <c r="P142" s="103">
        <v>2012</v>
      </c>
      <c r="Q142" s="103" t="s">
        <v>1862</v>
      </c>
      <c r="R142" s="99" t="s">
        <v>4521</v>
      </c>
      <c r="S142" s="103" t="s">
        <v>1541</v>
      </c>
      <c r="T142" s="103" t="s">
        <v>4522</v>
      </c>
      <c r="U142" s="99" t="s">
        <v>4678</v>
      </c>
      <c r="V142" s="95">
        <v>13.0695031</v>
      </c>
      <c r="W142" s="95">
        <v>-3.0626283999999999</v>
      </c>
      <c r="X142" s="104" t="s">
        <v>4650</v>
      </c>
      <c r="Y142" s="103" t="s">
        <v>1634</v>
      </c>
      <c r="Z142" s="103" t="s">
        <v>1634</v>
      </c>
      <c r="AA142" s="103" t="s">
        <v>1862</v>
      </c>
      <c r="AB142" s="103">
        <v>30</v>
      </c>
      <c r="AC142" s="103">
        <v>0</v>
      </c>
      <c r="AD142" s="103">
        <v>30</v>
      </c>
      <c r="AE142" s="103" t="s">
        <v>1634</v>
      </c>
      <c r="AF142" s="103" t="s">
        <v>4493</v>
      </c>
      <c r="AG142" s="99" t="s">
        <v>5199</v>
      </c>
      <c r="AH142" s="103" t="s">
        <v>1862</v>
      </c>
      <c r="AI142" s="103" t="s">
        <v>1862</v>
      </c>
      <c r="AJ142" s="103" t="s">
        <v>1804</v>
      </c>
      <c r="AK142" s="103" t="s">
        <v>1862</v>
      </c>
      <c r="AL142" s="103" t="s">
        <v>1804</v>
      </c>
      <c r="AM142" s="103" t="s">
        <v>1804</v>
      </c>
      <c r="AN142" s="99" t="s">
        <v>1646</v>
      </c>
      <c r="AO142" s="103" t="s">
        <v>1862</v>
      </c>
      <c r="AP142" s="103">
        <v>700</v>
      </c>
      <c r="AQ142" s="103" t="s">
        <v>4461</v>
      </c>
      <c r="AR142" s="103">
        <v>100000</v>
      </c>
      <c r="AS142" s="106">
        <v>100000</v>
      </c>
      <c r="AT142" s="103" t="s">
        <v>4499</v>
      </c>
      <c r="AU142" s="103" t="s">
        <v>1548</v>
      </c>
      <c r="AV142" s="99"/>
      <c r="AW142" s="99"/>
      <c r="AX142" s="99"/>
      <c r="AY142" s="99"/>
      <c r="AZ142" s="99"/>
      <c r="BA142" s="103"/>
      <c r="BB142" s="99">
        <v>200</v>
      </c>
      <c r="BC142" s="99">
        <v>150</v>
      </c>
      <c r="BD142" s="99">
        <v>0</v>
      </c>
      <c r="BE142" s="99">
        <v>200000</v>
      </c>
      <c r="BF142" s="103" t="s">
        <v>4544</v>
      </c>
      <c r="BG142" s="103" t="s">
        <v>1862</v>
      </c>
      <c r="BH142" s="103" t="s">
        <v>1862</v>
      </c>
      <c r="BI142" s="103" t="s">
        <v>1804</v>
      </c>
      <c r="BJ142" s="103" t="s">
        <v>1804</v>
      </c>
      <c r="BK142" s="103" t="s">
        <v>4478</v>
      </c>
      <c r="BL142" s="103" t="s">
        <v>4470</v>
      </c>
      <c r="BM142" s="103" t="s">
        <v>4461</v>
      </c>
      <c r="BN142" s="103" t="s">
        <v>4545</v>
      </c>
      <c r="BO142" s="103">
        <v>45</v>
      </c>
      <c r="BP142" s="103" t="s">
        <v>4532</v>
      </c>
      <c r="BQ142" s="107" t="s">
        <v>4476</v>
      </c>
      <c r="BR142" s="99" t="s">
        <v>4476</v>
      </c>
      <c r="BS142" s="99"/>
      <c r="BT142" s="103" t="s">
        <v>3186</v>
      </c>
      <c r="BU142" s="99" t="s">
        <v>4628</v>
      </c>
      <c r="BV142" s="103" t="s">
        <v>4514</v>
      </c>
      <c r="BW142" s="103" t="s">
        <v>4476</v>
      </c>
      <c r="BX142" s="103" t="s">
        <v>1548</v>
      </c>
      <c r="BY142" s="103" t="s">
        <v>4810</v>
      </c>
      <c r="BZ142" s="103" t="s">
        <v>4478</v>
      </c>
      <c r="CA142" s="103" t="s">
        <v>5039</v>
      </c>
      <c r="CB142" s="103">
        <v>20</v>
      </c>
      <c r="CC142" s="103" t="s">
        <v>4479</v>
      </c>
      <c r="CD142" s="103" t="s">
        <v>4475</v>
      </c>
      <c r="CE142" s="103" t="s">
        <v>4481</v>
      </c>
      <c r="CF142" s="103" t="s">
        <v>4482</v>
      </c>
      <c r="CG142" s="103" t="s">
        <v>527</v>
      </c>
      <c r="CH142" s="103" t="s">
        <v>5281</v>
      </c>
      <c r="CI142" s="103">
        <v>70391626</v>
      </c>
      <c r="CJ142" s="103"/>
      <c r="CK142" s="108">
        <v>43366.60260416667</v>
      </c>
      <c r="CL142" s="109">
        <v>43366.619444444441</v>
      </c>
      <c r="CM142" s="95">
        <v>13.0695031</v>
      </c>
      <c r="CN142" s="95">
        <v>-3.0626283999999999</v>
      </c>
      <c r="CO142" s="99"/>
      <c r="CP142" s="99"/>
      <c r="CQ142" s="99"/>
      <c r="CR142" s="99"/>
      <c r="CS142" s="99"/>
      <c r="CT142" s="99"/>
      <c r="CU142" s="99"/>
      <c r="CV142" s="99"/>
      <c r="CW142" s="99"/>
      <c r="CX142" s="99"/>
      <c r="CY142" s="99"/>
      <c r="CZ142" s="99"/>
      <c r="DA142" s="99"/>
      <c r="DB142" s="99"/>
      <c r="DC142" s="99"/>
    </row>
    <row r="143" spans="1:107" ht="15.75" customHeight="1">
      <c r="A143" s="95">
        <v>144</v>
      </c>
      <c r="B143" s="99" t="s">
        <v>762</v>
      </c>
      <c r="C143" s="99" t="s">
        <v>763</v>
      </c>
      <c r="D143" s="99">
        <v>76627417</v>
      </c>
      <c r="E143" s="99" t="s">
        <v>221</v>
      </c>
      <c r="F143" s="95" t="s">
        <v>5282</v>
      </c>
      <c r="G143" s="95" t="s">
        <v>1044</v>
      </c>
      <c r="H143" s="95" t="s">
        <v>1118</v>
      </c>
      <c r="I143" s="95" t="s">
        <v>94</v>
      </c>
      <c r="J143" s="95"/>
      <c r="K143" s="99"/>
      <c r="L143" s="103" t="s">
        <v>4449</v>
      </c>
      <c r="M143" s="99" t="s">
        <v>4567</v>
      </c>
      <c r="N143" s="99" t="s">
        <v>4451</v>
      </c>
      <c r="O143" s="99"/>
      <c r="P143" s="103">
        <v>2016</v>
      </c>
      <c r="Q143" s="103" t="s">
        <v>1548</v>
      </c>
      <c r="R143" s="99" t="s">
        <v>4551</v>
      </c>
      <c r="S143" s="103" t="s">
        <v>1541</v>
      </c>
      <c r="T143" s="103" t="s">
        <v>4522</v>
      </c>
      <c r="U143" s="99" t="s">
        <v>5283</v>
      </c>
      <c r="V143" s="95">
        <v>13.2036283</v>
      </c>
      <c r="W143" s="95">
        <v>-2.3566861000000001</v>
      </c>
      <c r="X143" s="104" t="s">
        <v>4887</v>
      </c>
      <c r="Y143" s="103" t="s">
        <v>1634</v>
      </c>
      <c r="Z143" s="103" t="s">
        <v>1634</v>
      </c>
      <c r="AA143" s="103" t="s">
        <v>1862</v>
      </c>
      <c r="AB143" s="103">
        <v>15</v>
      </c>
      <c r="AC143" s="103">
        <v>0</v>
      </c>
      <c r="AD143" s="103">
        <v>15</v>
      </c>
      <c r="AE143" s="103" t="s">
        <v>1634</v>
      </c>
      <c r="AF143" s="103" t="s">
        <v>4493</v>
      </c>
      <c r="AG143" s="99" t="s">
        <v>5267</v>
      </c>
      <c r="AH143" s="103" t="s">
        <v>1804</v>
      </c>
      <c r="AI143" s="103" t="s">
        <v>1862</v>
      </c>
      <c r="AJ143" s="103" t="s">
        <v>1862</v>
      </c>
      <c r="AK143" s="103" t="s">
        <v>1862</v>
      </c>
      <c r="AL143" s="103" t="s">
        <v>1804</v>
      </c>
      <c r="AM143" s="103" t="s">
        <v>1862</v>
      </c>
      <c r="AN143" s="99" t="s">
        <v>4735</v>
      </c>
      <c r="AO143" s="103" t="s">
        <v>1862</v>
      </c>
      <c r="AP143" s="103">
        <v>1000</v>
      </c>
      <c r="AQ143" s="103" t="s">
        <v>4461</v>
      </c>
      <c r="AR143" s="103"/>
      <c r="AS143" s="106">
        <v>100000</v>
      </c>
      <c r="AT143" s="103" t="s">
        <v>4542</v>
      </c>
      <c r="AU143" s="103" t="s">
        <v>1634</v>
      </c>
      <c r="AV143" s="99" t="s">
        <v>5241</v>
      </c>
      <c r="AW143" s="99" t="s">
        <v>4747</v>
      </c>
      <c r="AX143" s="99" t="s">
        <v>5284</v>
      </c>
      <c r="AY143" s="99" t="s">
        <v>4466</v>
      </c>
      <c r="AZ143" s="99" t="s">
        <v>4530</v>
      </c>
      <c r="BA143" s="103" t="s">
        <v>1634</v>
      </c>
      <c r="BB143" s="99">
        <v>1000</v>
      </c>
      <c r="BC143" s="99">
        <v>280</v>
      </c>
      <c r="BD143" s="99"/>
      <c r="BE143" s="99">
        <v>100000</v>
      </c>
      <c r="BF143" s="103" t="s">
        <v>4749</v>
      </c>
      <c r="BG143" s="103" t="s">
        <v>1804</v>
      </c>
      <c r="BH143" s="103" t="s">
        <v>1862</v>
      </c>
      <c r="BI143" s="103" t="s">
        <v>1862</v>
      </c>
      <c r="BJ143" s="103" t="s">
        <v>1804</v>
      </c>
      <c r="BK143" s="103" t="s">
        <v>4478</v>
      </c>
      <c r="BL143" s="103" t="s">
        <v>4472</v>
      </c>
      <c r="BM143" s="103" t="s">
        <v>4461</v>
      </c>
      <c r="BN143" s="103" t="s">
        <v>4531</v>
      </c>
      <c r="BO143" s="103">
        <v>300</v>
      </c>
      <c r="BP143" s="103" t="s">
        <v>4500</v>
      </c>
      <c r="BQ143" s="107" t="s">
        <v>4476</v>
      </c>
      <c r="BR143" s="99"/>
      <c r="BS143" s="99"/>
      <c r="BT143" s="103" t="s">
        <v>3186</v>
      </c>
      <c r="BU143" s="99" t="s">
        <v>4475</v>
      </c>
      <c r="BV143" s="103" t="s">
        <v>4476</v>
      </c>
      <c r="BW143" s="103" t="s">
        <v>4476</v>
      </c>
      <c r="BX143" s="103" t="s">
        <v>1548</v>
      </c>
      <c r="BY143" s="103" t="s">
        <v>4501</v>
      </c>
      <c r="BZ143" s="103" t="s">
        <v>4478</v>
      </c>
      <c r="CA143" s="103" t="s">
        <v>4461</v>
      </c>
      <c r="CB143" s="103">
        <v>30</v>
      </c>
      <c r="CC143" s="103" t="s">
        <v>4479</v>
      </c>
      <c r="CD143" s="103" t="s">
        <v>4475</v>
      </c>
      <c r="CE143" s="103" t="s">
        <v>4481</v>
      </c>
      <c r="CF143" s="103"/>
      <c r="CG143" s="103" t="s">
        <v>762</v>
      </c>
      <c r="CH143" s="103" t="s">
        <v>763</v>
      </c>
      <c r="CI143" s="103">
        <v>76627417</v>
      </c>
      <c r="CJ143" s="103"/>
      <c r="CK143" s="108">
        <v>43365.492696759262</v>
      </c>
      <c r="CL143" s="109">
        <v>43366.633217592593</v>
      </c>
      <c r="CM143" s="95">
        <v>13.2036283</v>
      </c>
      <c r="CN143" s="95">
        <v>-2.3566861000000001</v>
      </c>
      <c r="CO143" s="99"/>
      <c r="CP143" s="99"/>
      <c r="CQ143" s="99"/>
      <c r="CR143" s="99"/>
      <c r="CS143" s="99"/>
      <c r="CT143" s="99"/>
      <c r="CU143" s="99"/>
      <c r="CV143" s="99"/>
      <c r="CW143" s="99"/>
      <c r="CX143" s="99"/>
      <c r="CY143" s="99"/>
      <c r="CZ143" s="99"/>
      <c r="DA143" s="99"/>
      <c r="DB143" s="99"/>
      <c r="DC143" s="99"/>
    </row>
    <row r="144" spans="1:107" ht="15.75" customHeight="1">
      <c r="A144" s="95">
        <v>145</v>
      </c>
      <c r="B144" s="99" t="s">
        <v>764</v>
      </c>
      <c r="C144" s="99" t="s">
        <v>609</v>
      </c>
      <c r="D144" s="99">
        <v>70349056</v>
      </c>
      <c r="E144" s="99" t="s">
        <v>222</v>
      </c>
      <c r="F144" s="95" t="s">
        <v>5285</v>
      </c>
      <c r="G144" s="95" t="s">
        <v>1044</v>
      </c>
      <c r="H144" s="95" t="s">
        <v>1119</v>
      </c>
      <c r="I144" s="95" t="s">
        <v>223</v>
      </c>
      <c r="J144" s="95"/>
      <c r="K144" s="99"/>
      <c r="L144" s="103" t="s">
        <v>4449</v>
      </c>
      <c r="M144" s="99" t="s">
        <v>4450</v>
      </c>
      <c r="N144" s="99" t="s">
        <v>4451</v>
      </c>
      <c r="O144" s="99" t="s">
        <v>4452</v>
      </c>
      <c r="P144" s="103">
        <v>2014</v>
      </c>
      <c r="Q144" s="103" t="s">
        <v>1862</v>
      </c>
      <c r="R144" s="99" t="s">
        <v>4709</v>
      </c>
      <c r="S144" s="103" t="s">
        <v>1541</v>
      </c>
      <c r="T144" s="103" t="s">
        <v>4522</v>
      </c>
      <c r="U144" s="99" t="s">
        <v>5286</v>
      </c>
      <c r="V144" s="95">
        <v>12.900322299999999</v>
      </c>
      <c r="W144" s="95">
        <v>-2.4678327000000002</v>
      </c>
      <c r="X144" s="104" t="s">
        <v>5287</v>
      </c>
      <c r="Y144" s="103" t="s">
        <v>1634</v>
      </c>
      <c r="Z144" s="103" t="s">
        <v>1634</v>
      </c>
      <c r="AA144" s="103" t="s">
        <v>1862</v>
      </c>
      <c r="AB144" s="103">
        <v>75</v>
      </c>
      <c r="AC144" s="103">
        <v>0</v>
      </c>
      <c r="AD144" s="103">
        <v>75</v>
      </c>
      <c r="AE144" s="103" t="s">
        <v>1634</v>
      </c>
      <c r="AF144" s="103" t="s">
        <v>4830</v>
      </c>
      <c r="AG144" s="99" t="s">
        <v>4745</v>
      </c>
      <c r="AH144" s="103" t="s">
        <v>1862</v>
      </c>
      <c r="AI144" s="103" t="s">
        <v>1862</v>
      </c>
      <c r="AJ144" s="103" t="s">
        <v>1862</v>
      </c>
      <c r="AK144" s="103" t="s">
        <v>1862</v>
      </c>
      <c r="AL144" s="103" t="s">
        <v>1862</v>
      </c>
      <c r="AM144" s="103" t="s">
        <v>1862</v>
      </c>
      <c r="AN144" s="99" t="s">
        <v>4746</v>
      </c>
      <c r="AO144" s="103" t="s">
        <v>1862</v>
      </c>
      <c r="AP144" s="103">
        <v>650</v>
      </c>
      <c r="AQ144" s="103" t="s">
        <v>4461</v>
      </c>
      <c r="AR144" s="105">
        <v>800000</v>
      </c>
      <c r="AS144" s="106">
        <v>1200000</v>
      </c>
      <c r="AT144" s="103" t="s">
        <v>4594</v>
      </c>
      <c r="AU144" s="103" t="s">
        <v>1634</v>
      </c>
      <c r="AV144" s="99" t="s">
        <v>4671</v>
      </c>
      <c r="AW144" s="99" t="s">
        <v>4747</v>
      </c>
      <c r="AX144" s="99" t="s">
        <v>4748</v>
      </c>
      <c r="AY144" s="99" t="s">
        <v>4466</v>
      </c>
      <c r="AZ144" s="99" t="s">
        <v>4561</v>
      </c>
      <c r="BA144" s="103" t="s">
        <v>1634</v>
      </c>
      <c r="BB144" s="99">
        <v>12000</v>
      </c>
      <c r="BC144" s="99">
        <v>10000</v>
      </c>
      <c r="BD144" s="99">
        <v>800000</v>
      </c>
      <c r="BE144" s="99">
        <v>1300000</v>
      </c>
      <c r="BF144" s="103" t="s">
        <v>4749</v>
      </c>
      <c r="BG144" s="103" t="s">
        <v>1804</v>
      </c>
      <c r="BH144" s="103" t="s">
        <v>1862</v>
      </c>
      <c r="BI144" s="103" t="s">
        <v>1862</v>
      </c>
      <c r="BJ144" s="103" t="s">
        <v>1804</v>
      </c>
      <c r="BK144" s="103" t="s">
        <v>4478</v>
      </c>
      <c r="BL144" s="103" t="s">
        <v>4472</v>
      </c>
      <c r="BM144" s="103" t="s">
        <v>4461</v>
      </c>
      <c r="BN144" s="103" t="s">
        <v>4512</v>
      </c>
      <c r="BO144" s="103">
        <v>500</v>
      </c>
      <c r="BP144" s="103" t="s">
        <v>4500</v>
      </c>
      <c r="BQ144" s="107" t="s">
        <v>4476</v>
      </c>
      <c r="BR144" s="99" t="s">
        <v>4476</v>
      </c>
      <c r="BS144" s="99" t="s">
        <v>4750</v>
      </c>
      <c r="BT144" s="103" t="s">
        <v>3186</v>
      </c>
      <c r="BU144" s="107" t="s">
        <v>4476</v>
      </c>
      <c r="BV144" s="103" t="s">
        <v>4476</v>
      </c>
      <c r="BW144" s="103" t="s">
        <v>1548</v>
      </c>
      <c r="BX144" s="103" t="s">
        <v>4535</v>
      </c>
      <c r="BY144" s="103" t="s">
        <v>4499</v>
      </c>
      <c r="BZ144" s="103" t="s">
        <v>4461</v>
      </c>
      <c r="CA144" s="103">
        <v>120</v>
      </c>
      <c r="CB144" s="103" t="s">
        <v>4475</v>
      </c>
      <c r="CC144" s="103" t="s">
        <v>4716</v>
      </c>
      <c r="CD144" s="103" t="s">
        <v>4480</v>
      </c>
      <c r="CE144" s="103" t="s">
        <v>4481</v>
      </c>
      <c r="CF144" s="103"/>
      <c r="CG144" s="103" t="s">
        <v>5288</v>
      </c>
      <c r="CH144" s="103" t="s">
        <v>1654</v>
      </c>
      <c r="CI144" s="103">
        <v>70349056</v>
      </c>
      <c r="CJ144" s="99"/>
      <c r="CK144" s="108">
        <v>43364.631377314814</v>
      </c>
      <c r="CL144" s="108">
        <v>43364.759120370371</v>
      </c>
      <c r="CM144" s="95">
        <v>12.900322299999999</v>
      </c>
      <c r="CN144" s="95">
        <v>-2.4678327000000002</v>
      </c>
      <c r="CO144" s="99"/>
      <c r="CP144" s="99"/>
      <c r="CQ144" s="99"/>
      <c r="CR144" s="99"/>
      <c r="CS144" s="99"/>
      <c r="CT144" s="99"/>
      <c r="CU144" s="99"/>
      <c r="CV144" s="99"/>
      <c r="CW144" s="99"/>
      <c r="CX144" s="99"/>
      <c r="CY144" s="99"/>
      <c r="CZ144" s="99"/>
      <c r="DA144" s="99"/>
      <c r="DB144" s="99"/>
      <c r="DC144" s="99"/>
    </row>
    <row r="145" spans="1:107" ht="15.75" customHeight="1">
      <c r="A145" s="95">
        <v>146</v>
      </c>
      <c r="B145" s="99" t="s">
        <v>765</v>
      </c>
      <c r="C145" s="99" t="s">
        <v>766</v>
      </c>
      <c r="D145" s="99">
        <v>77048051</v>
      </c>
      <c r="E145" s="99" t="s">
        <v>224</v>
      </c>
      <c r="F145" s="95" t="s">
        <v>5289</v>
      </c>
      <c r="G145" s="95" t="s">
        <v>1044</v>
      </c>
      <c r="H145" s="95" t="s">
        <v>1120</v>
      </c>
      <c r="I145" s="95" t="s">
        <v>94</v>
      </c>
      <c r="J145" s="95"/>
      <c r="K145" s="99"/>
      <c r="L145" s="103" t="s">
        <v>4449</v>
      </c>
      <c r="M145" s="99" t="s">
        <v>4450</v>
      </c>
      <c r="N145" s="99" t="s">
        <v>1565</v>
      </c>
      <c r="O145" s="99" t="s">
        <v>4550</v>
      </c>
      <c r="P145" s="103">
        <v>1996</v>
      </c>
      <c r="Q145" s="103" t="s">
        <v>1862</v>
      </c>
      <c r="R145" s="99" t="s">
        <v>4709</v>
      </c>
      <c r="S145" s="103" t="s">
        <v>1541</v>
      </c>
      <c r="T145" s="103" t="s">
        <v>4522</v>
      </c>
      <c r="U145" s="99" t="s">
        <v>5290</v>
      </c>
      <c r="V145" s="95">
        <v>13.2036283</v>
      </c>
      <c r="W145" s="95">
        <v>-2.3566861000000001</v>
      </c>
      <c r="X145" s="104" t="s">
        <v>4887</v>
      </c>
      <c r="Y145" s="103" t="s">
        <v>1634</v>
      </c>
      <c r="Z145" s="103" t="s">
        <v>1548</v>
      </c>
      <c r="AA145" s="103" t="s">
        <v>1862</v>
      </c>
      <c r="AB145" s="103">
        <v>36</v>
      </c>
      <c r="AC145" s="103">
        <v>4</v>
      </c>
      <c r="AD145" s="103">
        <v>32</v>
      </c>
      <c r="AE145" s="103" t="s">
        <v>1634</v>
      </c>
      <c r="AF145" s="103" t="s">
        <v>4493</v>
      </c>
      <c r="AG145" s="99" t="s">
        <v>4494</v>
      </c>
      <c r="AH145" s="103" t="s">
        <v>1862</v>
      </c>
      <c r="AI145" s="103" t="s">
        <v>1862</v>
      </c>
      <c r="AJ145" s="103" t="s">
        <v>1804</v>
      </c>
      <c r="AK145" s="103" t="s">
        <v>1804</v>
      </c>
      <c r="AL145" s="103" t="s">
        <v>1862</v>
      </c>
      <c r="AM145" s="103" t="s">
        <v>1862</v>
      </c>
      <c r="AN145" s="99" t="s">
        <v>4735</v>
      </c>
      <c r="AO145" s="103" t="s">
        <v>1862</v>
      </c>
      <c r="AP145" s="103">
        <v>1000</v>
      </c>
      <c r="AQ145" s="103" t="s">
        <v>4461</v>
      </c>
      <c r="AR145" s="103">
        <v>15000</v>
      </c>
      <c r="AS145" s="106">
        <v>9000</v>
      </c>
      <c r="AT145" s="103" t="s">
        <v>4496</v>
      </c>
      <c r="AU145" s="103" t="s">
        <v>1548</v>
      </c>
      <c r="AV145" s="99"/>
      <c r="AW145" s="99"/>
      <c r="AX145" s="99" t="s">
        <v>5046</v>
      </c>
      <c r="AY145" s="99" t="s">
        <v>4466</v>
      </c>
      <c r="AZ145" s="99" t="s">
        <v>4467</v>
      </c>
      <c r="BA145" s="103" t="s">
        <v>1548</v>
      </c>
      <c r="BB145" s="99">
        <v>200</v>
      </c>
      <c r="BC145" s="99">
        <v>150</v>
      </c>
      <c r="BD145" s="99">
        <v>15000</v>
      </c>
      <c r="BE145" s="99">
        <v>9000</v>
      </c>
      <c r="BF145" s="103" t="s">
        <v>4653</v>
      </c>
      <c r="BG145" s="103" t="s">
        <v>1862</v>
      </c>
      <c r="BH145" s="103" t="s">
        <v>1804</v>
      </c>
      <c r="BI145" s="103" t="s">
        <v>1862</v>
      </c>
      <c r="BJ145" s="103" t="s">
        <v>1804</v>
      </c>
      <c r="BK145" s="103" t="s">
        <v>4478</v>
      </c>
      <c r="BL145" s="103" t="s">
        <v>4461</v>
      </c>
      <c r="BM145" s="103" t="s">
        <v>4461</v>
      </c>
      <c r="BN145" s="103" t="s">
        <v>4690</v>
      </c>
      <c r="BO145" s="103">
        <v>250</v>
      </c>
      <c r="BP145" s="103" t="s">
        <v>4532</v>
      </c>
      <c r="BQ145" s="99" t="s">
        <v>4476</v>
      </c>
      <c r="BR145" s="99"/>
      <c r="BS145" s="99"/>
      <c r="BT145" s="103" t="s">
        <v>3186</v>
      </c>
      <c r="BU145" s="99" t="s">
        <v>4628</v>
      </c>
      <c r="BV145" s="103" t="s">
        <v>4476</v>
      </c>
      <c r="BW145" s="103" t="s">
        <v>4476</v>
      </c>
      <c r="BX145" s="103" t="s">
        <v>1548</v>
      </c>
      <c r="BY145" s="103" t="s">
        <v>4810</v>
      </c>
      <c r="BZ145" s="103" t="s">
        <v>4478</v>
      </c>
      <c r="CA145" s="103" t="s">
        <v>5039</v>
      </c>
      <c r="CB145" s="103">
        <v>12</v>
      </c>
      <c r="CC145" s="103" t="s">
        <v>4479</v>
      </c>
      <c r="CD145" s="103" t="s">
        <v>4475</v>
      </c>
      <c r="CE145" s="103" t="s">
        <v>4502</v>
      </c>
      <c r="CF145" s="103"/>
      <c r="CG145" s="103" t="s">
        <v>592</v>
      </c>
      <c r="CH145" s="103" t="s">
        <v>5291</v>
      </c>
      <c r="CI145" s="103">
        <v>77048051</v>
      </c>
      <c r="CJ145" s="103"/>
      <c r="CK145" s="108">
        <v>43364.646782407406</v>
      </c>
      <c r="CL145" s="109">
        <v>43366.633715277778</v>
      </c>
      <c r="CM145" s="95">
        <v>13.2036283</v>
      </c>
      <c r="CN145" s="95">
        <v>-2.3566861000000001</v>
      </c>
      <c r="CO145" s="99"/>
      <c r="CP145" s="99"/>
      <c r="CQ145" s="99"/>
      <c r="CR145" s="99"/>
      <c r="CS145" s="99"/>
      <c r="CT145" s="99"/>
      <c r="CU145" s="99"/>
      <c r="CV145" s="99"/>
      <c r="CW145" s="99"/>
      <c r="CX145" s="99"/>
      <c r="CY145" s="99"/>
      <c r="CZ145" s="99"/>
      <c r="DA145" s="99"/>
      <c r="DB145" s="99"/>
      <c r="DC145" s="99"/>
    </row>
    <row r="146" spans="1:107" ht="15.75" customHeight="1">
      <c r="A146" s="95">
        <v>147</v>
      </c>
      <c r="B146" s="99" t="s">
        <v>767</v>
      </c>
      <c r="C146" s="99" t="s">
        <v>768</v>
      </c>
      <c r="D146" s="99">
        <v>60039105</v>
      </c>
      <c r="E146" s="99" t="s">
        <v>225</v>
      </c>
      <c r="F146" s="95" t="s">
        <v>4885</v>
      </c>
      <c r="G146" s="95" t="s">
        <v>1044</v>
      </c>
      <c r="H146" s="95" t="s">
        <v>1082</v>
      </c>
      <c r="I146" s="95" t="s">
        <v>94</v>
      </c>
      <c r="J146" s="95"/>
      <c r="K146" s="99"/>
      <c r="L146" s="103" t="s">
        <v>4449</v>
      </c>
      <c r="M146" s="99" t="s">
        <v>4450</v>
      </c>
      <c r="N146" s="99" t="s">
        <v>4451</v>
      </c>
      <c r="O146" s="99" t="s">
        <v>5292</v>
      </c>
      <c r="P146" s="103">
        <v>1992</v>
      </c>
      <c r="Q146" s="103" t="s">
        <v>1862</v>
      </c>
      <c r="R146" s="99" t="s">
        <v>4521</v>
      </c>
      <c r="S146" s="103" t="s">
        <v>1541</v>
      </c>
      <c r="T146" s="103" t="s">
        <v>4522</v>
      </c>
      <c r="U146" s="99" t="s">
        <v>4886</v>
      </c>
      <c r="V146" s="95">
        <v>13.2036283</v>
      </c>
      <c r="W146" s="95">
        <v>-2.3566861000000001</v>
      </c>
      <c r="X146" s="104" t="s">
        <v>4887</v>
      </c>
      <c r="Y146" s="103"/>
      <c r="Z146" s="103"/>
      <c r="AA146" s="103"/>
      <c r="AB146" s="103">
        <v>6</v>
      </c>
      <c r="AC146" s="103">
        <v>0</v>
      </c>
      <c r="AD146" s="103">
        <v>6</v>
      </c>
      <c r="AE146" s="103" t="s">
        <v>1634</v>
      </c>
      <c r="AF146" s="103" t="s">
        <v>4493</v>
      </c>
      <c r="AG146" s="99" t="s">
        <v>5267</v>
      </c>
      <c r="AH146" s="103" t="s">
        <v>1804</v>
      </c>
      <c r="AI146" s="103" t="s">
        <v>1862</v>
      </c>
      <c r="AJ146" s="103" t="s">
        <v>1862</v>
      </c>
      <c r="AK146" s="103" t="s">
        <v>1862</v>
      </c>
      <c r="AL146" s="103" t="s">
        <v>1804</v>
      </c>
      <c r="AM146" s="103" t="s">
        <v>1862</v>
      </c>
      <c r="AN146" s="99" t="s">
        <v>4584</v>
      </c>
      <c r="AO146" s="103" t="s">
        <v>4499</v>
      </c>
      <c r="AP146" s="103">
        <v>1250</v>
      </c>
      <c r="AQ146" s="103" t="s">
        <v>4461</v>
      </c>
      <c r="AR146" s="103"/>
      <c r="AS146" s="106">
        <v>55000</v>
      </c>
      <c r="AT146" s="103" t="s">
        <v>4542</v>
      </c>
      <c r="AU146" s="103" t="s">
        <v>1634</v>
      </c>
      <c r="AV146" s="99" t="s">
        <v>4463</v>
      </c>
      <c r="AW146" s="99" t="s">
        <v>5293</v>
      </c>
      <c r="AX146" s="99" t="s">
        <v>4913</v>
      </c>
      <c r="AY146" s="99" t="s">
        <v>4560</v>
      </c>
      <c r="AZ146" s="99" t="s">
        <v>4530</v>
      </c>
      <c r="BA146" s="103" t="s">
        <v>1548</v>
      </c>
      <c r="BB146" s="99"/>
      <c r="BC146" s="99">
        <v>45</v>
      </c>
      <c r="BD146" s="99"/>
      <c r="BE146" s="99">
        <v>55000</v>
      </c>
      <c r="BF146" s="103" t="s">
        <v>4793</v>
      </c>
      <c r="BG146" s="103" t="s">
        <v>1804</v>
      </c>
      <c r="BH146" s="103" t="s">
        <v>1804</v>
      </c>
      <c r="BI146" s="103" t="s">
        <v>1862</v>
      </c>
      <c r="BJ146" s="103" t="s">
        <v>1804</v>
      </c>
      <c r="BK146" s="103" t="s">
        <v>4478</v>
      </c>
      <c r="BL146" s="103" t="s">
        <v>4472</v>
      </c>
      <c r="BM146" s="103" t="s">
        <v>4461</v>
      </c>
      <c r="BN146" s="103" t="s">
        <v>4545</v>
      </c>
      <c r="BO146" s="103">
        <v>250</v>
      </c>
      <c r="BP146" s="103" t="s">
        <v>4532</v>
      </c>
      <c r="BQ146" s="99" t="s">
        <v>4476</v>
      </c>
      <c r="BR146" s="99"/>
      <c r="BS146" s="99"/>
      <c r="BT146" s="103" t="s">
        <v>3186</v>
      </c>
      <c r="BU146" s="99" t="s">
        <v>4475</v>
      </c>
      <c r="BV146" s="103" t="s">
        <v>4476</v>
      </c>
      <c r="BW146" s="103" t="s">
        <v>4476</v>
      </c>
      <c r="BX146" s="103" t="s">
        <v>1548</v>
      </c>
      <c r="BY146" s="103" t="s">
        <v>4501</v>
      </c>
      <c r="BZ146" s="103" t="s">
        <v>4478</v>
      </c>
      <c r="CA146" s="103" t="s">
        <v>4461</v>
      </c>
      <c r="CB146" s="103">
        <v>15</v>
      </c>
      <c r="CC146" s="103" t="s">
        <v>4502</v>
      </c>
      <c r="CD146" s="103" t="s">
        <v>4475</v>
      </c>
      <c r="CE146" s="103" t="s">
        <v>4481</v>
      </c>
      <c r="CF146" s="103"/>
      <c r="CG146" s="103" t="s">
        <v>767</v>
      </c>
      <c r="CH146" s="103" t="s">
        <v>768</v>
      </c>
      <c r="CI146" s="103">
        <v>60039105</v>
      </c>
      <c r="CJ146" s="103"/>
      <c r="CK146" s="108">
        <v>43364.57708333333</v>
      </c>
      <c r="CL146" s="109">
        <v>43366.634039351855</v>
      </c>
      <c r="CM146" s="95">
        <v>13.2036283</v>
      </c>
      <c r="CN146" s="95">
        <v>-2.3566861000000001</v>
      </c>
      <c r="CO146" s="99"/>
      <c r="CP146" s="99"/>
      <c r="CQ146" s="99"/>
      <c r="CR146" s="99"/>
      <c r="CS146" s="99"/>
      <c r="CT146" s="99"/>
      <c r="CU146" s="99"/>
      <c r="CV146" s="99"/>
      <c r="CW146" s="99"/>
      <c r="CX146" s="99"/>
      <c r="CY146" s="99"/>
      <c r="CZ146" s="99"/>
      <c r="DA146" s="99"/>
      <c r="DB146" s="99"/>
      <c r="DC146" s="99"/>
    </row>
    <row r="147" spans="1:107" ht="15.75" customHeight="1">
      <c r="A147" s="95">
        <v>148</v>
      </c>
      <c r="B147" s="99" t="s">
        <v>769</v>
      </c>
      <c r="C147" s="99" t="s">
        <v>770</v>
      </c>
      <c r="D147" s="110">
        <v>70439232</v>
      </c>
      <c r="E147" s="99" t="s">
        <v>226</v>
      </c>
      <c r="F147" s="95" t="s">
        <v>4614</v>
      </c>
      <c r="G147" s="95" t="s">
        <v>1047</v>
      </c>
      <c r="H147" s="95" t="s">
        <v>1056</v>
      </c>
      <c r="I147" s="95" t="s">
        <v>26</v>
      </c>
      <c r="J147" s="95"/>
      <c r="K147" s="99"/>
      <c r="L147" s="103" t="s">
        <v>4449</v>
      </c>
      <c r="M147" s="99" t="s">
        <v>4450</v>
      </c>
      <c r="N147" s="99" t="s">
        <v>4520</v>
      </c>
      <c r="O147" s="99" t="s">
        <v>4694</v>
      </c>
      <c r="P147" s="103">
        <v>2005</v>
      </c>
      <c r="Q147" s="103" t="s">
        <v>1862</v>
      </c>
      <c r="R147" s="99" t="s">
        <v>4521</v>
      </c>
      <c r="S147" s="103" t="s">
        <v>1541</v>
      </c>
      <c r="T147" s="103" t="s">
        <v>4522</v>
      </c>
      <c r="U147" s="99" t="s">
        <v>4617</v>
      </c>
      <c r="V147" s="95">
        <v>12.2483626</v>
      </c>
      <c r="W147" s="95">
        <v>-0.62515410000000005</v>
      </c>
      <c r="X147" s="104" t="s">
        <v>4618</v>
      </c>
      <c r="Y147" s="103" t="s">
        <v>1548</v>
      </c>
      <c r="Z147" s="103" t="s">
        <v>1548</v>
      </c>
      <c r="AA147" s="103" t="s">
        <v>1862</v>
      </c>
      <c r="AB147" s="103">
        <v>40</v>
      </c>
      <c r="AC147" s="103">
        <v>0</v>
      </c>
      <c r="AD147" s="103">
        <v>40</v>
      </c>
      <c r="AE147" s="103" t="s">
        <v>1634</v>
      </c>
      <c r="AF147" s="103" t="s">
        <v>4493</v>
      </c>
      <c r="AG147" s="99" t="s">
        <v>4695</v>
      </c>
      <c r="AH147" s="103" t="s">
        <v>1862</v>
      </c>
      <c r="AI147" s="103" t="s">
        <v>1862</v>
      </c>
      <c r="AJ147" s="103" t="s">
        <v>1804</v>
      </c>
      <c r="AK147" s="103" t="s">
        <v>1804</v>
      </c>
      <c r="AL147" s="103" t="s">
        <v>1804</v>
      </c>
      <c r="AM147" s="103" t="s">
        <v>1804</v>
      </c>
      <c r="AN147" s="99" t="s">
        <v>1646</v>
      </c>
      <c r="AO147" s="103" t="s">
        <v>1862</v>
      </c>
      <c r="AP147" s="103">
        <v>750</v>
      </c>
      <c r="AQ147" s="103" t="s">
        <v>4509</v>
      </c>
      <c r="AR147" s="103" t="s">
        <v>4831</v>
      </c>
      <c r="AS147" s="106">
        <v>350000</v>
      </c>
      <c r="AT147" s="103" t="s">
        <v>4625</v>
      </c>
      <c r="AU147" s="103" t="s">
        <v>1548</v>
      </c>
      <c r="AV147" s="99"/>
      <c r="AW147" s="99" t="s">
        <v>4680</v>
      </c>
      <c r="AX147" s="99" t="s">
        <v>4543</v>
      </c>
      <c r="AY147" s="99" t="s">
        <v>4466</v>
      </c>
      <c r="AZ147" s="99" t="s">
        <v>4467</v>
      </c>
      <c r="BA147" s="103" t="s">
        <v>1634</v>
      </c>
      <c r="BB147" s="99">
        <v>500</v>
      </c>
      <c r="BC147" s="99">
        <v>42</v>
      </c>
      <c r="BD147" s="99">
        <v>0</v>
      </c>
      <c r="BE147" s="99"/>
      <c r="BF147" s="103" t="s">
        <v>4511</v>
      </c>
      <c r="BG147" s="103" t="s">
        <v>1804</v>
      </c>
      <c r="BH147" s="103" t="s">
        <v>1862</v>
      </c>
      <c r="BI147" s="103" t="s">
        <v>1804</v>
      </c>
      <c r="BJ147" s="103" t="s">
        <v>1804</v>
      </c>
      <c r="BK147" s="103" t="s">
        <v>4478</v>
      </c>
      <c r="BL147" s="103" t="s">
        <v>4470</v>
      </c>
      <c r="BM147" s="103" t="s">
        <v>4461</v>
      </c>
      <c r="BN147" s="103" t="s">
        <v>4512</v>
      </c>
      <c r="BO147" s="103">
        <v>50</v>
      </c>
      <c r="BP147" s="103" t="s">
        <v>4509</v>
      </c>
      <c r="BQ147" s="107" t="s">
        <v>4476</v>
      </c>
      <c r="BR147" s="99" t="s">
        <v>4476</v>
      </c>
      <c r="BS147" s="99"/>
      <c r="BT147" s="103" t="s">
        <v>3186</v>
      </c>
      <c r="BU147" s="107" t="s">
        <v>4514</v>
      </c>
      <c r="BV147" s="103" t="s">
        <v>4476</v>
      </c>
      <c r="BW147" s="103" t="s">
        <v>1548</v>
      </c>
      <c r="BX147" s="103" t="s">
        <v>4501</v>
      </c>
      <c r="BY147" s="103" t="s">
        <v>4478</v>
      </c>
      <c r="BZ147" s="103" t="s">
        <v>4509</v>
      </c>
      <c r="CA147" s="103">
        <v>15</v>
      </c>
      <c r="CB147" s="103" t="s">
        <v>4475</v>
      </c>
      <c r="CC147" s="103" t="s">
        <v>4502</v>
      </c>
      <c r="CD147" s="103" t="s">
        <v>4475</v>
      </c>
      <c r="CE147" s="103" t="s">
        <v>4475</v>
      </c>
      <c r="CF147" s="103" t="s">
        <v>4482</v>
      </c>
      <c r="CG147" s="103" t="s">
        <v>5294</v>
      </c>
      <c r="CH147" s="103" t="s">
        <v>5295</v>
      </c>
      <c r="CI147" s="111">
        <v>70439232</v>
      </c>
      <c r="CJ147" s="99"/>
      <c r="CK147" s="108">
        <v>43364.601354166669</v>
      </c>
      <c r="CL147" s="108">
        <v>43364.61478009259</v>
      </c>
      <c r="CM147" s="95">
        <v>12.2483626</v>
      </c>
      <c r="CN147" s="95">
        <v>-0.62515410000000005</v>
      </c>
      <c r="CO147" s="99"/>
      <c r="CP147" s="99"/>
      <c r="CQ147" s="99"/>
      <c r="CR147" s="99"/>
      <c r="CS147" s="99"/>
      <c r="CT147" s="99"/>
      <c r="CU147" s="99"/>
      <c r="CV147" s="99"/>
      <c r="CW147" s="99"/>
      <c r="CX147" s="99"/>
      <c r="CY147" s="99"/>
      <c r="CZ147" s="99"/>
      <c r="DA147" s="99"/>
      <c r="DB147" s="99"/>
      <c r="DC147" s="99"/>
    </row>
    <row r="148" spans="1:107" ht="15.75" customHeight="1">
      <c r="A148" s="95">
        <v>149</v>
      </c>
      <c r="B148" s="99" t="s">
        <v>771</v>
      </c>
      <c r="C148" s="99" t="s">
        <v>772</v>
      </c>
      <c r="D148" s="99">
        <v>72106942</v>
      </c>
      <c r="E148" s="99" t="s">
        <v>227</v>
      </c>
      <c r="F148" s="95" t="s">
        <v>5296</v>
      </c>
      <c r="G148" s="95" t="s">
        <v>1049</v>
      </c>
      <c r="H148" s="95" t="s">
        <v>1079</v>
      </c>
      <c r="I148" s="95" t="s">
        <v>228</v>
      </c>
      <c r="J148" s="95"/>
      <c r="K148" s="99"/>
      <c r="L148" s="103" t="s">
        <v>4449</v>
      </c>
      <c r="M148" s="99" t="s">
        <v>4450</v>
      </c>
      <c r="N148" s="99" t="s">
        <v>4451</v>
      </c>
      <c r="O148" s="99" t="s">
        <v>4452</v>
      </c>
      <c r="P148" s="103">
        <v>2000</v>
      </c>
      <c r="Q148" s="103" t="s">
        <v>1862</v>
      </c>
      <c r="R148" s="99" t="s">
        <v>4633</v>
      </c>
      <c r="S148" s="103" t="s">
        <v>4803</v>
      </c>
      <c r="T148" s="103" t="s">
        <v>4634</v>
      </c>
      <c r="U148" s="99" t="s">
        <v>5297</v>
      </c>
      <c r="V148" s="95">
        <v>11.267662</v>
      </c>
      <c r="W148" s="95">
        <v>-2.6375384999999998</v>
      </c>
      <c r="X148" s="104" t="s">
        <v>5298</v>
      </c>
      <c r="Y148" s="103" t="s">
        <v>1634</v>
      </c>
      <c r="Z148" s="103" t="s">
        <v>1634</v>
      </c>
      <c r="AA148" s="103" t="s">
        <v>1862</v>
      </c>
      <c r="AB148" s="103">
        <v>358</v>
      </c>
      <c r="AC148" s="103">
        <v>3</v>
      </c>
      <c r="AD148" s="103">
        <v>355</v>
      </c>
      <c r="AE148" s="103" t="s">
        <v>1634</v>
      </c>
      <c r="AF148" s="103" t="s">
        <v>4637</v>
      </c>
      <c r="AG148" s="99" t="s">
        <v>4554</v>
      </c>
      <c r="AH148" s="103" t="s">
        <v>1862</v>
      </c>
      <c r="AI148" s="103" t="s">
        <v>1862</v>
      </c>
      <c r="AJ148" s="103" t="s">
        <v>1862</v>
      </c>
      <c r="AK148" s="103" t="s">
        <v>1862</v>
      </c>
      <c r="AL148" s="103" t="s">
        <v>1804</v>
      </c>
      <c r="AM148" s="103" t="s">
        <v>1862</v>
      </c>
      <c r="AN148" s="99" t="s">
        <v>4638</v>
      </c>
      <c r="AO148" s="103" t="s">
        <v>1862</v>
      </c>
      <c r="AP148" s="103">
        <v>1600</v>
      </c>
      <c r="AQ148" s="112" t="s">
        <v>4461</v>
      </c>
      <c r="AR148" s="103"/>
      <c r="AS148" s="106">
        <v>50000000</v>
      </c>
      <c r="AT148" s="103" t="s">
        <v>4527</v>
      </c>
      <c r="AU148" s="103" t="s">
        <v>1634</v>
      </c>
      <c r="AV148" s="99" t="s">
        <v>4463</v>
      </c>
      <c r="AW148" s="99" t="s">
        <v>4639</v>
      </c>
      <c r="AX148" s="99" t="s">
        <v>4640</v>
      </c>
      <c r="AY148" s="99" t="s">
        <v>4641</v>
      </c>
      <c r="AZ148" s="99" t="s">
        <v>4530</v>
      </c>
      <c r="BA148" s="103" t="s">
        <v>1634</v>
      </c>
      <c r="BB148" s="99"/>
      <c r="BC148" s="99">
        <v>22000</v>
      </c>
      <c r="BD148" s="99"/>
      <c r="BE148" s="99">
        <v>37500000</v>
      </c>
      <c r="BF148" s="103" t="s">
        <v>4642</v>
      </c>
      <c r="BG148" s="103" t="s">
        <v>1862</v>
      </c>
      <c r="BH148" s="103" t="s">
        <v>1862</v>
      </c>
      <c r="BI148" s="103" t="s">
        <v>1862</v>
      </c>
      <c r="BJ148" s="103" t="s">
        <v>1862</v>
      </c>
      <c r="BK148" s="103" t="s">
        <v>4469</v>
      </c>
      <c r="BL148" s="103" t="s">
        <v>4472</v>
      </c>
      <c r="BM148" s="103" t="s">
        <v>4461</v>
      </c>
      <c r="BN148" s="103" t="s">
        <v>4643</v>
      </c>
      <c r="BO148" s="103">
        <v>450</v>
      </c>
      <c r="BP148" s="103" t="s">
        <v>4532</v>
      </c>
      <c r="BQ148" s="99" t="s">
        <v>4644</v>
      </c>
      <c r="BR148" s="99" t="s">
        <v>4644</v>
      </c>
      <c r="BS148" s="99" t="s">
        <v>4564</v>
      </c>
      <c r="BT148" s="103" t="s">
        <v>3186</v>
      </c>
      <c r="BU148" s="99"/>
      <c r="BV148" s="103" t="s">
        <v>4644</v>
      </c>
      <c r="BW148" s="103" t="s">
        <v>4644</v>
      </c>
      <c r="BX148" s="103"/>
      <c r="BY148" s="103"/>
      <c r="BZ148" s="103"/>
      <c r="CA148" s="103"/>
      <c r="CB148" s="103"/>
      <c r="CC148" s="103" t="s">
        <v>4502</v>
      </c>
      <c r="CD148" s="103" t="s">
        <v>4475</v>
      </c>
      <c r="CE148" s="112" t="s">
        <v>4475</v>
      </c>
      <c r="CF148" s="103"/>
      <c r="CG148" s="103" t="s">
        <v>771</v>
      </c>
      <c r="CH148" s="103" t="s">
        <v>772</v>
      </c>
      <c r="CI148" s="103">
        <v>72106942</v>
      </c>
      <c r="CJ148" s="103"/>
      <c r="CK148" s="108">
        <v>43364.693287037036</v>
      </c>
      <c r="CL148" s="109">
        <v>43364.732754629629</v>
      </c>
      <c r="CM148" s="95">
        <v>11.267662</v>
      </c>
      <c r="CN148" s="95">
        <v>-2.6375384999999998</v>
      </c>
      <c r="CO148" s="99"/>
      <c r="CP148" s="99"/>
      <c r="CQ148" s="99"/>
      <c r="CR148" s="99"/>
      <c r="CS148" s="99"/>
      <c r="CT148" s="99"/>
      <c r="CU148" s="99"/>
      <c r="CV148" s="99"/>
      <c r="CW148" s="99"/>
      <c r="CX148" s="99"/>
      <c r="CY148" s="99"/>
      <c r="CZ148" s="99"/>
      <c r="DA148" s="99"/>
      <c r="DB148" s="99"/>
      <c r="DC148" s="99"/>
    </row>
    <row r="149" spans="1:107" ht="15.75" customHeight="1">
      <c r="A149" s="95">
        <v>150</v>
      </c>
      <c r="B149" s="99" t="s">
        <v>670</v>
      </c>
      <c r="C149" s="99" t="s">
        <v>773</v>
      </c>
      <c r="D149" s="99">
        <v>76346392</v>
      </c>
      <c r="E149" s="99" t="s">
        <v>229</v>
      </c>
      <c r="F149" s="95" t="s">
        <v>5299</v>
      </c>
      <c r="G149" s="95" t="s">
        <v>1089</v>
      </c>
      <c r="H149" s="95" t="s">
        <v>1121</v>
      </c>
      <c r="I149" s="95" t="s">
        <v>230</v>
      </c>
      <c r="J149" s="95"/>
      <c r="K149" s="99"/>
      <c r="L149" s="103" t="s">
        <v>4449</v>
      </c>
      <c r="M149" s="99" t="s">
        <v>4632</v>
      </c>
      <c r="N149" s="99" t="s">
        <v>4451</v>
      </c>
      <c r="O149" s="99" t="s">
        <v>4684</v>
      </c>
      <c r="P149" s="103">
        <v>2001</v>
      </c>
      <c r="Q149" s="103" t="s">
        <v>1862</v>
      </c>
      <c r="R149" s="99" t="s">
        <v>4633</v>
      </c>
      <c r="S149" s="103" t="s">
        <v>2282</v>
      </c>
      <c r="T149" s="103" t="s">
        <v>4634</v>
      </c>
      <c r="U149" s="99" t="s">
        <v>5300</v>
      </c>
      <c r="V149" s="95">
        <v>13.608796399999999</v>
      </c>
      <c r="W149" s="95">
        <v>-0.64865139999999999</v>
      </c>
      <c r="X149" s="104" t="s">
        <v>5301</v>
      </c>
      <c r="Y149" s="103" t="s">
        <v>1634</v>
      </c>
      <c r="Z149" s="103" t="s">
        <v>1634</v>
      </c>
      <c r="AA149" s="103" t="s">
        <v>1862</v>
      </c>
      <c r="AB149" s="103">
        <v>300</v>
      </c>
      <c r="AC149" s="103">
        <v>4</v>
      </c>
      <c r="AD149" s="103">
        <v>296</v>
      </c>
      <c r="AE149" s="103" t="s">
        <v>1634</v>
      </c>
      <c r="AF149" s="103" t="s">
        <v>4493</v>
      </c>
      <c r="AG149" s="99" t="s">
        <v>4554</v>
      </c>
      <c r="AH149" s="103" t="s">
        <v>1862</v>
      </c>
      <c r="AI149" s="103" t="s">
        <v>1862</v>
      </c>
      <c r="AJ149" s="103" t="s">
        <v>1862</v>
      </c>
      <c r="AK149" s="103" t="s">
        <v>1862</v>
      </c>
      <c r="AL149" s="103" t="s">
        <v>1804</v>
      </c>
      <c r="AM149" s="103" t="s">
        <v>1862</v>
      </c>
      <c r="AN149" s="99" t="s">
        <v>4638</v>
      </c>
      <c r="AO149" s="103" t="s">
        <v>1862</v>
      </c>
      <c r="AP149" s="103">
        <v>1500</v>
      </c>
      <c r="AQ149" s="112" t="s">
        <v>4461</v>
      </c>
      <c r="AR149" s="103"/>
      <c r="AS149" s="106">
        <v>50000000</v>
      </c>
      <c r="AT149" s="103" t="s">
        <v>4527</v>
      </c>
      <c r="AU149" s="103" t="s">
        <v>1634</v>
      </c>
      <c r="AV149" s="99" t="s">
        <v>4463</v>
      </c>
      <c r="AW149" s="99" t="s">
        <v>4639</v>
      </c>
      <c r="AX149" s="99" t="s">
        <v>4640</v>
      </c>
      <c r="AY149" s="99" t="s">
        <v>4641</v>
      </c>
      <c r="AZ149" s="99" t="s">
        <v>4530</v>
      </c>
      <c r="BA149" s="103" t="s">
        <v>1634</v>
      </c>
      <c r="BB149" s="99"/>
      <c r="BC149" s="99">
        <v>22000</v>
      </c>
      <c r="BD149" s="99"/>
      <c r="BE149" s="99">
        <v>50000000</v>
      </c>
      <c r="BF149" s="103" t="s">
        <v>4642</v>
      </c>
      <c r="BG149" s="103" t="s">
        <v>1862</v>
      </c>
      <c r="BH149" s="103" t="s">
        <v>1862</v>
      </c>
      <c r="BI149" s="103" t="s">
        <v>1862</v>
      </c>
      <c r="BJ149" s="103" t="s">
        <v>1862</v>
      </c>
      <c r="BK149" s="103" t="s">
        <v>4469</v>
      </c>
      <c r="BL149" s="103" t="s">
        <v>4472</v>
      </c>
      <c r="BM149" s="103" t="s">
        <v>4461</v>
      </c>
      <c r="BN149" s="103" t="s">
        <v>4643</v>
      </c>
      <c r="BO149" s="103">
        <v>450</v>
      </c>
      <c r="BP149" s="103" t="s">
        <v>4532</v>
      </c>
      <c r="BQ149" s="99" t="s">
        <v>4644</v>
      </c>
      <c r="BR149" s="99" t="s">
        <v>4644</v>
      </c>
      <c r="BS149" s="99" t="s">
        <v>4564</v>
      </c>
      <c r="BT149" s="103" t="s">
        <v>3186</v>
      </c>
      <c r="BU149" s="99"/>
      <c r="BV149" s="103" t="s">
        <v>4644</v>
      </c>
      <c r="BW149" s="103" t="s">
        <v>4644</v>
      </c>
      <c r="BX149" s="103"/>
      <c r="BY149" s="103"/>
      <c r="BZ149" s="103"/>
      <c r="CA149" s="103"/>
      <c r="CB149" s="103"/>
      <c r="CC149" s="103" t="s">
        <v>4502</v>
      </c>
      <c r="CD149" s="103" t="s">
        <v>4475</v>
      </c>
      <c r="CE149" s="112" t="s">
        <v>4475</v>
      </c>
      <c r="CF149" s="103"/>
      <c r="CG149" s="103" t="s">
        <v>670</v>
      </c>
      <c r="CH149" s="103" t="s">
        <v>5302</v>
      </c>
      <c r="CI149" s="103">
        <v>76346392</v>
      </c>
      <c r="CJ149" s="103"/>
      <c r="CK149" s="108">
        <v>43364.693287037036</v>
      </c>
      <c r="CL149" s="109">
        <v>43364.732754629629</v>
      </c>
      <c r="CM149" s="95">
        <v>13.608796399999999</v>
      </c>
      <c r="CN149" s="95">
        <v>-0.64865139999999999</v>
      </c>
      <c r="CO149" s="99"/>
      <c r="CP149" s="99"/>
      <c r="CQ149" s="99"/>
      <c r="CR149" s="99"/>
      <c r="CS149" s="99"/>
      <c r="CT149" s="99"/>
      <c r="CU149" s="99"/>
      <c r="CV149" s="99"/>
      <c r="CW149" s="99"/>
      <c r="CX149" s="99"/>
      <c r="CY149" s="99"/>
      <c r="CZ149" s="99"/>
      <c r="DA149" s="99"/>
      <c r="DB149" s="99"/>
      <c r="DC149" s="99"/>
    </row>
    <row r="150" spans="1:107" ht="15.75" customHeight="1">
      <c r="A150" s="95">
        <v>151</v>
      </c>
      <c r="B150" s="99" t="s">
        <v>774</v>
      </c>
      <c r="C150" s="99" t="s">
        <v>672</v>
      </c>
      <c r="D150" s="99">
        <v>76560943</v>
      </c>
      <c r="E150" s="99" t="s">
        <v>5303</v>
      </c>
      <c r="F150" s="95" t="s">
        <v>5304</v>
      </c>
      <c r="G150" s="95" t="s">
        <v>1044</v>
      </c>
      <c r="H150" s="95" t="s">
        <v>1119</v>
      </c>
      <c r="I150" s="95" t="s">
        <v>232</v>
      </c>
      <c r="J150" s="95"/>
      <c r="K150" s="99"/>
      <c r="L150" s="103" t="s">
        <v>4449</v>
      </c>
      <c r="M150" s="99" t="s">
        <v>4450</v>
      </c>
      <c r="N150" s="99" t="s">
        <v>4520</v>
      </c>
      <c r="O150" s="99" t="s">
        <v>4550</v>
      </c>
      <c r="P150" s="103">
        <v>2012</v>
      </c>
      <c r="Q150" s="103" t="s">
        <v>1862</v>
      </c>
      <c r="R150" s="99" t="s">
        <v>4755</v>
      </c>
      <c r="S150" s="103" t="s">
        <v>1541</v>
      </c>
      <c r="T150" s="103" t="s">
        <v>4522</v>
      </c>
      <c r="U150" s="99" t="s">
        <v>5305</v>
      </c>
      <c r="V150" s="95">
        <v>12.844344700000001</v>
      </c>
      <c r="W150" s="95">
        <v>-2.0384863000000002</v>
      </c>
      <c r="X150" s="104" t="s">
        <v>5306</v>
      </c>
      <c r="Y150" s="103" t="s">
        <v>1634</v>
      </c>
      <c r="Z150" s="103" t="s">
        <v>1634</v>
      </c>
      <c r="AA150" s="103" t="s">
        <v>1862</v>
      </c>
      <c r="AB150" s="103">
        <v>38</v>
      </c>
      <c r="AC150" s="103">
        <v>0</v>
      </c>
      <c r="AD150" s="103">
        <v>38</v>
      </c>
      <c r="AE150" s="103" t="s">
        <v>1548</v>
      </c>
      <c r="AF150" s="103" t="s">
        <v>4493</v>
      </c>
      <c r="AG150" s="99" t="s">
        <v>5267</v>
      </c>
      <c r="AH150" s="103" t="s">
        <v>1804</v>
      </c>
      <c r="AI150" s="103" t="s">
        <v>1862</v>
      </c>
      <c r="AJ150" s="103" t="s">
        <v>1862</v>
      </c>
      <c r="AK150" s="103" t="s">
        <v>1862</v>
      </c>
      <c r="AL150" s="103" t="s">
        <v>1804</v>
      </c>
      <c r="AM150" s="103" t="s">
        <v>1862</v>
      </c>
      <c r="AN150" s="99" t="s">
        <v>4526</v>
      </c>
      <c r="AO150" s="103" t="s">
        <v>1862</v>
      </c>
      <c r="AP150" s="103">
        <v>850</v>
      </c>
      <c r="AQ150" s="103" t="s">
        <v>4500</v>
      </c>
      <c r="AR150" s="103"/>
      <c r="AS150" s="106">
        <v>1500000</v>
      </c>
      <c r="AT150" s="103" t="s">
        <v>4625</v>
      </c>
      <c r="AU150" s="103" t="s">
        <v>1634</v>
      </c>
      <c r="AV150" s="99" t="s">
        <v>4671</v>
      </c>
      <c r="AW150" s="99" t="s">
        <v>5307</v>
      </c>
      <c r="AX150" s="99" t="s">
        <v>5308</v>
      </c>
      <c r="AY150" s="99" t="s">
        <v>4466</v>
      </c>
      <c r="AZ150" s="99" t="s">
        <v>4530</v>
      </c>
      <c r="BA150" s="103" t="s">
        <v>1634</v>
      </c>
      <c r="BB150" s="99">
        <v>10000</v>
      </c>
      <c r="BC150" s="99">
        <v>8000</v>
      </c>
      <c r="BD150" s="99"/>
      <c r="BE150" s="99">
        <v>1500000</v>
      </c>
      <c r="BF150" s="103" t="s">
        <v>4842</v>
      </c>
      <c r="BG150" s="103" t="s">
        <v>1804</v>
      </c>
      <c r="BH150" s="103" t="s">
        <v>1862</v>
      </c>
      <c r="BI150" s="103" t="s">
        <v>1862</v>
      </c>
      <c r="BJ150" s="103" t="s">
        <v>1862</v>
      </c>
      <c r="BK150" s="103" t="s">
        <v>4478</v>
      </c>
      <c r="BL150" s="103" t="s">
        <v>4500</v>
      </c>
      <c r="BM150" s="103" t="s">
        <v>4461</v>
      </c>
      <c r="BN150" s="103" t="s">
        <v>4531</v>
      </c>
      <c r="BO150" s="103">
        <v>400</v>
      </c>
      <c r="BP150" s="103" t="s">
        <v>4532</v>
      </c>
      <c r="BQ150" s="99" t="s">
        <v>4533</v>
      </c>
      <c r="BR150" s="99"/>
      <c r="BS150" s="99"/>
      <c r="BT150" s="103" t="s">
        <v>3186</v>
      </c>
      <c r="BU150" s="99" t="s">
        <v>4475</v>
      </c>
      <c r="BV150" s="103" t="s">
        <v>4476</v>
      </c>
      <c r="BW150" s="103" t="s">
        <v>4476</v>
      </c>
      <c r="BX150" s="103" t="s">
        <v>1548</v>
      </c>
      <c r="BY150" s="103" t="s">
        <v>4501</v>
      </c>
      <c r="BZ150" s="103" t="s">
        <v>4478</v>
      </c>
      <c r="CA150" s="103" t="s">
        <v>4461</v>
      </c>
      <c r="CB150" s="103">
        <v>50</v>
      </c>
      <c r="CC150" s="103" t="s">
        <v>4502</v>
      </c>
      <c r="CD150" s="103" t="s">
        <v>4475</v>
      </c>
      <c r="CE150" s="103" t="s">
        <v>4481</v>
      </c>
      <c r="CF150" s="103"/>
      <c r="CG150" s="103" t="s">
        <v>592</v>
      </c>
      <c r="CH150" s="103" t="s">
        <v>5309</v>
      </c>
      <c r="CI150" s="103">
        <v>75093189</v>
      </c>
      <c r="CJ150" s="103"/>
      <c r="CK150" s="108">
        <v>43365.313368055555</v>
      </c>
      <c r="CL150" s="109">
        <v>43366.634895833333</v>
      </c>
      <c r="CM150" s="95">
        <v>12.844344700000001</v>
      </c>
      <c r="CN150" s="95">
        <v>-2.0384863000000002</v>
      </c>
      <c r="CO150" s="99"/>
      <c r="CP150" s="99"/>
      <c r="CQ150" s="99"/>
      <c r="CR150" s="99"/>
      <c r="CS150" s="99"/>
      <c r="CT150" s="99"/>
      <c r="CU150" s="99"/>
      <c r="CV150" s="99"/>
      <c r="CW150" s="99"/>
      <c r="CX150" s="99"/>
      <c r="CY150" s="99"/>
      <c r="CZ150" s="99"/>
      <c r="DA150" s="99"/>
      <c r="DB150" s="99"/>
      <c r="DC150" s="99"/>
    </row>
    <row r="151" spans="1:107" ht="15.75" customHeight="1">
      <c r="A151" s="95">
        <v>152</v>
      </c>
      <c r="B151" s="99" t="s">
        <v>775</v>
      </c>
      <c r="C151" s="99" t="s">
        <v>776</v>
      </c>
      <c r="D151" s="99">
        <v>70177302</v>
      </c>
      <c r="E151" s="99" t="s">
        <v>233</v>
      </c>
      <c r="F151" s="95" t="s">
        <v>4733</v>
      </c>
      <c r="G151" s="95" t="s">
        <v>1062</v>
      </c>
      <c r="H151" s="95" t="s">
        <v>1064</v>
      </c>
      <c r="I151" s="95" t="s">
        <v>96</v>
      </c>
      <c r="J151" s="95"/>
      <c r="K151" s="99"/>
      <c r="L151" s="103" t="s">
        <v>4449</v>
      </c>
      <c r="M151" s="99" t="s">
        <v>4450</v>
      </c>
      <c r="N151" s="99" t="s">
        <v>4718</v>
      </c>
      <c r="O151" s="99" t="s">
        <v>4818</v>
      </c>
      <c r="P151" s="103">
        <v>1998</v>
      </c>
      <c r="Q151" s="103" t="s">
        <v>1862</v>
      </c>
      <c r="R151" s="99" t="s">
        <v>4633</v>
      </c>
      <c r="S151" s="103" t="s">
        <v>4803</v>
      </c>
      <c r="T151" s="103" t="s">
        <v>4634</v>
      </c>
      <c r="U151" s="99" t="s">
        <v>4734</v>
      </c>
      <c r="V151" s="95">
        <v>12.3714277</v>
      </c>
      <c r="W151" s="95">
        <v>-1.5196603</v>
      </c>
      <c r="X151" s="104" t="s">
        <v>4701</v>
      </c>
      <c r="Y151" s="103" t="s">
        <v>1634</v>
      </c>
      <c r="Z151" s="103" t="s">
        <v>1634</v>
      </c>
      <c r="AA151" s="103" t="s">
        <v>1862</v>
      </c>
      <c r="AB151" s="103">
        <v>400</v>
      </c>
      <c r="AC151" s="103">
        <v>10</v>
      </c>
      <c r="AD151" s="103">
        <v>380</v>
      </c>
      <c r="AE151" s="103" t="s">
        <v>1634</v>
      </c>
      <c r="AF151" s="103" t="s">
        <v>4493</v>
      </c>
      <c r="AG151" s="99" t="s">
        <v>4554</v>
      </c>
      <c r="AH151" s="103" t="s">
        <v>1862</v>
      </c>
      <c r="AI151" s="103" t="s">
        <v>1862</v>
      </c>
      <c r="AJ151" s="103" t="s">
        <v>1862</v>
      </c>
      <c r="AK151" s="103" t="s">
        <v>1862</v>
      </c>
      <c r="AL151" s="103" t="s">
        <v>1804</v>
      </c>
      <c r="AM151" s="103" t="s">
        <v>1862</v>
      </c>
      <c r="AN151" s="99" t="s">
        <v>4638</v>
      </c>
      <c r="AO151" s="103" t="s">
        <v>1862</v>
      </c>
      <c r="AP151" s="103">
        <v>1700</v>
      </c>
      <c r="AQ151" s="112" t="s">
        <v>4461</v>
      </c>
      <c r="AR151" s="103"/>
      <c r="AS151" s="106">
        <v>60000000</v>
      </c>
      <c r="AT151" s="103" t="s">
        <v>4527</v>
      </c>
      <c r="AU151" s="103" t="s">
        <v>1634</v>
      </c>
      <c r="AV151" s="99" t="s">
        <v>4463</v>
      </c>
      <c r="AW151" s="99" t="s">
        <v>4639</v>
      </c>
      <c r="AX151" s="99" t="s">
        <v>4640</v>
      </c>
      <c r="AY151" s="99" t="s">
        <v>4641</v>
      </c>
      <c r="AZ151" s="99" t="s">
        <v>4530</v>
      </c>
      <c r="BA151" s="103" t="s">
        <v>1634</v>
      </c>
      <c r="BB151" s="99"/>
      <c r="BC151" s="99">
        <v>25000</v>
      </c>
      <c r="BD151" s="99"/>
      <c r="BE151" s="99">
        <v>40000000</v>
      </c>
      <c r="BF151" s="103" t="s">
        <v>4642</v>
      </c>
      <c r="BG151" s="103" t="s">
        <v>1862</v>
      </c>
      <c r="BH151" s="103" t="s">
        <v>1862</v>
      </c>
      <c r="BI151" s="103" t="s">
        <v>1862</v>
      </c>
      <c r="BJ151" s="103" t="s">
        <v>1862</v>
      </c>
      <c r="BK151" s="103" t="s">
        <v>4469</v>
      </c>
      <c r="BL151" s="103" t="s">
        <v>4472</v>
      </c>
      <c r="BM151" s="103" t="s">
        <v>4461</v>
      </c>
      <c r="BN151" s="103" t="s">
        <v>4643</v>
      </c>
      <c r="BO151" s="103">
        <v>350</v>
      </c>
      <c r="BP151" s="103" t="s">
        <v>4532</v>
      </c>
      <c r="BQ151" s="99" t="s">
        <v>4644</v>
      </c>
      <c r="BR151" s="99" t="s">
        <v>4644</v>
      </c>
      <c r="BS151" s="99" t="s">
        <v>4564</v>
      </c>
      <c r="BT151" s="103" t="s">
        <v>3186</v>
      </c>
      <c r="BU151" s="99"/>
      <c r="BV151" s="103" t="s">
        <v>4644</v>
      </c>
      <c r="BW151" s="103" t="s">
        <v>4644</v>
      </c>
      <c r="BX151" s="103"/>
      <c r="BY151" s="103"/>
      <c r="BZ151" s="103"/>
      <c r="CA151" s="103"/>
      <c r="CB151" s="103"/>
      <c r="CC151" s="103" t="s">
        <v>4502</v>
      </c>
      <c r="CD151" s="103" t="s">
        <v>4475</v>
      </c>
      <c r="CE151" s="112" t="s">
        <v>4475</v>
      </c>
      <c r="CF151" s="103"/>
      <c r="CG151" s="103" t="s">
        <v>775</v>
      </c>
      <c r="CH151" s="103" t="s">
        <v>776</v>
      </c>
      <c r="CI151" s="103">
        <v>70177302</v>
      </c>
      <c r="CJ151" s="103"/>
      <c r="CK151" s="108">
        <v>43364.693287037036</v>
      </c>
      <c r="CL151" s="109">
        <v>43364.732754629629</v>
      </c>
      <c r="CM151" s="95">
        <v>12.3714277</v>
      </c>
      <c r="CN151" s="95">
        <v>-1.5196603</v>
      </c>
      <c r="CO151" s="99"/>
      <c r="CP151" s="99"/>
      <c r="CQ151" s="99"/>
      <c r="CR151" s="99"/>
      <c r="CS151" s="99"/>
      <c r="CT151" s="99"/>
      <c r="CU151" s="99"/>
      <c r="CV151" s="99"/>
      <c r="CW151" s="99"/>
      <c r="CX151" s="99"/>
      <c r="CY151" s="99"/>
      <c r="CZ151" s="99"/>
      <c r="DA151" s="99"/>
      <c r="DB151" s="99"/>
      <c r="DC151" s="99"/>
    </row>
    <row r="152" spans="1:107" ht="15.75" customHeight="1">
      <c r="A152" s="95">
        <v>153</v>
      </c>
      <c r="B152" s="99" t="s">
        <v>777</v>
      </c>
      <c r="C152" s="99" t="s">
        <v>609</v>
      </c>
      <c r="D152" s="99">
        <v>77474952</v>
      </c>
      <c r="E152" s="99" t="s">
        <v>234</v>
      </c>
      <c r="F152" s="95" t="s">
        <v>5310</v>
      </c>
      <c r="G152" s="95" t="s">
        <v>1044</v>
      </c>
      <c r="H152" s="95" t="s">
        <v>1045</v>
      </c>
      <c r="I152" s="95" t="s">
        <v>235</v>
      </c>
      <c r="J152" s="95"/>
      <c r="K152" s="99"/>
      <c r="L152" s="103" t="s">
        <v>4449</v>
      </c>
      <c r="M152" s="99" t="s">
        <v>4450</v>
      </c>
      <c r="N152" s="99" t="s">
        <v>1565</v>
      </c>
      <c r="O152" s="99"/>
      <c r="P152" s="103">
        <v>2010</v>
      </c>
      <c r="Q152" s="103" t="s">
        <v>1862</v>
      </c>
      <c r="R152" s="99" t="s">
        <v>4551</v>
      </c>
      <c r="S152" s="103" t="s">
        <v>1541</v>
      </c>
      <c r="T152" s="103" t="s">
        <v>4522</v>
      </c>
      <c r="U152" s="99" t="s">
        <v>5311</v>
      </c>
      <c r="V152" s="95">
        <v>12.8881221</v>
      </c>
      <c r="W152" s="95">
        <v>-2.2236666999999999</v>
      </c>
      <c r="X152" s="104" t="s">
        <v>5312</v>
      </c>
      <c r="Y152" s="103" t="s">
        <v>1634</v>
      </c>
      <c r="Z152" s="103" t="s">
        <v>1634</v>
      </c>
      <c r="AA152" s="103" t="s">
        <v>1862</v>
      </c>
      <c r="AB152" s="103">
        <v>25</v>
      </c>
      <c r="AC152" s="103">
        <v>0</v>
      </c>
      <c r="AD152" s="103">
        <v>25</v>
      </c>
      <c r="AE152" s="103" t="s">
        <v>1634</v>
      </c>
      <c r="AF152" s="103" t="s">
        <v>4493</v>
      </c>
      <c r="AG152" s="99" t="s">
        <v>4879</v>
      </c>
      <c r="AH152" s="103" t="s">
        <v>1862</v>
      </c>
      <c r="AI152" s="103" t="s">
        <v>1862</v>
      </c>
      <c r="AJ152" s="103" t="s">
        <v>1804</v>
      </c>
      <c r="AK152" s="103" t="s">
        <v>1804</v>
      </c>
      <c r="AL152" s="103" t="s">
        <v>1804</v>
      </c>
      <c r="AM152" s="103" t="s">
        <v>1862</v>
      </c>
      <c r="AN152" s="99" t="s">
        <v>4735</v>
      </c>
      <c r="AO152" s="103" t="s">
        <v>1862</v>
      </c>
      <c r="AP152" s="103">
        <v>800</v>
      </c>
      <c r="AQ152" s="103" t="s">
        <v>4461</v>
      </c>
      <c r="AR152" s="103"/>
      <c r="AS152" s="106">
        <v>125000</v>
      </c>
      <c r="AT152" s="103" t="s">
        <v>4496</v>
      </c>
      <c r="AU152" s="103" t="s">
        <v>1634</v>
      </c>
      <c r="AV152" s="99" t="s">
        <v>4463</v>
      </c>
      <c r="AW152" s="99" t="s">
        <v>5313</v>
      </c>
      <c r="AX152" s="99" t="s">
        <v>5314</v>
      </c>
      <c r="AY152" s="99" t="s">
        <v>4466</v>
      </c>
      <c r="AZ152" s="99" t="s">
        <v>4530</v>
      </c>
      <c r="BA152" s="103" t="s">
        <v>1634</v>
      </c>
      <c r="BB152" s="99">
        <v>2000</v>
      </c>
      <c r="BC152" s="99">
        <v>4000</v>
      </c>
      <c r="BD152" s="99"/>
      <c r="BE152" s="99">
        <v>125000</v>
      </c>
      <c r="BF152" s="103" t="s">
        <v>4653</v>
      </c>
      <c r="BG152" s="103" t="s">
        <v>1862</v>
      </c>
      <c r="BH152" s="103" t="s">
        <v>1804</v>
      </c>
      <c r="BI152" s="103" t="s">
        <v>1862</v>
      </c>
      <c r="BJ152" s="103" t="s">
        <v>1804</v>
      </c>
      <c r="BK152" s="103" t="s">
        <v>4478</v>
      </c>
      <c r="BL152" s="103" t="s">
        <v>4472</v>
      </c>
      <c r="BM152" s="103" t="s">
        <v>4461</v>
      </c>
      <c r="BN152" s="103" t="s">
        <v>4531</v>
      </c>
      <c r="BO152" s="103">
        <v>600</v>
      </c>
      <c r="BP152" s="103" t="s">
        <v>4532</v>
      </c>
      <c r="BQ152" s="99" t="s">
        <v>4476</v>
      </c>
      <c r="BR152" s="99"/>
      <c r="BS152" s="99"/>
      <c r="BT152" s="103" t="s">
        <v>3186</v>
      </c>
      <c r="BU152" s="99" t="s">
        <v>4502</v>
      </c>
      <c r="BV152" s="103" t="s">
        <v>4476</v>
      </c>
      <c r="BW152" s="103" t="s">
        <v>4476</v>
      </c>
      <c r="BX152" s="103" t="s">
        <v>1548</v>
      </c>
      <c r="BY152" s="103" t="s">
        <v>4501</v>
      </c>
      <c r="BZ152" s="103" t="s">
        <v>4478</v>
      </c>
      <c r="CA152" s="103" t="s">
        <v>4509</v>
      </c>
      <c r="CB152" s="103">
        <v>25</v>
      </c>
      <c r="CC152" s="103" t="s">
        <v>4502</v>
      </c>
      <c r="CD152" s="103" t="s">
        <v>4502</v>
      </c>
      <c r="CE152" s="103" t="s">
        <v>4502</v>
      </c>
      <c r="CF152" s="103"/>
      <c r="CG152" s="103" t="s">
        <v>592</v>
      </c>
      <c r="CH152" s="103" t="s">
        <v>5315</v>
      </c>
      <c r="CI152" s="103">
        <v>74945054</v>
      </c>
      <c r="CJ152" s="103"/>
      <c r="CK152" s="108">
        <v>43365.376747685186</v>
      </c>
      <c r="CL152" s="109">
        <v>43366.635960648149</v>
      </c>
      <c r="CM152" s="95">
        <v>12.8881221</v>
      </c>
      <c r="CN152" s="95">
        <v>-2.2236666999999999</v>
      </c>
      <c r="CO152" s="99"/>
      <c r="CP152" s="99"/>
      <c r="CQ152" s="99"/>
      <c r="CR152" s="99"/>
      <c r="CS152" s="99"/>
      <c r="CT152" s="99"/>
      <c r="CU152" s="99"/>
      <c r="CV152" s="99"/>
      <c r="CW152" s="99"/>
      <c r="CX152" s="99"/>
      <c r="CY152" s="99"/>
      <c r="CZ152" s="99"/>
      <c r="DA152" s="99"/>
      <c r="DB152" s="99"/>
      <c r="DC152" s="99"/>
    </row>
    <row r="153" spans="1:107" ht="15.75" customHeight="1">
      <c r="A153" s="95">
        <v>154</v>
      </c>
      <c r="B153" s="99" t="s">
        <v>547</v>
      </c>
      <c r="C153" s="99" t="s">
        <v>778</v>
      </c>
      <c r="D153" s="110">
        <v>77893705</v>
      </c>
      <c r="E153" s="99" t="s">
        <v>236</v>
      </c>
      <c r="F153" s="95" t="s">
        <v>5316</v>
      </c>
      <c r="G153" s="95" t="s">
        <v>1044</v>
      </c>
      <c r="H153" s="95" t="s">
        <v>1082</v>
      </c>
      <c r="I153" s="95" t="s">
        <v>237</v>
      </c>
      <c r="J153" s="95"/>
      <c r="K153" s="99"/>
      <c r="L153" s="103" t="s">
        <v>4449</v>
      </c>
      <c r="M153" s="99" t="s">
        <v>4487</v>
      </c>
      <c r="N153" s="99" t="s">
        <v>1565</v>
      </c>
      <c r="O153" s="99" t="s">
        <v>4452</v>
      </c>
      <c r="P153" s="103">
        <v>2004</v>
      </c>
      <c r="Q153" s="103" t="s">
        <v>1862</v>
      </c>
      <c r="R153" s="99" t="s">
        <v>4521</v>
      </c>
      <c r="S153" s="103" t="s">
        <v>1541</v>
      </c>
      <c r="T153" s="103" t="s">
        <v>4522</v>
      </c>
      <c r="U153" s="99" t="s">
        <v>5317</v>
      </c>
      <c r="V153" s="95">
        <v>13.116592600000001</v>
      </c>
      <c r="W153" s="95">
        <v>-2.4208712999999999</v>
      </c>
      <c r="X153" s="104" t="s">
        <v>5318</v>
      </c>
      <c r="Y153" s="103" t="s">
        <v>1634</v>
      </c>
      <c r="Z153" s="103" t="s">
        <v>1634</v>
      </c>
      <c r="AA153" s="103" t="s">
        <v>1862</v>
      </c>
      <c r="AB153" s="103">
        <v>26</v>
      </c>
      <c r="AC153" s="103">
        <v>0</v>
      </c>
      <c r="AD153" s="103">
        <v>26</v>
      </c>
      <c r="AE153" s="103" t="s">
        <v>1634</v>
      </c>
      <c r="AF153" s="103" t="s">
        <v>4493</v>
      </c>
      <c r="AG153" s="99" t="s">
        <v>4494</v>
      </c>
      <c r="AH153" s="103" t="s">
        <v>1862</v>
      </c>
      <c r="AI153" s="103" t="s">
        <v>1862</v>
      </c>
      <c r="AJ153" s="103" t="s">
        <v>1804</v>
      </c>
      <c r="AK153" s="103" t="s">
        <v>1804</v>
      </c>
      <c r="AL153" s="103" t="s">
        <v>1862</v>
      </c>
      <c r="AM153" s="103" t="s">
        <v>1862</v>
      </c>
      <c r="AN153" s="99" t="s">
        <v>4735</v>
      </c>
      <c r="AO153" s="103" t="s">
        <v>1862</v>
      </c>
      <c r="AP153" s="103">
        <v>600</v>
      </c>
      <c r="AQ153" s="103" t="s">
        <v>4461</v>
      </c>
      <c r="AR153" s="103">
        <v>375000</v>
      </c>
      <c r="AS153" s="106">
        <v>280000</v>
      </c>
      <c r="AT153" s="103" t="s">
        <v>4496</v>
      </c>
      <c r="AU153" s="103" t="s">
        <v>1548</v>
      </c>
      <c r="AV153" s="99"/>
      <c r="AW153" s="99"/>
      <c r="AX153" s="99" t="s">
        <v>4913</v>
      </c>
      <c r="AY153" s="99" t="s">
        <v>4466</v>
      </c>
      <c r="AZ153" s="99" t="s">
        <v>4467</v>
      </c>
      <c r="BA153" s="103" t="s">
        <v>1548</v>
      </c>
      <c r="BB153" s="99">
        <v>2000</v>
      </c>
      <c r="BC153" s="99">
        <v>1250</v>
      </c>
      <c r="BD153" s="99">
        <v>375000</v>
      </c>
      <c r="BE153" s="99">
        <v>225000</v>
      </c>
      <c r="BF153" s="103" t="s">
        <v>4544</v>
      </c>
      <c r="BG153" s="103" t="s">
        <v>1862</v>
      </c>
      <c r="BH153" s="103" t="s">
        <v>1862</v>
      </c>
      <c r="BI153" s="103" t="s">
        <v>1804</v>
      </c>
      <c r="BJ153" s="103" t="s">
        <v>1804</v>
      </c>
      <c r="BK153" s="103" t="s">
        <v>4478</v>
      </c>
      <c r="BL153" s="103" t="s">
        <v>4472</v>
      </c>
      <c r="BM153" s="103" t="s">
        <v>4461</v>
      </c>
      <c r="BN153" s="103" t="s">
        <v>4690</v>
      </c>
      <c r="BO153" s="103">
        <v>450</v>
      </c>
      <c r="BP153" s="103" t="s">
        <v>4532</v>
      </c>
      <c r="BQ153" s="99" t="s">
        <v>4476</v>
      </c>
      <c r="BR153" s="99" t="s">
        <v>4476</v>
      </c>
      <c r="BS153" s="99" t="s">
        <v>4476</v>
      </c>
      <c r="BT153" s="103" t="s">
        <v>3186</v>
      </c>
      <c r="BU153" s="99" t="s">
        <v>4476</v>
      </c>
      <c r="BV153" s="103" t="s">
        <v>4476</v>
      </c>
      <c r="BW153" s="103" t="s">
        <v>1548</v>
      </c>
      <c r="BX153" s="103" t="s">
        <v>4610</v>
      </c>
      <c r="BY153" s="103" t="s">
        <v>4478</v>
      </c>
      <c r="BZ153" s="103" t="s">
        <v>4461</v>
      </c>
      <c r="CA153" s="103">
        <v>500</v>
      </c>
      <c r="CB153" s="103" t="s">
        <v>4480</v>
      </c>
      <c r="CC153" s="103" t="s">
        <v>4502</v>
      </c>
      <c r="CD153" s="103" t="s">
        <v>4502</v>
      </c>
      <c r="CE153" s="103" t="s">
        <v>4502</v>
      </c>
      <c r="CF153" s="103"/>
      <c r="CG153" s="103" t="s">
        <v>5319</v>
      </c>
      <c r="CH153" s="103" t="s">
        <v>778</v>
      </c>
      <c r="CI153" s="111">
        <v>77893705</v>
      </c>
      <c r="CJ153" s="99"/>
      <c r="CK153" s="108">
        <v>43366.478055555555</v>
      </c>
      <c r="CL153" s="108">
        <v>43366.505844907406</v>
      </c>
      <c r="CM153" s="95">
        <v>13.116592600000001</v>
      </c>
      <c r="CN153" s="95">
        <v>-2.4208712999999999</v>
      </c>
      <c r="CO153" s="99"/>
      <c r="CP153" s="99"/>
      <c r="CQ153" s="99"/>
      <c r="CR153" s="99"/>
      <c r="CS153" s="99"/>
      <c r="CT153" s="99"/>
      <c r="CU153" s="99"/>
      <c r="CV153" s="99"/>
      <c r="CW153" s="99"/>
      <c r="CX153" s="99"/>
      <c r="CY153" s="99"/>
      <c r="CZ153" s="99"/>
      <c r="DA153" s="99"/>
      <c r="DB153" s="99"/>
      <c r="DC153" s="99"/>
    </row>
    <row r="154" spans="1:107" ht="15.75" customHeight="1">
      <c r="A154" s="95">
        <v>155</v>
      </c>
      <c r="B154" s="99" t="s">
        <v>651</v>
      </c>
      <c r="C154" s="99" t="s">
        <v>779</v>
      </c>
      <c r="D154" s="99">
        <v>70382677</v>
      </c>
      <c r="E154" s="99" t="s">
        <v>238</v>
      </c>
      <c r="F154" s="95" t="s">
        <v>5310</v>
      </c>
      <c r="G154" s="95" t="s">
        <v>1044</v>
      </c>
      <c r="H154" s="95" t="s">
        <v>1045</v>
      </c>
      <c r="I154" s="95" t="s">
        <v>235</v>
      </c>
      <c r="J154" s="95"/>
      <c r="K154" s="99"/>
      <c r="L154" s="103" t="s">
        <v>4549</v>
      </c>
      <c r="M154" s="99" t="s">
        <v>4450</v>
      </c>
      <c r="N154" s="99" t="s">
        <v>4698</v>
      </c>
      <c r="O154" s="99" t="s">
        <v>4694</v>
      </c>
      <c r="P154" s="103">
        <v>2010</v>
      </c>
      <c r="Q154" s="103" t="s">
        <v>1862</v>
      </c>
      <c r="R154" s="99" t="s">
        <v>4521</v>
      </c>
      <c r="S154" s="103" t="s">
        <v>1541</v>
      </c>
      <c r="T154" s="103" t="s">
        <v>4522</v>
      </c>
      <c r="U154" s="99" t="s">
        <v>5311</v>
      </c>
      <c r="V154" s="95">
        <v>12.8881221</v>
      </c>
      <c r="W154" s="95">
        <v>-2.2236666999999999</v>
      </c>
      <c r="X154" s="104" t="s">
        <v>5312</v>
      </c>
      <c r="Y154" s="103"/>
      <c r="Z154" s="103"/>
      <c r="AA154" s="103"/>
      <c r="AB154" s="103"/>
      <c r="AC154" s="103"/>
      <c r="AD154" s="103"/>
      <c r="AE154" s="103"/>
      <c r="AF154" s="103"/>
      <c r="AG154" s="99"/>
      <c r="AH154" s="103"/>
      <c r="AI154" s="103"/>
      <c r="AJ154" s="103"/>
      <c r="AK154" s="103"/>
      <c r="AL154" s="103"/>
      <c r="AM154" s="103"/>
      <c r="AN154" s="99"/>
      <c r="AO154" s="103"/>
      <c r="AP154" s="103"/>
      <c r="AQ154" s="103"/>
      <c r="AR154" s="103"/>
      <c r="AS154" s="99"/>
      <c r="AT154" s="103"/>
      <c r="AU154" s="103"/>
      <c r="AV154" s="99"/>
      <c r="AW154" s="99"/>
      <c r="AX154" s="99"/>
      <c r="AY154" s="99"/>
      <c r="AZ154" s="99"/>
      <c r="BA154" s="103"/>
      <c r="BB154" s="99"/>
      <c r="BC154" s="99"/>
      <c r="BD154" s="99"/>
      <c r="BE154" s="99"/>
      <c r="BF154" s="103"/>
      <c r="BG154" s="103"/>
      <c r="BH154" s="103"/>
      <c r="BI154" s="103"/>
      <c r="BJ154" s="103"/>
      <c r="BK154" s="103" t="s">
        <v>4499</v>
      </c>
      <c r="BL154" s="103"/>
      <c r="BM154" s="103"/>
      <c r="BN154" s="103"/>
      <c r="BO154" s="103"/>
      <c r="BP154" s="103"/>
      <c r="BQ154" s="107"/>
      <c r="BR154" s="99"/>
      <c r="BS154" s="99"/>
      <c r="BT154" s="103" t="s">
        <v>3186</v>
      </c>
      <c r="BU154" s="99"/>
      <c r="BV154" s="103"/>
      <c r="BW154" s="103"/>
      <c r="BX154" s="103"/>
      <c r="BY154" s="103"/>
      <c r="BZ154" s="103"/>
      <c r="CA154" s="103"/>
      <c r="CB154" s="103"/>
      <c r="CC154" s="103"/>
      <c r="CD154" s="103"/>
      <c r="CE154" s="103"/>
      <c r="CF154" s="103"/>
      <c r="CG154" s="103"/>
      <c r="CH154" s="103"/>
      <c r="CI154" s="103">
        <v>70382677</v>
      </c>
      <c r="CJ154" s="103"/>
      <c r="CK154" s="108">
        <v>43363.616840277777</v>
      </c>
      <c r="CL154" s="109">
        <v>43366.606423611112</v>
      </c>
      <c r="CM154" s="95">
        <v>12.8881221</v>
      </c>
      <c r="CN154" s="95">
        <v>-2.2236666999999999</v>
      </c>
      <c r="CO154" s="99"/>
      <c r="CP154" s="99"/>
      <c r="CQ154" s="99"/>
      <c r="CR154" s="99"/>
      <c r="CS154" s="99"/>
      <c r="CT154" s="99"/>
      <c r="CU154" s="99"/>
      <c r="CV154" s="99"/>
      <c r="CW154" s="99"/>
      <c r="CX154" s="99"/>
      <c r="CY154" s="99"/>
      <c r="CZ154" s="99"/>
      <c r="DA154" s="99"/>
      <c r="DB154" s="99"/>
      <c r="DC154" s="99"/>
    </row>
    <row r="155" spans="1:107" ht="15.75" customHeight="1">
      <c r="A155" s="95">
        <v>156</v>
      </c>
      <c r="B155" s="99" t="s">
        <v>527</v>
      </c>
      <c r="C155" s="99" t="s">
        <v>780</v>
      </c>
      <c r="D155" s="99">
        <v>76038781</v>
      </c>
      <c r="E155" s="99" t="s">
        <v>239</v>
      </c>
      <c r="F155" s="95" t="s">
        <v>7129</v>
      </c>
      <c r="G155" s="95" t="s">
        <v>1089</v>
      </c>
      <c r="H155" s="95" t="s">
        <v>1090</v>
      </c>
      <c r="I155" s="95" t="s">
        <v>240</v>
      </c>
      <c r="J155" s="95" t="s">
        <v>1122</v>
      </c>
      <c r="K155" s="99"/>
      <c r="L155" s="103" t="s">
        <v>4449</v>
      </c>
      <c r="M155" s="99" t="s">
        <v>4567</v>
      </c>
      <c r="N155" s="99" t="s">
        <v>4451</v>
      </c>
      <c r="O155" s="99" t="s">
        <v>4488</v>
      </c>
      <c r="P155" s="103">
        <v>2011</v>
      </c>
      <c r="Q155" s="103" t="s">
        <v>1862</v>
      </c>
      <c r="R155" s="99" t="s">
        <v>4709</v>
      </c>
      <c r="S155" s="103" t="s">
        <v>1541</v>
      </c>
      <c r="T155" s="103" t="s">
        <v>4522</v>
      </c>
      <c r="U155" s="99" t="s">
        <v>5321</v>
      </c>
      <c r="V155" s="95">
        <v>13.163088699999999</v>
      </c>
      <c r="W155" s="95">
        <v>-0.82716460000000003</v>
      </c>
      <c r="X155" s="104" t="s">
        <v>5322</v>
      </c>
      <c r="Y155" s="103"/>
      <c r="Z155" s="103"/>
      <c r="AA155" s="103"/>
      <c r="AB155" s="103"/>
      <c r="AC155" s="103"/>
      <c r="AD155" s="103"/>
      <c r="AE155" s="103"/>
      <c r="AF155" s="103"/>
      <c r="AG155" s="99"/>
      <c r="AH155" s="103"/>
      <c r="AI155" s="103"/>
      <c r="AJ155" s="103"/>
      <c r="AK155" s="103"/>
      <c r="AL155" s="103"/>
      <c r="AM155" s="103"/>
      <c r="AN155" s="99"/>
      <c r="AO155" s="103"/>
      <c r="AP155" s="103"/>
      <c r="AQ155" s="103"/>
      <c r="AR155" s="103"/>
      <c r="AS155" s="99"/>
      <c r="AT155" s="103"/>
      <c r="AU155" s="103"/>
      <c r="AV155" s="99"/>
      <c r="AW155" s="99"/>
      <c r="AX155" s="99"/>
      <c r="AY155" s="99"/>
      <c r="AZ155" s="99"/>
      <c r="BA155" s="103"/>
      <c r="BB155" s="99"/>
      <c r="BC155" s="99"/>
      <c r="BD155" s="99"/>
      <c r="BE155" s="99"/>
      <c r="BF155" s="103"/>
      <c r="BG155" s="103"/>
      <c r="BH155" s="103"/>
      <c r="BI155" s="103"/>
      <c r="BJ155" s="103"/>
      <c r="BK155" s="103" t="s">
        <v>4499</v>
      </c>
      <c r="BL155" s="103"/>
      <c r="BM155" s="103"/>
      <c r="BN155" s="103"/>
      <c r="BO155" s="103"/>
      <c r="BP155" s="103"/>
      <c r="BQ155" s="107"/>
      <c r="BR155" s="99"/>
      <c r="BS155" s="99"/>
      <c r="BT155" s="103" t="s">
        <v>3186</v>
      </c>
      <c r="BU155" s="99"/>
      <c r="BV155" s="103"/>
      <c r="BW155" s="103"/>
      <c r="BX155" s="103"/>
      <c r="BY155" s="103"/>
      <c r="BZ155" s="103"/>
      <c r="CA155" s="103"/>
      <c r="CB155" s="103"/>
      <c r="CC155" s="103"/>
      <c r="CD155" s="103"/>
      <c r="CE155" s="103"/>
      <c r="CF155" s="103"/>
      <c r="CG155" s="103"/>
      <c r="CH155" s="103"/>
      <c r="CI155" s="103">
        <v>76038781</v>
      </c>
      <c r="CJ155" s="103"/>
      <c r="CK155" s="108">
        <v>43363.349872685183</v>
      </c>
      <c r="CL155" s="109">
        <v>43366.606030092589</v>
      </c>
      <c r="CM155" s="95">
        <v>13.163088699999999</v>
      </c>
      <c r="CN155" s="95">
        <v>-0.82716460000000003</v>
      </c>
      <c r="CO155" s="99"/>
      <c r="CP155" s="99"/>
      <c r="CQ155" s="99"/>
      <c r="CR155" s="99"/>
      <c r="CS155" s="99"/>
      <c r="CT155" s="99"/>
      <c r="CU155" s="99"/>
      <c r="CV155" s="99"/>
      <c r="CW155" s="99"/>
      <c r="CX155" s="99"/>
      <c r="CY155" s="99"/>
      <c r="CZ155" s="99"/>
      <c r="DA155" s="99"/>
      <c r="DB155" s="99"/>
      <c r="DC155" s="99"/>
    </row>
    <row r="156" spans="1:107" ht="15.75" customHeight="1">
      <c r="A156" s="95">
        <v>157</v>
      </c>
      <c r="B156" s="118" t="s">
        <v>653</v>
      </c>
      <c r="C156" s="99" t="s">
        <v>781</v>
      </c>
      <c r="D156" s="99"/>
      <c r="E156" s="99" t="s">
        <v>241</v>
      </c>
      <c r="F156" s="95" t="s">
        <v>4939</v>
      </c>
      <c r="G156" s="95" t="s">
        <v>1086</v>
      </c>
      <c r="H156" s="95" t="s">
        <v>1070</v>
      </c>
      <c r="I156" s="95" t="s">
        <v>89</v>
      </c>
      <c r="J156" s="95"/>
      <c r="K156" s="99"/>
      <c r="L156" s="103" t="s">
        <v>4449</v>
      </c>
      <c r="M156" s="99" t="s">
        <v>4450</v>
      </c>
      <c r="N156" s="99" t="s">
        <v>4718</v>
      </c>
      <c r="O156" s="99" t="s">
        <v>4452</v>
      </c>
      <c r="P156" s="103">
        <v>1999</v>
      </c>
      <c r="Q156" s="103" t="s">
        <v>1862</v>
      </c>
      <c r="R156" s="99" t="s">
        <v>4633</v>
      </c>
      <c r="S156" s="103" t="s">
        <v>4803</v>
      </c>
      <c r="T156" s="103" t="s">
        <v>4634</v>
      </c>
      <c r="U156" s="99" t="s">
        <v>4940</v>
      </c>
      <c r="V156" s="95">
        <v>12.2562183</v>
      </c>
      <c r="W156" s="95">
        <v>-2.3517526000000002</v>
      </c>
      <c r="X156" s="104" t="s">
        <v>4839</v>
      </c>
      <c r="Y156" s="103" t="s">
        <v>1634</v>
      </c>
      <c r="Z156" s="103" t="s">
        <v>1634</v>
      </c>
      <c r="AA156" s="103" t="s">
        <v>1862</v>
      </c>
      <c r="AB156" s="103">
        <v>350</v>
      </c>
      <c r="AC156" s="103">
        <v>3</v>
      </c>
      <c r="AD156" s="103">
        <v>347</v>
      </c>
      <c r="AE156" s="103" t="s">
        <v>1634</v>
      </c>
      <c r="AF156" s="103" t="s">
        <v>4493</v>
      </c>
      <c r="AG156" s="99" t="s">
        <v>4554</v>
      </c>
      <c r="AH156" s="103" t="s">
        <v>1862</v>
      </c>
      <c r="AI156" s="103" t="s">
        <v>1862</v>
      </c>
      <c r="AJ156" s="103" t="s">
        <v>1862</v>
      </c>
      <c r="AK156" s="103" t="s">
        <v>1862</v>
      </c>
      <c r="AL156" s="103" t="s">
        <v>1804</v>
      </c>
      <c r="AM156" s="103" t="s">
        <v>1862</v>
      </c>
      <c r="AN156" s="99" t="s">
        <v>4638</v>
      </c>
      <c r="AO156" s="103" t="s">
        <v>1862</v>
      </c>
      <c r="AP156" s="103">
        <v>1750</v>
      </c>
      <c r="AQ156" s="112" t="s">
        <v>4461</v>
      </c>
      <c r="AR156" s="103"/>
      <c r="AS156" s="106">
        <v>55000000</v>
      </c>
      <c r="AT156" s="103" t="s">
        <v>4527</v>
      </c>
      <c r="AU156" s="103" t="s">
        <v>1634</v>
      </c>
      <c r="AV156" s="99" t="s">
        <v>4463</v>
      </c>
      <c r="AW156" s="99" t="s">
        <v>4639</v>
      </c>
      <c r="AX156" s="99" t="s">
        <v>4640</v>
      </c>
      <c r="AY156" s="99" t="s">
        <v>4641</v>
      </c>
      <c r="AZ156" s="99" t="s">
        <v>4530</v>
      </c>
      <c r="BA156" s="103" t="s">
        <v>1634</v>
      </c>
      <c r="BB156" s="99"/>
      <c r="BC156" s="99">
        <v>30000</v>
      </c>
      <c r="BD156" s="99"/>
      <c r="BE156" s="99">
        <v>45000000</v>
      </c>
      <c r="BF156" s="103" t="s">
        <v>4642</v>
      </c>
      <c r="BG156" s="103" t="s">
        <v>1862</v>
      </c>
      <c r="BH156" s="103" t="s">
        <v>1862</v>
      </c>
      <c r="BI156" s="103" t="s">
        <v>1862</v>
      </c>
      <c r="BJ156" s="103" t="s">
        <v>1862</v>
      </c>
      <c r="BK156" s="103" t="s">
        <v>4469</v>
      </c>
      <c r="BL156" s="103" t="s">
        <v>4472</v>
      </c>
      <c r="BM156" s="103" t="s">
        <v>4461</v>
      </c>
      <c r="BN156" s="103" t="s">
        <v>4643</v>
      </c>
      <c r="BO156" s="103">
        <v>500</v>
      </c>
      <c r="BP156" s="103" t="s">
        <v>4532</v>
      </c>
      <c r="BQ156" s="99" t="s">
        <v>4644</v>
      </c>
      <c r="BR156" s="99" t="s">
        <v>4644</v>
      </c>
      <c r="BS156" s="99" t="s">
        <v>4564</v>
      </c>
      <c r="BT156" s="103" t="s">
        <v>3186</v>
      </c>
      <c r="BU156" s="99"/>
      <c r="BV156" s="103" t="s">
        <v>4644</v>
      </c>
      <c r="BW156" s="103" t="s">
        <v>4644</v>
      </c>
      <c r="BX156" s="103"/>
      <c r="BY156" s="103"/>
      <c r="BZ156" s="103"/>
      <c r="CA156" s="103"/>
      <c r="CB156" s="103"/>
      <c r="CC156" s="103" t="s">
        <v>4502</v>
      </c>
      <c r="CD156" s="103" t="s">
        <v>4475</v>
      </c>
      <c r="CE156" s="112" t="s">
        <v>4475</v>
      </c>
      <c r="CF156" s="103"/>
      <c r="CG156" s="103" t="s">
        <v>653</v>
      </c>
      <c r="CH156" s="103" t="s">
        <v>781</v>
      </c>
      <c r="CI156" s="103">
        <v>70738750</v>
      </c>
      <c r="CJ156" s="103"/>
      <c r="CK156" s="108">
        <v>43364.693287037036</v>
      </c>
      <c r="CL156" s="109">
        <v>43364.732754629629</v>
      </c>
      <c r="CM156" s="95">
        <v>12.2562183</v>
      </c>
      <c r="CN156" s="95">
        <v>-2.3517526000000002</v>
      </c>
      <c r="CO156" s="99"/>
      <c r="CP156" s="99"/>
      <c r="CQ156" s="99"/>
      <c r="CR156" s="99"/>
      <c r="CS156" s="99"/>
      <c r="CT156" s="99"/>
      <c r="CU156" s="99"/>
      <c r="CV156" s="99"/>
      <c r="CW156" s="99"/>
      <c r="CX156" s="99"/>
      <c r="CY156" s="99"/>
      <c r="CZ156" s="99"/>
      <c r="DA156" s="99"/>
      <c r="DB156" s="99"/>
      <c r="DC156" s="99"/>
    </row>
    <row r="157" spans="1:107" ht="15.75" customHeight="1">
      <c r="A157" s="95">
        <v>158</v>
      </c>
      <c r="B157" s="99" t="s">
        <v>527</v>
      </c>
      <c r="C157" s="99" t="s">
        <v>782</v>
      </c>
      <c r="D157" s="99">
        <v>73728579</v>
      </c>
      <c r="E157" s="99" t="s">
        <v>242</v>
      </c>
      <c r="F157" s="95" t="s">
        <v>5323</v>
      </c>
      <c r="G157" s="95" t="s">
        <v>1089</v>
      </c>
      <c r="H157" s="95" t="s">
        <v>1090</v>
      </c>
      <c r="I157" s="95" t="s">
        <v>240</v>
      </c>
      <c r="J157" s="95" t="s">
        <v>119</v>
      </c>
      <c r="K157" s="99"/>
      <c r="L157" s="103" t="s">
        <v>4449</v>
      </c>
      <c r="M157" s="99" t="s">
        <v>4450</v>
      </c>
      <c r="N157" s="99" t="s">
        <v>1565</v>
      </c>
      <c r="O157" s="99" t="s">
        <v>4488</v>
      </c>
      <c r="P157" s="103">
        <v>2015</v>
      </c>
      <c r="Q157" s="103" t="s">
        <v>1862</v>
      </c>
      <c r="R157" s="99" t="s">
        <v>4709</v>
      </c>
      <c r="S157" s="103" t="s">
        <v>1541</v>
      </c>
      <c r="T157" s="103" t="s">
        <v>4522</v>
      </c>
      <c r="U157" s="99" t="s">
        <v>5324</v>
      </c>
      <c r="V157" s="95">
        <v>13.0910405</v>
      </c>
      <c r="W157" s="95">
        <v>-1.0873550999999999</v>
      </c>
      <c r="X157" s="104" t="s">
        <v>4968</v>
      </c>
      <c r="Y157" s="103"/>
      <c r="Z157" s="103"/>
      <c r="AA157" s="103"/>
      <c r="AB157" s="103"/>
      <c r="AC157" s="103"/>
      <c r="AD157" s="103"/>
      <c r="AE157" s="103"/>
      <c r="AF157" s="103"/>
      <c r="AG157" s="99"/>
      <c r="AH157" s="103"/>
      <c r="AI157" s="103"/>
      <c r="AJ157" s="103"/>
      <c r="AK157" s="103"/>
      <c r="AL157" s="103"/>
      <c r="AM157" s="103"/>
      <c r="AN157" s="99"/>
      <c r="AO157" s="103"/>
      <c r="AP157" s="103"/>
      <c r="AQ157" s="103"/>
      <c r="AR157" s="103"/>
      <c r="AS157" s="99"/>
      <c r="AT157" s="103"/>
      <c r="AU157" s="103"/>
      <c r="AV157" s="99"/>
      <c r="AW157" s="99"/>
      <c r="AX157" s="99"/>
      <c r="AY157" s="99"/>
      <c r="AZ157" s="99"/>
      <c r="BA157" s="103"/>
      <c r="BB157" s="99"/>
      <c r="BC157" s="99"/>
      <c r="BD157" s="99"/>
      <c r="BE157" s="99"/>
      <c r="BF157" s="103"/>
      <c r="BG157" s="103"/>
      <c r="BH157" s="103"/>
      <c r="BI157" s="103"/>
      <c r="BJ157" s="103"/>
      <c r="BK157" s="103" t="s">
        <v>4499</v>
      </c>
      <c r="BL157" s="103"/>
      <c r="BM157" s="103"/>
      <c r="BN157" s="103"/>
      <c r="BO157" s="103"/>
      <c r="BP157" s="103"/>
      <c r="BQ157" s="107"/>
      <c r="BR157" s="99"/>
      <c r="BS157" s="99"/>
      <c r="BT157" s="103" t="s">
        <v>3186</v>
      </c>
      <c r="BU157" s="99"/>
      <c r="BV157" s="103"/>
      <c r="BW157" s="103"/>
      <c r="BX157" s="103"/>
      <c r="BY157" s="103"/>
      <c r="BZ157" s="103"/>
      <c r="CA157" s="103"/>
      <c r="CB157" s="103"/>
      <c r="CC157" s="103"/>
      <c r="CD157" s="103"/>
      <c r="CE157" s="103"/>
      <c r="CF157" s="103"/>
      <c r="CG157" s="103"/>
      <c r="CH157" s="103"/>
      <c r="CI157" s="103">
        <v>73728579</v>
      </c>
      <c r="CJ157" s="103"/>
      <c r="CK157" s="108">
        <v>43366.610694444447</v>
      </c>
      <c r="CL157" s="109">
        <v>43366.612997685188</v>
      </c>
      <c r="CM157" s="95">
        <v>13.0910405</v>
      </c>
      <c r="CN157" s="95">
        <v>-1.0873550999999999</v>
      </c>
      <c r="CO157" s="99"/>
      <c r="CP157" s="99"/>
      <c r="CQ157" s="99"/>
      <c r="CR157" s="99"/>
      <c r="CS157" s="99"/>
      <c r="CT157" s="99"/>
      <c r="CU157" s="99"/>
      <c r="CV157" s="99"/>
      <c r="CW157" s="99"/>
      <c r="CX157" s="99"/>
      <c r="CY157" s="99"/>
      <c r="CZ157" s="99"/>
      <c r="DA157" s="99"/>
      <c r="DB157" s="99"/>
      <c r="DC157" s="99"/>
    </row>
    <row r="158" spans="1:107" ht="15.75" customHeight="1">
      <c r="A158" s="95">
        <v>159</v>
      </c>
      <c r="B158" s="99" t="s">
        <v>783</v>
      </c>
      <c r="C158" s="99" t="s">
        <v>784</v>
      </c>
      <c r="D158" s="110">
        <v>76280912</v>
      </c>
      <c r="E158" s="99" t="s">
        <v>243</v>
      </c>
      <c r="F158" s="95" t="s">
        <v>5325</v>
      </c>
      <c r="G158" s="95" t="s">
        <v>1085</v>
      </c>
      <c r="H158" s="95" t="s">
        <v>1123</v>
      </c>
      <c r="I158" s="95" t="s">
        <v>244</v>
      </c>
      <c r="J158" s="95"/>
      <c r="K158" s="99"/>
      <c r="L158" s="103" t="s">
        <v>4449</v>
      </c>
      <c r="M158" s="119" t="s">
        <v>4487</v>
      </c>
      <c r="N158" s="99"/>
      <c r="O158" s="99" t="s">
        <v>4818</v>
      </c>
      <c r="P158" s="103">
        <v>2006</v>
      </c>
      <c r="Q158" s="103" t="s">
        <v>1862</v>
      </c>
      <c r="R158" s="99" t="s">
        <v>4521</v>
      </c>
      <c r="S158" s="103" t="s">
        <v>1541</v>
      </c>
      <c r="T158" s="103" t="s">
        <v>4522</v>
      </c>
      <c r="U158" s="99" t="s">
        <v>5326</v>
      </c>
      <c r="V158" s="95">
        <v>11.489423800000001</v>
      </c>
      <c r="W158" s="95">
        <v>-3.5230920000000001</v>
      </c>
      <c r="X158" s="104" t="s">
        <v>5327</v>
      </c>
      <c r="Y158" s="103" t="s">
        <v>1634</v>
      </c>
      <c r="Z158" s="103" t="s">
        <v>1548</v>
      </c>
      <c r="AA158" s="103" t="s">
        <v>1862</v>
      </c>
      <c r="AB158" s="103">
        <v>30</v>
      </c>
      <c r="AC158" s="103">
        <v>0</v>
      </c>
      <c r="AD158" s="103">
        <v>30</v>
      </c>
      <c r="AE158" s="103" t="s">
        <v>1634</v>
      </c>
      <c r="AF158" s="103" t="s">
        <v>4779</v>
      </c>
      <c r="AG158" s="99" t="s">
        <v>4494</v>
      </c>
      <c r="AH158" s="103" t="s">
        <v>1862</v>
      </c>
      <c r="AI158" s="103" t="s">
        <v>1862</v>
      </c>
      <c r="AJ158" s="103" t="s">
        <v>1804</v>
      </c>
      <c r="AK158" s="103" t="s">
        <v>1804</v>
      </c>
      <c r="AL158" s="103" t="s">
        <v>1862</v>
      </c>
      <c r="AM158" s="103" t="s">
        <v>1862</v>
      </c>
      <c r="AN158" s="99" t="s">
        <v>4604</v>
      </c>
      <c r="AO158" s="103" t="s">
        <v>1862</v>
      </c>
      <c r="AP158" s="103">
        <v>600</v>
      </c>
      <c r="AQ158" s="103" t="s">
        <v>4461</v>
      </c>
      <c r="AR158" s="103">
        <v>400000</v>
      </c>
      <c r="AS158" s="106">
        <v>325000</v>
      </c>
      <c r="AT158" s="103" t="s">
        <v>4496</v>
      </c>
      <c r="AU158" s="103" t="s">
        <v>1548</v>
      </c>
      <c r="AV158" s="99"/>
      <c r="AW158" s="99"/>
      <c r="AX158" s="99" t="s">
        <v>4913</v>
      </c>
      <c r="AY158" s="99" t="s">
        <v>4466</v>
      </c>
      <c r="AZ158" s="99" t="s">
        <v>4530</v>
      </c>
      <c r="BA158" s="103" t="s">
        <v>1548</v>
      </c>
      <c r="BB158" s="99">
        <v>2500</v>
      </c>
      <c r="BC158" s="99">
        <v>1800</v>
      </c>
      <c r="BD158" s="99">
        <v>325000</v>
      </c>
      <c r="BE158" s="99">
        <v>250000</v>
      </c>
      <c r="BF158" s="103" t="s">
        <v>4715</v>
      </c>
      <c r="BG158" s="103" t="s">
        <v>1862</v>
      </c>
      <c r="BH158" s="103" t="s">
        <v>1862</v>
      </c>
      <c r="BI158" s="103" t="s">
        <v>1862</v>
      </c>
      <c r="BJ158" s="103" t="s">
        <v>1804</v>
      </c>
      <c r="BK158" s="103" t="s">
        <v>4478</v>
      </c>
      <c r="BL158" s="103" t="s">
        <v>4472</v>
      </c>
      <c r="BM158" s="103" t="s">
        <v>4461</v>
      </c>
      <c r="BN158" s="103" t="s">
        <v>4690</v>
      </c>
      <c r="BO158" s="103">
        <v>500</v>
      </c>
      <c r="BP158" s="103" t="s">
        <v>4532</v>
      </c>
      <c r="BQ158" s="99" t="s">
        <v>4476</v>
      </c>
      <c r="BR158" s="99" t="s">
        <v>4476</v>
      </c>
      <c r="BS158" s="99" t="s">
        <v>4476</v>
      </c>
      <c r="BT158" s="103" t="s">
        <v>3186</v>
      </c>
      <c r="BU158" s="99" t="s">
        <v>4476</v>
      </c>
      <c r="BV158" s="103" t="s">
        <v>4476</v>
      </c>
      <c r="BW158" s="103" t="s">
        <v>1548</v>
      </c>
      <c r="BX158" s="103" t="s">
        <v>4546</v>
      </c>
      <c r="BY158" s="103" t="s">
        <v>4478</v>
      </c>
      <c r="BZ158" s="103" t="s">
        <v>4461</v>
      </c>
      <c r="CA158" s="103">
        <v>400</v>
      </c>
      <c r="CB158" s="103" t="s">
        <v>4480</v>
      </c>
      <c r="CC158" s="103" t="s">
        <v>4716</v>
      </c>
      <c r="CD158" s="103" t="s">
        <v>4502</v>
      </c>
      <c r="CE158" s="103" t="s">
        <v>4502</v>
      </c>
      <c r="CF158" s="103"/>
      <c r="CG158" s="103" t="s">
        <v>579</v>
      </c>
      <c r="CH158" s="103" t="s">
        <v>5328</v>
      </c>
      <c r="CI158" s="111">
        <v>76280912</v>
      </c>
      <c r="CJ158" s="99"/>
      <c r="CK158" s="108">
        <v>43366.512002314812</v>
      </c>
      <c r="CL158" s="108">
        <v>43366.522511574076</v>
      </c>
      <c r="CM158" s="95">
        <v>11.489423800000001</v>
      </c>
      <c r="CN158" s="95">
        <v>-3.5230920000000001</v>
      </c>
      <c r="CO158" s="99"/>
      <c r="CP158" s="99"/>
      <c r="CQ158" s="99"/>
      <c r="CR158" s="99"/>
      <c r="CS158" s="99"/>
      <c r="CT158" s="99"/>
      <c r="CU158" s="99"/>
      <c r="CV158" s="99"/>
      <c r="CW158" s="99"/>
      <c r="CX158" s="99"/>
      <c r="CY158" s="99"/>
      <c r="CZ158" s="99"/>
      <c r="DA158" s="99"/>
      <c r="DB158" s="99"/>
      <c r="DC158" s="99"/>
    </row>
    <row r="159" spans="1:107" ht="15.75" customHeight="1">
      <c r="A159" s="95">
        <v>160</v>
      </c>
      <c r="B159" s="99" t="s">
        <v>537</v>
      </c>
      <c r="C159" s="99" t="s">
        <v>785</v>
      </c>
      <c r="D159" s="99">
        <v>78189928</v>
      </c>
      <c r="E159" s="99" t="s">
        <v>245</v>
      </c>
      <c r="F159" s="95" t="s">
        <v>5329</v>
      </c>
      <c r="G159" s="95" t="s">
        <v>1089</v>
      </c>
      <c r="H159" s="95" t="s">
        <v>1090</v>
      </c>
      <c r="I159" s="95" t="s">
        <v>246</v>
      </c>
      <c r="J159" s="95"/>
      <c r="K159" s="99"/>
      <c r="L159" s="103" t="s">
        <v>4449</v>
      </c>
      <c r="M159" s="99" t="s">
        <v>4450</v>
      </c>
      <c r="N159" s="99" t="s">
        <v>1565</v>
      </c>
      <c r="O159" s="99" t="s">
        <v>4754</v>
      </c>
      <c r="P159" s="103">
        <v>2013</v>
      </c>
      <c r="Q159" s="103" t="s">
        <v>1862</v>
      </c>
      <c r="R159" s="99" t="s">
        <v>4709</v>
      </c>
      <c r="S159" s="103" t="s">
        <v>1541</v>
      </c>
      <c r="T159" s="103" t="s">
        <v>4522</v>
      </c>
      <c r="U159" s="99" t="s">
        <v>5330</v>
      </c>
      <c r="V159" s="95">
        <v>13.0910405</v>
      </c>
      <c r="W159" s="95">
        <v>-1.0873550999999999</v>
      </c>
      <c r="X159" s="104" t="s">
        <v>4968</v>
      </c>
      <c r="Y159" s="103"/>
      <c r="Z159" s="103"/>
      <c r="AA159" s="103"/>
      <c r="AB159" s="103"/>
      <c r="AC159" s="103"/>
      <c r="AD159" s="103"/>
      <c r="AE159" s="103"/>
      <c r="AF159" s="103"/>
      <c r="AG159" s="99"/>
      <c r="AH159" s="103"/>
      <c r="AI159" s="103"/>
      <c r="AJ159" s="103"/>
      <c r="AK159" s="103"/>
      <c r="AL159" s="103"/>
      <c r="AM159" s="103"/>
      <c r="AN159" s="99"/>
      <c r="AO159" s="103"/>
      <c r="AP159" s="103"/>
      <c r="AQ159" s="103"/>
      <c r="AR159" s="103"/>
      <c r="AS159" s="99"/>
      <c r="AT159" s="103"/>
      <c r="AU159" s="103"/>
      <c r="AV159" s="99"/>
      <c r="AW159" s="99"/>
      <c r="AX159" s="99"/>
      <c r="AY159" s="99"/>
      <c r="AZ159" s="99"/>
      <c r="BA159" s="103"/>
      <c r="BB159" s="99"/>
      <c r="BC159" s="99"/>
      <c r="BD159" s="99"/>
      <c r="BE159" s="99"/>
      <c r="BF159" s="103"/>
      <c r="BG159" s="103"/>
      <c r="BH159" s="103"/>
      <c r="BI159" s="103"/>
      <c r="BJ159" s="103"/>
      <c r="BK159" s="103" t="s">
        <v>4499</v>
      </c>
      <c r="BL159" s="103"/>
      <c r="BM159" s="103"/>
      <c r="BN159" s="103"/>
      <c r="BO159" s="103"/>
      <c r="BP159" s="103"/>
      <c r="BQ159" s="107"/>
      <c r="BR159" s="99"/>
      <c r="BS159" s="99"/>
      <c r="BT159" s="103" t="s">
        <v>3186</v>
      </c>
      <c r="BU159" s="99"/>
      <c r="BV159" s="103"/>
      <c r="BW159" s="103"/>
      <c r="BX159" s="103"/>
      <c r="BY159" s="103"/>
      <c r="BZ159" s="103"/>
      <c r="CA159" s="103"/>
      <c r="CB159" s="103"/>
      <c r="CC159" s="103"/>
      <c r="CD159" s="103"/>
      <c r="CE159" s="103"/>
      <c r="CF159" s="103"/>
      <c r="CG159" s="103"/>
      <c r="CH159" s="103"/>
      <c r="CI159" s="103">
        <v>78189928</v>
      </c>
      <c r="CJ159" s="103"/>
      <c r="CK159" s="108">
        <v>43366.607175925928</v>
      </c>
      <c r="CL159" s="109">
        <v>43366.610613425924</v>
      </c>
      <c r="CM159" s="95">
        <v>13.0910405</v>
      </c>
      <c r="CN159" s="95">
        <v>-1.0873550999999999</v>
      </c>
      <c r="CO159" s="99"/>
      <c r="CP159" s="99"/>
      <c r="CQ159" s="99"/>
      <c r="CR159" s="99"/>
      <c r="CS159" s="99"/>
      <c r="CT159" s="99"/>
      <c r="CU159" s="99"/>
      <c r="CV159" s="99"/>
      <c r="CW159" s="99"/>
      <c r="CX159" s="99"/>
      <c r="CY159" s="99"/>
      <c r="CZ159" s="99"/>
      <c r="DA159" s="99"/>
      <c r="DB159" s="99"/>
      <c r="DC159" s="99"/>
    </row>
    <row r="160" spans="1:107" ht="15.75" customHeight="1">
      <c r="A160" s="95">
        <v>161</v>
      </c>
      <c r="B160" s="99" t="s">
        <v>527</v>
      </c>
      <c r="C160" s="99" t="s">
        <v>786</v>
      </c>
      <c r="D160" s="99">
        <v>60958976</v>
      </c>
      <c r="E160" s="99" t="s">
        <v>247</v>
      </c>
      <c r="F160" s="95" t="s">
        <v>5320</v>
      </c>
      <c r="G160" s="95" t="s">
        <v>1089</v>
      </c>
      <c r="H160" s="95" t="s">
        <v>1090</v>
      </c>
      <c r="I160" s="95" t="s">
        <v>240</v>
      </c>
      <c r="J160" s="95"/>
      <c r="K160" s="99"/>
      <c r="L160" s="103" t="s">
        <v>4449</v>
      </c>
      <c r="M160" s="99" t="s">
        <v>4567</v>
      </c>
      <c r="N160" s="99" t="s">
        <v>1565</v>
      </c>
      <c r="O160" s="99" t="s">
        <v>4488</v>
      </c>
      <c r="P160" s="103">
        <v>2011</v>
      </c>
      <c r="Q160" s="103" t="s">
        <v>1862</v>
      </c>
      <c r="R160" s="99" t="s">
        <v>4709</v>
      </c>
      <c r="S160" s="103" t="s">
        <v>1541</v>
      </c>
      <c r="T160" s="103" t="s">
        <v>4522</v>
      </c>
      <c r="U160" s="99" t="s">
        <v>5331</v>
      </c>
      <c r="V160" s="95">
        <v>13.163088699999999</v>
      </c>
      <c r="W160" s="95">
        <v>-0.82716460000000003</v>
      </c>
      <c r="X160" s="104" t="s">
        <v>5322</v>
      </c>
      <c r="Y160" s="103" t="s">
        <v>1634</v>
      </c>
      <c r="Z160" s="103" t="s">
        <v>1548</v>
      </c>
      <c r="AA160" s="103" t="s">
        <v>1862</v>
      </c>
      <c r="AB160" s="103">
        <v>15</v>
      </c>
      <c r="AC160" s="103">
        <v>0</v>
      </c>
      <c r="AD160" s="103">
        <v>15</v>
      </c>
      <c r="AE160" s="103" t="s">
        <v>1634</v>
      </c>
      <c r="AF160" s="103" t="s">
        <v>4493</v>
      </c>
      <c r="AG160" s="99" t="s">
        <v>4669</v>
      </c>
      <c r="AH160" s="103" t="s">
        <v>1862</v>
      </c>
      <c r="AI160" s="103" t="s">
        <v>1862</v>
      </c>
      <c r="AJ160" s="103" t="s">
        <v>1862</v>
      </c>
      <c r="AK160" s="103" t="s">
        <v>1862</v>
      </c>
      <c r="AL160" s="103" t="s">
        <v>1804</v>
      </c>
      <c r="AM160" s="103" t="s">
        <v>1862</v>
      </c>
      <c r="AN160" s="99" t="s">
        <v>5332</v>
      </c>
      <c r="AO160" s="103" t="s">
        <v>1862</v>
      </c>
      <c r="AP160" s="103">
        <v>1250</v>
      </c>
      <c r="AQ160" s="103" t="s">
        <v>4500</v>
      </c>
      <c r="AR160" s="103">
        <v>0</v>
      </c>
      <c r="AS160" s="106">
        <v>240000</v>
      </c>
      <c r="AT160" s="103" t="s">
        <v>4542</v>
      </c>
      <c r="AU160" s="103" t="s">
        <v>1634</v>
      </c>
      <c r="AV160" s="99" t="s">
        <v>4671</v>
      </c>
      <c r="AW160" s="99" t="s">
        <v>5333</v>
      </c>
      <c r="AX160" s="99" t="s">
        <v>5334</v>
      </c>
      <c r="AY160" s="99" t="s">
        <v>4466</v>
      </c>
      <c r="AZ160" s="99" t="s">
        <v>4467</v>
      </c>
      <c r="BA160" s="103" t="s">
        <v>1548</v>
      </c>
      <c r="BB160" s="99">
        <v>500</v>
      </c>
      <c r="BC160" s="99">
        <v>180</v>
      </c>
      <c r="BD160" s="99">
        <v>0</v>
      </c>
      <c r="BE160" s="99">
        <v>240000</v>
      </c>
      <c r="BF160" s="103" t="s">
        <v>5274</v>
      </c>
      <c r="BG160" s="103" t="s">
        <v>1862</v>
      </c>
      <c r="BH160" s="103" t="s">
        <v>1862</v>
      </c>
      <c r="BI160" s="103" t="s">
        <v>1862</v>
      </c>
      <c r="BJ160" s="103" t="s">
        <v>1804</v>
      </c>
      <c r="BK160" s="103" t="s">
        <v>4586</v>
      </c>
      <c r="BL160" s="103" t="s">
        <v>4470</v>
      </c>
      <c r="BM160" s="103" t="s">
        <v>4461</v>
      </c>
      <c r="BN160" s="103" t="s">
        <v>5335</v>
      </c>
      <c r="BO160" s="103"/>
      <c r="BP160" s="103" t="s">
        <v>4532</v>
      </c>
      <c r="BQ160" s="107" t="s">
        <v>4476</v>
      </c>
      <c r="BR160" s="99"/>
      <c r="BS160" s="99"/>
      <c r="BT160" s="103" t="s">
        <v>3186</v>
      </c>
      <c r="BU160" s="99" t="s">
        <v>4628</v>
      </c>
      <c r="BV160" s="103" t="s">
        <v>4476</v>
      </c>
      <c r="BW160" s="103" t="s">
        <v>4476</v>
      </c>
      <c r="BX160" s="103" t="s">
        <v>1548</v>
      </c>
      <c r="BY160" s="103" t="s">
        <v>4546</v>
      </c>
      <c r="BZ160" s="103" t="s">
        <v>4478</v>
      </c>
      <c r="CA160" s="103" t="s">
        <v>4461</v>
      </c>
      <c r="CB160" s="103">
        <v>40</v>
      </c>
      <c r="CC160" s="103"/>
      <c r="CD160" s="103"/>
      <c r="CE160" s="103"/>
      <c r="CF160" s="103"/>
      <c r="CG160" s="103" t="s">
        <v>527</v>
      </c>
      <c r="CH160" s="103" t="s">
        <v>874</v>
      </c>
      <c r="CI160" s="103">
        <v>60958976</v>
      </c>
      <c r="CJ160" s="103"/>
      <c r="CK160" s="108">
        <v>43366.616122685184</v>
      </c>
      <c r="CL160" s="109">
        <v>43366.636377314811</v>
      </c>
      <c r="CM160" s="95">
        <v>13.163088699999999</v>
      </c>
      <c r="CN160" s="95">
        <v>-0.82716460000000003</v>
      </c>
      <c r="CO160" s="99"/>
      <c r="CP160" s="99"/>
      <c r="CQ160" s="99"/>
      <c r="CR160" s="99"/>
      <c r="CS160" s="99"/>
      <c r="CT160" s="99"/>
      <c r="CU160" s="99"/>
      <c r="CV160" s="99"/>
      <c r="CW160" s="99"/>
      <c r="CX160" s="99"/>
      <c r="CY160" s="99"/>
      <c r="CZ160" s="99"/>
      <c r="DA160" s="99"/>
      <c r="DB160" s="99"/>
      <c r="DC160" s="99"/>
    </row>
    <row r="161" spans="1:107" ht="15.75" customHeight="1">
      <c r="A161" s="95">
        <v>162</v>
      </c>
      <c r="B161" s="99" t="s">
        <v>537</v>
      </c>
      <c r="C161" s="99" t="s">
        <v>787</v>
      </c>
      <c r="D161" s="99">
        <v>78224331</v>
      </c>
      <c r="E161" s="99" t="s">
        <v>5336</v>
      </c>
      <c r="F161" s="95" t="s">
        <v>4966</v>
      </c>
      <c r="G161" s="95" t="s">
        <v>1089</v>
      </c>
      <c r="H161" s="95" t="s">
        <v>1090</v>
      </c>
      <c r="I161" s="95" t="s">
        <v>119</v>
      </c>
      <c r="J161" s="95"/>
      <c r="K161" s="99"/>
      <c r="L161" s="103" t="s">
        <v>4449</v>
      </c>
      <c r="M161" s="99" t="s">
        <v>4450</v>
      </c>
      <c r="N161" s="99" t="s">
        <v>4451</v>
      </c>
      <c r="O161" s="99" t="s">
        <v>4488</v>
      </c>
      <c r="P161" s="103">
        <v>2013</v>
      </c>
      <c r="Q161" s="103" t="s">
        <v>1862</v>
      </c>
      <c r="R161" s="99" t="s">
        <v>4709</v>
      </c>
      <c r="S161" s="103" t="s">
        <v>1541</v>
      </c>
      <c r="T161" s="103" t="s">
        <v>4522</v>
      </c>
      <c r="U161" s="99" t="s">
        <v>4967</v>
      </c>
      <c r="V161" s="95">
        <v>13.0910405</v>
      </c>
      <c r="W161" s="95">
        <v>-1.0873550999999999</v>
      </c>
      <c r="X161" s="104" t="s">
        <v>4968</v>
      </c>
      <c r="Y161" s="103" t="s">
        <v>1634</v>
      </c>
      <c r="Z161" s="103" t="s">
        <v>1548</v>
      </c>
      <c r="AA161" s="103" t="s">
        <v>1862</v>
      </c>
      <c r="AB161" s="103">
        <v>9</v>
      </c>
      <c r="AC161" s="103">
        <v>1</v>
      </c>
      <c r="AD161" s="103">
        <v>9</v>
      </c>
      <c r="AE161" s="103" t="s">
        <v>1634</v>
      </c>
      <c r="AF161" s="103" t="s">
        <v>4493</v>
      </c>
      <c r="AG161" s="99" t="s">
        <v>4771</v>
      </c>
      <c r="AH161" s="103" t="s">
        <v>1804</v>
      </c>
      <c r="AI161" s="103" t="s">
        <v>1862</v>
      </c>
      <c r="AJ161" s="103" t="s">
        <v>1862</v>
      </c>
      <c r="AK161" s="103" t="s">
        <v>1862</v>
      </c>
      <c r="AL161" s="103" t="s">
        <v>1804</v>
      </c>
      <c r="AM161" s="103" t="s">
        <v>1862</v>
      </c>
      <c r="AN161" s="99" t="s">
        <v>5337</v>
      </c>
      <c r="AO161" s="103" t="s">
        <v>1862</v>
      </c>
      <c r="AP161" s="103">
        <v>1250</v>
      </c>
      <c r="AQ161" s="103" t="s">
        <v>4461</v>
      </c>
      <c r="AR161" s="103">
        <v>0</v>
      </c>
      <c r="AS161" s="106">
        <v>150000</v>
      </c>
      <c r="AT161" s="103" t="s">
        <v>4499</v>
      </c>
      <c r="AU161" s="103" t="s">
        <v>1634</v>
      </c>
      <c r="AV161" s="99" t="s">
        <v>4671</v>
      </c>
      <c r="AW161" s="99" t="s">
        <v>5338</v>
      </c>
      <c r="AX161" s="99" t="s">
        <v>5339</v>
      </c>
      <c r="AY161" s="99" t="s">
        <v>4466</v>
      </c>
      <c r="AZ161" s="99" t="s">
        <v>4467</v>
      </c>
      <c r="BA161" s="103" t="s">
        <v>1548</v>
      </c>
      <c r="BB161" s="99">
        <v>220</v>
      </c>
      <c r="BC161" s="99">
        <v>130</v>
      </c>
      <c r="BD161" s="99">
        <v>0</v>
      </c>
      <c r="BE161" s="99">
        <v>150000</v>
      </c>
      <c r="BF161" s="103" t="s">
        <v>5274</v>
      </c>
      <c r="BG161" s="103" t="s">
        <v>1862</v>
      </c>
      <c r="BH161" s="103" t="s">
        <v>1862</v>
      </c>
      <c r="BI161" s="103" t="s">
        <v>1862</v>
      </c>
      <c r="BJ161" s="103" t="s">
        <v>1804</v>
      </c>
      <c r="BK161" s="103" t="s">
        <v>4586</v>
      </c>
      <c r="BL161" s="103" t="s">
        <v>4470</v>
      </c>
      <c r="BM161" s="103" t="s">
        <v>4461</v>
      </c>
      <c r="BN161" s="103" t="s">
        <v>5340</v>
      </c>
      <c r="BO161" s="103"/>
      <c r="BP161" s="103" t="s">
        <v>4532</v>
      </c>
      <c r="BQ161" s="107" t="s">
        <v>4476</v>
      </c>
      <c r="BR161" s="99"/>
      <c r="BS161" s="99"/>
      <c r="BT161" s="103" t="s">
        <v>3186</v>
      </c>
      <c r="BU161" s="99" t="s">
        <v>4475</v>
      </c>
      <c r="BV161" s="103" t="s">
        <v>4476</v>
      </c>
      <c r="BW161" s="103" t="s">
        <v>4476</v>
      </c>
      <c r="BX161" s="103" t="s">
        <v>1548</v>
      </c>
      <c r="BY161" s="103" t="s">
        <v>4739</v>
      </c>
      <c r="BZ161" s="103" t="s">
        <v>4478</v>
      </c>
      <c r="CA161" s="103" t="s">
        <v>4461</v>
      </c>
      <c r="CB161" s="103">
        <v>30</v>
      </c>
      <c r="CC161" s="103" t="s">
        <v>4479</v>
      </c>
      <c r="CD161" s="103" t="s">
        <v>4480</v>
      </c>
      <c r="CE161" s="103" t="s">
        <v>4481</v>
      </c>
      <c r="CF161" s="103"/>
      <c r="CG161" s="103" t="s">
        <v>651</v>
      </c>
      <c r="CH161" s="103" t="s">
        <v>5341</v>
      </c>
      <c r="CI161" s="103">
        <v>71541970</v>
      </c>
      <c r="CJ161" s="103"/>
      <c r="CK161" s="108">
        <v>43363.524884259263</v>
      </c>
      <c r="CL161" s="109">
        <v>43366.603090277778</v>
      </c>
      <c r="CM161" s="95">
        <v>13.0910405</v>
      </c>
      <c r="CN161" s="95">
        <v>-1.0873550999999999</v>
      </c>
      <c r="CO161" s="99"/>
      <c r="CP161" s="99"/>
      <c r="CQ161" s="99"/>
      <c r="CR161" s="99"/>
      <c r="CS161" s="99"/>
      <c r="CT161" s="99"/>
      <c r="CU161" s="99"/>
      <c r="CV161" s="99"/>
      <c r="CW161" s="99"/>
      <c r="CX161" s="99"/>
      <c r="CY161" s="99"/>
      <c r="CZ161" s="99"/>
      <c r="DA161" s="99"/>
      <c r="DB161" s="99"/>
      <c r="DC161" s="99"/>
    </row>
    <row r="162" spans="1:107" ht="15.75" customHeight="1">
      <c r="A162" s="95">
        <v>163</v>
      </c>
      <c r="B162" s="99" t="s">
        <v>537</v>
      </c>
      <c r="C162" s="99" t="s">
        <v>788</v>
      </c>
      <c r="D162" s="99">
        <v>64072690</v>
      </c>
      <c r="E162" s="99" t="s">
        <v>249</v>
      </c>
      <c r="F162" s="95" t="s">
        <v>5320</v>
      </c>
      <c r="G162" s="95" t="s">
        <v>1089</v>
      </c>
      <c r="H162" s="95" t="s">
        <v>1090</v>
      </c>
      <c r="I162" s="95" t="s">
        <v>240</v>
      </c>
      <c r="J162" s="95"/>
      <c r="K162" s="99"/>
      <c r="L162" s="103" t="s">
        <v>4449</v>
      </c>
      <c r="M162" s="99" t="s">
        <v>4567</v>
      </c>
      <c r="N162" s="99" t="s">
        <v>1565</v>
      </c>
      <c r="O162" s="99" t="s">
        <v>4488</v>
      </c>
      <c r="P162" s="103">
        <v>2011</v>
      </c>
      <c r="Q162" s="103" t="s">
        <v>1862</v>
      </c>
      <c r="R162" s="99" t="s">
        <v>4709</v>
      </c>
      <c r="S162" s="103" t="s">
        <v>1541</v>
      </c>
      <c r="T162" s="103" t="s">
        <v>4522</v>
      </c>
      <c r="U162" s="99" t="s">
        <v>5331</v>
      </c>
      <c r="V162" s="95">
        <v>13.163088699999999</v>
      </c>
      <c r="W162" s="95">
        <v>-0.82716460000000003</v>
      </c>
      <c r="X162" s="104" t="s">
        <v>5322</v>
      </c>
      <c r="Y162" s="103"/>
      <c r="Z162" s="103"/>
      <c r="AA162" s="103"/>
      <c r="AB162" s="103"/>
      <c r="AC162" s="103"/>
      <c r="AD162" s="103"/>
      <c r="AE162" s="103"/>
      <c r="AF162" s="103"/>
      <c r="AG162" s="99"/>
      <c r="AH162" s="103"/>
      <c r="AI162" s="103"/>
      <c r="AJ162" s="103"/>
      <c r="AK162" s="103"/>
      <c r="AL162" s="103"/>
      <c r="AM162" s="103"/>
      <c r="AN162" s="99"/>
      <c r="AO162" s="103"/>
      <c r="AP162" s="103"/>
      <c r="AQ162" s="103"/>
      <c r="AR162" s="103"/>
      <c r="AS162" s="99"/>
      <c r="AT162" s="103"/>
      <c r="AU162" s="103"/>
      <c r="AV162" s="99"/>
      <c r="AW162" s="99"/>
      <c r="AX162" s="99"/>
      <c r="AY162" s="99"/>
      <c r="AZ162" s="99"/>
      <c r="BA162" s="103"/>
      <c r="BB162" s="99"/>
      <c r="BC162" s="99"/>
      <c r="BD162" s="99"/>
      <c r="BE162" s="99"/>
      <c r="BF162" s="103"/>
      <c r="BG162" s="103"/>
      <c r="BH162" s="103"/>
      <c r="BI162" s="103"/>
      <c r="BJ162" s="103"/>
      <c r="BK162" s="103" t="s">
        <v>4499</v>
      </c>
      <c r="BL162" s="103"/>
      <c r="BM162" s="103"/>
      <c r="BN162" s="103"/>
      <c r="BO162" s="103"/>
      <c r="BP162" s="103"/>
      <c r="BQ162" s="107"/>
      <c r="BR162" s="99"/>
      <c r="BS162" s="99"/>
      <c r="BT162" s="103" t="s">
        <v>3186</v>
      </c>
      <c r="BU162" s="99"/>
      <c r="BV162" s="103"/>
      <c r="BW162" s="103"/>
      <c r="BX162" s="103"/>
      <c r="BY162" s="103"/>
      <c r="BZ162" s="103"/>
      <c r="CA162" s="103"/>
      <c r="CB162" s="103"/>
      <c r="CC162" s="103"/>
      <c r="CD162" s="103"/>
      <c r="CE162" s="103"/>
      <c r="CF162" s="103"/>
      <c r="CG162" s="103"/>
      <c r="CH162" s="103"/>
      <c r="CI162" s="103">
        <v>64072690</v>
      </c>
      <c r="CJ162" s="103"/>
      <c r="CK162" s="108">
        <v>43363.384027777778</v>
      </c>
      <c r="CL162" s="109">
        <v>43366.60701388889</v>
      </c>
      <c r="CM162" s="95">
        <v>13.163088699999999</v>
      </c>
      <c r="CN162" s="95">
        <v>-0.82716460000000003</v>
      </c>
      <c r="CO162" s="99"/>
      <c r="CP162" s="99"/>
      <c r="CQ162" s="99"/>
      <c r="CR162" s="99"/>
      <c r="CS162" s="99"/>
      <c r="CT162" s="99"/>
      <c r="CU162" s="99"/>
      <c r="CV162" s="99"/>
      <c r="CW162" s="99"/>
      <c r="CX162" s="99"/>
      <c r="CY162" s="99"/>
      <c r="CZ162" s="99"/>
      <c r="DA162" s="99"/>
      <c r="DB162" s="99"/>
      <c r="DC162" s="99"/>
    </row>
    <row r="163" spans="1:107" ht="15.75" customHeight="1">
      <c r="A163" s="95">
        <v>164</v>
      </c>
      <c r="B163" s="99" t="s">
        <v>565</v>
      </c>
      <c r="C163" s="99" t="s">
        <v>789</v>
      </c>
      <c r="D163" s="99">
        <v>76328895</v>
      </c>
      <c r="E163" s="99" t="s">
        <v>250</v>
      </c>
      <c r="F163" s="95" t="s">
        <v>5342</v>
      </c>
      <c r="G163" s="95" t="s">
        <v>1085</v>
      </c>
      <c r="H163" s="95" t="s">
        <v>1074</v>
      </c>
      <c r="I163" s="95" t="s">
        <v>251</v>
      </c>
      <c r="J163" s="95"/>
      <c r="K163" s="99"/>
      <c r="L163" s="103" t="s">
        <v>4449</v>
      </c>
      <c r="M163" s="99" t="s">
        <v>4487</v>
      </c>
      <c r="N163" s="99" t="s">
        <v>4451</v>
      </c>
      <c r="O163" s="99" t="s">
        <v>5264</v>
      </c>
      <c r="P163" s="103">
        <v>2008</v>
      </c>
      <c r="Q163" s="103" t="s">
        <v>1862</v>
      </c>
      <c r="R163" s="99" t="s">
        <v>4504</v>
      </c>
      <c r="S163" s="103" t="s">
        <v>1541</v>
      </c>
      <c r="T163" s="103" t="s">
        <v>4522</v>
      </c>
      <c r="U163" s="99" t="s">
        <v>5343</v>
      </c>
      <c r="V163" s="95">
        <v>11.4356118</v>
      </c>
      <c r="W163" s="95">
        <v>-4.0380840999999998</v>
      </c>
      <c r="X163" s="104" t="s">
        <v>5344</v>
      </c>
      <c r="Y163" s="103" t="s">
        <v>1634</v>
      </c>
      <c r="Z163" s="103" t="s">
        <v>1634</v>
      </c>
      <c r="AA163" s="103" t="s">
        <v>1862</v>
      </c>
      <c r="AB163" s="103">
        <v>54</v>
      </c>
      <c r="AC163" s="103">
        <v>0</v>
      </c>
      <c r="AD163" s="103">
        <v>54</v>
      </c>
      <c r="AE163" s="103" t="s">
        <v>1634</v>
      </c>
      <c r="AF163" s="103" t="s">
        <v>4651</v>
      </c>
      <c r="AG163" s="99" t="s">
        <v>4494</v>
      </c>
      <c r="AH163" s="103" t="s">
        <v>1862</v>
      </c>
      <c r="AI163" s="103" t="s">
        <v>1862</v>
      </c>
      <c r="AJ163" s="103" t="s">
        <v>1804</v>
      </c>
      <c r="AK163" s="103" t="s">
        <v>1804</v>
      </c>
      <c r="AL163" s="103" t="s">
        <v>1862</v>
      </c>
      <c r="AM163" s="103" t="s">
        <v>1862</v>
      </c>
      <c r="AN163" s="99" t="s">
        <v>1646</v>
      </c>
      <c r="AO163" s="103" t="s">
        <v>1862</v>
      </c>
      <c r="AP163" s="103">
        <v>600</v>
      </c>
      <c r="AQ163" s="103" t="s">
        <v>4461</v>
      </c>
      <c r="AR163" s="103">
        <v>5400000</v>
      </c>
      <c r="AS163" s="106">
        <v>2700000</v>
      </c>
      <c r="AT163" s="103" t="s">
        <v>4625</v>
      </c>
      <c r="AU163" s="103" t="s">
        <v>1548</v>
      </c>
      <c r="AV163" s="99"/>
      <c r="AW163" s="99" t="s">
        <v>5345</v>
      </c>
      <c r="AX163" s="99" t="s">
        <v>5346</v>
      </c>
      <c r="AY163" s="99" t="s">
        <v>4560</v>
      </c>
      <c r="AZ163" s="99" t="s">
        <v>4530</v>
      </c>
      <c r="BA163" s="103" t="s">
        <v>1548</v>
      </c>
      <c r="BB163" s="99">
        <v>200000</v>
      </c>
      <c r="BC163" s="99">
        <v>10000</v>
      </c>
      <c r="BD163" s="99">
        <v>250000</v>
      </c>
      <c r="BE163" s="99">
        <v>540000</v>
      </c>
      <c r="BF163" s="103" t="s">
        <v>4415</v>
      </c>
      <c r="BG163" s="103" t="s">
        <v>1862</v>
      </c>
      <c r="BH163" s="103" t="s">
        <v>1804</v>
      </c>
      <c r="BI163" s="103" t="s">
        <v>1804</v>
      </c>
      <c r="BJ163" s="103" t="s">
        <v>1804</v>
      </c>
      <c r="BK163" s="103" t="s">
        <v>4478</v>
      </c>
      <c r="BL163" s="103" t="s">
        <v>4470</v>
      </c>
      <c r="BM163" s="103" t="s">
        <v>4461</v>
      </c>
      <c r="BN163" s="103" t="s">
        <v>5347</v>
      </c>
      <c r="BO163" s="103">
        <v>200</v>
      </c>
      <c r="BP163" s="103" t="s">
        <v>4532</v>
      </c>
      <c r="BQ163" s="99" t="s">
        <v>4476</v>
      </c>
      <c r="BR163" s="99" t="s">
        <v>4476</v>
      </c>
      <c r="BS163" s="99" t="s">
        <v>4564</v>
      </c>
      <c r="BT163" s="103" t="s">
        <v>3186</v>
      </c>
      <c r="BU163" s="99" t="s">
        <v>4502</v>
      </c>
      <c r="BV163" s="103" t="s">
        <v>4476</v>
      </c>
      <c r="BW163" s="103" t="s">
        <v>4476</v>
      </c>
      <c r="BX163" s="103" t="s">
        <v>1548</v>
      </c>
      <c r="BY163" s="103" t="s">
        <v>4535</v>
      </c>
      <c r="BZ163" s="103" t="s">
        <v>4499</v>
      </c>
      <c r="CA163" s="103" t="s">
        <v>4461</v>
      </c>
      <c r="CB163" s="103">
        <v>150</v>
      </c>
      <c r="CC163" s="103" t="s">
        <v>4502</v>
      </c>
      <c r="CD163" s="103" t="s">
        <v>4480</v>
      </c>
      <c r="CE163" s="103" t="s">
        <v>4502</v>
      </c>
      <c r="CF163" s="103" t="s">
        <v>4691</v>
      </c>
      <c r="CG163" s="103" t="s">
        <v>565</v>
      </c>
      <c r="CH163" s="103" t="s">
        <v>648</v>
      </c>
      <c r="CI163" s="103">
        <v>74848481</v>
      </c>
      <c r="CJ163" s="103"/>
      <c r="CK163" s="108">
        <v>43366.634548611109</v>
      </c>
      <c r="CL163" s="109">
        <v>43366.666909722226</v>
      </c>
      <c r="CM163" s="95">
        <v>11.4356118</v>
      </c>
      <c r="CN163" s="95">
        <v>-4.0380840999999998</v>
      </c>
      <c r="CO163" s="99"/>
      <c r="CP163" s="99"/>
      <c r="CQ163" s="99"/>
      <c r="CR163" s="99"/>
      <c r="CS163" s="99"/>
      <c r="CT163" s="99"/>
      <c r="CU163" s="99"/>
      <c r="CV163" s="99"/>
      <c r="CW163" s="99"/>
      <c r="CX163" s="99"/>
      <c r="CY163" s="99"/>
      <c r="CZ163" s="99"/>
      <c r="DA163" s="99"/>
      <c r="DB163" s="99"/>
      <c r="DC163" s="99"/>
    </row>
    <row r="164" spans="1:107" ht="15.75" customHeight="1">
      <c r="A164" s="95">
        <v>165</v>
      </c>
      <c r="B164" s="99" t="s">
        <v>790</v>
      </c>
      <c r="C164" s="99" t="s">
        <v>791</v>
      </c>
      <c r="D164" s="99">
        <v>70028200</v>
      </c>
      <c r="E164" s="99" t="s">
        <v>252</v>
      </c>
      <c r="F164" s="95" t="s">
        <v>4578</v>
      </c>
      <c r="G164" s="95" t="s">
        <v>1052</v>
      </c>
      <c r="H164" s="95" t="s">
        <v>1053</v>
      </c>
      <c r="I164" s="95" t="s">
        <v>21</v>
      </c>
      <c r="J164" s="95"/>
      <c r="K164" s="99"/>
      <c r="L164" s="103" t="s">
        <v>4449</v>
      </c>
      <c r="M164" s="99" t="s">
        <v>4787</v>
      </c>
      <c r="N164" s="99" t="s">
        <v>4817</v>
      </c>
      <c r="O164" s="99" t="s">
        <v>4452</v>
      </c>
      <c r="P164" s="103">
        <v>1997</v>
      </c>
      <c r="Q164" s="103" t="s">
        <v>1862</v>
      </c>
      <c r="R164" s="99" t="s">
        <v>4633</v>
      </c>
      <c r="S164" s="103" t="s">
        <v>1541</v>
      </c>
      <c r="T164" s="103" t="s">
        <v>4634</v>
      </c>
      <c r="U164" s="99" t="s">
        <v>4580</v>
      </c>
      <c r="V164" s="95">
        <v>11.5077529</v>
      </c>
      <c r="W164" s="95">
        <v>5.1324599999999998E-2</v>
      </c>
      <c r="X164" s="104" t="s">
        <v>4581</v>
      </c>
      <c r="Y164" s="103" t="s">
        <v>1634</v>
      </c>
      <c r="Z164" s="103" t="s">
        <v>1634</v>
      </c>
      <c r="AA164" s="103" t="s">
        <v>1862</v>
      </c>
      <c r="AB164" s="103">
        <v>310</v>
      </c>
      <c r="AC164" s="103">
        <v>1</v>
      </c>
      <c r="AD164" s="103">
        <v>309</v>
      </c>
      <c r="AE164" s="103" t="s">
        <v>1634</v>
      </c>
      <c r="AF164" s="103" t="s">
        <v>4493</v>
      </c>
      <c r="AG164" s="99" t="s">
        <v>4554</v>
      </c>
      <c r="AH164" s="103" t="s">
        <v>1862</v>
      </c>
      <c r="AI164" s="103" t="s">
        <v>1862</v>
      </c>
      <c r="AJ164" s="103" t="s">
        <v>1862</v>
      </c>
      <c r="AK164" s="103" t="s">
        <v>1862</v>
      </c>
      <c r="AL164" s="103" t="s">
        <v>1804</v>
      </c>
      <c r="AM164" s="103" t="s">
        <v>1862</v>
      </c>
      <c r="AN164" s="99" t="s">
        <v>4638</v>
      </c>
      <c r="AO164" s="103" t="s">
        <v>1862</v>
      </c>
      <c r="AP164" s="103">
        <v>1250</v>
      </c>
      <c r="AQ164" s="112" t="s">
        <v>4461</v>
      </c>
      <c r="AR164" s="103"/>
      <c r="AS164" s="106">
        <v>39000000</v>
      </c>
      <c r="AT164" s="103" t="s">
        <v>4527</v>
      </c>
      <c r="AU164" s="103" t="s">
        <v>1634</v>
      </c>
      <c r="AV164" s="99" t="s">
        <v>4463</v>
      </c>
      <c r="AW164" s="99" t="s">
        <v>4639</v>
      </c>
      <c r="AX164" s="99" t="s">
        <v>4640</v>
      </c>
      <c r="AY164" s="99" t="s">
        <v>4641</v>
      </c>
      <c r="AZ164" s="99" t="s">
        <v>4530</v>
      </c>
      <c r="BA164" s="103" t="s">
        <v>1634</v>
      </c>
      <c r="BB164" s="99"/>
      <c r="BC164" s="99">
        <v>25000</v>
      </c>
      <c r="BD164" s="99"/>
      <c r="BE164" s="99">
        <v>50000000</v>
      </c>
      <c r="BF164" s="103" t="s">
        <v>4642</v>
      </c>
      <c r="BG164" s="103" t="s">
        <v>1862</v>
      </c>
      <c r="BH164" s="103" t="s">
        <v>1862</v>
      </c>
      <c r="BI164" s="103" t="s">
        <v>1862</v>
      </c>
      <c r="BJ164" s="103" t="s">
        <v>1862</v>
      </c>
      <c r="BK164" s="103" t="s">
        <v>4469</v>
      </c>
      <c r="BL164" s="103" t="s">
        <v>4472</v>
      </c>
      <c r="BM164" s="103" t="s">
        <v>4461</v>
      </c>
      <c r="BN164" s="103" t="s">
        <v>4643</v>
      </c>
      <c r="BO164" s="103">
        <v>400</v>
      </c>
      <c r="BP164" s="103" t="s">
        <v>4532</v>
      </c>
      <c r="BQ164" s="99" t="s">
        <v>4644</v>
      </c>
      <c r="BR164" s="99" t="s">
        <v>4644</v>
      </c>
      <c r="BS164" s="99" t="s">
        <v>4564</v>
      </c>
      <c r="BT164" s="103" t="s">
        <v>3186</v>
      </c>
      <c r="BU164" s="99"/>
      <c r="BV164" s="103" t="s">
        <v>4644</v>
      </c>
      <c r="BW164" s="103" t="s">
        <v>4644</v>
      </c>
      <c r="BX164" s="103"/>
      <c r="BY164" s="103"/>
      <c r="BZ164" s="103"/>
      <c r="CA164" s="103"/>
      <c r="CB164" s="103"/>
      <c r="CC164" s="103" t="s">
        <v>4502</v>
      </c>
      <c r="CD164" s="103" t="s">
        <v>4475</v>
      </c>
      <c r="CE164" s="112" t="s">
        <v>4475</v>
      </c>
      <c r="CF164" s="103"/>
      <c r="CG164" s="103" t="s">
        <v>4282</v>
      </c>
      <c r="CH164" s="103" t="s">
        <v>791</v>
      </c>
      <c r="CI164" s="103">
        <v>70028200</v>
      </c>
      <c r="CJ164" s="103"/>
      <c r="CK164" s="108">
        <v>43364.693287037036</v>
      </c>
      <c r="CL164" s="109">
        <v>43364.732754629629</v>
      </c>
      <c r="CM164" s="95">
        <v>11.5077529</v>
      </c>
      <c r="CN164" s="95">
        <v>5.1324599999999998E-2</v>
      </c>
      <c r="CO164" s="99"/>
      <c r="CP164" s="99"/>
      <c r="CQ164" s="99"/>
      <c r="CR164" s="99"/>
      <c r="CS164" s="99"/>
      <c r="CT164" s="99"/>
      <c r="CU164" s="99"/>
      <c r="CV164" s="99"/>
      <c r="CW164" s="99"/>
      <c r="CX164" s="99"/>
      <c r="CY164" s="99"/>
      <c r="CZ164" s="99"/>
      <c r="DA164" s="99"/>
      <c r="DB164" s="99"/>
      <c r="DC164" s="99"/>
    </row>
    <row r="165" spans="1:107" ht="15.75" customHeight="1">
      <c r="A165" s="95">
        <v>166</v>
      </c>
      <c r="B165" s="99" t="s">
        <v>792</v>
      </c>
      <c r="C165" s="99" t="s">
        <v>793</v>
      </c>
      <c r="D165" s="110">
        <v>61857513</v>
      </c>
      <c r="E165" s="99" t="s">
        <v>253</v>
      </c>
      <c r="F165" s="95" t="s">
        <v>5172</v>
      </c>
      <c r="G165" s="95" t="s">
        <v>1049</v>
      </c>
      <c r="H165" s="95" t="s">
        <v>1065</v>
      </c>
      <c r="I165" s="95" t="s">
        <v>184</v>
      </c>
      <c r="J165" s="95" t="s">
        <v>1104</v>
      </c>
      <c r="K165" s="99"/>
      <c r="L165" s="103" t="s">
        <v>4449</v>
      </c>
      <c r="M165" s="99" t="s">
        <v>5072</v>
      </c>
      <c r="N165" s="99" t="s">
        <v>4451</v>
      </c>
      <c r="O165" s="99" t="s">
        <v>4818</v>
      </c>
      <c r="P165" s="103">
        <v>2005</v>
      </c>
      <c r="Q165" s="103" t="s">
        <v>1862</v>
      </c>
      <c r="R165" s="99" t="s">
        <v>4521</v>
      </c>
      <c r="S165" s="103" t="s">
        <v>1541</v>
      </c>
      <c r="T165" s="103" t="s">
        <v>4522</v>
      </c>
      <c r="U165" s="99" t="s">
        <v>5173</v>
      </c>
      <c r="V165" s="95">
        <v>12.632201999999999</v>
      </c>
      <c r="W165" s="95">
        <v>-2.6750102</v>
      </c>
      <c r="X165" s="104" t="s">
        <v>5174</v>
      </c>
      <c r="Y165" s="103"/>
      <c r="Z165" s="103"/>
      <c r="AA165" s="103" t="s">
        <v>1862</v>
      </c>
      <c r="AB165" s="103">
        <v>20</v>
      </c>
      <c r="AC165" s="103">
        <v>0</v>
      </c>
      <c r="AD165" s="103">
        <v>20</v>
      </c>
      <c r="AE165" s="103"/>
      <c r="AF165" s="103" t="s">
        <v>4830</v>
      </c>
      <c r="AG165" s="99" t="s">
        <v>4494</v>
      </c>
      <c r="AH165" s="103" t="s">
        <v>1862</v>
      </c>
      <c r="AI165" s="103" t="s">
        <v>1862</v>
      </c>
      <c r="AJ165" s="103" t="s">
        <v>1804</v>
      </c>
      <c r="AK165" s="103" t="s">
        <v>1804</v>
      </c>
      <c r="AL165" s="103" t="s">
        <v>1862</v>
      </c>
      <c r="AM165" s="103" t="s">
        <v>1862</v>
      </c>
      <c r="AN165" s="99" t="s">
        <v>4735</v>
      </c>
      <c r="AO165" s="103" t="s">
        <v>1862</v>
      </c>
      <c r="AP165" s="103">
        <v>600</v>
      </c>
      <c r="AQ165" s="103" t="s">
        <v>4461</v>
      </c>
      <c r="AR165" s="103">
        <v>700000</v>
      </c>
      <c r="AS165" s="106">
        <v>600000</v>
      </c>
      <c r="AT165" s="103" t="s">
        <v>4625</v>
      </c>
      <c r="AU165" s="103" t="s">
        <v>1548</v>
      </c>
      <c r="AV165" s="99"/>
      <c r="AW165" s="99" t="s">
        <v>5175</v>
      </c>
      <c r="AX165" s="99" t="s">
        <v>5028</v>
      </c>
      <c r="AY165" s="99" t="s">
        <v>4466</v>
      </c>
      <c r="AZ165" s="99" t="s">
        <v>4530</v>
      </c>
      <c r="BA165" s="103" t="s">
        <v>1548</v>
      </c>
      <c r="BB165" s="99">
        <v>3000</v>
      </c>
      <c r="BC165" s="99">
        <v>1800</v>
      </c>
      <c r="BD165" s="99">
        <v>480000</v>
      </c>
      <c r="BE165" s="99">
        <v>370000</v>
      </c>
      <c r="BF165" s="103" t="s">
        <v>4544</v>
      </c>
      <c r="BG165" s="103" t="s">
        <v>1862</v>
      </c>
      <c r="BH165" s="103" t="s">
        <v>1862</v>
      </c>
      <c r="BI165" s="103" t="s">
        <v>1804</v>
      </c>
      <c r="BJ165" s="103" t="s">
        <v>1804</v>
      </c>
      <c r="BK165" s="103" t="s">
        <v>4478</v>
      </c>
      <c r="BL165" s="103" t="s">
        <v>4472</v>
      </c>
      <c r="BM165" s="103" t="s">
        <v>4461</v>
      </c>
      <c r="BN165" s="103" t="s">
        <v>4690</v>
      </c>
      <c r="BO165" s="103">
        <v>500</v>
      </c>
      <c r="BP165" s="103" t="s">
        <v>4532</v>
      </c>
      <c r="BQ165" s="99" t="s">
        <v>4476</v>
      </c>
      <c r="BR165" s="99" t="s">
        <v>4476</v>
      </c>
      <c r="BS165" s="99" t="s">
        <v>4476</v>
      </c>
      <c r="BT165" s="103" t="s">
        <v>3186</v>
      </c>
      <c r="BU165" s="99" t="s">
        <v>4476</v>
      </c>
      <c r="BV165" s="103" t="s">
        <v>4476</v>
      </c>
      <c r="BW165" s="103" t="s">
        <v>1548</v>
      </c>
      <c r="BX165" s="103" t="s">
        <v>4535</v>
      </c>
      <c r="BY165" s="103" t="s">
        <v>4478</v>
      </c>
      <c r="BZ165" s="103" t="s">
        <v>4461</v>
      </c>
      <c r="CA165" s="103">
        <v>500</v>
      </c>
      <c r="CB165" s="103" t="s">
        <v>4480</v>
      </c>
      <c r="CC165" s="103" t="s">
        <v>4502</v>
      </c>
      <c r="CD165" s="103" t="s">
        <v>4480</v>
      </c>
      <c r="CE165" s="112" t="s">
        <v>4480</v>
      </c>
      <c r="CF165" s="103"/>
      <c r="CG165" s="103" t="s">
        <v>792</v>
      </c>
      <c r="CH165" s="103" t="s">
        <v>5348</v>
      </c>
      <c r="CI165" s="111">
        <v>61857513</v>
      </c>
      <c r="CJ165" s="99"/>
      <c r="CK165" s="108">
        <v>43366.446192129632</v>
      </c>
      <c r="CL165" s="108">
        <v>43366.47115740741</v>
      </c>
      <c r="CM165" s="95">
        <v>12.632201999999999</v>
      </c>
      <c r="CN165" s="95">
        <v>-2.6750102</v>
      </c>
      <c r="CO165" s="99"/>
      <c r="CP165" s="99"/>
      <c r="CQ165" s="99"/>
      <c r="CR165" s="99"/>
      <c r="CS165" s="99"/>
      <c r="CT165" s="99"/>
      <c r="CU165" s="99"/>
      <c r="CV165" s="99"/>
      <c r="CW165" s="99"/>
      <c r="CX165" s="99"/>
      <c r="CY165" s="99"/>
      <c r="CZ165" s="99"/>
      <c r="DA165" s="99"/>
      <c r="DB165" s="99"/>
      <c r="DC165" s="99"/>
    </row>
    <row r="166" spans="1:107" ht="15.75" customHeight="1">
      <c r="A166" s="95">
        <v>167</v>
      </c>
      <c r="B166" s="99" t="s">
        <v>794</v>
      </c>
      <c r="C166" s="99" t="s">
        <v>795</v>
      </c>
      <c r="D166" s="110">
        <v>79651991</v>
      </c>
      <c r="E166" s="99" t="s">
        <v>254</v>
      </c>
      <c r="F166" s="95" t="s">
        <v>5057</v>
      </c>
      <c r="G166" s="95" t="s">
        <v>1076</v>
      </c>
      <c r="H166" s="95" t="s">
        <v>1077</v>
      </c>
      <c r="I166" s="95" t="s">
        <v>154</v>
      </c>
      <c r="J166" s="95"/>
      <c r="K166" s="99"/>
      <c r="L166" s="103" t="s">
        <v>4449</v>
      </c>
      <c r="M166" s="99" t="s">
        <v>4450</v>
      </c>
      <c r="N166" s="99" t="s">
        <v>4520</v>
      </c>
      <c r="O166" s="99" t="s">
        <v>4694</v>
      </c>
      <c r="P166" s="103">
        <v>2002</v>
      </c>
      <c r="Q166" s="103" t="s">
        <v>1862</v>
      </c>
      <c r="R166" s="99" t="s">
        <v>4453</v>
      </c>
      <c r="S166" s="103" t="s">
        <v>1541</v>
      </c>
      <c r="T166" s="103" t="s">
        <v>4522</v>
      </c>
      <c r="U166" s="99" t="s">
        <v>5058</v>
      </c>
      <c r="V166" s="95">
        <v>12.9780605</v>
      </c>
      <c r="W166" s="95">
        <v>-0.14013809999999999</v>
      </c>
      <c r="X166" s="104" t="s">
        <v>5059</v>
      </c>
      <c r="Y166" s="103" t="s">
        <v>1634</v>
      </c>
      <c r="Z166" s="103" t="s">
        <v>1634</v>
      </c>
      <c r="AA166" s="103" t="s">
        <v>1862</v>
      </c>
      <c r="AB166" s="103">
        <v>15</v>
      </c>
      <c r="AC166" s="103">
        <v>0</v>
      </c>
      <c r="AD166" s="103">
        <v>15</v>
      </c>
      <c r="AE166" s="103" t="s">
        <v>1634</v>
      </c>
      <c r="AF166" s="103" t="s">
        <v>4830</v>
      </c>
      <c r="AG166" s="99" t="s">
        <v>4569</v>
      </c>
      <c r="AH166" s="103" t="s">
        <v>1862</v>
      </c>
      <c r="AI166" s="103" t="s">
        <v>1862</v>
      </c>
      <c r="AJ166" s="103" t="s">
        <v>1862</v>
      </c>
      <c r="AK166" s="103" t="s">
        <v>1862</v>
      </c>
      <c r="AL166" s="103" t="s">
        <v>1862</v>
      </c>
      <c r="AM166" s="103" t="s">
        <v>1862</v>
      </c>
      <c r="AN166" s="99" t="s">
        <v>4570</v>
      </c>
      <c r="AO166" s="103" t="s">
        <v>1862</v>
      </c>
      <c r="AP166" s="103">
        <v>1500</v>
      </c>
      <c r="AQ166" s="103" t="s">
        <v>4461</v>
      </c>
      <c r="AR166" s="105">
        <v>210000</v>
      </c>
      <c r="AS166" s="106">
        <v>300000</v>
      </c>
      <c r="AT166" s="103" t="s">
        <v>4496</v>
      </c>
      <c r="AU166" s="103" t="s">
        <v>1634</v>
      </c>
      <c r="AV166" s="99" t="s">
        <v>4463</v>
      </c>
      <c r="AW166" s="99" t="s">
        <v>4571</v>
      </c>
      <c r="AX166" s="99" t="s">
        <v>4572</v>
      </c>
      <c r="AY166" s="99" t="s">
        <v>4560</v>
      </c>
      <c r="AZ166" s="99" t="s">
        <v>4467</v>
      </c>
      <c r="BA166" s="103" t="s">
        <v>1634</v>
      </c>
      <c r="BB166" s="99">
        <v>1200</v>
      </c>
      <c r="BC166" s="99">
        <v>2000</v>
      </c>
      <c r="BD166" s="99">
        <v>100000</v>
      </c>
      <c r="BE166" s="99">
        <v>200000</v>
      </c>
      <c r="BF166" s="103" t="s">
        <v>4468</v>
      </c>
      <c r="BG166" s="103" t="s">
        <v>1862</v>
      </c>
      <c r="BH166" s="103" t="s">
        <v>1862</v>
      </c>
      <c r="BI166" s="103" t="s">
        <v>1804</v>
      </c>
      <c r="BJ166" s="103" t="s">
        <v>1804</v>
      </c>
      <c r="BK166" s="103" t="s">
        <v>4478</v>
      </c>
      <c r="BL166" s="103" t="s">
        <v>4470</v>
      </c>
      <c r="BM166" s="103" t="s">
        <v>4472</v>
      </c>
      <c r="BN166" s="103" t="s">
        <v>4573</v>
      </c>
      <c r="BO166" s="103">
        <v>80</v>
      </c>
      <c r="BP166" s="103" t="s">
        <v>4472</v>
      </c>
      <c r="BQ166" s="107" t="s">
        <v>4473</v>
      </c>
      <c r="BR166" s="99" t="s">
        <v>4473</v>
      </c>
      <c r="BS166" s="99" t="s">
        <v>4473</v>
      </c>
      <c r="BT166" s="103" t="s">
        <v>3186</v>
      </c>
      <c r="BU166" s="107" t="s">
        <v>4574</v>
      </c>
      <c r="BV166" s="103" t="s">
        <v>4476</v>
      </c>
      <c r="BW166" s="103" t="s">
        <v>1548</v>
      </c>
      <c r="BX166" s="103" t="s">
        <v>4575</v>
      </c>
      <c r="BY166" s="103" t="s">
        <v>4478</v>
      </c>
      <c r="BZ166" s="103" t="s">
        <v>4509</v>
      </c>
      <c r="CA166" s="103">
        <v>2000</v>
      </c>
      <c r="CB166" s="103" t="s">
        <v>4475</v>
      </c>
      <c r="CC166" s="103" t="s">
        <v>4502</v>
      </c>
      <c r="CD166" s="103" t="s">
        <v>4475</v>
      </c>
      <c r="CE166" s="103" t="s">
        <v>4475</v>
      </c>
      <c r="CF166" s="103" t="s">
        <v>4482</v>
      </c>
      <c r="CG166" s="103" t="s">
        <v>4832</v>
      </c>
      <c r="CH166" s="103" t="s">
        <v>5349</v>
      </c>
      <c r="CI166" s="111">
        <v>79651991</v>
      </c>
      <c r="CJ166" s="99"/>
      <c r="CK166" s="108">
        <v>43364.414409722223</v>
      </c>
      <c r="CL166" s="108">
        <v>43364.437928240739</v>
      </c>
      <c r="CM166" s="95">
        <v>12.9780605</v>
      </c>
      <c r="CN166" s="95">
        <v>-0.14013809999999999</v>
      </c>
      <c r="CO166" s="99"/>
      <c r="CP166" s="99"/>
      <c r="CQ166" s="99"/>
      <c r="CR166" s="99"/>
      <c r="CS166" s="99"/>
      <c r="CT166" s="99"/>
      <c r="CU166" s="99"/>
      <c r="CV166" s="99"/>
      <c r="CW166" s="99"/>
      <c r="CX166" s="99"/>
      <c r="CY166" s="99"/>
      <c r="CZ166" s="99"/>
      <c r="DA166" s="99"/>
      <c r="DB166" s="99"/>
      <c r="DC166" s="99"/>
    </row>
    <row r="167" spans="1:107" ht="15.75" customHeight="1">
      <c r="A167" s="95">
        <v>168</v>
      </c>
      <c r="B167" s="99" t="s">
        <v>569</v>
      </c>
      <c r="C167" s="99" t="s">
        <v>796</v>
      </c>
      <c r="D167" s="99">
        <v>76923548</v>
      </c>
      <c r="E167" s="99" t="s">
        <v>255</v>
      </c>
      <c r="F167" s="95" t="s">
        <v>5350</v>
      </c>
      <c r="G167" s="95" t="s">
        <v>1062</v>
      </c>
      <c r="H167" s="95" t="s">
        <v>1064</v>
      </c>
      <c r="I167" s="95" t="s">
        <v>520</v>
      </c>
      <c r="J167" s="95"/>
      <c r="K167" s="99"/>
      <c r="L167" s="103" t="s">
        <v>4449</v>
      </c>
      <c r="M167" s="99" t="s">
        <v>4450</v>
      </c>
      <c r="N167" s="99" t="s">
        <v>1565</v>
      </c>
      <c r="O167" s="99" t="s">
        <v>4452</v>
      </c>
      <c r="P167" s="103">
        <v>1998</v>
      </c>
      <c r="Q167" s="103" t="s">
        <v>1862</v>
      </c>
      <c r="R167" s="99" t="s">
        <v>4551</v>
      </c>
      <c r="S167" s="103" t="s">
        <v>1541</v>
      </c>
      <c r="T167" s="103" t="s">
        <v>4522</v>
      </c>
      <c r="U167" s="99" t="s">
        <v>5351</v>
      </c>
      <c r="V167" s="99">
        <v>12.3425897</v>
      </c>
      <c r="W167" s="99">
        <v>-1.4434689999999999</v>
      </c>
      <c r="X167" s="104" t="s">
        <v>5352</v>
      </c>
      <c r="Y167" s="103" t="s">
        <v>1634</v>
      </c>
      <c r="Z167" s="103" t="s">
        <v>1548</v>
      </c>
      <c r="AA167" s="103" t="s">
        <v>1862</v>
      </c>
      <c r="AB167" s="103">
        <v>42</v>
      </c>
      <c r="AC167" s="103">
        <v>0</v>
      </c>
      <c r="AD167" s="103">
        <v>42</v>
      </c>
      <c r="AE167" s="103" t="s">
        <v>1634</v>
      </c>
      <c r="AF167" s="103" t="s">
        <v>4493</v>
      </c>
      <c r="AG167" s="99" t="s">
        <v>4390</v>
      </c>
      <c r="AH167" s="103" t="s">
        <v>1634</v>
      </c>
      <c r="AI167" s="103" t="s">
        <v>1804</v>
      </c>
      <c r="AJ167" s="103" t="s">
        <v>1804</v>
      </c>
      <c r="AK167" s="103" t="s">
        <v>1804</v>
      </c>
      <c r="AL167" s="103" t="s">
        <v>1804</v>
      </c>
      <c r="AM167" s="103" t="s">
        <v>1804</v>
      </c>
      <c r="AN167" s="99" t="s">
        <v>4541</v>
      </c>
      <c r="AO167" s="103" t="s">
        <v>1862</v>
      </c>
      <c r="AP167" s="103"/>
      <c r="AQ167" s="103"/>
      <c r="AR167" s="103">
        <v>200000</v>
      </c>
      <c r="AS167" s="99"/>
      <c r="AT167" s="103" t="s">
        <v>4496</v>
      </c>
      <c r="AU167" s="103" t="s">
        <v>1634</v>
      </c>
      <c r="AV167" s="99" t="s">
        <v>5353</v>
      </c>
      <c r="AW167" s="99"/>
      <c r="AX167" s="99"/>
      <c r="AY167" s="99"/>
      <c r="AZ167" s="99"/>
      <c r="BA167" s="103"/>
      <c r="BB167" s="99">
        <v>1300</v>
      </c>
      <c r="BC167" s="99"/>
      <c r="BD167" s="99">
        <v>260000</v>
      </c>
      <c r="BE167" s="99"/>
      <c r="BF167" s="103" t="s">
        <v>4689</v>
      </c>
      <c r="BG167" s="103" t="s">
        <v>1804</v>
      </c>
      <c r="BH167" s="103" t="s">
        <v>1804</v>
      </c>
      <c r="BI167" s="103" t="s">
        <v>1862</v>
      </c>
      <c r="BJ167" s="103" t="s">
        <v>1862</v>
      </c>
      <c r="BK167" s="103" t="s">
        <v>4478</v>
      </c>
      <c r="BL167" s="103" t="s">
        <v>4470</v>
      </c>
      <c r="BM167" s="103" t="s">
        <v>4461</v>
      </c>
      <c r="BN167" s="103"/>
      <c r="BO167" s="103"/>
      <c r="BP167" s="103" t="s">
        <v>4532</v>
      </c>
      <c r="BQ167" s="107"/>
      <c r="BR167" s="99"/>
      <c r="BS167" s="99"/>
      <c r="BT167" s="103" t="s">
        <v>3186</v>
      </c>
      <c r="BU167" s="99"/>
      <c r="BV167" s="103"/>
      <c r="BW167" s="103"/>
      <c r="BX167" s="103"/>
      <c r="BY167" s="103"/>
      <c r="BZ167" s="103"/>
      <c r="CA167" s="103"/>
      <c r="CB167" s="103"/>
      <c r="CC167" s="103"/>
      <c r="CD167" s="103"/>
      <c r="CE167" s="103"/>
      <c r="CF167" s="103"/>
      <c r="CG167" s="103" t="s">
        <v>569</v>
      </c>
      <c r="CH167" s="103" t="s">
        <v>796</v>
      </c>
      <c r="CI167" s="103">
        <v>76923548</v>
      </c>
      <c r="CJ167" s="103"/>
      <c r="CK167" s="108">
        <v>43366.496249999997</v>
      </c>
      <c r="CL167" s="109">
        <v>43366.525057870371</v>
      </c>
      <c r="CM167" s="95">
        <v>12.3425897</v>
      </c>
      <c r="CN167" s="95">
        <v>-1.4434689999999999</v>
      </c>
      <c r="CO167" s="99"/>
      <c r="CP167" s="99"/>
      <c r="CQ167" s="99"/>
      <c r="CR167" s="99"/>
      <c r="CS167" s="99"/>
      <c r="CT167" s="99"/>
      <c r="CU167" s="99"/>
      <c r="CV167" s="99"/>
      <c r="CW167" s="99"/>
      <c r="CX167" s="99"/>
      <c r="CY167" s="99"/>
      <c r="CZ167" s="99"/>
      <c r="DA167" s="99"/>
      <c r="DB167" s="99"/>
      <c r="DC167" s="99"/>
    </row>
    <row r="168" spans="1:107" ht="15.75" customHeight="1">
      <c r="A168" s="95">
        <v>169</v>
      </c>
      <c r="B168" s="99" t="s">
        <v>677</v>
      </c>
      <c r="C168" s="99" t="s">
        <v>797</v>
      </c>
      <c r="D168" s="99">
        <v>72942405</v>
      </c>
      <c r="E168" s="99" t="s">
        <v>257</v>
      </c>
      <c r="F168" s="95" t="s">
        <v>5354</v>
      </c>
      <c r="G168" s="95" t="s">
        <v>1068</v>
      </c>
      <c r="H168" s="95" t="s">
        <v>1094</v>
      </c>
      <c r="I168" s="95" t="s">
        <v>1124</v>
      </c>
      <c r="J168" s="95" t="s">
        <v>1097</v>
      </c>
      <c r="K168" s="99"/>
      <c r="L168" s="103" t="s">
        <v>4449</v>
      </c>
      <c r="M168" s="99" t="s">
        <v>4567</v>
      </c>
      <c r="N168" s="99" t="s">
        <v>4451</v>
      </c>
      <c r="O168" s="99" t="s">
        <v>4615</v>
      </c>
      <c r="P168" s="103">
        <v>1997</v>
      </c>
      <c r="Q168" s="103" t="s">
        <v>1862</v>
      </c>
      <c r="R168" s="99" t="s">
        <v>4504</v>
      </c>
      <c r="S168" s="103" t="s">
        <v>2282</v>
      </c>
      <c r="T168" s="103" t="s">
        <v>4490</v>
      </c>
      <c r="U168" s="99" t="s">
        <v>5355</v>
      </c>
      <c r="V168" s="95">
        <v>9.8440946</v>
      </c>
      <c r="W168" s="95">
        <v>-2.9775558000000002</v>
      </c>
      <c r="X168" s="104" t="s">
        <v>5356</v>
      </c>
      <c r="Y168" s="103" t="s">
        <v>1634</v>
      </c>
      <c r="Z168" s="103" t="s">
        <v>1634</v>
      </c>
      <c r="AA168" s="103" t="s">
        <v>1862</v>
      </c>
      <c r="AB168" s="103">
        <v>250</v>
      </c>
      <c r="AC168" s="103">
        <v>0</v>
      </c>
      <c r="AD168" s="103">
        <v>250</v>
      </c>
      <c r="AE168" s="103" t="s">
        <v>1634</v>
      </c>
      <c r="AF168" s="103" t="s">
        <v>4779</v>
      </c>
      <c r="AG168" s="99" t="s">
        <v>4494</v>
      </c>
      <c r="AH168" s="103" t="s">
        <v>1862</v>
      </c>
      <c r="AI168" s="103" t="s">
        <v>1862</v>
      </c>
      <c r="AJ168" s="103" t="s">
        <v>1804</v>
      </c>
      <c r="AK168" s="103" t="s">
        <v>1804</v>
      </c>
      <c r="AL168" s="103" t="s">
        <v>1862</v>
      </c>
      <c r="AM168" s="103" t="s">
        <v>1862</v>
      </c>
      <c r="AN168" s="99" t="s">
        <v>5357</v>
      </c>
      <c r="AO168" s="103" t="s">
        <v>1862</v>
      </c>
      <c r="AP168" s="103">
        <v>850</v>
      </c>
      <c r="AQ168" s="103" t="s">
        <v>4500</v>
      </c>
      <c r="AR168" s="103">
        <v>910000</v>
      </c>
      <c r="AS168" s="106">
        <v>600000</v>
      </c>
      <c r="AT168" s="103" t="s">
        <v>4496</v>
      </c>
      <c r="AU168" s="103" t="s">
        <v>1634</v>
      </c>
      <c r="AV168" s="99" t="s">
        <v>4671</v>
      </c>
      <c r="AW168" s="99" t="s">
        <v>5358</v>
      </c>
      <c r="AX168" s="99" t="s">
        <v>5359</v>
      </c>
      <c r="AY168" s="99" t="s">
        <v>4466</v>
      </c>
      <c r="AZ168" s="99" t="s">
        <v>4530</v>
      </c>
      <c r="BA168" s="103" t="s">
        <v>1634</v>
      </c>
      <c r="BB168" s="99">
        <v>23000</v>
      </c>
      <c r="BC168" s="99">
        <v>350</v>
      </c>
      <c r="BD168" s="99">
        <v>1100000</v>
      </c>
      <c r="BE168" s="99">
        <v>650000</v>
      </c>
      <c r="BF168" s="103" t="s">
        <v>5069</v>
      </c>
      <c r="BG168" s="103" t="s">
        <v>1804</v>
      </c>
      <c r="BH168" s="103" t="s">
        <v>1862</v>
      </c>
      <c r="BI168" s="103" t="s">
        <v>1804</v>
      </c>
      <c r="BJ168" s="103" t="s">
        <v>1862</v>
      </c>
      <c r="BK168" s="103" t="s">
        <v>4478</v>
      </c>
      <c r="BL168" s="103" t="s">
        <v>4500</v>
      </c>
      <c r="BM168" s="103" t="s">
        <v>4461</v>
      </c>
      <c r="BN168" s="103" t="s">
        <v>5038</v>
      </c>
      <c r="BO168" s="103">
        <v>1500</v>
      </c>
      <c r="BP168" s="103" t="s">
        <v>4532</v>
      </c>
      <c r="BQ168" s="107" t="s">
        <v>4534</v>
      </c>
      <c r="BR168" s="99" t="s">
        <v>4534</v>
      </c>
      <c r="BS168" s="99" t="s">
        <v>4534</v>
      </c>
      <c r="BT168" s="103" t="s">
        <v>3186</v>
      </c>
      <c r="BU168" s="99" t="s">
        <v>4628</v>
      </c>
      <c r="BV168" s="103" t="s">
        <v>4476</v>
      </c>
      <c r="BW168" s="103" t="s">
        <v>4476</v>
      </c>
      <c r="BX168" s="103" t="s">
        <v>1548</v>
      </c>
      <c r="BY168" s="103" t="s">
        <v>4761</v>
      </c>
      <c r="BZ168" s="103" t="s">
        <v>4478</v>
      </c>
      <c r="CA168" s="103" t="s">
        <v>4500</v>
      </c>
      <c r="CB168" s="103">
        <v>1</v>
      </c>
      <c r="CC168" s="103" t="s">
        <v>4479</v>
      </c>
      <c r="CD168" s="103" t="s">
        <v>4475</v>
      </c>
      <c r="CE168" s="103" t="s">
        <v>4475</v>
      </c>
      <c r="CF168" s="103"/>
      <c r="CG168" s="103" t="s">
        <v>656</v>
      </c>
      <c r="CH168" s="103" t="s">
        <v>5360</v>
      </c>
      <c r="CI168" s="103">
        <v>73305022</v>
      </c>
      <c r="CJ168" s="103"/>
      <c r="CK168" s="108">
        <v>43366.73814814815</v>
      </c>
      <c r="CL168" s="109">
        <v>43366.750821759262</v>
      </c>
      <c r="CM168" s="95">
        <v>9.8440946</v>
      </c>
      <c r="CN168" s="95">
        <v>-2.9775558000000002</v>
      </c>
      <c r="CO168" s="99"/>
      <c r="CP168" s="99"/>
      <c r="CQ168" s="99"/>
      <c r="CR168" s="99"/>
      <c r="CS168" s="99"/>
      <c r="CT168" s="99"/>
      <c r="CU168" s="99"/>
      <c r="CV168" s="99"/>
      <c r="CW168" s="99"/>
      <c r="CX168" s="99"/>
      <c r="CY168" s="99"/>
      <c r="CZ168" s="99"/>
      <c r="DA168" s="99"/>
      <c r="DB168" s="99"/>
      <c r="DC168" s="99"/>
    </row>
    <row r="169" spans="1:107" ht="15.75" customHeight="1">
      <c r="A169" s="95">
        <v>170</v>
      </c>
      <c r="B169" s="99" t="s">
        <v>798</v>
      </c>
      <c r="C169" s="99" t="s">
        <v>799</v>
      </c>
      <c r="D169" s="99">
        <v>70764708</v>
      </c>
      <c r="E169" s="99" t="s">
        <v>258</v>
      </c>
      <c r="F169" s="95" t="s">
        <v>5361</v>
      </c>
      <c r="G169" s="95" t="s">
        <v>1068</v>
      </c>
      <c r="H169" s="95" t="s">
        <v>1069</v>
      </c>
      <c r="I169" s="95" t="s">
        <v>259</v>
      </c>
      <c r="J169" s="95"/>
      <c r="K169" s="99"/>
      <c r="L169" s="103" t="s">
        <v>4449</v>
      </c>
      <c r="M169" s="99" t="s">
        <v>4487</v>
      </c>
      <c r="N169" s="99" t="s">
        <v>4520</v>
      </c>
      <c r="O169" s="99" t="s">
        <v>4615</v>
      </c>
      <c r="P169" s="103">
        <v>2012</v>
      </c>
      <c r="Q169" s="103" t="s">
        <v>1862</v>
      </c>
      <c r="R169" s="99" t="s">
        <v>4687</v>
      </c>
      <c r="S169" s="103" t="s">
        <v>1541</v>
      </c>
      <c r="T169" s="103" t="s">
        <v>4522</v>
      </c>
      <c r="U169" s="99" t="s">
        <v>5362</v>
      </c>
      <c r="V169" s="95">
        <v>10.872264599999999</v>
      </c>
      <c r="W169" s="95">
        <v>-3.3388917</v>
      </c>
      <c r="X169" s="104" t="s">
        <v>4997</v>
      </c>
      <c r="Y169" s="103" t="s">
        <v>1634</v>
      </c>
      <c r="Z169" s="103" t="s">
        <v>1634</v>
      </c>
      <c r="AA169" s="103" t="s">
        <v>1862</v>
      </c>
      <c r="AB169" s="103">
        <v>30</v>
      </c>
      <c r="AC169" s="103">
        <v>10</v>
      </c>
      <c r="AD169" s="103">
        <v>20</v>
      </c>
      <c r="AE169" s="103" t="s">
        <v>1634</v>
      </c>
      <c r="AF169" s="103" t="s">
        <v>5098</v>
      </c>
      <c r="AG169" s="99" t="s">
        <v>4394</v>
      </c>
      <c r="AH169" s="103" t="s">
        <v>1804</v>
      </c>
      <c r="AI169" s="103" t="s">
        <v>1804</v>
      </c>
      <c r="AJ169" s="103" t="s">
        <v>1804</v>
      </c>
      <c r="AK169" s="103" t="s">
        <v>1804</v>
      </c>
      <c r="AL169" s="103" t="s">
        <v>1862</v>
      </c>
      <c r="AM169" s="103" t="s">
        <v>1804</v>
      </c>
      <c r="AN169" s="99" t="s">
        <v>5076</v>
      </c>
      <c r="AO169" s="103" t="s">
        <v>1862</v>
      </c>
      <c r="AP169" s="103"/>
      <c r="AQ169" s="103"/>
      <c r="AR169" s="103">
        <v>7500000</v>
      </c>
      <c r="AS169" s="99"/>
      <c r="AT169" s="103" t="s">
        <v>4496</v>
      </c>
      <c r="AU169" s="103" t="s">
        <v>1634</v>
      </c>
      <c r="AV169" s="99" t="s">
        <v>4671</v>
      </c>
      <c r="AW169" s="99"/>
      <c r="AX169" s="99" t="s">
        <v>5363</v>
      </c>
      <c r="AY169" s="99"/>
      <c r="AZ169" s="99"/>
      <c r="BA169" s="103" t="s">
        <v>1548</v>
      </c>
      <c r="BB169" s="99">
        <v>60000</v>
      </c>
      <c r="BC169" s="99">
        <v>300</v>
      </c>
      <c r="BD169" s="99">
        <v>14000000</v>
      </c>
      <c r="BE169" s="99">
        <v>0</v>
      </c>
      <c r="BF169" s="103" t="s">
        <v>4785</v>
      </c>
      <c r="BG169" s="103" t="s">
        <v>1804</v>
      </c>
      <c r="BH169" s="103" t="s">
        <v>1804</v>
      </c>
      <c r="BI169" s="103" t="s">
        <v>1804</v>
      </c>
      <c r="BJ169" s="103" t="s">
        <v>1862</v>
      </c>
      <c r="BK169" s="103" t="s">
        <v>4478</v>
      </c>
      <c r="BL169" s="103" t="s">
        <v>4472</v>
      </c>
      <c r="BM169" s="103" t="s">
        <v>4500</v>
      </c>
      <c r="BN169" s="103" t="s">
        <v>4690</v>
      </c>
      <c r="BO169" s="103">
        <v>0</v>
      </c>
      <c r="BP169" s="103"/>
      <c r="BQ169" s="107"/>
      <c r="BR169" s="99"/>
      <c r="BS169" s="99"/>
      <c r="BT169" s="103" t="s">
        <v>3186</v>
      </c>
      <c r="BU169" s="99"/>
      <c r="BV169" s="103"/>
      <c r="BW169" s="103"/>
      <c r="BX169" s="103"/>
      <c r="BY169" s="103"/>
      <c r="BZ169" s="103"/>
      <c r="CA169" s="103"/>
      <c r="CB169" s="103"/>
      <c r="CC169" s="103"/>
      <c r="CD169" s="103"/>
      <c r="CE169" s="103"/>
      <c r="CF169" s="103"/>
      <c r="CG169" s="103" t="s">
        <v>821</v>
      </c>
      <c r="CH169" s="103" t="s">
        <v>5364</v>
      </c>
      <c r="CI169" s="103">
        <v>70764708</v>
      </c>
      <c r="CJ169" s="103"/>
      <c r="CK169" s="108">
        <v>43366.657939814817</v>
      </c>
      <c r="CL169" s="109">
        <v>43366.685972222222</v>
      </c>
      <c r="CM169" s="95">
        <v>10.872264599999999</v>
      </c>
      <c r="CN169" s="95">
        <v>-3.3388917</v>
      </c>
      <c r="CO169" s="99"/>
      <c r="CP169" s="99"/>
      <c r="CQ169" s="99"/>
      <c r="CR169" s="99"/>
      <c r="CS169" s="99"/>
      <c r="CT169" s="99"/>
      <c r="CU169" s="99"/>
      <c r="CV169" s="99"/>
      <c r="CW169" s="99"/>
      <c r="CX169" s="99"/>
      <c r="CY169" s="99"/>
      <c r="CZ169" s="99"/>
      <c r="DA169" s="99"/>
      <c r="DB169" s="99"/>
      <c r="DC169" s="99"/>
    </row>
    <row r="170" spans="1:107" ht="15.75" customHeight="1">
      <c r="A170" s="95">
        <v>171</v>
      </c>
      <c r="B170" s="99" t="s">
        <v>800</v>
      </c>
      <c r="C170" s="99" t="s">
        <v>688</v>
      </c>
      <c r="D170" s="99">
        <v>73215696</v>
      </c>
      <c r="E170" s="99" t="s">
        <v>260</v>
      </c>
      <c r="F170" s="95" t="s">
        <v>4870</v>
      </c>
      <c r="G170" s="95" t="s">
        <v>1068</v>
      </c>
      <c r="H170" s="95" t="s">
        <v>1081</v>
      </c>
      <c r="I170" s="95" t="s">
        <v>91</v>
      </c>
      <c r="J170" s="95"/>
      <c r="K170" s="99"/>
      <c r="L170" s="103" t="s">
        <v>4449</v>
      </c>
      <c r="M170" s="99" t="s">
        <v>4567</v>
      </c>
      <c r="N170" s="99" t="s">
        <v>4451</v>
      </c>
      <c r="O170" s="99" t="s">
        <v>5365</v>
      </c>
      <c r="P170" s="103">
        <v>2002</v>
      </c>
      <c r="Q170" s="103" t="s">
        <v>1862</v>
      </c>
      <c r="R170" s="99" t="s">
        <v>4551</v>
      </c>
      <c r="S170" s="103" t="s">
        <v>1541</v>
      </c>
      <c r="T170" s="103" t="s">
        <v>4522</v>
      </c>
      <c r="U170" s="99" t="s">
        <v>4871</v>
      </c>
      <c r="V170" s="99">
        <v>10.3325996</v>
      </c>
      <c r="W170" s="99">
        <v>-3.3388917</v>
      </c>
      <c r="X170" s="104" t="s">
        <v>4872</v>
      </c>
      <c r="Y170" s="103" t="s">
        <v>1634</v>
      </c>
      <c r="Z170" s="103" t="s">
        <v>1634</v>
      </c>
      <c r="AA170" s="103" t="s">
        <v>1862</v>
      </c>
      <c r="AB170" s="103">
        <v>28</v>
      </c>
      <c r="AC170" s="103">
        <v>2</v>
      </c>
      <c r="AD170" s="103">
        <v>26</v>
      </c>
      <c r="AE170" s="103" t="s">
        <v>1634</v>
      </c>
      <c r="AF170" s="103" t="s">
        <v>5098</v>
      </c>
      <c r="AG170" s="99" t="s">
        <v>5085</v>
      </c>
      <c r="AH170" s="103" t="s">
        <v>1804</v>
      </c>
      <c r="AI170" s="103" t="s">
        <v>1862</v>
      </c>
      <c r="AJ170" s="103" t="s">
        <v>1804</v>
      </c>
      <c r="AK170" s="103" t="s">
        <v>1804</v>
      </c>
      <c r="AL170" s="103" t="s">
        <v>1862</v>
      </c>
      <c r="AM170" s="103" t="s">
        <v>1862</v>
      </c>
      <c r="AN170" s="99" t="s">
        <v>5107</v>
      </c>
      <c r="AO170" s="103" t="s">
        <v>1862</v>
      </c>
      <c r="AP170" s="103">
        <v>950</v>
      </c>
      <c r="AQ170" s="103" t="s">
        <v>4461</v>
      </c>
      <c r="AR170" s="103">
        <v>550000</v>
      </c>
      <c r="AS170" s="106">
        <v>175000</v>
      </c>
      <c r="AT170" s="103" t="s">
        <v>4496</v>
      </c>
      <c r="AU170" s="103" t="s">
        <v>1548</v>
      </c>
      <c r="AV170" s="99"/>
      <c r="AW170" s="99" t="s">
        <v>5366</v>
      </c>
      <c r="AX170" s="99" t="s">
        <v>5367</v>
      </c>
      <c r="AY170" s="99" t="s">
        <v>4466</v>
      </c>
      <c r="AZ170" s="99" t="s">
        <v>4530</v>
      </c>
      <c r="BA170" s="103" t="s">
        <v>1548</v>
      </c>
      <c r="BB170" s="99">
        <v>670</v>
      </c>
      <c r="BC170" s="99">
        <v>260</v>
      </c>
      <c r="BD170" s="99">
        <v>380000</v>
      </c>
      <c r="BE170" s="99">
        <v>225000</v>
      </c>
      <c r="BF170" s="103" t="s">
        <v>4785</v>
      </c>
      <c r="BG170" s="103" t="s">
        <v>1804</v>
      </c>
      <c r="BH170" s="103" t="s">
        <v>1804</v>
      </c>
      <c r="BI170" s="103" t="s">
        <v>1804</v>
      </c>
      <c r="BJ170" s="103" t="s">
        <v>1862</v>
      </c>
      <c r="BK170" s="103" t="s">
        <v>4478</v>
      </c>
      <c r="BL170" s="103" t="s">
        <v>4472</v>
      </c>
      <c r="BM170" s="103" t="s">
        <v>4461</v>
      </c>
      <c r="BN170" s="103" t="s">
        <v>4690</v>
      </c>
      <c r="BO170" s="103">
        <v>900</v>
      </c>
      <c r="BP170" s="103" t="s">
        <v>4499</v>
      </c>
      <c r="BQ170" s="99" t="s">
        <v>4809</v>
      </c>
      <c r="BR170" s="99" t="s">
        <v>4809</v>
      </c>
      <c r="BS170" s="99" t="s">
        <v>4809</v>
      </c>
      <c r="BT170" s="103" t="s">
        <v>3186</v>
      </c>
      <c r="BU170" s="99" t="s">
        <v>4502</v>
      </c>
      <c r="BV170" s="103" t="s">
        <v>4476</v>
      </c>
      <c r="BW170" s="103" t="s">
        <v>4476</v>
      </c>
      <c r="BX170" s="103" t="s">
        <v>1548</v>
      </c>
      <c r="BY170" s="103" t="s">
        <v>4610</v>
      </c>
      <c r="BZ170" s="103" t="s">
        <v>4469</v>
      </c>
      <c r="CA170" s="103" t="s">
        <v>4461</v>
      </c>
      <c r="CB170" s="103">
        <v>1</v>
      </c>
      <c r="CC170" s="103" t="s">
        <v>4502</v>
      </c>
      <c r="CD170" s="103" t="s">
        <v>4502</v>
      </c>
      <c r="CE170" s="103" t="s">
        <v>4502</v>
      </c>
      <c r="CF170" s="103"/>
      <c r="CG170" s="103" t="s">
        <v>800</v>
      </c>
      <c r="CH170" s="103" t="s">
        <v>5368</v>
      </c>
      <c r="CI170" s="103">
        <v>73215696</v>
      </c>
      <c r="CJ170" s="103"/>
      <c r="CK170" s="108">
        <v>43366.698553240742</v>
      </c>
      <c r="CL170" s="109">
        <v>43366.707870370374</v>
      </c>
      <c r="CM170" s="95">
        <v>10.3325996</v>
      </c>
      <c r="CN170" s="95">
        <v>-3.3388917</v>
      </c>
      <c r="CO170" s="99"/>
      <c r="CP170" s="99"/>
      <c r="CQ170" s="99"/>
      <c r="CR170" s="99"/>
      <c r="CS170" s="99"/>
      <c r="CT170" s="99"/>
      <c r="CU170" s="99"/>
      <c r="CV170" s="99"/>
      <c r="CW170" s="99"/>
      <c r="CX170" s="99"/>
      <c r="CY170" s="99"/>
      <c r="CZ170" s="99"/>
      <c r="DA170" s="99"/>
      <c r="DB170" s="99"/>
      <c r="DC170" s="99"/>
    </row>
    <row r="171" spans="1:107" ht="15.75" customHeight="1">
      <c r="A171" s="95">
        <v>172</v>
      </c>
      <c r="B171" s="99" t="s">
        <v>801</v>
      </c>
      <c r="C171" s="99" t="s">
        <v>802</v>
      </c>
      <c r="D171" s="99">
        <v>71481681</v>
      </c>
      <c r="E171" s="99" t="s">
        <v>261</v>
      </c>
      <c r="F171" s="95" t="s">
        <v>4999</v>
      </c>
      <c r="G171" s="95" t="s">
        <v>1049</v>
      </c>
      <c r="H171" s="95" t="s">
        <v>1065</v>
      </c>
      <c r="I171" s="95" t="s">
        <v>131</v>
      </c>
      <c r="J171" s="95"/>
      <c r="K171" s="99"/>
      <c r="L171" s="103" t="s">
        <v>4449</v>
      </c>
      <c r="M171" s="99" t="s">
        <v>4450</v>
      </c>
      <c r="N171" s="99" t="s">
        <v>4698</v>
      </c>
      <c r="O171" s="99" t="s">
        <v>4452</v>
      </c>
      <c r="P171" s="103">
        <v>1994</v>
      </c>
      <c r="Q171" s="103" t="s">
        <v>1862</v>
      </c>
      <c r="R171" s="99" t="s">
        <v>4633</v>
      </c>
      <c r="S171" s="103" t="s">
        <v>4803</v>
      </c>
      <c r="T171" s="103" t="s">
        <v>4634</v>
      </c>
      <c r="U171" s="99" t="s">
        <v>5000</v>
      </c>
      <c r="V171" s="95">
        <v>11.9597069</v>
      </c>
      <c r="W171" s="95">
        <v>-2.5467545999999999</v>
      </c>
      <c r="X171" s="104" t="s">
        <v>5001</v>
      </c>
      <c r="Y171" s="103" t="s">
        <v>1634</v>
      </c>
      <c r="Z171" s="103" t="s">
        <v>1634</v>
      </c>
      <c r="AA171" s="103" t="s">
        <v>1862</v>
      </c>
      <c r="AB171" s="103">
        <v>403</v>
      </c>
      <c r="AC171" s="103">
        <v>5</v>
      </c>
      <c r="AD171" s="103">
        <v>398</v>
      </c>
      <c r="AE171" s="103" t="s">
        <v>1634</v>
      </c>
      <c r="AF171" s="103" t="s">
        <v>4935</v>
      </c>
      <c r="AG171" s="99" t="s">
        <v>4554</v>
      </c>
      <c r="AH171" s="103" t="s">
        <v>1862</v>
      </c>
      <c r="AI171" s="103" t="s">
        <v>1862</v>
      </c>
      <c r="AJ171" s="103" t="s">
        <v>1862</v>
      </c>
      <c r="AK171" s="103" t="s">
        <v>1862</v>
      </c>
      <c r="AL171" s="103" t="s">
        <v>1804</v>
      </c>
      <c r="AM171" s="103" t="s">
        <v>1862</v>
      </c>
      <c r="AN171" s="99" t="s">
        <v>4638</v>
      </c>
      <c r="AO171" s="103" t="s">
        <v>1862</v>
      </c>
      <c r="AP171" s="103">
        <v>2000</v>
      </c>
      <c r="AQ171" s="103" t="s">
        <v>4461</v>
      </c>
      <c r="AR171" s="103"/>
      <c r="AS171" s="106">
        <v>60000000</v>
      </c>
      <c r="AT171" s="103" t="s">
        <v>4527</v>
      </c>
      <c r="AU171" s="103" t="s">
        <v>1634</v>
      </c>
      <c r="AV171" s="99" t="s">
        <v>4463</v>
      </c>
      <c r="AW171" s="99" t="s">
        <v>4639</v>
      </c>
      <c r="AX171" s="99" t="s">
        <v>4640</v>
      </c>
      <c r="AY171" s="99" t="s">
        <v>4641</v>
      </c>
      <c r="AZ171" s="99" t="s">
        <v>4530</v>
      </c>
      <c r="BA171" s="103" t="s">
        <v>1634</v>
      </c>
      <c r="BB171" s="99"/>
      <c r="BC171" s="99">
        <v>25000</v>
      </c>
      <c r="BD171" s="99"/>
      <c r="BE171" s="99">
        <v>50000000</v>
      </c>
      <c r="BF171" s="103" t="s">
        <v>4642</v>
      </c>
      <c r="BG171" s="103" t="s">
        <v>1862</v>
      </c>
      <c r="BH171" s="103" t="s">
        <v>1862</v>
      </c>
      <c r="BI171" s="103" t="s">
        <v>1862</v>
      </c>
      <c r="BJ171" s="103" t="s">
        <v>1862</v>
      </c>
      <c r="BK171" s="103" t="s">
        <v>4469</v>
      </c>
      <c r="BL171" s="103" t="s">
        <v>4472</v>
      </c>
      <c r="BM171" s="103" t="s">
        <v>4461</v>
      </c>
      <c r="BN171" s="103" t="s">
        <v>4643</v>
      </c>
      <c r="BO171" s="103">
        <v>400</v>
      </c>
      <c r="BP171" s="103" t="s">
        <v>4532</v>
      </c>
      <c r="BQ171" s="99" t="s">
        <v>4644</v>
      </c>
      <c r="BR171" s="99" t="s">
        <v>4644</v>
      </c>
      <c r="BS171" s="99" t="s">
        <v>4564</v>
      </c>
      <c r="BT171" s="103" t="s">
        <v>3186</v>
      </c>
      <c r="BU171" s="99"/>
      <c r="BV171" s="103" t="s">
        <v>4644</v>
      </c>
      <c r="BW171" s="103" t="s">
        <v>4644</v>
      </c>
      <c r="BX171" s="103"/>
      <c r="BY171" s="103"/>
      <c r="BZ171" s="103"/>
      <c r="CA171" s="103"/>
      <c r="CB171" s="103"/>
      <c r="CC171" s="103" t="s">
        <v>4502</v>
      </c>
      <c r="CD171" s="103" t="s">
        <v>4475</v>
      </c>
      <c r="CE171" s="103" t="s">
        <v>4475</v>
      </c>
      <c r="CF171" s="103"/>
      <c r="CG171" s="103" t="s">
        <v>801</v>
      </c>
      <c r="CH171" s="103" t="s">
        <v>802</v>
      </c>
      <c r="CI171" s="103">
        <v>71481681</v>
      </c>
      <c r="CJ171" s="103"/>
      <c r="CK171" s="108">
        <v>43364.693287037036</v>
      </c>
      <c r="CL171" s="109">
        <v>43364.732754629629</v>
      </c>
      <c r="CM171" s="95">
        <v>11.9597069</v>
      </c>
      <c r="CN171" s="95">
        <v>-2.5467545999999999</v>
      </c>
      <c r="CO171" s="99"/>
      <c r="CP171" s="99"/>
      <c r="CQ171" s="99"/>
      <c r="CR171" s="99"/>
      <c r="CS171" s="99"/>
      <c r="CT171" s="99"/>
      <c r="CU171" s="99"/>
      <c r="CV171" s="99"/>
      <c r="CW171" s="99"/>
      <c r="CX171" s="99"/>
      <c r="CY171" s="99"/>
      <c r="CZ171" s="99"/>
      <c r="DA171" s="99"/>
      <c r="DB171" s="99"/>
      <c r="DC171" s="99"/>
    </row>
    <row r="172" spans="1:107" ht="15.75" customHeight="1">
      <c r="A172" s="95">
        <v>173</v>
      </c>
      <c r="B172" s="99" t="s">
        <v>803</v>
      </c>
      <c r="C172" s="99" t="s">
        <v>804</v>
      </c>
      <c r="D172" s="110">
        <v>66580153</v>
      </c>
      <c r="E172" s="99" t="s">
        <v>262</v>
      </c>
      <c r="F172" s="95" t="s">
        <v>5062</v>
      </c>
      <c r="G172" s="95" t="s">
        <v>1068</v>
      </c>
      <c r="H172" s="95" t="s">
        <v>1081</v>
      </c>
      <c r="I172" s="95" t="s">
        <v>156</v>
      </c>
      <c r="J172" s="95"/>
      <c r="K172" s="99"/>
      <c r="L172" s="103" t="s">
        <v>4449</v>
      </c>
      <c r="M172" s="99" t="s">
        <v>4450</v>
      </c>
      <c r="N172" s="99" t="s">
        <v>4451</v>
      </c>
      <c r="O172" s="99" t="s">
        <v>4452</v>
      </c>
      <c r="P172" s="103">
        <v>2014</v>
      </c>
      <c r="Q172" s="103" t="s">
        <v>1862</v>
      </c>
      <c r="R172" s="99" t="s">
        <v>4709</v>
      </c>
      <c r="S172" s="103" t="s">
        <v>1541</v>
      </c>
      <c r="T172" s="103" t="s">
        <v>4522</v>
      </c>
      <c r="U172" s="99" t="s">
        <v>5063</v>
      </c>
      <c r="V172" s="99">
        <v>10.3231036</v>
      </c>
      <c r="W172" s="99">
        <v>-3.1679257000000001</v>
      </c>
      <c r="X172" s="104" t="s">
        <v>5064</v>
      </c>
      <c r="Y172" s="103" t="s">
        <v>1634</v>
      </c>
      <c r="Z172" s="103" t="s">
        <v>1634</v>
      </c>
      <c r="AA172" s="103" t="s">
        <v>1862</v>
      </c>
      <c r="AB172" s="103">
        <v>75</v>
      </c>
      <c r="AC172" s="103">
        <v>0</v>
      </c>
      <c r="AD172" s="103">
        <v>75</v>
      </c>
      <c r="AE172" s="103" t="s">
        <v>1634</v>
      </c>
      <c r="AF172" s="103" t="s">
        <v>4779</v>
      </c>
      <c r="AG172" s="99" t="s">
        <v>4745</v>
      </c>
      <c r="AH172" s="103" t="s">
        <v>1862</v>
      </c>
      <c r="AI172" s="103" t="s">
        <v>1862</v>
      </c>
      <c r="AJ172" s="103" t="s">
        <v>1862</v>
      </c>
      <c r="AK172" s="103" t="s">
        <v>1862</v>
      </c>
      <c r="AL172" s="103" t="s">
        <v>1862</v>
      </c>
      <c r="AM172" s="103" t="s">
        <v>1862</v>
      </c>
      <c r="AN172" s="99" t="s">
        <v>4746</v>
      </c>
      <c r="AO172" s="103" t="s">
        <v>1862</v>
      </c>
      <c r="AP172" s="103">
        <v>650</v>
      </c>
      <c r="AQ172" s="103" t="s">
        <v>4461</v>
      </c>
      <c r="AR172" s="105">
        <v>800000</v>
      </c>
      <c r="AS172" s="106">
        <v>1200000</v>
      </c>
      <c r="AT172" s="103" t="s">
        <v>4594</v>
      </c>
      <c r="AU172" s="103" t="s">
        <v>1634</v>
      </c>
      <c r="AV172" s="99" t="s">
        <v>4671</v>
      </c>
      <c r="AW172" s="99" t="s">
        <v>4747</v>
      </c>
      <c r="AX172" s="99" t="s">
        <v>4748</v>
      </c>
      <c r="AY172" s="99" t="s">
        <v>4466</v>
      </c>
      <c r="AZ172" s="99" t="s">
        <v>4561</v>
      </c>
      <c r="BA172" s="103" t="s">
        <v>1634</v>
      </c>
      <c r="BB172" s="99">
        <v>12000</v>
      </c>
      <c r="BC172" s="99">
        <v>9000</v>
      </c>
      <c r="BD172" s="99">
        <v>800000</v>
      </c>
      <c r="BE172" s="99">
        <v>1300000</v>
      </c>
      <c r="BF172" s="103" t="s">
        <v>4749</v>
      </c>
      <c r="BG172" s="103" t="s">
        <v>1804</v>
      </c>
      <c r="BH172" s="103" t="s">
        <v>1862</v>
      </c>
      <c r="BI172" s="103" t="s">
        <v>1862</v>
      </c>
      <c r="BJ172" s="103" t="s">
        <v>1804</v>
      </c>
      <c r="BK172" s="103" t="s">
        <v>4478</v>
      </c>
      <c r="BL172" s="103" t="s">
        <v>4472</v>
      </c>
      <c r="BM172" s="103" t="s">
        <v>4461</v>
      </c>
      <c r="BN172" s="103" t="s">
        <v>4512</v>
      </c>
      <c r="BO172" s="103">
        <v>500</v>
      </c>
      <c r="BP172" s="103" t="s">
        <v>4500</v>
      </c>
      <c r="BQ172" s="107" t="s">
        <v>4476</v>
      </c>
      <c r="BR172" s="99" t="s">
        <v>4476</v>
      </c>
      <c r="BS172" s="99" t="s">
        <v>4750</v>
      </c>
      <c r="BT172" s="103" t="s">
        <v>3186</v>
      </c>
      <c r="BU172" s="107" t="s">
        <v>4476</v>
      </c>
      <c r="BV172" s="103" t="s">
        <v>4476</v>
      </c>
      <c r="BW172" s="103" t="s">
        <v>1548</v>
      </c>
      <c r="BX172" s="103" t="s">
        <v>4535</v>
      </c>
      <c r="BY172" s="103" t="s">
        <v>4499</v>
      </c>
      <c r="BZ172" s="103" t="s">
        <v>4461</v>
      </c>
      <c r="CA172" s="103">
        <v>120</v>
      </c>
      <c r="CB172" s="103" t="s">
        <v>4475</v>
      </c>
      <c r="CC172" s="103" t="s">
        <v>4716</v>
      </c>
      <c r="CD172" s="103" t="s">
        <v>4480</v>
      </c>
      <c r="CE172" s="103" t="s">
        <v>4481</v>
      </c>
      <c r="CF172" s="103"/>
      <c r="CG172" s="103" t="s">
        <v>803</v>
      </c>
      <c r="CH172" s="103" t="s">
        <v>804</v>
      </c>
      <c r="CI172" s="111">
        <v>66580153</v>
      </c>
      <c r="CJ172" s="99"/>
      <c r="CK172" s="108">
        <v>43364.631377314814</v>
      </c>
      <c r="CL172" s="108">
        <v>43364.759120370371</v>
      </c>
      <c r="CM172" s="95">
        <v>10.3231036</v>
      </c>
      <c r="CN172" s="95">
        <v>-3.1679257000000001</v>
      </c>
      <c r="CO172" s="99"/>
      <c r="CP172" s="99"/>
      <c r="CQ172" s="99"/>
      <c r="CR172" s="99"/>
      <c r="CS172" s="99"/>
      <c r="CT172" s="99"/>
      <c r="CU172" s="99"/>
      <c r="CV172" s="99"/>
      <c r="CW172" s="99"/>
      <c r="CX172" s="99"/>
      <c r="CY172" s="99"/>
      <c r="CZ172" s="99"/>
      <c r="DA172" s="99"/>
      <c r="DB172" s="99"/>
      <c r="DC172" s="99"/>
    </row>
    <row r="173" spans="1:107" ht="15.75" customHeight="1">
      <c r="A173" s="95">
        <v>174</v>
      </c>
      <c r="B173" s="99" t="s">
        <v>592</v>
      </c>
      <c r="C173" s="99" t="s">
        <v>805</v>
      </c>
      <c r="D173" s="99">
        <v>70890704</v>
      </c>
      <c r="E173" s="99" t="s">
        <v>263</v>
      </c>
      <c r="F173" s="95" t="s">
        <v>5369</v>
      </c>
      <c r="G173" s="95" t="s">
        <v>1068</v>
      </c>
      <c r="H173" s="95" t="s">
        <v>1081</v>
      </c>
      <c r="I173" s="95" t="s">
        <v>264</v>
      </c>
      <c r="J173" s="95"/>
      <c r="K173" s="99"/>
      <c r="L173" s="103" t="s">
        <v>4549</v>
      </c>
      <c r="M173" s="99" t="s">
        <v>4487</v>
      </c>
      <c r="N173" s="99" t="s">
        <v>4520</v>
      </c>
      <c r="O173" s="99" t="s">
        <v>5370</v>
      </c>
      <c r="P173" s="103">
        <v>2001</v>
      </c>
      <c r="Q173" s="103" t="s">
        <v>1862</v>
      </c>
      <c r="R173" s="99" t="s">
        <v>4504</v>
      </c>
      <c r="S173" s="103" t="s">
        <v>4803</v>
      </c>
      <c r="T173" s="103" t="s">
        <v>4634</v>
      </c>
      <c r="U173" s="99" t="s">
        <v>5371</v>
      </c>
      <c r="V173" s="95">
        <v>10.538477500000001</v>
      </c>
      <c r="W173" s="95">
        <v>-3.2357376000000002</v>
      </c>
      <c r="X173" s="104" t="s">
        <v>5372</v>
      </c>
      <c r="Y173" s="103" t="s">
        <v>1548</v>
      </c>
      <c r="Z173" s="103" t="s">
        <v>1548</v>
      </c>
      <c r="AA173" s="103" t="s">
        <v>1862</v>
      </c>
      <c r="AB173" s="105">
        <v>1050</v>
      </c>
      <c r="AC173" s="103">
        <v>210</v>
      </c>
      <c r="AD173" s="103">
        <v>840</v>
      </c>
      <c r="AE173" s="103" t="s">
        <v>1634</v>
      </c>
      <c r="AF173" s="103" t="s">
        <v>5098</v>
      </c>
      <c r="AG173" s="99" t="s">
        <v>4394</v>
      </c>
      <c r="AH173" s="103" t="s">
        <v>1804</v>
      </c>
      <c r="AI173" s="103" t="s">
        <v>1804</v>
      </c>
      <c r="AJ173" s="103" t="s">
        <v>1804</v>
      </c>
      <c r="AK173" s="103" t="s">
        <v>1804</v>
      </c>
      <c r="AL173" s="103" t="s">
        <v>1862</v>
      </c>
      <c r="AM173" s="103" t="s">
        <v>1804</v>
      </c>
      <c r="AN173" s="99" t="s">
        <v>5373</v>
      </c>
      <c r="AO173" s="103" t="s">
        <v>1862</v>
      </c>
      <c r="AP173" s="103"/>
      <c r="AQ173" s="103"/>
      <c r="AR173" s="103">
        <v>48000000</v>
      </c>
      <c r="AS173" s="99"/>
      <c r="AT173" s="103" t="s">
        <v>4594</v>
      </c>
      <c r="AU173" s="103" t="s">
        <v>1634</v>
      </c>
      <c r="AV173" s="99" t="s">
        <v>4671</v>
      </c>
      <c r="AW173" s="99"/>
      <c r="AX173" s="99"/>
      <c r="AY173" s="99"/>
      <c r="AZ173" s="99"/>
      <c r="BA173" s="103" t="s">
        <v>1634</v>
      </c>
      <c r="BB173" s="99">
        <v>52000</v>
      </c>
      <c r="BC173" s="99">
        <v>0</v>
      </c>
      <c r="BD173" s="99">
        <v>47000000</v>
      </c>
      <c r="BE173" s="99">
        <v>0</v>
      </c>
      <c r="BF173" s="103" t="s">
        <v>4785</v>
      </c>
      <c r="BG173" s="103" t="s">
        <v>1804</v>
      </c>
      <c r="BH173" s="103" t="s">
        <v>1804</v>
      </c>
      <c r="BI173" s="103" t="s">
        <v>1804</v>
      </c>
      <c r="BJ173" s="103" t="s">
        <v>1862</v>
      </c>
      <c r="BK173" s="103" t="s">
        <v>4478</v>
      </c>
      <c r="BL173" s="103" t="s">
        <v>4472</v>
      </c>
      <c r="BM173" s="103" t="s">
        <v>4461</v>
      </c>
      <c r="BN173" s="103"/>
      <c r="BO173" s="103"/>
      <c r="BP173" s="103"/>
      <c r="BQ173" s="107"/>
      <c r="BR173" s="99"/>
      <c r="BS173" s="99"/>
      <c r="BT173" s="103" t="s">
        <v>3186</v>
      </c>
      <c r="BU173" s="99"/>
      <c r="BV173" s="103"/>
      <c r="BW173" s="103"/>
      <c r="BX173" s="103"/>
      <c r="BY173" s="103"/>
      <c r="BZ173" s="103"/>
      <c r="CA173" s="103"/>
      <c r="CB173" s="103"/>
      <c r="CC173" s="103"/>
      <c r="CD173" s="103"/>
      <c r="CE173" s="103"/>
      <c r="CF173" s="103"/>
      <c r="CG173" s="103" t="s">
        <v>592</v>
      </c>
      <c r="CH173" s="103" t="s">
        <v>805</v>
      </c>
      <c r="CI173" s="103">
        <v>70890704</v>
      </c>
      <c r="CJ173" s="103"/>
      <c r="CK173" s="108">
        <v>43366.708587962959</v>
      </c>
      <c r="CL173" s="109">
        <v>43366.715613425928</v>
      </c>
      <c r="CM173" s="95">
        <v>10.538477500000001</v>
      </c>
      <c r="CN173" s="95">
        <v>-3.2357376000000002</v>
      </c>
      <c r="CO173" s="99"/>
      <c r="CP173" s="99"/>
      <c r="CQ173" s="99"/>
      <c r="CR173" s="99"/>
      <c r="CS173" s="99"/>
      <c r="CT173" s="99"/>
      <c r="CU173" s="99"/>
      <c r="CV173" s="99"/>
      <c r="CW173" s="99"/>
      <c r="CX173" s="99"/>
      <c r="CY173" s="99"/>
      <c r="CZ173" s="99"/>
      <c r="DA173" s="99"/>
      <c r="DB173" s="99"/>
      <c r="DC173" s="99"/>
    </row>
    <row r="174" spans="1:107" ht="15.75" customHeight="1">
      <c r="A174" s="95">
        <v>175</v>
      </c>
      <c r="B174" s="99" t="s">
        <v>687</v>
      </c>
      <c r="C174" s="99" t="s">
        <v>806</v>
      </c>
      <c r="D174" s="99">
        <v>76439415</v>
      </c>
      <c r="E174" s="99" t="s">
        <v>265</v>
      </c>
      <c r="F174" s="95" t="s">
        <v>5374</v>
      </c>
      <c r="G174" s="95" t="s">
        <v>1068</v>
      </c>
      <c r="H174" s="95" t="s">
        <v>1081</v>
      </c>
      <c r="I174" s="95" t="s">
        <v>266</v>
      </c>
      <c r="J174" s="95" t="s">
        <v>1125</v>
      </c>
      <c r="K174" s="99"/>
      <c r="L174" s="103" t="s">
        <v>4549</v>
      </c>
      <c r="M174" s="99" t="s">
        <v>4567</v>
      </c>
      <c r="N174" s="99" t="s">
        <v>4451</v>
      </c>
      <c r="O174" s="99" t="s">
        <v>5083</v>
      </c>
      <c r="P174" s="103">
        <v>2003</v>
      </c>
      <c r="Q174" s="103" t="s">
        <v>1862</v>
      </c>
      <c r="R174" s="99" t="s">
        <v>4687</v>
      </c>
      <c r="S174" s="103" t="s">
        <v>2282</v>
      </c>
      <c r="T174" s="103" t="s">
        <v>4490</v>
      </c>
      <c r="U174" s="99" t="s">
        <v>5375</v>
      </c>
      <c r="V174" s="95">
        <v>10.3325996</v>
      </c>
      <c r="W174" s="95">
        <v>-3.3388917</v>
      </c>
      <c r="X174" s="104" t="s">
        <v>4872</v>
      </c>
      <c r="Y174" s="103" t="s">
        <v>1548</v>
      </c>
      <c r="Z174" s="103" t="s">
        <v>1548</v>
      </c>
      <c r="AA174" s="103" t="s">
        <v>1862</v>
      </c>
      <c r="AB174" s="103">
        <v>26</v>
      </c>
      <c r="AC174" s="103">
        <v>0</v>
      </c>
      <c r="AD174" s="103">
        <v>26</v>
      </c>
      <c r="AE174" s="103" t="s">
        <v>1634</v>
      </c>
      <c r="AF174" s="103"/>
      <c r="AG174" s="99" t="s">
        <v>4394</v>
      </c>
      <c r="AH174" s="103" t="s">
        <v>1804</v>
      </c>
      <c r="AI174" s="103" t="s">
        <v>1804</v>
      </c>
      <c r="AJ174" s="103" t="s">
        <v>1804</v>
      </c>
      <c r="AK174" s="103" t="s">
        <v>1804</v>
      </c>
      <c r="AL174" s="103" t="s">
        <v>1862</v>
      </c>
      <c r="AM174" s="103" t="s">
        <v>1804</v>
      </c>
      <c r="AN174" s="99" t="s">
        <v>4495</v>
      </c>
      <c r="AO174" s="103" t="s">
        <v>1862</v>
      </c>
      <c r="AP174" s="103"/>
      <c r="AQ174" s="103"/>
      <c r="AR174" s="103">
        <v>1850000</v>
      </c>
      <c r="AS174" s="99"/>
      <c r="AT174" s="103" t="s">
        <v>4496</v>
      </c>
      <c r="AU174" s="103" t="s">
        <v>1634</v>
      </c>
      <c r="AV174" s="99" t="s">
        <v>4671</v>
      </c>
      <c r="AW174" s="99" t="s">
        <v>5175</v>
      </c>
      <c r="AX174" s="99" t="s">
        <v>5376</v>
      </c>
      <c r="AY174" s="99"/>
      <c r="AZ174" s="99"/>
      <c r="BA174" s="103" t="s">
        <v>1548</v>
      </c>
      <c r="BB174" s="99">
        <v>2600</v>
      </c>
      <c r="BC174" s="99">
        <v>0</v>
      </c>
      <c r="BD174" s="99">
        <v>1500000</v>
      </c>
      <c r="BE174" s="99">
        <v>0</v>
      </c>
      <c r="BF174" s="103" t="s">
        <v>4785</v>
      </c>
      <c r="BG174" s="103" t="s">
        <v>1804</v>
      </c>
      <c r="BH174" s="103" t="s">
        <v>1804</v>
      </c>
      <c r="BI174" s="103" t="s">
        <v>1804</v>
      </c>
      <c r="BJ174" s="103" t="s">
        <v>1862</v>
      </c>
      <c r="BK174" s="103" t="s">
        <v>4478</v>
      </c>
      <c r="BL174" s="103" t="s">
        <v>4461</v>
      </c>
      <c r="BM174" s="103" t="s">
        <v>4500</v>
      </c>
      <c r="BN174" s="103"/>
      <c r="BO174" s="103"/>
      <c r="BP174" s="103"/>
      <c r="BQ174" s="107"/>
      <c r="BR174" s="99"/>
      <c r="BS174" s="99"/>
      <c r="BT174" s="103" t="s">
        <v>3186</v>
      </c>
      <c r="BU174" s="99"/>
      <c r="BV174" s="103"/>
      <c r="BW174" s="103"/>
      <c r="BX174" s="103"/>
      <c r="BY174" s="103"/>
      <c r="BZ174" s="103"/>
      <c r="CA174" s="103"/>
      <c r="CB174" s="103"/>
      <c r="CC174" s="103"/>
      <c r="CD174" s="103"/>
      <c r="CE174" s="103"/>
      <c r="CF174" s="103"/>
      <c r="CG174" s="103" t="s">
        <v>687</v>
      </c>
      <c r="CH174" s="103" t="s">
        <v>815</v>
      </c>
      <c r="CI174" s="103">
        <v>76439415</v>
      </c>
      <c r="CJ174" s="103"/>
      <c r="CK174" s="108">
        <v>43366.728425925925</v>
      </c>
      <c r="CL174" s="109">
        <v>43366.735451388886</v>
      </c>
      <c r="CM174" s="95">
        <v>10.3325996</v>
      </c>
      <c r="CN174" s="95">
        <v>-3.3388917</v>
      </c>
      <c r="CO174" s="99"/>
      <c r="CP174" s="99"/>
      <c r="CQ174" s="99"/>
      <c r="CR174" s="99"/>
      <c r="CS174" s="99"/>
      <c r="CT174" s="99"/>
      <c r="CU174" s="99"/>
      <c r="CV174" s="99"/>
      <c r="CW174" s="99"/>
      <c r="CX174" s="99"/>
      <c r="CY174" s="99"/>
      <c r="CZ174" s="99"/>
      <c r="DA174" s="99"/>
      <c r="DB174" s="99"/>
      <c r="DC174" s="99"/>
    </row>
    <row r="175" spans="1:107" ht="15.75" customHeight="1">
      <c r="A175" s="95">
        <v>176</v>
      </c>
      <c r="B175" s="99" t="s">
        <v>807</v>
      </c>
      <c r="C175" s="99" t="s">
        <v>808</v>
      </c>
      <c r="D175" s="99">
        <v>70400481</v>
      </c>
      <c r="E175" s="99" t="s">
        <v>267</v>
      </c>
      <c r="F175" s="95" t="s">
        <v>5377</v>
      </c>
      <c r="G175" s="95" t="s">
        <v>1052</v>
      </c>
      <c r="H175" s="95" t="s">
        <v>1090</v>
      </c>
      <c r="I175" s="95" t="s">
        <v>119</v>
      </c>
      <c r="J175" s="95"/>
      <c r="K175" s="99"/>
      <c r="L175" s="103" t="s">
        <v>4449</v>
      </c>
      <c r="M175" s="99" t="s">
        <v>4450</v>
      </c>
      <c r="N175" s="99" t="s">
        <v>4451</v>
      </c>
      <c r="O175" s="99" t="s">
        <v>4694</v>
      </c>
      <c r="P175" s="103">
        <v>2005</v>
      </c>
      <c r="Q175" s="103" t="s">
        <v>1862</v>
      </c>
      <c r="R175" s="99" t="s">
        <v>5153</v>
      </c>
      <c r="S175" s="103" t="s">
        <v>1541</v>
      </c>
      <c r="T175" s="103" t="s">
        <v>4522</v>
      </c>
      <c r="U175" s="99" t="s">
        <v>5378</v>
      </c>
      <c r="V175" s="95">
        <v>12.908255199999999</v>
      </c>
      <c r="W175" s="95">
        <v>-1.0765746</v>
      </c>
      <c r="X175" s="104" t="s">
        <v>5379</v>
      </c>
      <c r="Y175" s="103" t="s">
        <v>1634</v>
      </c>
      <c r="Z175" s="103" t="s">
        <v>1634</v>
      </c>
      <c r="AA175" s="103" t="s">
        <v>1862</v>
      </c>
      <c r="AB175" s="103">
        <v>27</v>
      </c>
      <c r="AC175" s="103">
        <v>3</v>
      </c>
      <c r="AD175" s="103">
        <v>24</v>
      </c>
      <c r="AE175" s="103" t="s">
        <v>1634</v>
      </c>
      <c r="AF175" s="103" t="s">
        <v>4493</v>
      </c>
      <c r="AG175" s="99" t="s">
        <v>5155</v>
      </c>
      <c r="AH175" s="103" t="s">
        <v>1862</v>
      </c>
      <c r="AI175" s="103" t="s">
        <v>1804</v>
      </c>
      <c r="AJ175" s="103" t="s">
        <v>1804</v>
      </c>
      <c r="AK175" s="103" t="s">
        <v>1862</v>
      </c>
      <c r="AL175" s="103" t="s">
        <v>1862</v>
      </c>
      <c r="AM175" s="103" t="s">
        <v>1804</v>
      </c>
      <c r="AN175" s="99" t="s">
        <v>4735</v>
      </c>
      <c r="AO175" s="103" t="s">
        <v>1862</v>
      </c>
      <c r="AP175" s="103">
        <v>850</v>
      </c>
      <c r="AQ175" s="103" t="s">
        <v>4470</v>
      </c>
      <c r="AR175" s="103"/>
      <c r="AS175" s="99"/>
      <c r="AT175" s="103" t="s">
        <v>4542</v>
      </c>
      <c r="AU175" s="103" t="s">
        <v>1634</v>
      </c>
      <c r="AV175" s="99" t="s">
        <v>4671</v>
      </c>
      <c r="AW175" s="99" t="s">
        <v>4680</v>
      </c>
      <c r="AX175" s="99" t="s">
        <v>4543</v>
      </c>
      <c r="AY175" s="99" t="s">
        <v>4466</v>
      </c>
      <c r="AZ175" s="99" t="s">
        <v>4467</v>
      </c>
      <c r="BA175" s="103" t="s">
        <v>1634</v>
      </c>
      <c r="BB175" s="99"/>
      <c r="BC175" s="99">
        <v>1200</v>
      </c>
      <c r="BD175" s="99"/>
      <c r="BE175" s="99">
        <v>1020000</v>
      </c>
      <c r="BF175" s="103" t="s">
        <v>4511</v>
      </c>
      <c r="BG175" s="103" t="s">
        <v>1804</v>
      </c>
      <c r="BH175" s="103" t="s">
        <v>1862</v>
      </c>
      <c r="BI175" s="103" t="s">
        <v>1804</v>
      </c>
      <c r="BJ175" s="103" t="s">
        <v>1804</v>
      </c>
      <c r="BK175" s="103" t="s">
        <v>4499</v>
      </c>
      <c r="BL175" s="103" t="s">
        <v>4470</v>
      </c>
      <c r="BM175" s="103"/>
      <c r="BN175" s="112" t="s">
        <v>4607</v>
      </c>
      <c r="BO175" s="103">
        <v>4500</v>
      </c>
      <c r="BP175" s="103" t="s">
        <v>4500</v>
      </c>
      <c r="BQ175" s="99" t="s">
        <v>4476</v>
      </c>
      <c r="BR175" s="99" t="s">
        <v>4476</v>
      </c>
      <c r="BS175" s="99" t="s">
        <v>4476</v>
      </c>
      <c r="BT175" s="103" t="s">
        <v>3186</v>
      </c>
      <c r="BU175" s="99" t="s">
        <v>4476</v>
      </c>
      <c r="BV175" s="103" t="s">
        <v>4476</v>
      </c>
      <c r="BW175" s="103" t="s">
        <v>1548</v>
      </c>
      <c r="BX175" s="103" t="s">
        <v>4501</v>
      </c>
      <c r="BY175" s="103" t="s">
        <v>4499</v>
      </c>
      <c r="BZ175" s="112" t="s">
        <v>4509</v>
      </c>
      <c r="CA175" s="103"/>
      <c r="CB175" s="112" t="s">
        <v>4475</v>
      </c>
      <c r="CC175" s="103" t="s">
        <v>4502</v>
      </c>
      <c r="CD175" s="103" t="s">
        <v>4475</v>
      </c>
      <c r="CE175" s="112" t="s">
        <v>4481</v>
      </c>
      <c r="CF175" s="103"/>
      <c r="CG175" s="103" t="s">
        <v>807</v>
      </c>
      <c r="CH175" s="103" t="s">
        <v>808</v>
      </c>
      <c r="CI175" s="103">
        <v>70400481</v>
      </c>
      <c r="CJ175" s="99"/>
      <c r="CK175" s="108">
        <v>43365.574259259258</v>
      </c>
      <c r="CL175" s="108">
        <v>43365.591053240743</v>
      </c>
      <c r="CM175" s="95">
        <v>12.908255199999999</v>
      </c>
      <c r="CN175" s="95">
        <v>-1.0765746</v>
      </c>
      <c r="CO175" s="99"/>
      <c r="CP175" s="99"/>
      <c r="CQ175" s="99"/>
      <c r="CR175" s="99"/>
      <c r="CS175" s="99"/>
      <c r="CT175" s="99"/>
      <c r="CU175" s="99"/>
      <c r="CV175" s="99"/>
      <c r="CW175" s="99"/>
      <c r="CX175" s="99"/>
      <c r="CY175" s="99"/>
      <c r="CZ175" s="99"/>
      <c r="DA175" s="99"/>
      <c r="DB175" s="99"/>
      <c r="DC175" s="99"/>
    </row>
    <row r="176" spans="1:107" ht="15.75" customHeight="1">
      <c r="A176" s="95">
        <v>177</v>
      </c>
      <c r="B176" s="99" t="s">
        <v>656</v>
      </c>
      <c r="C176" s="99" t="s">
        <v>809</v>
      </c>
      <c r="D176" s="99">
        <v>61791287</v>
      </c>
      <c r="E176" s="99" t="s">
        <v>268</v>
      </c>
      <c r="F176" s="95" t="s">
        <v>5380</v>
      </c>
      <c r="G176" s="95" t="s">
        <v>1068</v>
      </c>
      <c r="H176" s="95" t="s">
        <v>1094</v>
      </c>
      <c r="I176" s="95" t="s">
        <v>269</v>
      </c>
      <c r="J176" s="95"/>
      <c r="K176" s="99"/>
      <c r="L176" s="103" t="s">
        <v>4549</v>
      </c>
      <c r="M176" s="99" t="s">
        <v>4567</v>
      </c>
      <c r="N176" s="99" t="s">
        <v>4568</v>
      </c>
      <c r="O176" s="99" t="s">
        <v>4615</v>
      </c>
      <c r="P176" s="103">
        <v>2008</v>
      </c>
      <c r="Q176" s="103" t="s">
        <v>1862</v>
      </c>
      <c r="R176" s="99" t="s">
        <v>4504</v>
      </c>
      <c r="S176" s="103" t="s">
        <v>1541</v>
      </c>
      <c r="T176" s="103" t="s">
        <v>4522</v>
      </c>
      <c r="U176" s="99" t="s">
        <v>5381</v>
      </c>
      <c r="V176" s="99">
        <v>9.8440946</v>
      </c>
      <c r="W176" s="99">
        <v>-2.9775558000000002</v>
      </c>
      <c r="X176" s="104" t="s">
        <v>5356</v>
      </c>
      <c r="Y176" s="103" t="s">
        <v>1548</v>
      </c>
      <c r="Z176" s="103" t="s">
        <v>1548</v>
      </c>
      <c r="AA176" s="103" t="s">
        <v>1862</v>
      </c>
      <c r="AB176" s="103">
        <v>125</v>
      </c>
      <c r="AC176" s="103">
        <v>1</v>
      </c>
      <c r="AD176" s="103">
        <v>124</v>
      </c>
      <c r="AE176" s="103" t="s">
        <v>1634</v>
      </c>
      <c r="AF176" s="103" t="s">
        <v>4779</v>
      </c>
      <c r="AG176" s="99" t="s">
        <v>4494</v>
      </c>
      <c r="AH176" s="103" t="s">
        <v>1862</v>
      </c>
      <c r="AI176" s="103" t="s">
        <v>1862</v>
      </c>
      <c r="AJ176" s="103" t="s">
        <v>1804</v>
      </c>
      <c r="AK176" s="103" t="s">
        <v>1804</v>
      </c>
      <c r="AL176" s="103" t="s">
        <v>1862</v>
      </c>
      <c r="AM176" s="103" t="s">
        <v>1862</v>
      </c>
      <c r="AN176" s="99" t="s">
        <v>5382</v>
      </c>
      <c r="AO176" s="103" t="s">
        <v>1862</v>
      </c>
      <c r="AP176" s="103">
        <v>950</v>
      </c>
      <c r="AQ176" s="103" t="s">
        <v>4500</v>
      </c>
      <c r="AR176" s="103">
        <v>2600000</v>
      </c>
      <c r="AS176" s="106">
        <v>310000</v>
      </c>
      <c r="AT176" s="103" t="s">
        <v>4496</v>
      </c>
      <c r="AU176" s="103" t="s">
        <v>1634</v>
      </c>
      <c r="AV176" s="99" t="s">
        <v>4671</v>
      </c>
      <c r="AW176" s="99" t="s">
        <v>5383</v>
      </c>
      <c r="AX176" s="99" t="s">
        <v>5384</v>
      </c>
      <c r="AY176" s="99" t="s">
        <v>4466</v>
      </c>
      <c r="AZ176" s="99" t="s">
        <v>4467</v>
      </c>
      <c r="BA176" s="103" t="s">
        <v>1548</v>
      </c>
      <c r="BB176" s="99">
        <v>45000</v>
      </c>
      <c r="BC176" s="99">
        <v>110</v>
      </c>
      <c r="BD176" s="99">
        <v>20000000</v>
      </c>
      <c r="BE176" s="99">
        <v>95000</v>
      </c>
      <c r="BF176" s="103" t="s">
        <v>5385</v>
      </c>
      <c r="BG176" s="103" t="s">
        <v>1862</v>
      </c>
      <c r="BH176" s="103" t="s">
        <v>1862</v>
      </c>
      <c r="BI176" s="103" t="s">
        <v>1804</v>
      </c>
      <c r="BJ176" s="103" t="s">
        <v>1862</v>
      </c>
      <c r="BK176" s="103" t="s">
        <v>4478</v>
      </c>
      <c r="BL176" s="103" t="s">
        <v>4500</v>
      </c>
      <c r="BM176" s="103" t="s">
        <v>4461</v>
      </c>
      <c r="BN176" s="103" t="s">
        <v>5335</v>
      </c>
      <c r="BO176" s="103">
        <v>1200</v>
      </c>
      <c r="BP176" s="103" t="s">
        <v>4532</v>
      </c>
      <c r="BQ176" s="107" t="s">
        <v>5146</v>
      </c>
      <c r="BR176" s="99" t="s">
        <v>5146</v>
      </c>
      <c r="BS176" s="99" t="s">
        <v>5146</v>
      </c>
      <c r="BT176" s="103" t="s">
        <v>3186</v>
      </c>
      <c r="BU176" s="99" t="s">
        <v>4480</v>
      </c>
      <c r="BV176" s="103" t="s">
        <v>4564</v>
      </c>
      <c r="BW176" s="103" t="s">
        <v>4564</v>
      </c>
      <c r="BX176" s="103" t="s">
        <v>1548</v>
      </c>
      <c r="BY176" s="103" t="s">
        <v>5200</v>
      </c>
      <c r="BZ176" s="103" t="s">
        <v>4478</v>
      </c>
      <c r="CA176" s="103" t="s">
        <v>4461</v>
      </c>
      <c r="CB176" s="103">
        <v>1</v>
      </c>
      <c r="CC176" s="103" t="s">
        <v>4479</v>
      </c>
      <c r="CD176" s="103" t="s">
        <v>4475</v>
      </c>
      <c r="CE176" s="103" t="s">
        <v>4475</v>
      </c>
      <c r="CF176" s="103"/>
      <c r="CG176" s="103" t="s">
        <v>656</v>
      </c>
      <c r="CH176" s="103" t="s">
        <v>5360</v>
      </c>
      <c r="CI176" s="103">
        <v>73305022</v>
      </c>
      <c r="CJ176" s="103"/>
      <c r="CK176" s="108">
        <v>43366.805509259262</v>
      </c>
      <c r="CL176" s="109">
        <v>43366.812071759261</v>
      </c>
      <c r="CM176" s="95">
        <v>9.8440946</v>
      </c>
      <c r="CN176" s="95">
        <v>-2.9775558000000002</v>
      </c>
      <c r="CO176" s="99"/>
      <c r="CP176" s="99"/>
      <c r="CQ176" s="99"/>
      <c r="CR176" s="99"/>
      <c r="CS176" s="99"/>
      <c r="CT176" s="99"/>
      <c r="CU176" s="99"/>
      <c r="CV176" s="99"/>
      <c r="CW176" s="99"/>
      <c r="CX176" s="99"/>
      <c r="CY176" s="99"/>
      <c r="CZ176" s="99"/>
      <c r="DA176" s="99"/>
      <c r="DB176" s="99"/>
      <c r="DC176" s="99"/>
    </row>
    <row r="177" spans="1:107" ht="15.75" customHeight="1">
      <c r="A177" s="95">
        <v>178</v>
      </c>
      <c r="B177" s="99" t="s">
        <v>810</v>
      </c>
      <c r="C177" s="99" t="s">
        <v>811</v>
      </c>
      <c r="D177" s="110">
        <v>71196206</v>
      </c>
      <c r="E177" s="99" t="s">
        <v>270</v>
      </c>
      <c r="F177" s="95" t="s">
        <v>5386</v>
      </c>
      <c r="G177" s="95" t="s">
        <v>1068</v>
      </c>
      <c r="H177" s="95" t="s">
        <v>1081</v>
      </c>
      <c r="I177" s="95" t="s">
        <v>271</v>
      </c>
      <c r="J177" s="95"/>
      <c r="K177" s="99"/>
      <c r="L177" s="103" t="s">
        <v>4449</v>
      </c>
      <c r="M177" s="99" t="s">
        <v>4450</v>
      </c>
      <c r="N177" s="99" t="s">
        <v>4451</v>
      </c>
      <c r="O177" s="99" t="s">
        <v>4694</v>
      </c>
      <c r="P177" s="103">
        <v>2005</v>
      </c>
      <c r="Q177" s="103" t="s">
        <v>1862</v>
      </c>
      <c r="R177" s="99" t="s">
        <v>5153</v>
      </c>
      <c r="S177" s="103" t="s">
        <v>1541</v>
      </c>
      <c r="T177" s="103" t="s">
        <v>4522</v>
      </c>
      <c r="U177" s="99" t="s">
        <v>5387</v>
      </c>
      <c r="V177" s="95">
        <v>10.3325996</v>
      </c>
      <c r="W177" s="95">
        <v>-3.3388917</v>
      </c>
      <c r="X177" s="104" t="s">
        <v>4872</v>
      </c>
      <c r="Y177" s="103" t="s">
        <v>1634</v>
      </c>
      <c r="Z177" s="103" t="s">
        <v>1634</v>
      </c>
      <c r="AA177" s="103" t="s">
        <v>1862</v>
      </c>
      <c r="AB177" s="103">
        <v>27</v>
      </c>
      <c r="AC177" s="103">
        <v>3</v>
      </c>
      <c r="AD177" s="103">
        <v>24</v>
      </c>
      <c r="AE177" s="103" t="s">
        <v>1634</v>
      </c>
      <c r="AF177" s="103" t="s">
        <v>4779</v>
      </c>
      <c r="AG177" s="99" t="s">
        <v>5155</v>
      </c>
      <c r="AH177" s="103" t="s">
        <v>1862</v>
      </c>
      <c r="AI177" s="103" t="s">
        <v>1804</v>
      </c>
      <c r="AJ177" s="103" t="s">
        <v>1804</v>
      </c>
      <c r="AK177" s="103" t="s">
        <v>1862</v>
      </c>
      <c r="AL177" s="103" t="s">
        <v>1862</v>
      </c>
      <c r="AM177" s="103" t="s">
        <v>1804</v>
      </c>
      <c r="AN177" s="99" t="s">
        <v>4735</v>
      </c>
      <c r="AO177" s="103" t="s">
        <v>1862</v>
      </c>
      <c r="AP177" s="103">
        <v>850</v>
      </c>
      <c r="AQ177" s="103" t="s">
        <v>4470</v>
      </c>
      <c r="AR177" s="103"/>
      <c r="AS177" s="99"/>
      <c r="AT177" s="103" t="s">
        <v>4542</v>
      </c>
      <c r="AU177" s="103" t="s">
        <v>1634</v>
      </c>
      <c r="AV177" s="99" t="s">
        <v>4671</v>
      </c>
      <c r="AW177" s="99" t="s">
        <v>4680</v>
      </c>
      <c r="AX177" s="99" t="s">
        <v>4543</v>
      </c>
      <c r="AY177" s="99" t="s">
        <v>4466</v>
      </c>
      <c r="AZ177" s="99" t="s">
        <v>4467</v>
      </c>
      <c r="BA177" s="103" t="s">
        <v>1634</v>
      </c>
      <c r="BB177" s="99"/>
      <c r="BC177" s="99">
        <v>1200</v>
      </c>
      <c r="BD177" s="99"/>
      <c r="BE177" s="99">
        <v>1020000</v>
      </c>
      <c r="BF177" s="103" t="s">
        <v>4511</v>
      </c>
      <c r="BG177" s="103" t="s">
        <v>1804</v>
      </c>
      <c r="BH177" s="103" t="s">
        <v>1862</v>
      </c>
      <c r="BI177" s="103" t="s">
        <v>1804</v>
      </c>
      <c r="BJ177" s="103" t="s">
        <v>1804</v>
      </c>
      <c r="BK177" s="103" t="s">
        <v>4499</v>
      </c>
      <c r="BL177" s="103" t="s">
        <v>4470</v>
      </c>
      <c r="BM177" s="103"/>
      <c r="BN177" s="112" t="s">
        <v>4607</v>
      </c>
      <c r="BO177" s="103">
        <v>4500</v>
      </c>
      <c r="BP177" s="103" t="s">
        <v>4500</v>
      </c>
      <c r="BQ177" s="99" t="s">
        <v>4476</v>
      </c>
      <c r="BR177" s="99" t="s">
        <v>4476</v>
      </c>
      <c r="BS177" s="99" t="s">
        <v>4476</v>
      </c>
      <c r="BT177" s="103" t="s">
        <v>3186</v>
      </c>
      <c r="BU177" s="99" t="s">
        <v>4476</v>
      </c>
      <c r="BV177" s="103" t="s">
        <v>4476</v>
      </c>
      <c r="BW177" s="103" t="s">
        <v>1548</v>
      </c>
      <c r="BX177" s="103" t="s">
        <v>4501</v>
      </c>
      <c r="BY177" s="103" t="s">
        <v>4499</v>
      </c>
      <c r="BZ177" s="112" t="s">
        <v>4509</v>
      </c>
      <c r="CA177" s="103"/>
      <c r="CB177" s="112" t="s">
        <v>4475</v>
      </c>
      <c r="CC177" s="103" t="s">
        <v>4502</v>
      </c>
      <c r="CD177" s="103" t="s">
        <v>4475</v>
      </c>
      <c r="CE177" s="112" t="s">
        <v>4481</v>
      </c>
      <c r="CF177" s="103"/>
      <c r="CG177" s="103" t="s">
        <v>810</v>
      </c>
      <c r="CH177" s="103" t="s">
        <v>811</v>
      </c>
      <c r="CI177" s="111">
        <v>71196206</v>
      </c>
      <c r="CJ177" s="99"/>
      <c r="CK177" s="108">
        <v>43365.574259259258</v>
      </c>
      <c r="CL177" s="108">
        <v>43365.591053240743</v>
      </c>
      <c r="CM177" s="95">
        <v>10.3325996</v>
      </c>
      <c r="CN177" s="95">
        <v>-3.3388917</v>
      </c>
      <c r="CO177" s="99"/>
      <c r="CP177" s="99"/>
      <c r="CQ177" s="99"/>
      <c r="CR177" s="99"/>
      <c r="CS177" s="99"/>
      <c r="CT177" s="99"/>
      <c r="CU177" s="99"/>
      <c r="CV177" s="99"/>
      <c r="CW177" s="99"/>
      <c r="CX177" s="99"/>
      <c r="CY177" s="99"/>
      <c r="CZ177" s="99"/>
      <c r="DA177" s="99"/>
      <c r="DB177" s="99"/>
      <c r="DC177" s="99"/>
    </row>
    <row r="178" spans="1:107" ht="15.75" customHeight="1">
      <c r="A178" s="95">
        <v>179</v>
      </c>
      <c r="B178" s="99" t="s">
        <v>592</v>
      </c>
      <c r="C178" s="99" t="s">
        <v>812</v>
      </c>
      <c r="D178" s="99">
        <v>76056186</v>
      </c>
      <c r="E178" s="99" t="s">
        <v>272</v>
      </c>
      <c r="F178" s="95" t="s">
        <v>5380</v>
      </c>
      <c r="G178" s="95" t="s">
        <v>1068</v>
      </c>
      <c r="H178" s="95" t="s">
        <v>1094</v>
      </c>
      <c r="I178" s="95" t="s">
        <v>269</v>
      </c>
      <c r="J178" s="95"/>
      <c r="K178" s="99"/>
      <c r="L178" s="103" t="s">
        <v>4449</v>
      </c>
      <c r="M178" s="99" t="s">
        <v>4487</v>
      </c>
      <c r="N178" s="99" t="s">
        <v>4520</v>
      </c>
      <c r="O178" s="99" t="s">
        <v>4615</v>
      </c>
      <c r="P178" s="103">
        <v>2005</v>
      </c>
      <c r="Q178" s="103" t="s">
        <v>1862</v>
      </c>
      <c r="R178" s="99" t="s">
        <v>4551</v>
      </c>
      <c r="S178" s="103" t="s">
        <v>1541</v>
      </c>
      <c r="T178" s="103" t="s">
        <v>4522</v>
      </c>
      <c r="U178" s="99" t="s">
        <v>5381</v>
      </c>
      <c r="V178" s="99">
        <v>9.8440946</v>
      </c>
      <c r="W178" s="99">
        <v>-2.9775558000000002</v>
      </c>
      <c r="X178" s="104" t="s">
        <v>5356</v>
      </c>
      <c r="Y178" s="103" t="s">
        <v>1634</v>
      </c>
      <c r="Z178" s="103" t="s">
        <v>1634</v>
      </c>
      <c r="AA178" s="103" t="s">
        <v>1862</v>
      </c>
      <c r="AB178" s="103">
        <v>50</v>
      </c>
      <c r="AC178" s="103">
        <v>0</v>
      </c>
      <c r="AD178" s="103">
        <v>50</v>
      </c>
      <c r="AE178" s="103" t="s">
        <v>1634</v>
      </c>
      <c r="AF178" s="103" t="s">
        <v>4779</v>
      </c>
      <c r="AG178" s="99" t="s">
        <v>4494</v>
      </c>
      <c r="AH178" s="103" t="s">
        <v>1862</v>
      </c>
      <c r="AI178" s="103" t="s">
        <v>1862</v>
      </c>
      <c r="AJ178" s="103" t="s">
        <v>1804</v>
      </c>
      <c r="AK178" s="103" t="s">
        <v>1804</v>
      </c>
      <c r="AL178" s="103" t="s">
        <v>1862</v>
      </c>
      <c r="AM178" s="103" t="s">
        <v>1862</v>
      </c>
      <c r="AN178" s="99" t="s">
        <v>4670</v>
      </c>
      <c r="AO178" s="103" t="s">
        <v>1862</v>
      </c>
      <c r="AP178" s="103">
        <v>1250</v>
      </c>
      <c r="AQ178" s="103" t="s">
        <v>4500</v>
      </c>
      <c r="AR178" s="103">
        <v>3000000</v>
      </c>
      <c r="AS178" s="106">
        <v>1600000</v>
      </c>
      <c r="AT178" s="103" t="s">
        <v>4625</v>
      </c>
      <c r="AU178" s="103" t="s">
        <v>1634</v>
      </c>
      <c r="AV178" s="99" t="s">
        <v>4671</v>
      </c>
      <c r="AW178" s="99" t="s">
        <v>5388</v>
      </c>
      <c r="AX178" s="99" t="s">
        <v>5389</v>
      </c>
      <c r="AY178" s="99" t="s">
        <v>4466</v>
      </c>
      <c r="AZ178" s="99" t="s">
        <v>4467</v>
      </c>
      <c r="BA178" s="103" t="s">
        <v>1548</v>
      </c>
      <c r="BB178" s="99">
        <v>52000</v>
      </c>
      <c r="BC178" s="99">
        <v>300</v>
      </c>
      <c r="BD178" s="99">
        <v>22000000</v>
      </c>
      <c r="BE178" s="99">
        <v>250000</v>
      </c>
      <c r="BF178" s="103" t="s">
        <v>4889</v>
      </c>
      <c r="BG178" s="103" t="s">
        <v>1862</v>
      </c>
      <c r="BH178" s="103" t="s">
        <v>1862</v>
      </c>
      <c r="BI178" s="103" t="s">
        <v>1804</v>
      </c>
      <c r="BJ178" s="103" t="s">
        <v>1862</v>
      </c>
      <c r="BK178" s="103" t="s">
        <v>4478</v>
      </c>
      <c r="BL178" s="103" t="s">
        <v>4500</v>
      </c>
      <c r="BM178" s="103" t="s">
        <v>4461</v>
      </c>
      <c r="BN178" s="103" t="s">
        <v>5038</v>
      </c>
      <c r="BO178" s="103">
        <v>1000</v>
      </c>
      <c r="BP178" s="103" t="s">
        <v>4532</v>
      </c>
      <c r="BQ178" s="99" t="s">
        <v>4534</v>
      </c>
      <c r="BR178" s="99" t="s">
        <v>4534</v>
      </c>
      <c r="BS178" s="99" t="s">
        <v>4534</v>
      </c>
      <c r="BT178" s="103" t="s">
        <v>3186</v>
      </c>
      <c r="BU178" s="99" t="s">
        <v>4480</v>
      </c>
      <c r="BV178" s="103" t="s">
        <v>4476</v>
      </c>
      <c r="BW178" s="103" t="s">
        <v>4476</v>
      </c>
      <c r="BX178" s="103" t="s">
        <v>1634</v>
      </c>
      <c r="BY178" s="103" t="s">
        <v>4595</v>
      </c>
      <c r="BZ178" s="103" t="s">
        <v>4478</v>
      </c>
      <c r="CA178" s="103" t="s">
        <v>4500</v>
      </c>
      <c r="CB178" s="103">
        <v>1</v>
      </c>
      <c r="CC178" s="103" t="s">
        <v>4502</v>
      </c>
      <c r="CD178" s="103" t="s">
        <v>4475</v>
      </c>
      <c r="CE178" s="103" t="s">
        <v>4475</v>
      </c>
      <c r="CF178" s="103"/>
      <c r="CG178" s="103" t="s">
        <v>656</v>
      </c>
      <c r="CH178" s="103" t="s">
        <v>5360</v>
      </c>
      <c r="CI178" s="103">
        <v>73305022</v>
      </c>
      <c r="CJ178" s="103"/>
      <c r="CK178" s="108">
        <v>43366.758437500001</v>
      </c>
      <c r="CL178" s="109">
        <v>43366.767453703702</v>
      </c>
      <c r="CM178" s="95">
        <v>9.8440946</v>
      </c>
      <c r="CN178" s="95">
        <v>-2.9775558000000002</v>
      </c>
      <c r="CO178" s="99"/>
      <c r="CP178" s="99"/>
      <c r="CQ178" s="99"/>
      <c r="CR178" s="99"/>
      <c r="CS178" s="99"/>
      <c r="CT178" s="99"/>
      <c r="CU178" s="99"/>
      <c r="CV178" s="99"/>
      <c r="CW178" s="99"/>
      <c r="CX178" s="99"/>
      <c r="CY178" s="99"/>
      <c r="CZ178" s="99"/>
      <c r="DA178" s="99"/>
      <c r="DB178" s="99"/>
      <c r="DC178" s="99"/>
    </row>
    <row r="179" spans="1:107" ht="15.75" customHeight="1">
      <c r="A179" s="95">
        <v>180</v>
      </c>
      <c r="B179" s="99" t="s">
        <v>813</v>
      </c>
      <c r="C179" s="99" t="s">
        <v>814</v>
      </c>
      <c r="D179" s="99">
        <v>76115158</v>
      </c>
      <c r="E179" s="99" t="s">
        <v>273</v>
      </c>
      <c r="F179" s="95" t="s">
        <v>5120</v>
      </c>
      <c r="G179" s="95" t="s">
        <v>1068</v>
      </c>
      <c r="H179" s="95" t="s">
        <v>1081</v>
      </c>
      <c r="I179" s="95" t="s">
        <v>167</v>
      </c>
      <c r="J179" s="95"/>
      <c r="K179" s="99"/>
      <c r="L179" s="103" t="s">
        <v>4449</v>
      </c>
      <c r="M179" s="99" t="s">
        <v>4487</v>
      </c>
      <c r="N179" s="99" t="s">
        <v>4520</v>
      </c>
      <c r="O179" s="99" t="s">
        <v>4615</v>
      </c>
      <c r="P179" s="103">
        <v>2007</v>
      </c>
      <c r="Q179" s="103" t="s">
        <v>1862</v>
      </c>
      <c r="R179" s="99" t="s">
        <v>4551</v>
      </c>
      <c r="S179" s="103" t="s">
        <v>1541</v>
      </c>
      <c r="T179" s="103" t="s">
        <v>4522</v>
      </c>
      <c r="U179" s="99" t="s">
        <v>5121</v>
      </c>
      <c r="V179" s="95">
        <v>10.6302115</v>
      </c>
      <c r="W179" s="95">
        <v>-3.0551159000000001</v>
      </c>
      <c r="X179" s="104" t="s">
        <v>5122</v>
      </c>
      <c r="Y179" s="103" t="s">
        <v>1634</v>
      </c>
      <c r="Z179" s="103" t="s">
        <v>1634</v>
      </c>
      <c r="AA179" s="103" t="s">
        <v>1862</v>
      </c>
      <c r="AB179" s="103">
        <v>27</v>
      </c>
      <c r="AC179" s="103">
        <v>2</v>
      </c>
      <c r="AD179" s="103">
        <v>25</v>
      </c>
      <c r="AE179" s="103" t="s">
        <v>1634</v>
      </c>
      <c r="AF179" s="103" t="s">
        <v>4779</v>
      </c>
      <c r="AG179" s="99" t="s">
        <v>5269</v>
      </c>
      <c r="AH179" s="103" t="s">
        <v>1804</v>
      </c>
      <c r="AI179" s="103" t="s">
        <v>1862</v>
      </c>
      <c r="AJ179" s="103" t="s">
        <v>1804</v>
      </c>
      <c r="AK179" s="103" t="s">
        <v>1862</v>
      </c>
      <c r="AL179" s="103" t="s">
        <v>1862</v>
      </c>
      <c r="AM179" s="103" t="s">
        <v>1862</v>
      </c>
      <c r="AN179" s="99" t="s">
        <v>4702</v>
      </c>
      <c r="AO179" s="103" t="s">
        <v>1862</v>
      </c>
      <c r="AP179" s="103">
        <v>1500</v>
      </c>
      <c r="AQ179" s="103" t="s">
        <v>4500</v>
      </c>
      <c r="AR179" s="103">
        <v>550000</v>
      </c>
      <c r="AS179" s="106">
        <v>1850000</v>
      </c>
      <c r="AT179" s="103" t="s">
        <v>4625</v>
      </c>
      <c r="AU179" s="103" t="s">
        <v>1634</v>
      </c>
      <c r="AV179" s="99" t="s">
        <v>4463</v>
      </c>
      <c r="AW179" s="99" t="s">
        <v>5390</v>
      </c>
      <c r="AX179" s="99" t="s">
        <v>5391</v>
      </c>
      <c r="AY179" s="99" t="s">
        <v>4466</v>
      </c>
      <c r="AZ179" s="99" t="s">
        <v>4561</v>
      </c>
      <c r="BA179" s="103" t="s">
        <v>1634</v>
      </c>
      <c r="BB179" s="99">
        <v>2500</v>
      </c>
      <c r="BC179" s="99">
        <v>1050</v>
      </c>
      <c r="BD179" s="99">
        <v>600000</v>
      </c>
      <c r="BE179" s="99">
        <v>1250000</v>
      </c>
      <c r="BF179" s="103" t="s">
        <v>5069</v>
      </c>
      <c r="BG179" s="103" t="s">
        <v>1804</v>
      </c>
      <c r="BH179" s="103" t="s">
        <v>1862</v>
      </c>
      <c r="BI179" s="103" t="s">
        <v>1804</v>
      </c>
      <c r="BJ179" s="103" t="s">
        <v>1862</v>
      </c>
      <c r="BK179" s="103" t="s">
        <v>4478</v>
      </c>
      <c r="BL179" s="103" t="s">
        <v>4461</v>
      </c>
      <c r="BM179" s="103" t="s">
        <v>4461</v>
      </c>
      <c r="BN179" s="103" t="s">
        <v>4690</v>
      </c>
      <c r="BO179" s="103">
        <v>1300</v>
      </c>
      <c r="BP179" s="103" t="s">
        <v>4500</v>
      </c>
      <c r="BQ179" s="107" t="s">
        <v>4534</v>
      </c>
      <c r="BR179" s="99" t="s">
        <v>4534</v>
      </c>
      <c r="BS179" s="99" t="s">
        <v>4534</v>
      </c>
      <c r="BT179" s="103" t="s">
        <v>3186</v>
      </c>
      <c r="BU179" s="99" t="s">
        <v>4502</v>
      </c>
      <c r="BV179" s="103" t="s">
        <v>4476</v>
      </c>
      <c r="BW179" s="103" t="s">
        <v>4476</v>
      </c>
      <c r="BX179" s="103" t="s">
        <v>1634</v>
      </c>
      <c r="BY179" s="103" t="s">
        <v>4610</v>
      </c>
      <c r="BZ179" s="103" t="s">
        <v>4478</v>
      </c>
      <c r="CA179" s="103" t="s">
        <v>4500</v>
      </c>
      <c r="CB179" s="103">
        <v>1</v>
      </c>
      <c r="CC179" s="103" t="s">
        <v>4479</v>
      </c>
      <c r="CD179" s="103" t="s">
        <v>4480</v>
      </c>
      <c r="CE179" s="103" t="s">
        <v>4475</v>
      </c>
      <c r="CF179" s="103"/>
      <c r="CG179" s="103" t="s">
        <v>813</v>
      </c>
      <c r="CH179" s="103" t="s">
        <v>814</v>
      </c>
      <c r="CI179" s="103">
        <v>76115158</v>
      </c>
      <c r="CJ179" s="103"/>
      <c r="CK179" s="108">
        <v>43366.71565972222</v>
      </c>
      <c r="CL179" s="109">
        <v>43366.728368055556</v>
      </c>
      <c r="CM179" s="95">
        <v>10.6302115</v>
      </c>
      <c r="CN179" s="95">
        <v>-3.0551159000000001</v>
      </c>
      <c r="CO179" s="99"/>
      <c r="CP179" s="99"/>
      <c r="CQ179" s="99"/>
      <c r="CR179" s="99"/>
      <c r="CS179" s="99"/>
      <c r="CT179" s="99"/>
      <c r="CU179" s="99"/>
      <c r="CV179" s="99"/>
      <c r="CW179" s="99"/>
      <c r="CX179" s="99"/>
      <c r="CY179" s="99"/>
      <c r="CZ179" s="99"/>
      <c r="DA179" s="99"/>
      <c r="DB179" s="99"/>
      <c r="DC179" s="99"/>
    </row>
    <row r="180" spans="1:107" ht="15.75" customHeight="1">
      <c r="A180" s="95">
        <v>181</v>
      </c>
      <c r="B180" s="99" t="s">
        <v>687</v>
      </c>
      <c r="C180" s="99" t="s">
        <v>815</v>
      </c>
      <c r="D180" s="99">
        <v>76563683</v>
      </c>
      <c r="E180" s="99" t="s">
        <v>274</v>
      </c>
      <c r="F180" s="95" t="s">
        <v>5392</v>
      </c>
      <c r="G180" s="95" t="s">
        <v>1068</v>
      </c>
      <c r="H180" s="95" t="s">
        <v>1094</v>
      </c>
      <c r="I180" s="95" t="s">
        <v>138</v>
      </c>
      <c r="J180" s="95" t="s">
        <v>1122</v>
      </c>
      <c r="K180" s="99"/>
      <c r="L180" s="103" t="s">
        <v>4549</v>
      </c>
      <c r="M180" s="99" t="s">
        <v>4567</v>
      </c>
      <c r="N180" s="99" t="s">
        <v>4451</v>
      </c>
      <c r="O180" s="99" t="s">
        <v>5083</v>
      </c>
      <c r="P180" s="103">
        <v>1999</v>
      </c>
      <c r="Q180" s="103" t="s">
        <v>1862</v>
      </c>
      <c r="R180" s="99" t="s">
        <v>4521</v>
      </c>
      <c r="S180" s="103" t="s">
        <v>2282</v>
      </c>
      <c r="T180" s="103" t="s">
        <v>4490</v>
      </c>
      <c r="U180" s="99" t="s">
        <v>5393</v>
      </c>
      <c r="V180" s="95">
        <v>9.8440946</v>
      </c>
      <c r="W180" s="95">
        <v>-2.9775558000000002</v>
      </c>
      <c r="X180" s="104" t="s">
        <v>5356</v>
      </c>
      <c r="Y180" s="103" t="s">
        <v>1548</v>
      </c>
      <c r="Z180" s="103" t="s">
        <v>1548</v>
      </c>
      <c r="AA180" s="103" t="s">
        <v>1862</v>
      </c>
      <c r="AB180" s="103">
        <v>10</v>
      </c>
      <c r="AC180" s="103">
        <v>0</v>
      </c>
      <c r="AD180" s="103">
        <v>10</v>
      </c>
      <c r="AE180" s="103" t="s">
        <v>1634</v>
      </c>
      <c r="AF180" s="103" t="s">
        <v>4779</v>
      </c>
      <c r="AG180" s="99" t="s">
        <v>4394</v>
      </c>
      <c r="AH180" s="103" t="s">
        <v>1804</v>
      </c>
      <c r="AI180" s="103" t="s">
        <v>1804</v>
      </c>
      <c r="AJ180" s="103" t="s">
        <v>1804</v>
      </c>
      <c r="AK180" s="103" t="s">
        <v>1804</v>
      </c>
      <c r="AL180" s="103" t="s">
        <v>1862</v>
      </c>
      <c r="AM180" s="103" t="s">
        <v>1804</v>
      </c>
      <c r="AN180" s="99" t="s">
        <v>4746</v>
      </c>
      <c r="AO180" s="103" t="s">
        <v>1862</v>
      </c>
      <c r="AP180" s="103"/>
      <c r="AQ180" s="103"/>
      <c r="AR180" s="103">
        <v>3500000</v>
      </c>
      <c r="AS180" s="99"/>
      <c r="AT180" s="103" t="s">
        <v>4625</v>
      </c>
      <c r="AU180" s="103" t="s">
        <v>1634</v>
      </c>
      <c r="AV180" s="99" t="s">
        <v>4671</v>
      </c>
      <c r="AW180" s="99" t="s">
        <v>5358</v>
      </c>
      <c r="AX180" s="99" t="s">
        <v>5376</v>
      </c>
      <c r="AY180" s="99"/>
      <c r="AZ180" s="99"/>
      <c r="BA180" s="103" t="s">
        <v>1634</v>
      </c>
      <c r="BB180" s="99">
        <v>42000</v>
      </c>
      <c r="BC180" s="99"/>
      <c r="BD180" s="99">
        <v>12000000</v>
      </c>
      <c r="BE180" s="99"/>
      <c r="BF180" s="103" t="s">
        <v>5069</v>
      </c>
      <c r="BG180" s="103" t="s">
        <v>1804</v>
      </c>
      <c r="BH180" s="103" t="s">
        <v>1862</v>
      </c>
      <c r="BI180" s="103" t="s">
        <v>1804</v>
      </c>
      <c r="BJ180" s="103" t="s">
        <v>1862</v>
      </c>
      <c r="BK180" s="103" t="s">
        <v>4478</v>
      </c>
      <c r="BL180" s="103" t="s">
        <v>4500</v>
      </c>
      <c r="BM180" s="103" t="s">
        <v>4461</v>
      </c>
      <c r="BN180" s="103"/>
      <c r="BO180" s="103"/>
      <c r="BP180" s="103"/>
      <c r="BQ180" s="107"/>
      <c r="BR180" s="99"/>
      <c r="BS180" s="99"/>
      <c r="BT180" s="103" t="s">
        <v>3186</v>
      </c>
      <c r="BU180" s="99"/>
      <c r="BV180" s="103"/>
      <c r="BW180" s="103"/>
      <c r="BX180" s="103"/>
      <c r="BY180" s="103"/>
      <c r="BZ180" s="103"/>
      <c r="CA180" s="103"/>
      <c r="CB180" s="103"/>
      <c r="CC180" s="103"/>
      <c r="CD180" s="103"/>
      <c r="CE180" s="103"/>
      <c r="CF180" s="103"/>
      <c r="CG180" s="103"/>
      <c r="CH180" s="103"/>
      <c r="CI180" s="103">
        <v>76563683</v>
      </c>
      <c r="CJ180" s="103"/>
      <c r="CK180" s="108">
        <v>43366.750902777778</v>
      </c>
      <c r="CL180" s="109">
        <v>43366.758298611108</v>
      </c>
      <c r="CM180" s="95">
        <v>9.8440946</v>
      </c>
      <c r="CN180" s="95">
        <v>-2.9775558000000002</v>
      </c>
      <c r="CO180" s="99"/>
      <c r="CP180" s="99"/>
      <c r="CQ180" s="99"/>
      <c r="CR180" s="99"/>
      <c r="CS180" s="99"/>
      <c r="CT180" s="99"/>
      <c r="CU180" s="99"/>
      <c r="CV180" s="99"/>
      <c r="CW180" s="99"/>
      <c r="CX180" s="99"/>
      <c r="CY180" s="99"/>
      <c r="CZ180" s="99"/>
      <c r="DA180" s="99"/>
      <c r="DB180" s="99"/>
      <c r="DC180" s="99"/>
    </row>
    <row r="181" spans="1:107" ht="15.75" customHeight="1">
      <c r="A181" s="95">
        <v>182</v>
      </c>
      <c r="B181" s="99" t="s">
        <v>816</v>
      </c>
      <c r="C181" s="99" t="s">
        <v>688</v>
      </c>
      <c r="D181" s="99">
        <v>71563571</v>
      </c>
      <c r="E181" s="99" t="s">
        <v>275</v>
      </c>
      <c r="F181" s="95" t="s">
        <v>5394</v>
      </c>
      <c r="G181" s="95" t="s">
        <v>1068</v>
      </c>
      <c r="H181" s="95" t="s">
        <v>1081</v>
      </c>
      <c r="I181" s="95" t="s">
        <v>276</v>
      </c>
      <c r="J181" s="95"/>
      <c r="K181" s="99"/>
      <c r="L181" s="103" t="s">
        <v>4449</v>
      </c>
      <c r="M181" s="99" t="s">
        <v>4567</v>
      </c>
      <c r="N181" s="99" t="s">
        <v>4451</v>
      </c>
      <c r="O181" s="99" t="s">
        <v>4615</v>
      </c>
      <c r="P181" s="103">
        <v>2008</v>
      </c>
      <c r="Q181" s="103" t="s">
        <v>1862</v>
      </c>
      <c r="R181" s="99" t="s">
        <v>4551</v>
      </c>
      <c r="S181" s="103" t="s">
        <v>1541</v>
      </c>
      <c r="T181" s="103" t="s">
        <v>4522</v>
      </c>
      <c r="U181" s="99" t="s">
        <v>5395</v>
      </c>
      <c r="V181" s="120">
        <v>10.3325996</v>
      </c>
      <c r="W181" s="120">
        <v>-3.3388917</v>
      </c>
      <c r="X181" s="104" t="s">
        <v>4872</v>
      </c>
      <c r="Y181" s="103" t="s">
        <v>1548</v>
      </c>
      <c r="Z181" s="103" t="s">
        <v>1548</v>
      </c>
      <c r="AA181" s="103" t="s">
        <v>1862</v>
      </c>
      <c r="AB181" s="103">
        <v>63</v>
      </c>
      <c r="AC181" s="103">
        <v>0</v>
      </c>
      <c r="AD181" s="103">
        <v>63</v>
      </c>
      <c r="AE181" s="103" t="s">
        <v>1634</v>
      </c>
      <c r="AF181" s="103" t="s">
        <v>5098</v>
      </c>
      <c r="AG181" s="99" t="s">
        <v>4394</v>
      </c>
      <c r="AH181" s="103" t="s">
        <v>1804</v>
      </c>
      <c r="AI181" s="103" t="s">
        <v>1804</v>
      </c>
      <c r="AJ181" s="103" t="s">
        <v>1804</v>
      </c>
      <c r="AK181" s="103" t="s">
        <v>1804</v>
      </c>
      <c r="AL181" s="103" t="s">
        <v>1862</v>
      </c>
      <c r="AM181" s="103" t="s">
        <v>1804</v>
      </c>
      <c r="AN181" s="99" t="s">
        <v>4495</v>
      </c>
      <c r="AO181" s="103" t="s">
        <v>1862</v>
      </c>
      <c r="AP181" s="103"/>
      <c r="AQ181" s="103"/>
      <c r="AR181" s="103">
        <v>18000000</v>
      </c>
      <c r="AS181" s="99"/>
      <c r="AT181" s="103" t="s">
        <v>4625</v>
      </c>
      <c r="AU181" s="103" t="s">
        <v>1634</v>
      </c>
      <c r="AV181" s="99" t="s">
        <v>4671</v>
      </c>
      <c r="AW181" s="99" t="s">
        <v>5396</v>
      </c>
      <c r="AX181" s="99" t="s">
        <v>5397</v>
      </c>
      <c r="AY181" s="99"/>
      <c r="AZ181" s="99"/>
      <c r="BA181" s="103" t="s">
        <v>1548</v>
      </c>
      <c r="BB181" s="99">
        <v>35000</v>
      </c>
      <c r="BC181" s="99">
        <v>0</v>
      </c>
      <c r="BD181" s="99">
        <v>19000000</v>
      </c>
      <c r="BE181" s="99">
        <v>0</v>
      </c>
      <c r="BF181" s="103" t="s">
        <v>4785</v>
      </c>
      <c r="BG181" s="103" t="s">
        <v>1804</v>
      </c>
      <c r="BH181" s="103" t="s">
        <v>1804</v>
      </c>
      <c r="BI181" s="103" t="s">
        <v>1804</v>
      </c>
      <c r="BJ181" s="103" t="s">
        <v>1862</v>
      </c>
      <c r="BK181" s="103" t="s">
        <v>4478</v>
      </c>
      <c r="BL181" s="103" t="s">
        <v>4472</v>
      </c>
      <c r="BM181" s="103" t="s">
        <v>4461</v>
      </c>
      <c r="BN181" s="103"/>
      <c r="BO181" s="103"/>
      <c r="BP181" s="103"/>
      <c r="BQ181" s="107"/>
      <c r="BR181" s="99"/>
      <c r="BS181" s="99"/>
      <c r="BT181" s="103" t="s">
        <v>3186</v>
      </c>
      <c r="BU181" s="99"/>
      <c r="BV181" s="103"/>
      <c r="BW181" s="103"/>
      <c r="BX181" s="103"/>
      <c r="BY181" s="103"/>
      <c r="BZ181" s="103"/>
      <c r="CA181" s="103"/>
      <c r="CB181" s="103"/>
      <c r="CC181" s="103"/>
      <c r="CD181" s="103"/>
      <c r="CE181" s="103"/>
      <c r="CF181" s="103"/>
      <c r="CG181" s="103" t="s">
        <v>800</v>
      </c>
      <c r="CH181" s="103" t="s">
        <v>5398</v>
      </c>
      <c r="CI181" s="103">
        <v>51623019</v>
      </c>
      <c r="CJ181" s="103"/>
      <c r="CK181" s="108">
        <v>43366.686006944445</v>
      </c>
      <c r="CL181" s="109">
        <v>43366.698437500003</v>
      </c>
      <c r="CM181" s="95">
        <v>10.3325996</v>
      </c>
      <c r="CN181" s="95">
        <v>-3.3388917</v>
      </c>
      <c r="CO181" s="99"/>
      <c r="CP181" s="99"/>
      <c r="CQ181" s="99"/>
      <c r="CR181" s="99"/>
      <c r="CS181" s="99"/>
      <c r="CT181" s="99"/>
      <c r="CU181" s="99"/>
      <c r="CV181" s="99"/>
      <c r="CW181" s="99"/>
      <c r="CX181" s="99"/>
      <c r="CY181" s="99"/>
      <c r="CZ181" s="99"/>
      <c r="DA181" s="99"/>
      <c r="DB181" s="99"/>
      <c r="DC181" s="99"/>
    </row>
    <row r="182" spans="1:107" ht="15.75" customHeight="1">
      <c r="A182" s="95">
        <v>183</v>
      </c>
      <c r="B182" s="99" t="s">
        <v>817</v>
      </c>
      <c r="C182" s="99" t="s">
        <v>818</v>
      </c>
      <c r="D182" s="99">
        <v>74043786</v>
      </c>
      <c r="E182" s="99" t="s">
        <v>277</v>
      </c>
      <c r="F182" s="95" t="s">
        <v>5380</v>
      </c>
      <c r="G182" s="95" t="s">
        <v>1068</v>
      </c>
      <c r="H182" s="95" t="s">
        <v>1094</v>
      </c>
      <c r="I182" s="95" t="s">
        <v>269</v>
      </c>
      <c r="J182" s="95"/>
      <c r="K182" s="99"/>
      <c r="L182" s="103" t="s">
        <v>4449</v>
      </c>
      <c r="M182" s="99" t="s">
        <v>4487</v>
      </c>
      <c r="N182" s="99" t="s">
        <v>4520</v>
      </c>
      <c r="O182" s="99" t="s">
        <v>4615</v>
      </c>
      <c r="P182" s="103">
        <v>2008</v>
      </c>
      <c r="Q182" s="103" t="s">
        <v>1862</v>
      </c>
      <c r="R182" s="99" t="s">
        <v>4616</v>
      </c>
      <c r="S182" s="103" t="s">
        <v>1541</v>
      </c>
      <c r="T182" s="103" t="s">
        <v>4522</v>
      </c>
      <c r="U182" s="99" t="s">
        <v>5381</v>
      </c>
      <c r="V182" s="99">
        <v>9.8440946</v>
      </c>
      <c r="W182" s="99">
        <v>-2.9775558000000002</v>
      </c>
      <c r="X182" s="104" t="s">
        <v>5356</v>
      </c>
      <c r="Y182" s="103" t="s">
        <v>1548</v>
      </c>
      <c r="Z182" s="103" t="s">
        <v>1548</v>
      </c>
      <c r="AA182" s="103" t="s">
        <v>1862</v>
      </c>
      <c r="AB182" s="103">
        <v>38</v>
      </c>
      <c r="AC182" s="103">
        <v>0</v>
      </c>
      <c r="AD182" s="103">
        <v>38</v>
      </c>
      <c r="AE182" s="103" t="s">
        <v>1634</v>
      </c>
      <c r="AF182" s="103" t="s">
        <v>4493</v>
      </c>
      <c r="AG182" s="99" t="s">
        <v>4394</v>
      </c>
      <c r="AH182" s="103" t="s">
        <v>1804</v>
      </c>
      <c r="AI182" s="103" t="s">
        <v>1804</v>
      </c>
      <c r="AJ182" s="103" t="s">
        <v>1804</v>
      </c>
      <c r="AK182" s="103" t="s">
        <v>1804</v>
      </c>
      <c r="AL182" s="103" t="s">
        <v>1862</v>
      </c>
      <c r="AM182" s="103" t="s">
        <v>1804</v>
      </c>
      <c r="AN182" s="99" t="s">
        <v>4746</v>
      </c>
      <c r="AO182" s="103" t="s">
        <v>1862</v>
      </c>
      <c r="AP182" s="103"/>
      <c r="AQ182" s="103"/>
      <c r="AR182" s="103">
        <v>3500000</v>
      </c>
      <c r="AS182" s="99"/>
      <c r="AT182" s="103" t="s">
        <v>4496</v>
      </c>
      <c r="AU182" s="103" t="s">
        <v>1634</v>
      </c>
      <c r="AV182" s="99" t="s">
        <v>4671</v>
      </c>
      <c r="AW182" s="99" t="s">
        <v>5358</v>
      </c>
      <c r="AX182" s="99" t="s">
        <v>5376</v>
      </c>
      <c r="AY182" s="99"/>
      <c r="AZ182" s="99"/>
      <c r="BA182" s="103" t="s">
        <v>1634</v>
      </c>
      <c r="BB182" s="99">
        <v>36000</v>
      </c>
      <c r="BC182" s="99"/>
      <c r="BD182" s="99">
        <v>21000000</v>
      </c>
      <c r="BE182" s="99"/>
      <c r="BF182" s="103" t="s">
        <v>5385</v>
      </c>
      <c r="BG182" s="103" t="s">
        <v>1862</v>
      </c>
      <c r="BH182" s="103" t="s">
        <v>1862</v>
      </c>
      <c r="BI182" s="103" t="s">
        <v>1804</v>
      </c>
      <c r="BJ182" s="103" t="s">
        <v>1862</v>
      </c>
      <c r="BK182" s="103" t="s">
        <v>4478</v>
      </c>
      <c r="BL182" s="103" t="s">
        <v>4500</v>
      </c>
      <c r="BM182" s="103" t="s">
        <v>4461</v>
      </c>
      <c r="BN182" s="103" t="s">
        <v>5038</v>
      </c>
      <c r="BO182" s="103"/>
      <c r="BP182" s="103"/>
      <c r="BQ182" s="99"/>
      <c r="BR182" s="99"/>
      <c r="BS182" s="99"/>
      <c r="BT182" s="103" t="s">
        <v>3186</v>
      </c>
      <c r="BU182" s="99"/>
      <c r="BV182" s="103"/>
      <c r="BW182" s="103"/>
      <c r="BX182" s="103"/>
      <c r="BY182" s="103"/>
      <c r="BZ182" s="103"/>
      <c r="CA182" s="103"/>
      <c r="CB182" s="103"/>
      <c r="CC182" s="103" t="s">
        <v>4502</v>
      </c>
      <c r="CD182" s="103" t="s">
        <v>4480</v>
      </c>
      <c r="CE182" s="103" t="s">
        <v>4480</v>
      </c>
      <c r="CF182" s="103"/>
      <c r="CG182" s="103" t="s">
        <v>817</v>
      </c>
      <c r="CH182" s="103" t="s">
        <v>5399</v>
      </c>
      <c r="CI182" s="103">
        <v>74043786</v>
      </c>
      <c r="CJ182" s="103"/>
      <c r="CK182" s="108">
        <v>43366.798784722225</v>
      </c>
      <c r="CL182" s="109">
        <v>43366.805439814816</v>
      </c>
      <c r="CM182" s="95">
        <v>9.8440946</v>
      </c>
      <c r="CN182" s="95">
        <v>-2.9775558000000002</v>
      </c>
      <c r="CO182" s="99"/>
      <c r="CP182" s="99"/>
      <c r="CQ182" s="99"/>
      <c r="CR182" s="99"/>
      <c r="CS182" s="99"/>
      <c r="CT182" s="99"/>
      <c r="CU182" s="99"/>
      <c r="CV182" s="99"/>
      <c r="CW182" s="99"/>
      <c r="CX182" s="99"/>
      <c r="CY182" s="99"/>
      <c r="CZ182" s="99"/>
      <c r="DA182" s="99"/>
      <c r="DB182" s="99"/>
      <c r="DC182" s="99"/>
    </row>
    <row r="183" spans="1:107" ht="15.75" customHeight="1">
      <c r="A183" s="95">
        <v>184</v>
      </c>
      <c r="B183" s="99" t="s">
        <v>819</v>
      </c>
      <c r="C183" s="99" t="s">
        <v>820</v>
      </c>
      <c r="D183" s="110">
        <v>74877739</v>
      </c>
      <c r="E183" s="99" t="s">
        <v>278</v>
      </c>
      <c r="F183" s="95" t="s">
        <v>5400</v>
      </c>
      <c r="G183" s="95" t="s">
        <v>1057</v>
      </c>
      <c r="H183" s="95" t="s">
        <v>1123</v>
      </c>
      <c r="I183" s="95" t="s">
        <v>244</v>
      </c>
      <c r="J183" s="95"/>
      <c r="K183" s="99"/>
      <c r="L183" s="103" t="s">
        <v>4449</v>
      </c>
      <c r="M183" s="99" t="s">
        <v>4632</v>
      </c>
      <c r="N183" s="99" t="s">
        <v>4718</v>
      </c>
      <c r="O183" s="99" t="s">
        <v>4684</v>
      </c>
      <c r="P183" s="103">
        <v>1998</v>
      </c>
      <c r="Q183" s="103" t="s">
        <v>1862</v>
      </c>
      <c r="R183" s="99" t="s">
        <v>4633</v>
      </c>
      <c r="S183" s="103" t="s">
        <v>1541</v>
      </c>
      <c r="T183" s="103" t="s">
        <v>4634</v>
      </c>
      <c r="U183" s="99" t="s">
        <v>5401</v>
      </c>
      <c r="V183" s="95">
        <v>11.489423800000001</v>
      </c>
      <c r="W183" s="95">
        <v>-3.5230920000000001</v>
      </c>
      <c r="X183" s="104" t="s">
        <v>5327</v>
      </c>
      <c r="Y183" s="103" t="s">
        <v>1634</v>
      </c>
      <c r="Z183" s="103" t="s">
        <v>1634</v>
      </c>
      <c r="AA183" s="103" t="s">
        <v>1862</v>
      </c>
      <c r="AB183" s="103">
        <v>255</v>
      </c>
      <c r="AC183" s="103">
        <v>5</v>
      </c>
      <c r="AD183" s="103">
        <v>250</v>
      </c>
      <c r="AE183" s="103" t="s">
        <v>1634</v>
      </c>
      <c r="AF183" s="103" t="s">
        <v>4493</v>
      </c>
      <c r="AG183" s="99" t="s">
        <v>4554</v>
      </c>
      <c r="AH183" s="103" t="s">
        <v>1862</v>
      </c>
      <c r="AI183" s="103" t="s">
        <v>1862</v>
      </c>
      <c r="AJ183" s="103" t="s">
        <v>1862</v>
      </c>
      <c r="AK183" s="103" t="s">
        <v>1862</v>
      </c>
      <c r="AL183" s="103" t="s">
        <v>1804</v>
      </c>
      <c r="AM183" s="103" t="s">
        <v>1862</v>
      </c>
      <c r="AN183" s="99" t="s">
        <v>4638</v>
      </c>
      <c r="AO183" s="103" t="s">
        <v>1862</v>
      </c>
      <c r="AP183" s="103">
        <v>1500</v>
      </c>
      <c r="AQ183" s="112" t="s">
        <v>4461</v>
      </c>
      <c r="AR183" s="103"/>
      <c r="AS183" s="106">
        <v>39500000</v>
      </c>
      <c r="AT183" s="103" t="s">
        <v>4527</v>
      </c>
      <c r="AU183" s="103" t="s">
        <v>1634</v>
      </c>
      <c r="AV183" s="99" t="s">
        <v>4463</v>
      </c>
      <c r="AW183" s="99" t="s">
        <v>4639</v>
      </c>
      <c r="AX183" s="99" t="s">
        <v>4640</v>
      </c>
      <c r="AY183" s="99" t="s">
        <v>4641</v>
      </c>
      <c r="AZ183" s="99" t="s">
        <v>4530</v>
      </c>
      <c r="BA183" s="103" t="s">
        <v>1634</v>
      </c>
      <c r="BB183" s="99"/>
      <c r="BC183" s="99">
        <v>22000</v>
      </c>
      <c r="BD183" s="99"/>
      <c r="BE183" s="99">
        <v>41000000</v>
      </c>
      <c r="BF183" s="103" t="s">
        <v>4642</v>
      </c>
      <c r="BG183" s="103" t="s">
        <v>1862</v>
      </c>
      <c r="BH183" s="103" t="s">
        <v>1862</v>
      </c>
      <c r="BI183" s="103" t="s">
        <v>1862</v>
      </c>
      <c r="BJ183" s="103" t="s">
        <v>1862</v>
      </c>
      <c r="BK183" s="103" t="s">
        <v>4469</v>
      </c>
      <c r="BL183" s="103" t="s">
        <v>4472</v>
      </c>
      <c r="BM183" s="103" t="s">
        <v>4461</v>
      </c>
      <c r="BN183" s="103" t="s">
        <v>4643</v>
      </c>
      <c r="BO183" s="103">
        <v>390</v>
      </c>
      <c r="BP183" s="103" t="s">
        <v>4532</v>
      </c>
      <c r="BQ183" s="99" t="s">
        <v>4644</v>
      </c>
      <c r="BR183" s="99" t="s">
        <v>4644</v>
      </c>
      <c r="BS183" s="99" t="s">
        <v>4564</v>
      </c>
      <c r="BT183" s="103" t="s">
        <v>3186</v>
      </c>
      <c r="BU183" s="99"/>
      <c r="BV183" s="103" t="s">
        <v>4644</v>
      </c>
      <c r="BW183" s="103" t="s">
        <v>4644</v>
      </c>
      <c r="BX183" s="103"/>
      <c r="BY183" s="103"/>
      <c r="BZ183" s="103"/>
      <c r="CA183" s="103"/>
      <c r="CB183" s="103"/>
      <c r="CC183" s="103" t="s">
        <v>4502</v>
      </c>
      <c r="CD183" s="103" t="s">
        <v>4475</v>
      </c>
      <c r="CE183" s="112" t="s">
        <v>4475</v>
      </c>
      <c r="CF183" s="103"/>
      <c r="CG183" s="103" t="s">
        <v>819</v>
      </c>
      <c r="CH183" s="103" t="s">
        <v>820</v>
      </c>
      <c r="CI183" s="111">
        <v>74877739</v>
      </c>
      <c r="CJ183" s="103"/>
      <c r="CK183" s="108">
        <v>43364.693287037036</v>
      </c>
      <c r="CL183" s="109">
        <v>43364.732754629629</v>
      </c>
      <c r="CM183" s="95">
        <v>11.489423800000001</v>
      </c>
      <c r="CN183" s="95">
        <v>-3.5230920000000001</v>
      </c>
      <c r="CO183" s="99"/>
      <c r="CP183" s="99"/>
      <c r="CQ183" s="99"/>
      <c r="CR183" s="99"/>
      <c r="CS183" s="99"/>
      <c r="CT183" s="99"/>
      <c r="CU183" s="99"/>
      <c r="CV183" s="99"/>
      <c r="CW183" s="99"/>
      <c r="CX183" s="99"/>
      <c r="CY183" s="99"/>
      <c r="CZ183" s="99"/>
      <c r="DA183" s="99"/>
      <c r="DB183" s="99"/>
      <c r="DC183" s="99"/>
    </row>
    <row r="184" spans="1:107" ht="15.75" customHeight="1">
      <c r="A184" s="95">
        <v>185</v>
      </c>
      <c r="B184" s="99" t="s">
        <v>656</v>
      </c>
      <c r="C184" s="99" t="s">
        <v>821</v>
      </c>
      <c r="D184" s="99">
        <v>78455390</v>
      </c>
      <c r="E184" s="99" t="s">
        <v>279</v>
      </c>
      <c r="F184" s="95" t="s">
        <v>5120</v>
      </c>
      <c r="G184" s="95" t="s">
        <v>1068</v>
      </c>
      <c r="H184" s="95" t="s">
        <v>1081</v>
      </c>
      <c r="I184" s="95" t="s">
        <v>167</v>
      </c>
      <c r="J184" s="95"/>
      <c r="K184" s="99"/>
      <c r="L184" s="103" t="s">
        <v>4449</v>
      </c>
      <c r="M184" s="99" t="s">
        <v>4487</v>
      </c>
      <c r="N184" s="99" t="s">
        <v>4520</v>
      </c>
      <c r="O184" s="99" t="s">
        <v>5402</v>
      </c>
      <c r="P184" s="103">
        <v>2006</v>
      </c>
      <c r="Q184" s="103" t="s">
        <v>1862</v>
      </c>
      <c r="R184" s="99" t="s">
        <v>4521</v>
      </c>
      <c r="S184" s="103" t="s">
        <v>1541</v>
      </c>
      <c r="T184" s="103" t="s">
        <v>4522</v>
      </c>
      <c r="U184" s="99" t="s">
        <v>5121</v>
      </c>
      <c r="V184" s="95">
        <v>10.6302115</v>
      </c>
      <c r="W184" s="95">
        <v>-3.0551159000000001</v>
      </c>
      <c r="X184" s="104" t="s">
        <v>5122</v>
      </c>
      <c r="Y184" s="103" t="s">
        <v>1634</v>
      </c>
      <c r="Z184" s="103" t="s">
        <v>1634</v>
      </c>
      <c r="AA184" s="103" t="s">
        <v>1862</v>
      </c>
      <c r="AB184" s="103">
        <v>20</v>
      </c>
      <c r="AC184" s="103">
        <v>0</v>
      </c>
      <c r="AD184" s="103">
        <v>20</v>
      </c>
      <c r="AE184" s="103" t="s">
        <v>1634</v>
      </c>
      <c r="AF184" s="103" t="s">
        <v>4779</v>
      </c>
      <c r="AG184" s="99" t="s">
        <v>4394</v>
      </c>
      <c r="AH184" s="103" t="s">
        <v>1804</v>
      </c>
      <c r="AI184" s="103" t="s">
        <v>1804</v>
      </c>
      <c r="AJ184" s="103" t="s">
        <v>1804</v>
      </c>
      <c r="AK184" s="103" t="s">
        <v>1804</v>
      </c>
      <c r="AL184" s="103" t="s">
        <v>1862</v>
      </c>
      <c r="AM184" s="103" t="s">
        <v>1804</v>
      </c>
      <c r="AN184" s="99" t="s">
        <v>4495</v>
      </c>
      <c r="AO184" s="103" t="s">
        <v>1862</v>
      </c>
      <c r="AP184" s="103"/>
      <c r="AQ184" s="103"/>
      <c r="AR184" s="103">
        <v>15000000</v>
      </c>
      <c r="AS184" s="99"/>
      <c r="AT184" s="103" t="s">
        <v>4625</v>
      </c>
      <c r="AU184" s="103" t="s">
        <v>1548</v>
      </c>
      <c r="AV184" s="99"/>
      <c r="AW184" s="99" t="s">
        <v>5403</v>
      </c>
      <c r="AX184" s="99" t="s">
        <v>5404</v>
      </c>
      <c r="AY184" s="99"/>
      <c r="AZ184" s="99"/>
      <c r="BA184" s="103"/>
      <c r="BB184" s="99">
        <v>26900</v>
      </c>
      <c r="BC184" s="99"/>
      <c r="BD184" s="99">
        <v>14800000</v>
      </c>
      <c r="BE184" s="99"/>
      <c r="BF184" s="103" t="s">
        <v>4785</v>
      </c>
      <c r="BG184" s="103" t="s">
        <v>1804</v>
      </c>
      <c r="BH184" s="103" t="s">
        <v>1804</v>
      </c>
      <c r="BI184" s="103" t="s">
        <v>1804</v>
      </c>
      <c r="BJ184" s="103" t="s">
        <v>1862</v>
      </c>
      <c r="BK184" s="103" t="s">
        <v>4478</v>
      </c>
      <c r="BL184" s="103" t="s">
        <v>4472</v>
      </c>
      <c r="BM184" s="103" t="s">
        <v>4461</v>
      </c>
      <c r="BN184" s="103" t="s">
        <v>5405</v>
      </c>
      <c r="BO184" s="103"/>
      <c r="BP184" s="103"/>
      <c r="BQ184" s="107"/>
      <c r="BR184" s="99"/>
      <c r="BS184" s="99"/>
      <c r="BT184" s="103" t="s">
        <v>3186</v>
      </c>
      <c r="BU184" s="99" t="s">
        <v>4475</v>
      </c>
      <c r="BV184" s="103"/>
      <c r="BW184" s="103"/>
      <c r="BX184" s="103"/>
      <c r="BY184" s="103"/>
      <c r="BZ184" s="103"/>
      <c r="CA184" s="103"/>
      <c r="CB184" s="103"/>
      <c r="CC184" s="103"/>
      <c r="CD184" s="103"/>
      <c r="CE184" s="103"/>
      <c r="CF184" s="103"/>
      <c r="CG184" s="103"/>
      <c r="CH184" s="103"/>
      <c r="CI184" s="103">
        <v>78455390</v>
      </c>
      <c r="CJ184" s="103"/>
      <c r="CK184" s="108">
        <v>43366.620636574073</v>
      </c>
      <c r="CL184" s="109">
        <v>43366.632650462961</v>
      </c>
      <c r="CM184" s="95">
        <v>10.6302115</v>
      </c>
      <c r="CN184" s="95">
        <v>-3.0551159000000001</v>
      </c>
      <c r="CO184" s="99"/>
      <c r="CP184" s="99"/>
      <c r="CQ184" s="99"/>
      <c r="CR184" s="99"/>
      <c r="CS184" s="99"/>
      <c r="CT184" s="99"/>
      <c r="CU184" s="99"/>
      <c r="CV184" s="99"/>
      <c r="CW184" s="99"/>
      <c r="CX184" s="99"/>
      <c r="CY184" s="99"/>
      <c r="CZ184" s="99"/>
      <c r="DA184" s="99"/>
      <c r="DB184" s="99"/>
      <c r="DC184" s="99"/>
    </row>
    <row r="185" spans="1:107" ht="15.75" customHeight="1">
      <c r="A185" s="95">
        <v>186</v>
      </c>
      <c r="B185" s="99" t="s">
        <v>565</v>
      </c>
      <c r="C185" s="99" t="s">
        <v>822</v>
      </c>
      <c r="D185" s="99">
        <v>76199167</v>
      </c>
      <c r="E185" s="99" t="s">
        <v>280</v>
      </c>
      <c r="F185" s="95" t="s">
        <v>5406</v>
      </c>
      <c r="G185" s="95" t="s">
        <v>1085</v>
      </c>
      <c r="H185" s="95" t="s">
        <v>1126</v>
      </c>
      <c r="I185" s="95" t="s">
        <v>281</v>
      </c>
      <c r="J185" s="95"/>
      <c r="K185" s="99"/>
      <c r="L185" s="103" t="s">
        <v>4549</v>
      </c>
      <c r="M185" s="99" t="s">
        <v>4487</v>
      </c>
      <c r="N185" s="99" t="s">
        <v>4520</v>
      </c>
      <c r="O185" s="99" t="s">
        <v>5407</v>
      </c>
      <c r="P185" s="103">
        <v>2014</v>
      </c>
      <c r="Q185" s="103" t="s">
        <v>1862</v>
      </c>
      <c r="R185" s="99" t="s">
        <v>4616</v>
      </c>
      <c r="S185" s="103" t="s">
        <v>1541</v>
      </c>
      <c r="T185" s="103" t="s">
        <v>4522</v>
      </c>
      <c r="U185" s="99" t="s">
        <v>5408</v>
      </c>
      <c r="V185" s="95">
        <v>10.9808313</v>
      </c>
      <c r="W185" s="95">
        <v>-4.9091329000000004</v>
      </c>
      <c r="X185" s="104" t="s">
        <v>5409</v>
      </c>
      <c r="Y185" s="103" t="s">
        <v>1634</v>
      </c>
      <c r="Z185" s="103" t="s">
        <v>1548</v>
      </c>
      <c r="AA185" s="103" t="s">
        <v>1862</v>
      </c>
      <c r="AB185" s="103">
        <v>30</v>
      </c>
      <c r="AC185" s="103">
        <v>9</v>
      </c>
      <c r="AD185" s="103">
        <v>21</v>
      </c>
      <c r="AE185" s="103" t="s">
        <v>1634</v>
      </c>
      <c r="AF185" s="103" t="s">
        <v>4651</v>
      </c>
      <c r="AG185" s="99" t="s">
        <v>4390</v>
      </c>
      <c r="AH185" s="103" t="s">
        <v>1634</v>
      </c>
      <c r="AI185" s="103" t="s">
        <v>1804</v>
      </c>
      <c r="AJ185" s="103" t="s">
        <v>1804</v>
      </c>
      <c r="AK185" s="103" t="s">
        <v>1804</v>
      </c>
      <c r="AL185" s="103" t="s">
        <v>1804</v>
      </c>
      <c r="AM185" s="103" t="s">
        <v>1804</v>
      </c>
      <c r="AN185" s="99" t="s">
        <v>4911</v>
      </c>
      <c r="AO185" s="103" t="s">
        <v>1862</v>
      </c>
      <c r="AP185" s="103">
        <v>1900</v>
      </c>
      <c r="AQ185" s="103"/>
      <c r="AR185" s="103">
        <v>8000000</v>
      </c>
      <c r="AS185" s="99"/>
      <c r="AT185" s="103" t="s">
        <v>4594</v>
      </c>
      <c r="AU185" s="103" t="s">
        <v>1634</v>
      </c>
      <c r="AV185" s="99" t="s">
        <v>5353</v>
      </c>
      <c r="AW185" s="99" t="s">
        <v>5410</v>
      </c>
      <c r="AX185" s="99"/>
      <c r="AY185" s="99"/>
      <c r="AZ185" s="99" t="s">
        <v>5411</v>
      </c>
      <c r="BA185" s="103" t="s">
        <v>1634</v>
      </c>
      <c r="BB185" s="99">
        <v>450000</v>
      </c>
      <c r="BC185" s="99"/>
      <c r="BD185" s="99">
        <v>90000000</v>
      </c>
      <c r="BE185" s="99"/>
      <c r="BF185" s="103" t="s">
        <v>4653</v>
      </c>
      <c r="BG185" s="103" t="s">
        <v>1862</v>
      </c>
      <c r="BH185" s="103" t="s">
        <v>1804</v>
      </c>
      <c r="BI185" s="103" t="s">
        <v>1862</v>
      </c>
      <c r="BJ185" s="103" t="s">
        <v>1804</v>
      </c>
      <c r="BK185" s="103" t="s">
        <v>4478</v>
      </c>
      <c r="BL185" s="103" t="s">
        <v>4472</v>
      </c>
      <c r="BM185" s="103" t="s">
        <v>4461</v>
      </c>
      <c r="BN185" s="103"/>
      <c r="BO185" s="103"/>
      <c r="BP185" s="103"/>
      <c r="BQ185" s="107"/>
      <c r="BR185" s="99"/>
      <c r="BS185" s="99"/>
      <c r="BT185" s="103" t="s">
        <v>3186</v>
      </c>
      <c r="BU185" s="99"/>
      <c r="BV185" s="103"/>
      <c r="BW185" s="103"/>
      <c r="BX185" s="103"/>
      <c r="BY185" s="103"/>
      <c r="BZ185" s="103"/>
      <c r="CA185" s="103"/>
      <c r="CB185" s="103"/>
      <c r="CC185" s="103"/>
      <c r="CD185" s="103"/>
      <c r="CE185" s="103"/>
      <c r="CF185" s="103"/>
      <c r="CG185" s="103" t="s">
        <v>5412</v>
      </c>
      <c r="CH185" s="103" t="s">
        <v>822</v>
      </c>
      <c r="CI185" s="103">
        <v>70125015</v>
      </c>
      <c r="CJ185" s="103"/>
      <c r="CK185" s="108">
        <v>43366.499699074076</v>
      </c>
      <c r="CL185" s="109">
        <v>43366.527962962966</v>
      </c>
      <c r="CM185" s="95">
        <v>10.9808313</v>
      </c>
      <c r="CN185" s="95">
        <v>-4.9091329000000004</v>
      </c>
      <c r="CO185" s="99"/>
      <c r="CP185" s="99"/>
      <c r="CQ185" s="99"/>
      <c r="CR185" s="99"/>
      <c r="CS185" s="99"/>
      <c r="CT185" s="99"/>
      <c r="CU185" s="99"/>
      <c r="CV185" s="99"/>
      <c r="CW185" s="99"/>
      <c r="CX185" s="99"/>
      <c r="CY185" s="99"/>
      <c r="CZ185" s="99"/>
      <c r="DA185" s="99"/>
      <c r="DB185" s="99"/>
      <c r="DC185" s="99"/>
    </row>
    <row r="186" spans="1:107" ht="15.75" customHeight="1">
      <c r="A186" s="95">
        <v>187</v>
      </c>
      <c r="B186" s="99" t="s">
        <v>823</v>
      </c>
      <c r="C186" s="99" t="s">
        <v>824</v>
      </c>
      <c r="D186" s="99">
        <v>76010693</v>
      </c>
      <c r="E186" s="99" t="s">
        <v>282</v>
      </c>
      <c r="F186" s="95" t="s">
        <v>5413</v>
      </c>
      <c r="G186" s="95" t="s">
        <v>1049</v>
      </c>
      <c r="H186" s="95" t="s">
        <v>1079</v>
      </c>
      <c r="I186" s="95" t="s">
        <v>283</v>
      </c>
      <c r="J186" s="95"/>
      <c r="K186" s="99"/>
      <c r="L186" s="103" t="s">
        <v>4449</v>
      </c>
      <c r="M186" s="99" t="s">
        <v>4450</v>
      </c>
      <c r="N186" s="99" t="s">
        <v>4520</v>
      </c>
      <c r="O186" s="99" t="s">
        <v>4694</v>
      </c>
      <c r="P186" s="103">
        <v>2002</v>
      </c>
      <c r="Q186" s="103" t="s">
        <v>1862</v>
      </c>
      <c r="R186" s="99" t="s">
        <v>4453</v>
      </c>
      <c r="S186" s="103" t="s">
        <v>1541</v>
      </c>
      <c r="T186" s="103" t="s">
        <v>4522</v>
      </c>
      <c r="U186" s="99" t="s">
        <v>5414</v>
      </c>
      <c r="V186" s="95">
        <v>11.0978809</v>
      </c>
      <c r="W186" s="95">
        <v>-2.0959428999999998</v>
      </c>
      <c r="X186" s="104" t="s">
        <v>5415</v>
      </c>
      <c r="Y186" s="103" t="s">
        <v>1634</v>
      </c>
      <c r="Z186" s="103" t="s">
        <v>1634</v>
      </c>
      <c r="AA186" s="103" t="s">
        <v>1862</v>
      </c>
      <c r="AB186" s="103">
        <v>15</v>
      </c>
      <c r="AC186" s="103">
        <v>0</v>
      </c>
      <c r="AD186" s="103">
        <v>15</v>
      </c>
      <c r="AE186" s="103" t="s">
        <v>1634</v>
      </c>
      <c r="AF186" s="103" t="s">
        <v>4651</v>
      </c>
      <c r="AG186" s="99" t="s">
        <v>4569</v>
      </c>
      <c r="AH186" s="103" t="s">
        <v>1862</v>
      </c>
      <c r="AI186" s="103" t="s">
        <v>1862</v>
      </c>
      <c r="AJ186" s="103" t="s">
        <v>1862</v>
      </c>
      <c r="AK186" s="103" t="s">
        <v>1862</v>
      </c>
      <c r="AL186" s="103" t="s">
        <v>1862</v>
      </c>
      <c r="AM186" s="103" t="s">
        <v>1862</v>
      </c>
      <c r="AN186" s="99" t="s">
        <v>4570</v>
      </c>
      <c r="AO186" s="103" t="s">
        <v>1862</v>
      </c>
      <c r="AP186" s="103">
        <v>1500</v>
      </c>
      <c r="AQ186" s="103" t="s">
        <v>4461</v>
      </c>
      <c r="AR186" s="105">
        <v>210000</v>
      </c>
      <c r="AS186" s="106">
        <v>300000</v>
      </c>
      <c r="AT186" s="103" t="s">
        <v>4496</v>
      </c>
      <c r="AU186" s="103" t="s">
        <v>1634</v>
      </c>
      <c r="AV186" s="99" t="s">
        <v>4463</v>
      </c>
      <c r="AW186" s="99" t="s">
        <v>4571</v>
      </c>
      <c r="AX186" s="99" t="s">
        <v>4572</v>
      </c>
      <c r="AY186" s="99" t="s">
        <v>4560</v>
      </c>
      <c r="AZ186" s="99" t="s">
        <v>4467</v>
      </c>
      <c r="BA186" s="103" t="s">
        <v>1634</v>
      </c>
      <c r="BB186" s="99">
        <v>1200</v>
      </c>
      <c r="BC186" s="99">
        <v>2000</v>
      </c>
      <c r="BD186" s="99">
        <v>100000</v>
      </c>
      <c r="BE186" s="99">
        <v>200000</v>
      </c>
      <c r="BF186" s="103" t="s">
        <v>4468</v>
      </c>
      <c r="BG186" s="103" t="s">
        <v>1862</v>
      </c>
      <c r="BH186" s="103" t="s">
        <v>1862</v>
      </c>
      <c r="BI186" s="103" t="s">
        <v>1804</v>
      </c>
      <c r="BJ186" s="103" t="s">
        <v>1804</v>
      </c>
      <c r="BK186" s="103" t="s">
        <v>4478</v>
      </c>
      <c r="BL186" s="103" t="s">
        <v>4470</v>
      </c>
      <c r="BM186" s="103" t="s">
        <v>4472</v>
      </c>
      <c r="BN186" s="103" t="s">
        <v>4573</v>
      </c>
      <c r="BO186" s="103">
        <v>80</v>
      </c>
      <c r="BP186" s="103" t="s">
        <v>4472</v>
      </c>
      <c r="BQ186" s="107" t="s">
        <v>4473</v>
      </c>
      <c r="BR186" s="99" t="s">
        <v>4473</v>
      </c>
      <c r="BS186" s="99" t="s">
        <v>4473</v>
      </c>
      <c r="BT186" s="103" t="s">
        <v>3186</v>
      </c>
      <c r="BU186" s="107" t="s">
        <v>4574</v>
      </c>
      <c r="BV186" s="103" t="s">
        <v>4476</v>
      </c>
      <c r="BW186" s="103" t="s">
        <v>1548</v>
      </c>
      <c r="BX186" s="103" t="s">
        <v>4575</v>
      </c>
      <c r="BY186" s="103" t="s">
        <v>4478</v>
      </c>
      <c r="BZ186" s="103" t="s">
        <v>4509</v>
      </c>
      <c r="CA186" s="103">
        <v>2000</v>
      </c>
      <c r="CB186" s="103" t="s">
        <v>4475</v>
      </c>
      <c r="CC186" s="103" t="s">
        <v>4502</v>
      </c>
      <c r="CD186" s="103" t="s">
        <v>4475</v>
      </c>
      <c r="CE186" s="103" t="s">
        <v>4475</v>
      </c>
      <c r="CF186" s="103" t="s">
        <v>4482</v>
      </c>
      <c r="CG186" s="103" t="s">
        <v>5416</v>
      </c>
      <c r="CH186" s="103" t="s">
        <v>824</v>
      </c>
      <c r="CI186" s="103">
        <v>76010693</v>
      </c>
      <c r="CJ186" s="99"/>
      <c r="CK186" s="108">
        <v>43364.414409722223</v>
      </c>
      <c r="CL186" s="108">
        <v>43364.437928240739</v>
      </c>
      <c r="CM186" s="95">
        <v>11.0978809</v>
      </c>
      <c r="CN186" s="95">
        <v>-2.0959428999999998</v>
      </c>
      <c r="CO186" s="99"/>
      <c r="CP186" s="99"/>
      <c r="CQ186" s="99"/>
      <c r="CR186" s="99"/>
      <c r="CS186" s="99"/>
      <c r="CT186" s="99"/>
      <c r="CU186" s="99"/>
      <c r="CV186" s="99"/>
      <c r="CW186" s="99"/>
      <c r="CX186" s="99"/>
      <c r="CY186" s="99"/>
      <c r="CZ186" s="99"/>
      <c r="DA186" s="99"/>
      <c r="DB186" s="99"/>
      <c r="DC186" s="99"/>
    </row>
    <row r="187" spans="1:107" ht="15.75" customHeight="1">
      <c r="A187" s="95">
        <v>188</v>
      </c>
      <c r="B187" s="99" t="s">
        <v>825</v>
      </c>
      <c r="C187" s="99" t="s">
        <v>826</v>
      </c>
      <c r="D187" s="110">
        <v>72355559</v>
      </c>
      <c r="E187" s="99" t="s">
        <v>284</v>
      </c>
      <c r="F187" s="95" t="s">
        <v>5417</v>
      </c>
      <c r="G187" s="95" t="s">
        <v>1076</v>
      </c>
      <c r="H187" s="95" t="s">
        <v>1116</v>
      </c>
      <c r="I187" s="95" t="s">
        <v>285</v>
      </c>
      <c r="J187" s="95"/>
      <c r="K187" s="99"/>
      <c r="L187" s="103" t="s">
        <v>4449</v>
      </c>
      <c r="M187" s="99" t="s">
        <v>4450</v>
      </c>
      <c r="N187" s="99" t="s">
        <v>1565</v>
      </c>
      <c r="O187" s="99" t="s">
        <v>4488</v>
      </c>
      <c r="P187" s="103">
        <v>2004</v>
      </c>
      <c r="Q187" s="103" t="s">
        <v>1862</v>
      </c>
      <c r="R187" s="99" t="s">
        <v>5178</v>
      </c>
      <c r="S187" s="103" t="s">
        <v>1541</v>
      </c>
      <c r="T187" s="103" t="s">
        <v>4522</v>
      </c>
      <c r="U187" s="99" t="s">
        <v>5418</v>
      </c>
      <c r="V187" s="95">
        <v>11.5238362</v>
      </c>
      <c r="W187" s="95">
        <v>0.75328090000000003</v>
      </c>
      <c r="X187" s="104" t="s">
        <v>5419</v>
      </c>
      <c r="Y187" s="103" t="s">
        <v>1634</v>
      </c>
      <c r="Z187" s="103" t="s">
        <v>1634</v>
      </c>
      <c r="AA187" s="103" t="s">
        <v>1862</v>
      </c>
      <c r="AB187" s="103">
        <v>25</v>
      </c>
      <c r="AC187" s="103">
        <v>0</v>
      </c>
      <c r="AD187" s="103">
        <v>25</v>
      </c>
      <c r="AE187" s="103" t="s">
        <v>1634</v>
      </c>
      <c r="AF187" s="103" t="s">
        <v>4830</v>
      </c>
      <c r="AG187" s="99" t="s">
        <v>5199</v>
      </c>
      <c r="AH187" s="103" t="s">
        <v>1862</v>
      </c>
      <c r="AI187" s="103" t="s">
        <v>1862</v>
      </c>
      <c r="AJ187" s="103" t="s">
        <v>1804</v>
      </c>
      <c r="AK187" s="103" t="s">
        <v>1862</v>
      </c>
      <c r="AL187" s="103" t="s">
        <v>1804</v>
      </c>
      <c r="AM187" s="103" t="s">
        <v>1804</v>
      </c>
      <c r="AN187" s="99" t="s">
        <v>4638</v>
      </c>
      <c r="AO187" s="103" t="s">
        <v>1862</v>
      </c>
      <c r="AP187" s="103">
        <v>1200</v>
      </c>
      <c r="AQ187" s="103" t="s">
        <v>4470</v>
      </c>
      <c r="AR187" s="103">
        <v>900000</v>
      </c>
      <c r="AS187" s="106">
        <v>1500000</v>
      </c>
      <c r="AT187" s="103" t="s">
        <v>4496</v>
      </c>
      <c r="AU187" s="103" t="s">
        <v>1634</v>
      </c>
      <c r="AV187" s="99" t="s">
        <v>4671</v>
      </c>
      <c r="AW187" s="99" t="s">
        <v>5181</v>
      </c>
      <c r="AX187" s="99" t="s">
        <v>4606</v>
      </c>
      <c r="AY187" s="99" t="s">
        <v>4466</v>
      </c>
      <c r="AZ187" s="99" t="s">
        <v>4467</v>
      </c>
      <c r="BA187" s="103" t="s">
        <v>1634</v>
      </c>
      <c r="BB187" s="99">
        <v>350</v>
      </c>
      <c r="BC187" s="99">
        <v>400</v>
      </c>
      <c r="BD187" s="99">
        <v>1500000</v>
      </c>
      <c r="BE187" s="99">
        <v>2000000</v>
      </c>
      <c r="BF187" s="103" t="s">
        <v>4544</v>
      </c>
      <c r="BG187" s="103" t="s">
        <v>1862</v>
      </c>
      <c r="BH187" s="103" t="s">
        <v>1862</v>
      </c>
      <c r="BI187" s="103" t="s">
        <v>1804</v>
      </c>
      <c r="BJ187" s="103" t="s">
        <v>1804</v>
      </c>
      <c r="BK187" s="103" t="s">
        <v>4478</v>
      </c>
      <c r="BL187" s="103" t="s">
        <v>4470</v>
      </c>
      <c r="BM187" s="103" t="s">
        <v>4461</v>
      </c>
      <c r="BN187" s="103" t="s">
        <v>4512</v>
      </c>
      <c r="BO187" s="103">
        <v>200</v>
      </c>
      <c r="BP187" s="103" t="s">
        <v>4461</v>
      </c>
      <c r="BQ187" s="99" t="s">
        <v>4476</v>
      </c>
      <c r="BR187" s="99" t="s">
        <v>4476</v>
      </c>
      <c r="BS187" s="99"/>
      <c r="BT187" s="103" t="s">
        <v>3186</v>
      </c>
      <c r="BU187" s="99" t="s">
        <v>4476</v>
      </c>
      <c r="BV187" s="103" t="s">
        <v>4476</v>
      </c>
      <c r="BW187" s="103" t="s">
        <v>1634</v>
      </c>
      <c r="BX187" s="103" t="s">
        <v>5200</v>
      </c>
      <c r="BY187" s="103" t="s">
        <v>4478</v>
      </c>
      <c r="BZ187" s="103" t="s">
        <v>4461</v>
      </c>
      <c r="CA187" s="103">
        <v>500</v>
      </c>
      <c r="CB187" s="103" t="s">
        <v>4475</v>
      </c>
      <c r="CC187" s="103" t="s">
        <v>4502</v>
      </c>
      <c r="CD187" s="103" t="s">
        <v>4475</v>
      </c>
      <c r="CE187" s="112" t="s">
        <v>4481</v>
      </c>
      <c r="CF187" s="103"/>
      <c r="CG187" s="103" t="s">
        <v>5420</v>
      </c>
      <c r="CH187" s="103" t="s">
        <v>5421</v>
      </c>
      <c r="CI187" s="111">
        <v>72355559</v>
      </c>
      <c r="CJ187" s="99"/>
      <c r="CK187" s="108">
        <v>43366.501261574071</v>
      </c>
      <c r="CL187" s="108">
        <v>43366.516145833331</v>
      </c>
      <c r="CM187" s="95">
        <v>11.5238362</v>
      </c>
      <c r="CN187" s="95">
        <v>0.75328090000000003</v>
      </c>
      <c r="CO187" s="99"/>
      <c r="CP187" s="99"/>
      <c r="CQ187" s="99"/>
      <c r="CR187" s="99"/>
      <c r="CS187" s="99"/>
      <c r="CT187" s="99"/>
      <c r="CU187" s="99"/>
      <c r="CV187" s="99"/>
      <c r="CW187" s="99"/>
      <c r="CX187" s="99"/>
      <c r="CY187" s="99"/>
      <c r="CZ187" s="99"/>
      <c r="DA187" s="99"/>
      <c r="DB187" s="99"/>
      <c r="DC187" s="99"/>
    </row>
    <row r="188" spans="1:107" ht="15.75" customHeight="1">
      <c r="A188" s="95">
        <v>189</v>
      </c>
      <c r="B188" s="99" t="s">
        <v>565</v>
      </c>
      <c r="C188" s="99" t="s">
        <v>827</v>
      </c>
      <c r="D188" s="99">
        <v>72945612</v>
      </c>
      <c r="E188" s="99" t="s">
        <v>286</v>
      </c>
      <c r="F188" s="95" t="s">
        <v>5422</v>
      </c>
      <c r="G188" s="95" t="s">
        <v>1098</v>
      </c>
      <c r="H188" s="95" t="s">
        <v>1127</v>
      </c>
      <c r="I188" s="95" t="s">
        <v>287</v>
      </c>
      <c r="J188" s="95"/>
      <c r="K188" s="99"/>
      <c r="L188" s="103" t="s">
        <v>4449</v>
      </c>
      <c r="M188" s="99" t="s">
        <v>4450</v>
      </c>
      <c r="N188" s="99" t="s">
        <v>1565</v>
      </c>
      <c r="O188" s="99"/>
      <c r="P188" s="103">
        <v>2011</v>
      </c>
      <c r="Q188" s="103" t="s">
        <v>1862</v>
      </c>
      <c r="R188" s="99" t="s">
        <v>4709</v>
      </c>
      <c r="S188" s="103" t="s">
        <v>1541</v>
      </c>
      <c r="T188" s="103" t="s">
        <v>4522</v>
      </c>
      <c r="U188" s="99" t="s">
        <v>5423</v>
      </c>
      <c r="V188" s="99">
        <v>10.8319446</v>
      </c>
      <c r="W188" s="99">
        <v>-4.9365728999999998</v>
      </c>
      <c r="X188" s="104" t="s">
        <v>5424</v>
      </c>
      <c r="Y188" s="103" t="s">
        <v>1634</v>
      </c>
      <c r="Z188" s="103" t="s">
        <v>1634</v>
      </c>
      <c r="AA188" s="103" t="s">
        <v>1862</v>
      </c>
      <c r="AB188" s="103">
        <v>25</v>
      </c>
      <c r="AC188" s="103">
        <v>3</v>
      </c>
      <c r="AD188" s="103">
        <v>22</v>
      </c>
      <c r="AE188" s="103" t="s">
        <v>1634</v>
      </c>
      <c r="AF188" s="103" t="s">
        <v>4651</v>
      </c>
      <c r="AG188" s="99" t="s">
        <v>4554</v>
      </c>
      <c r="AH188" s="103" t="s">
        <v>1862</v>
      </c>
      <c r="AI188" s="103" t="s">
        <v>1862</v>
      </c>
      <c r="AJ188" s="103" t="s">
        <v>1862</v>
      </c>
      <c r="AK188" s="103" t="s">
        <v>1862</v>
      </c>
      <c r="AL188" s="103" t="s">
        <v>1804</v>
      </c>
      <c r="AM188" s="103" t="s">
        <v>1862</v>
      </c>
      <c r="AN188" s="99" t="s">
        <v>4735</v>
      </c>
      <c r="AO188" s="103" t="s">
        <v>1862</v>
      </c>
      <c r="AP188" s="103">
        <v>1250</v>
      </c>
      <c r="AQ188" s="103" t="s">
        <v>4500</v>
      </c>
      <c r="AR188" s="103"/>
      <c r="AS188" s="106">
        <v>700000</v>
      </c>
      <c r="AT188" s="103" t="s">
        <v>4499</v>
      </c>
      <c r="AU188" s="103" t="s">
        <v>1548</v>
      </c>
      <c r="AV188" s="99"/>
      <c r="AW188" s="99" t="s">
        <v>4973</v>
      </c>
      <c r="AX188" s="99" t="s">
        <v>4543</v>
      </c>
      <c r="AY188" s="99" t="s">
        <v>4466</v>
      </c>
      <c r="AZ188" s="99" t="s">
        <v>4467</v>
      </c>
      <c r="BA188" s="103" t="s">
        <v>1634</v>
      </c>
      <c r="BB188" s="99"/>
      <c r="BC188" s="99">
        <v>250000</v>
      </c>
      <c r="BD188" s="99"/>
      <c r="BE188" s="99">
        <v>250000</v>
      </c>
      <c r="BF188" s="103" t="s">
        <v>5425</v>
      </c>
      <c r="BG188" s="103" t="s">
        <v>1862</v>
      </c>
      <c r="BH188" s="103" t="s">
        <v>1862</v>
      </c>
      <c r="BI188" s="103" t="s">
        <v>1862</v>
      </c>
      <c r="BJ188" s="103" t="s">
        <v>1862</v>
      </c>
      <c r="BK188" s="103" t="s">
        <v>4478</v>
      </c>
      <c r="BL188" s="103" t="s">
        <v>4472</v>
      </c>
      <c r="BM188" s="103" t="s">
        <v>4472</v>
      </c>
      <c r="BN188" s="103" t="s">
        <v>4512</v>
      </c>
      <c r="BO188" s="103">
        <v>400</v>
      </c>
      <c r="BP188" s="103" t="s">
        <v>4500</v>
      </c>
      <c r="BQ188" s="107" t="s">
        <v>4476</v>
      </c>
      <c r="BR188" s="99" t="s">
        <v>4476</v>
      </c>
      <c r="BS188" s="99" t="s">
        <v>4476</v>
      </c>
      <c r="BT188" s="103" t="s">
        <v>3186</v>
      </c>
      <c r="BU188" s="99" t="s">
        <v>4475</v>
      </c>
      <c r="BV188" s="103" t="s">
        <v>4476</v>
      </c>
      <c r="BW188" s="103" t="s">
        <v>4476</v>
      </c>
      <c r="BX188" s="103" t="s">
        <v>1634</v>
      </c>
      <c r="BY188" s="103" t="s">
        <v>4595</v>
      </c>
      <c r="BZ188" s="103" t="s">
        <v>4478</v>
      </c>
      <c r="CA188" s="103" t="s">
        <v>4461</v>
      </c>
      <c r="CB188" s="103">
        <v>25</v>
      </c>
      <c r="CC188" s="103" t="s">
        <v>4479</v>
      </c>
      <c r="CD188" s="103" t="s">
        <v>4475</v>
      </c>
      <c r="CE188" s="103" t="s">
        <v>4475</v>
      </c>
      <c r="CF188" s="103"/>
      <c r="CG188" s="103" t="s">
        <v>5426</v>
      </c>
      <c r="CH188" s="103" t="s">
        <v>5427</v>
      </c>
      <c r="CI188" s="103">
        <v>77317851</v>
      </c>
      <c r="CJ188" s="103"/>
      <c r="CK188" s="108">
        <v>43365.716666666667</v>
      </c>
      <c r="CL188" s="109">
        <v>43365.786469907405</v>
      </c>
      <c r="CM188" s="95">
        <v>10.8319446</v>
      </c>
      <c r="CN188" s="95">
        <v>-4.9365728999999998</v>
      </c>
      <c r="CO188" s="99"/>
      <c r="CP188" s="99"/>
      <c r="CQ188" s="99"/>
      <c r="CR188" s="99"/>
      <c r="CS188" s="99"/>
      <c r="CT188" s="99"/>
      <c r="CU188" s="99"/>
      <c r="CV188" s="99"/>
      <c r="CW188" s="99"/>
      <c r="CX188" s="99"/>
      <c r="CY188" s="99"/>
      <c r="CZ188" s="99"/>
      <c r="DA188" s="99"/>
      <c r="DB188" s="99"/>
      <c r="DC188" s="99"/>
    </row>
    <row r="189" spans="1:107" ht="15.75" customHeight="1">
      <c r="A189" s="95">
        <v>190</v>
      </c>
      <c r="B189" s="99" t="s">
        <v>828</v>
      </c>
      <c r="C189" s="99" t="s">
        <v>829</v>
      </c>
      <c r="D189" s="110">
        <v>75756228</v>
      </c>
      <c r="E189" s="99" t="s">
        <v>288</v>
      </c>
      <c r="F189" s="95" t="s">
        <v>5259</v>
      </c>
      <c r="G189" s="95" t="s">
        <v>1076</v>
      </c>
      <c r="H189" s="95" t="s">
        <v>1116</v>
      </c>
      <c r="I189" s="95" t="s">
        <v>210</v>
      </c>
      <c r="J189" s="95"/>
      <c r="K189" s="99"/>
      <c r="L189" s="103" t="s">
        <v>4449</v>
      </c>
      <c r="M189" s="119" t="s">
        <v>4487</v>
      </c>
      <c r="N189" s="99"/>
      <c r="O189" s="99" t="s">
        <v>4818</v>
      </c>
      <c r="P189" s="103">
        <v>2004</v>
      </c>
      <c r="Q189" s="103" t="s">
        <v>1862</v>
      </c>
      <c r="R189" s="99" t="s">
        <v>4521</v>
      </c>
      <c r="S189" s="103" t="s">
        <v>2282</v>
      </c>
      <c r="T189" s="103" t="s">
        <v>4522</v>
      </c>
      <c r="U189" s="99" t="s">
        <v>5260</v>
      </c>
      <c r="V189" s="95">
        <v>11.248952299999999</v>
      </c>
      <c r="W189" s="95">
        <v>0.70499250000000002</v>
      </c>
      <c r="X189" s="104" t="s">
        <v>5261</v>
      </c>
      <c r="Y189" s="103" t="s">
        <v>1634</v>
      </c>
      <c r="Z189" s="103" t="s">
        <v>1548</v>
      </c>
      <c r="AA189" s="103" t="s">
        <v>1862</v>
      </c>
      <c r="AB189" s="103">
        <v>30</v>
      </c>
      <c r="AC189" s="103">
        <v>0</v>
      </c>
      <c r="AD189" s="103">
        <v>30</v>
      </c>
      <c r="AE189" s="103" t="s">
        <v>1634</v>
      </c>
      <c r="AF189" s="103" t="s">
        <v>4830</v>
      </c>
      <c r="AG189" s="99" t="s">
        <v>4494</v>
      </c>
      <c r="AH189" s="103" t="s">
        <v>1862</v>
      </c>
      <c r="AI189" s="103" t="s">
        <v>1862</v>
      </c>
      <c r="AJ189" s="103" t="s">
        <v>1804</v>
      </c>
      <c r="AK189" s="103" t="s">
        <v>1804</v>
      </c>
      <c r="AL189" s="103" t="s">
        <v>1862</v>
      </c>
      <c r="AM189" s="103" t="s">
        <v>1862</v>
      </c>
      <c r="AN189" s="99" t="s">
        <v>4604</v>
      </c>
      <c r="AO189" s="103" t="s">
        <v>1862</v>
      </c>
      <c r="AP189" s="103">
        <v>600</v>
      </c>
      <c r="AQ189" s="103" t="s">
        <v>4461</v>
      </c>
      <c r="AR189" s="103">
        <v>400000</v>
      </c>
      <c r="AS189" s="106">
        <v>325000</v>
      </c>
      <c r="AT189" s="103" t="s">
        <v>4496</v>
      </c>
      <c r="AU189" s="103" t="s">
        <v>1548</v>
      </c>
      <c r="AV189" s="99"/>
      <c r="AW189" s="99"/>
      <c r="AX189" s="99" t="s">
        <v>4913</v>
      </c>
      <c r="AY189" s="99" t="s">
        <v>4466</v>
      </c>
      <c r="AZ189" s="99" t="s">
        <v>4530</v>
      </c>
      <c r="BA189" s="103" t="s">
        <v>1548</v>
      </c>
      <c r="BB189" s="99">
        <v>2500</v>
      </c>
      <c r="BC189" s="99">
        <v>1800</v>
      </c>
      <c r="BD189" s="99">
        <v>325000</v>
      </c>
      <c r="BE189" s="99">
        <v>250000</v>
      </c>
      <c r="BF189" s="103" t="s">
        <v>4715</v>
      </c>
      <c r="BG189" s="103" t="s">
        <v>1862</v>
      </c>
      <c r="BH189" s="103" t="s">
        <v>1862</v>
      </c>
      <c r="BI189" s="103" t="s">
        <v>1862</v>
      </c>
      <c r="BJ189" s="103" t="s">
        <v>1804</v>
      </c>
      <c r="BK189" s="103" t="s">
        <v>4478</v>
      </c>
      <c r="BL189" s="103" t="s">
        <v>4472</v>
      </c>
      <c r="BM189" s="103" t="s">
        <v>4461</v>
      </c>
      <c r="BN189" s="103" t="s">
        <v>4690</v>
      </c>
      <c r="BO189" s="103">
        <v>500</v>
      </c>
      <c r="BP189" s="103" t="s">
        <v>4532</v>
      </c>
      <c r="BQ189" s="99" t="s">
        <v>4476</v>
      </c>
      <c r="BR189" s="99" t="s">
        <v>4476</v>
      </c>
      <c r="BS189" s="99" t="s">
        <v>4476</v>
      </c>
      <c r="BT189" s="103" t="s">
        <v>3186</v>
      </c>
      <c r="BU189" s="99" t="s">
        <v>4476</v>
      </c>
      <c r="BV189" s="103" t="s">
        <v>4476</v>
      </c>
      <c r="BW189" s="103" t="s">
        <v>1548</v>
      </c>
      <c r="BX189" s="103" t="s">
        <v>4546</v>
      </c>
      <c r="BY189" s="103" t="s">
        <v>4478</v>
      </c>
      <c r="BZ189" s="103" t="s">
        <v>4461</v>
      </c>
      <c r="CA189" s="103">
        <v>400</v>
      </c>
      <c r="CB189" s="103" t="s">
        <v>4480</v>
      </c>
      <c r="CC189" s="103" t="s">
        <v>4716</v>
      </c>
      <c r="CD189" s="103" t="s">
        <v>4502</v>
      </c>
      <c r="CE189" s="103" t="s">
        <v>4502</v>
      </c>
      <c r="CF189" s="103"/>
      <c r="CG189" s="103" t="s">
        <v>792</v>
      </c>
      <c r="CH189" s="103" t="s">
        <v>829</v>
      </c>
      <c r="CI189" s="111">
        <v>75756228</v>
      </c>
      <c r="CJ189" s="99"/>
      <c r="CK189" s="108">
        <v>43366.512002314812</v>
      </c>
      <c r="CL189" s="108">
        <v>43366.522511574076</v>
      </c>
      <c r="CM189" s="95">
        <v>11.248952299999999</v>
      </c>
      <c r="CN189" s="95">
        <v>0.70499250000000002</v>
      </c>
      <c r="CO189" s="99"/>
      <c r="CP189" s="99"/>
      <c r="CQ189" s="99"/>
      <c r="CR189" s="99"/>
      <c r="CS189" s="99"/>
      <c r="CT189" s="99"/>
      <c r="CU189" s="99"/>
      <c r="CV189" s="99"/>
      <c r="CW189" s="99"/>
      <c r="CX189" s="99"/>
      <c r="CY189" s="99"/>
      <c r="CZ189" s="99"/>
      <c r="DA189" s="99"/>
      <c r="DB189" s="99"/>
      <c r="DC189" s="99"/>
    </row>
    <row r="190" spans="1:107" ht="15.75" customHeight="1">
      <c r="A190" s="95">
        <v>191</v>
      </c>
      <c r="B190" s="99" t="s">
        <v>830</v>
      </c>
      <c r="C190" s="99" t="s">
        <v>831</v>
      </c>
      <c r="D190" s="99">
        <v>60549604</v>
      </c>
      <c r="E190" s="99" t="s">
        <v>289</v>
      </c>
      <c r="F190" s="95" t="s">
        <v>5193</v>
      </c>
      <c r="G190" s="95" t="s">
        <v>1098</v>
      </c>
      <c r="H190" s="95" t="s">
        <v>1099</v>
      </c>
      <c r="I190" s="95" t="s">
        <v>192</v>
      </c>
      <c r="J190" s="95"/>
      <c r="K190" s="99"/>
      <c r="L190" s="103" t="s">
        <v>4449</v>
      </c>
      <c r="M190" s="99" t="s">
        <v>4450</v>
      </c>
      <c r="N190" s="99" t="s">
        <v>1565</v>
      </c>
      <c r="O190" s="99" t="s">
        <v>5428</v>
      </c>
      <c r="P190" s="103">
        <v>2017</v>
      </c>
      <c r="Q190" s="103" t="s">
        <v>1862</v>
      </c>
      <c r="R190" s="99" t="s">
        <v>4616</v>
      </c>
      <c r="S190" s="103" t="s">
        <v>1541</v>
      </c>
      <c r="T190" s="103" t="s">
        <v>4538</v>
      </c>
      <c r="U190" s="99" t="s">
        <v>5194</v>
      </c>
      <c r="V190" s="99">
        <v>10.5776211</v>
      </c>
      <c r="W190" s="99">
        <v>-5.3556616999999997</v>
      </c>
      <c r="X190" s="104" t="s">
        <v>5195</v>
      </c>
      <c r="Y190" s="103"/>
      <c r="Z190" s="103"/>
      <c r="AA190" s="103"/>
      <c r="AB190" s="103">
        <v>35</v>
      </c>
      <c r="AC190" s="103"/>
      <c r="AD190" s="103"/>
      <c r="AE190" s="103" t="s">
        <v>1634</v>
      </c>
      <c r="AF190" s="103" t="s">
        <v>5429</v>
      </c>
      <c r="AG190" s="99" t="s">
        <v>4624</v>
      </c>
      <c r="AH190" s="103" t="s">
        <v>1862</v>
      </c>
      <c r="AI190" s="103" t="s">
        <v>1862</v>
      </c>
      <c r="AJ190" s="103" t="s">
        <v>1804</v>
      </c>
      <c r="AK190" s="103" t="s">
        <v>1804</v>
      </c>
      <c r="AL190" s="103" t="s">
        <v>1804</v>
      </c>
      <c r="AM190" s="103" t="s">
        <v>1804</v>
      </c>
      <c r="AN190" s="99" t="s">
        <v>4702</v>
      </c>
      <c r="AO190" s="103" t="s">
        <v>1862</v>
      </c>
      <c r="AP190" s="103"/>
      <c r="AQ190" s="103" t="s">
        <v>4472</v>
      </c>
      <c r="AR190" s="103"/>
      <c r="AS190" s="99"/>
      <c r="AT190" s="103"/>
      <c r="AU190" s="103" t="s">
        <v>1634</v>
      </c>
      <c r="AV190" s="99" t="s">
        <v>4671</v>
      </c>
      <c r="AW190" s="99"/>
      <c r="AX190" s="99" t="s">
        <v>5430</v>
      </c>
      <c r="AY190" s="99" t="s">
        <v>4466</v>
      </c>
      <c r="AZ190" s="99" t="s">
        <v>4467</v>
      </c>
      <c r="BA190" s="103" t="s">
        <v>1634</v>
      </c>
      <c r="BB190" s="99"/>
      <c r="BC190" s="99"/>
      <c r="BD190" s="99"/>
      <c r="BE190" s="99"/>
      <c r="BF190" s="103" t="s">
        <v>4415</v>
      </c>
      <c r="BG190" s="103" t="s">
        <v>1862</v>
      </c>
      <c r="BH190" s="103" t="s">
        <v>1804</v>
      </c>
      <c r="BI190" s="103" t="s">
        <v>1804</v>
      </c>
      <c r="BJ190" s="103" t="s">
        <v>1804</v>
      </c>
      <c r="BK190" s="103" t="s">
        <v>4478</v>
      </c>
      <c r="BL190" s="103" t="s">
        <v>4472</v>
      </c>
      <c r="BM190" s="103" t="s">
        <v>4472</v>
      </c>
      <c r="BN190" s="103" t="s">
        <v>4562</v>
      </c>
      <c r="BO190" s="103"/>
      <c r="BP190" s="103"/>
      <c r="BQ190" s="99" t="s">
        <v>4476</v>
      </c>
      <c r="BR190" s="99" t="s">
        <v>4476</v>
      </c>
      <c r="BS190" s="99"/>
      <c r="BT190" s="103" t="s">
        <v>4513</v>
      </c>
      <c r="BU190" s="99" t="s">
        <v>4480</v>
      </c>
      <c r="BV190" s="103" t="s">
        <v>4476</v>
      </c>
      <c r="BW190" s="103" t="s">
        <v>4476</v>
      </c>
      <c r="BX190" s="103" t="s">
        <v>1634</v>
      </c>
      <c r="BY190" s="103" t="s">
        <v>4595</v>
      </c>
      <c r="BZ190" s="103" t="s">
        <v>4478</v>
      </c>
      <c r="CA190" s="103"/>
      <c r="CB190" s="103">
        <v>1500</v>
      </c>
      <c r="CC190" s="103" t="s">
        <v>4502</v>
      </c>
      <c r="CD190" s="103" t="s">
        <v>4475</v>
      </c>
      <c r="CE190" s="103" t="s">
        <v>4502</v>
      </c>
      <c r="CF190" s="103"/>
      <c r="CG190" s="103" t="s">
        <v>5431</v>
      </c>
      <c r="CH190" s="103" t="s">
        <v>5432</v>
      </c>
      <c r="CI190" s="103">
        <v>60549604</v>
      </c>
      <c r="CJ190" s="103" t="s">
        <v>5433</v>
      </c>
      <c r="CK190" s="108">
        <v>43365.56453703704</v>
      </c>
      <c r="CL190" s="109">
        <v>43365.603530092594</v>
      </c>
      <c r="CM190" s="95">
        <v>10.5776211</v>
      </c>
      <c r="CN190" s="95">
        <v>-5.3556616999999997</v>
      </c>
      <c r="CO190" s="99"/>
      <c r="CP190" s="99"/>
      <c r="CQ190" s="99"/>
      <c r="CR190" s="99"/>
      <c r="CS190" s="99"/>
      <c r="CT190" s="99"/>
      <c r="CU190" s="99"/>
      <c r="CV190" s="99"/>
      <c r="CW190" s="99"/>
      <c r="CX190" s="99"/>
      <c r="CY190" s="99"/>
      <c r="CZ190" s="99"/>
      <c r="DA190" s="99"/>
      <c r="DB190" s="99"/>
      <c r="DC190" s="99"/>
    </row>
    <row r="191" spans="1:107" ht="15.75" customHeight="1">
      <c r="A191" s="95">
        <v>192</v>
      </c>
      <c r="B191" s="99" t="s">
        <v>792</v>
      </c>
      <c r="C191" s="99" t="s">
        <v>832</v>
      </c>
      <c r="D191" s="110">
        <v>60660207</v>
      </c>
      <c r="E191" s="99" t="s">
        <v>290</v>
      </c>
      <c r="F191" s="95" t="s">
        <v>5434</v>
      </c>
      <c r="G191" s="95" t="s">
        <v>1076</v>
      </c>
      <c r="H191" s="95" t="s">
        <v>1116</v>
      </c>
      <c r="I191" s="95" t="s">
        <v>291</v>
      </c>
      <c r="J191" s="95"/>
      <c r="K191" s="99"/>
      <c r="L191" s="103" t="s">
        <v>4449</v>
      </c>
      <c r="M191" s="99" t="s">
        <v>4450</v>
      </c>
      <c r="N191" s="99" t="s">
        <v>4451</v>
      </c>
      <c r="O191" s="99" t="s">
        <v>4694</v>
      </c>
      <c r="P191" s="103">
        <v>2005</v>
      </c>
      <c r="Q191" s="103" t="s">
        <v>1862</v>
      </c>
      <c r="R191" s="99" t="s">
        <v>5153</v>
      </c>
      <c r="S191" s="103" t="s">
        <v>1541</v>
      </c>
      <c r="T191" s="103" t="s">
        <v>4522</v>
      </c>
      <c r="U191" s="99" t="s">
        <v>5435</v>
      </c>
      <c r="V191" s="95">
        <v>11.4772766</v>
      </c>
      <c r="W191" s="95">
        <v>1.2453219</v>
      </c>
      <c r="X191" s="104" t="s">
        <v>5436</v>
      </c>
      <c r="Y191" s="103" t="s">
        <v>1634</v>
      </c>
      <c r="Z191" s="103" t="s">
        <v>1634</v>
      </c>
      <c r="AA191" s="103" t="s">
        <v>1862</v>
      </c>
      <c r="AB191" s="103">
        <v>27</v>
      </c>
      <c r="AC191" s="103">
        <v>3</v>
      </c>
      <c r="AD191" s="103">
        <v>24</v>
      </c>
      <c r="AE191" s="103" t="s">
        <v>1634</v>
      </c>
      <c r="AF191" s="103" t="s">
        <v>4830</v>
      </c>
      <c r="AG191" s="99" t="s">
        <v>5155</v>
      </c>
      <c r="AH191" s="103" t="s">
        <v>1862</v>
      </c>
      <c r="AI191" s="103" t="s">
        <v>1804</v>
      </c>
      <c r="AJ191" s="103" t="s">
        <v>1804</v>
      </c>
      <c r="AK191" s="103" t="s">
        <v>1862</v>
      </c>
      <c r="AL191" s="103" t="s">
        <v>1862</v>
      </c>
      <c r="AM191" s="103" t="s">
        <v>1804</v>
      </c>
      <c r="AN191" s="99" t="s">
        <v>4735</v>
      </c>
      <c r="AO191" s="103" t="s">
        <v>1862</v>
      </c>
      <c r="AP191" s="103">
        <v>850</v>
      </c>
      <c r="AQ191" s="103" t="s">
        <v>4470</v>
      </c>
      <c r="AR191" s="103"/>
      <c r="AS191" s="99"/>
      <c r="AT191" s="103" t="s">
        <v>4542</v>
      </c>
      <c r="AU191" s="103" t="s">
        <v>1634</v>
      </c>
      <c r="AV191" s="99" t="s">
        <v>4671</v>
      </c>
      <c r="AW191" s="99" t="s">
        <v>4680</v>
      </c>
      <c r="AX191" s="99" t="s">
        <v>4543</v>
      </c>
      <c r="AY191" s="99" t="s">
        <v>4466</v>
      </c>
      <c r="AZ191" s="99" t="s">
        <v>4467</v>
      </c>
      <c r="BA191" s="103" t="s">
        <v>1634</v>
      </c>
      <c r="BB191" s="99"/>
      <c r="BC191" s="99">
        <v>1200</v>
      </c>
      <c r="BD191" s="99"/>
      <c r="BE191" s="99">
        <v>1020000</v>
      </c>
      <c r="BF191" s="103" t="s">
        <v>4511</v>
      </c>
      <c r="BG191" s="103" t="s">
        <v>1804</v>
      </c>
      <c r="BH191" s="103" t="s">
        <v>1862</v>
      </c>
      <c r="BI191" s="103" t="s">
        <v>1804</v>
      </c>
      <c r="BJ191" s="103" t="s">
        <v>1804</v>
      </c>
      <c r="BK191" s="103" t="s">
        <v>4499</v>
      </c>
      <c r="BL191" s="103" t="s">
        <v>4470</v>
      </c>
      <c r="BM191" s="103"/>
      <c r="BN191" s="112" t="s">
        <v>4607</v>
      </c>
      <c r="BO191" s="103">
        <v>4500</v>
      </c>
      <c r="BP191" s="103" t="s">
        <v>4500</v>
      </c>
      <c r="BQ191" s="99" t="s">
        <v>4476</v>
      </c>
      <c r="BR191" s="99" t="s">
        <v>4476</v>
      </c>
      <c r="BS191" s="99" t="s">
        <v>4476</v>
      </c>
      <c r="BT191" s="103" t="s">
        <v>3186</v>
      </c>
      <c r="BU191" s="99" t="s">
        <v>4476</v>
      </c>
      <c r="BV191" s="103" t="s">
        <v>4476</v>
      </c>
      <c r="BW191" s="103" t="s">
        <v>1548</v>
      </c>
      <c r="BX191" s="103" t="s">
        <v>4501</v>
      </c>
      <c r="BY191" s="103" t="s">
        <v>4499</v>
      </c>
      <c r="BZ191" s="112" t="s">
        <v>4509</v>
      </c>
      <c r="CA191" s="103"/>
      <c r="CB191" s="112" t="s">
        <v>4475</v>
      </c>
      <c r="CC191" s="103" t="s">
        <v>4502</v>
      </c>
      <c r="CD191" s="103" t="s">
        <v>4475</v>
      </c>
      <c r="CE191" s="112" t="s">
        <v>4481</v>
      </c>
      <c r="CF191" s="103"/>
      <c r="CG191" s="103" t="s">
        <v>792</v>
      </c>
      <c r="CH191" s="103" t="s">
        <v>752</v>
      </c>
      <c r="CI191" s="111">
        <v>60660207</v>
      </c>
      <c r="CJ191" s="99"/>
      <c r="CK191" s="108">
        <v>43365.574259259258</v>
      </c>
      <c r="CL191" s="108">
        <v>43365.591053240743</v>
      </c>
      <c r="CM191" s="95">
        <v>11.4772766</v>
      </c>
      <c r="CN191" s="95">
        <v>1.2453219</v>
      </c>
      <c r="CO191" s="99"/>
      <c r="CP191" s="99"/>
      <c r="CQ191" s="99"/>
      <c r="CR191" s="99"/>
      <c r="CS191" s="99"/>
      <c r="CT191" s="99"/>
      <c r="CU191" s="99"/>
      <c r="CV191" s="99"/>
      <c r="CW191" s="99"/>
      <c r="CX191" s="99"/>
      <c r="CY191" s="99"/>
      <c r="CZ191" s="99"/>
      <c r="DA191" s="99"/>
      <c r="DB191" s="99"/>
      <c r="DC191" s="99"/>
    </row>
    <row r="192" spans="1:107" ht="15.75" customHeight="1">
      <c r="A192" s="95">
        <v>193</v>
      </c>
      <c r="B192" s="99" t="s">
        <v>833</v>
      </c>
      <c r="C192" s="99" t="s">
        <v>834</v>
      </c>
      <c r="D192" s="99">
        <v>70729514</v>
      </c>
      <c r="E192" s="99" t="s">
        <v>292</v>
      </c>
      <c r="F192" s="95" t="s">
        <v>5437</v>
      </c>
      <c r="G192" s="95" t="s">
        <v>1098</v>
      </c>
      <c r="H192" s="95" t="s">
        <v>1099</v>
      </c>
      <c r="I192" s="95" t="s">
        <v>293</v>
      </c>
      <c r="J192" s="95"/>
      <c r="K192" s="99"/>
      <c r="L192" s="103" t="s">
        <v>4449</v>
      </c>
      <c r="M192" s="99" t="s">
        <v>4450</v>
      </c>
      <c r="N192" s="99" t="s">
        <v>4520</v>
      </c>
      <c r="O192" s="99" t="s">
        <v>4754</v>
      </c>
      <c r="P192" s="103">
        <v>2014</v>
      </c>
      <c r="Q192" s="103" t="s">
        <v>1862</v>
      </c>
      <c r="R192" s="99" t="s">
        <v>4521</v>
      </c>
      <c r="S192" s="103" t="s">
        <v>2282</v>
      </c>
      <c r="T192" s="103" t="s">
        <v>4522</v>
      </c>
      <c r="U192" s="99" t="s">
        <v>5438</v>
      </c>
      <c r="V192" s="99">
        <v>10.650387800000001</v>
      </c>
      <c r="W192" s="99">
        <v>-5.1692752000000004</v>
      </c>
      <c r="X192" s="104" t="s">
        <v>5439</v>
      </c>
      <c r="Y192" s="103" t="s">
        <v>1634</v>
      </c>
      <c r="Z192" s="103" t="s">
        <v>1634</v>
      </c>
      <c r="AA192" s="103" t="s">
        <v>1862</v>
      </c>
      <c r="AB192" s="103">
        <v>35</v>
      </c>
      <c r="AC192" s="103"/>
      <c r="AD192" s="103">
        <v>35</v>
      </c>
      <c r="AE192" s="103" t="s">
        <v>1634</v>
      </c>
      <c r="AF192" s="103" t="s">
        <v>4651</v>
      </c>
      <c r="AG192" s="99" t="s">
        <v>4936</v>
      </c>
      <c r="AH192" s="103" t="s">
        <v>1862</v>
      </c>
      <c r="AI192" s="103" t="s">
        <v>1862</v>
      </c>
      <c r="AJ192" s="103" t="s">
        <v>1804</v>
      </c>
      <c r="AK192" s="103" t="s">
        <v>1862</v>
      </c>
      <c r="AL192" s="103" t="s">
        <v>1862</v>
      </c>
      <c r="AM192" s="103" t="s">
        <v>1862</v>
      </c>
      <c r="AN192" s="99" t="s">
        <v>5016</v>
      </c>
      <c r="AO192" s="103" t="s">
        <v>1862</v>
      </c>
      <c r="AP192" s="103">
        <v>1000</v>
      </c>
      <c r="AQ192" s="103" t="s">
        <v>4472</v>
      </c>
      <c r="AR192" s="103">
        <v>-500000</v>
      </c>
      <c r="AS192" s="106">
        <v>-500000</v>
      </c>
      <c r="AT192" s="103" t="s">
        <v>4496</v>
      </c>
      <c r="AU192" s="103" t="s">
        <v>1634</v>
      </c>
      <c r="AV192" s="99" t="s">
        <v>4671</v>
      </c>
      <c r="AW192" s="99" t="s">
        <v>5175</v>
      </c>
      <c r="AX192" s="99" t="s">
        <v>4543</v>
      </c>
      <c r="AY192" s="99" t="s">
        <v>4466</v>
      </c>
      <c r="AZ192" s="99" t="s">
        <v>4467</v>
      </c>
      <c r="BA192" s="103" t="s">
        <v>1634</v>
      </c>
      <c r="BB192" s="99"/>
      <c r="BC192" s="99"/>
      <c r="BD192" s="99"/>
      <c r="BE192" s="99"/>
      <c r="BF192" s="103" t="s">
        <v>5117</v>
      </c>
      <c r="BG192" s="103" t="s">
        <v>1862</v>
      </c>
      <c r="BH192" s="103" t="s">
        <v>1804</v>
      </c>
      <c r="BI192" s="103" t="s">
        <v>1862</v>
      </c>
      <c r="BJ192" s="103" t="s">
        <v>1862</v>
      </c>
      <c r="BK192" s="103" t="s">
        <v>4478</v>
      </c>
      <c r="BL192" s="103" t="s">
        <v>4472</v>
      </c>
      <c r="BM192" s="103" t="s">
        <v>4472</v>
      </c>
      <c r="BN192" s="103" t="s">
        <v>4531</v>
      </c>
      <c r="BO192" s="103">
        <v>100</v>
      </c>
      <c r="BP192" s="103" t="s">
        <v>4500</v>
      </c>
      <c r="BQ192" s="99" t="s">
        <v>4476</v>
      </c>
      <c r="BR192" s="99" t="s">
        <v>4513</v>
      </c>
      <c r="BS192" s="99"/>
      <c r="BT192" s="103" t="s">
        <v>3186</v>
      </c>
      <c r="BU192" s="99" t="s">
        <v>4502</v>
      </c>
      <c r="BV192" s="103"/>
      <c r="BW192" s="103" t="s">
        <v>4476</v>
      </c>
      <c r="BX192" s="103" t="s">
        <v>1634</v>
      </c>
      <c r="BY192" s="103" t="s">
        <v>4810</v>
      </c>
      <c r="BZ192" s="103" t="s">
        <v>4478</v>
      </c>
      <c r="CA192" s="103" t="s">
        <v>5039</v>
      </c>
      <c r="CB192" s="103">
        <v>100</v>
      </c>
      <c r="CC192" s="103" t="s">
        <v>4502</v>
      </c>
      <c r="CD192" s="103" t="s">
        <v>4502</v>
      </c>
      <c r="CE192" s="103" t="s">
        <v>4479</v>
      </c>
      <c r="CF192" s="103" t="s">
        <v>4482</v>
      </c>
      <c r="CG192" s="103" t="s">
        <v>5440</v>
      </c>
      <c r="CH192" s="103" t="s">
        <v>887</v>
      </c>
      <c r="CI192" s="103">
        <v>70729514</v>
      </c>
      <c r="CJ192" s="103"/>
      <c r="CK192" s="108">
        <v>43364.538969907408</v>
      </c>
      <c r="CL192" s="109">
        <v>43364.887430555558</v>
      </c>
      <c r="CM192" s="95">
        <v>10.650387800000001</v>
      </c>
      <c r="CN192" s="95">
        <v>-5.1692752000000004</v>
      </c>
      <c r="CO192" s="99"/>
      <c r="CP192" s="99"/>
      <c r="CQ192" s="99"/>
      <c r="CR192" s="99"/>
      <c r="CS192" s="99"/>
      <c r="CT192" s="99"/>
      <c r="CU192" s="99"/>
      <c r="CV192" s="99"/>
      <c r="CW192" s="99"/>
      <c r="CX192" s="99"/>
      <c r="CY192" s="99"/>
      <c r="CZ192" s="99"/>
      <c r="DA192" s="99"/>
      <c r="DB192" s="99"/>
      <c r="DC192" s="99"/>
    </row>
    <row r="193" spans="1:107" ht="15.75" customHeight="1">
      <c r="A193" s="95">
        <v>194</v>
      </c>
      <c r="B193" s="99" t="s">
        <v>835</v>
      </c>
      <c r="C193" s="99" t="s">
        <v>836</v>
      </c>
      <c r="D193" s="99"/>
      <c r="E193" s="99" t="s">
        <v>294</v>
      </c>
      <c r="F193" s="95" t="s">
        <v>4666</v>
      </c>
      <c r="G193" s="95" t="s">
        <v>1057</v>
      </c>
      <c r="H193" s="95" t="s">
        <v>1061</v>
      </c>
      <c r="I193" s="95" t="s">
        <v>37</v>
      </c>
      <c r="J193" s="95"/>
      <c r="K193" s="99"/>
      <c r="L193" s="103" t="s">
        <v>4449</v>
      </c>
      <c r="M193" s="99" t="s">
        <v>4450</v>
      </c>
      <c r="N193" s="99" t="s">
        <v>4718</v>
      </c>
      <c r="O193" s="99" t="s">
        <v>4452</v>
      </c>
      <c r="P193" s="103">
        <v>1995</v>
      </c>
      <c r="Q193" s="103" t="s">
        <v>1862</v>
      </c>
      <c r="R193" s="99" t="s">
        <v>4633</v>
      </c>
      <c r="S193" s="103" t="s">
        <v>4454</v>
      </c>
      <c r="T193" s="103" t="s">
        <v>4634</v>
      </c>
      <c r="U193" s="99" t="s">
        <v>4667</v>
      </c>
      <c r="V193" s="95">
        <v>12.184640699999999</v>
      </c>
      <c r="W193" s="95">
        <v>-4.0848788999999996</v>
      </c>
      <c r="X193" s="104" t="s">
        <v>4668</v>
      </c>
      <c r="Y193" s="103" t="s">
        <v>1634</v>
      </c>
      <c r="Z193" s="103" t="s">
        <v>1634</v>
      </c>
      <c r="AA193" s="103" t="s">
        <v>1862</v>
      </c>
      <c r="AB193" s="103">
        <v>400</v>
      </c>
      <c r="AC193" s="103">
        <v>10</v>
      </c>
      <c r="AD193" s="103">
        <v>380</v>
      </c>
      <c r="AE193" s="103" t="s">
        <v>1634</v>
      </c>
      <c r="AF193" s="103" t="s">
        <v>4637</v>
      </c>
      <c r="AG193" s="99" t="s">
        <v>4554</v>
      </c>
      <c r="AH193" s="103" t="s">
        <v>1862</v>
      </c>
      <c r="AI193" s="103" t="s">
        <v>1862</v>
      </c>
      <c r="AJ193" s="103" t="s">
        <v>1862</v>
      </c>
      <c r="AK193" s="103" t="s">
        <v>1862</v>
      </c>
      <c r="AL193" s="103" t="s">
        <v>1804</v>
      </c>
      <c r="AM193" s="103" t="s">
        <v>1862</v>
      </c>
      <c r="AN193" s="99" t="s">
        <v>4638</v>
      </c>
      <c r="AO193" s="103" t="s">
        <v>1862</v>
      </c>
      <c r="AP193" s="103">
        <v>1700</v>
      </c>
      <c r="AQ193" s="112" t="s">
        <v>4461</v>
      </c>
      <c r="AR193" s="103"/>
      <c r="AS193" s="106">
        <v>60000000</v>
      </c>
      <c r="AT193" s="103" t="s">
        <v>4527</v>
      </c>
      <c r="AU193" s="103" t="s">
        <v>1634</v>
      </c>
      <c r="AV193" s="99" t="s">
        <v>4463</v>
      </c>
      <c r="AW193" s="99" t="s">
        <v>4639</v>
      </c>
      <c r="AX193" s="99" t="s">
        <v>4640</v>
      </c>
      <c r="AY193" s="99" t="s">
        <v>4641</v>
      </c>
      <c r="AZ193" s="99" t="s">
        <v>4530</v>
      </c>
      <c r="BA193" s="103" t="s">
        <v>1634</v>
      </c>
      <c r="BB193" s="99"/>
      <c r="BC193" s="99">
        <v>25000</v>
      </c>
      <c r="BD193" s="99"/>
      <c r="BE193" s="99">
        <v>40000000</v>
      </c>
      <c r="BF193" s="103" t="s">
        <v>4642</v>
      </c>
      <c r="BG193" s="103" t="s">
        <v>1862</v>
      </c>
      <c r="BH193" s="103" t="s">
        <v>1862</v>
      </c>
      <c r="BI193" s="103" t="s">
        <v>1862</v>
      </c>
      <c r="BJ193" s="103" t="s">
        <v>1862</v>
      </c>
      <c r="BK193" s="103" t="s">
        <v>4469</v>
      </c>
      <c r="BL193" s="103" t="s">
        <v>4472</v>
      </c>
      <c r="BM193" s="103" t="s">
        <v>4461</v>
      </c>
      <c r="BN193" s="103" t="s">
        <v>4643</v>
      </c>
      <c r="BO193" s="103">
        <v>350</v>
      </c>
      <c r="BP193" s="103" t="s">
        <v>4532</v>
      </c>
      <c r="BQ193" s="99" t="s">
        <v>4644</v>
      </c>
      <c r="BR193" s="99" t="s">
        <v>4644</v>
      </c>
      <c r="BS193" s="99" t="s">
        <v>4564</v>
      </c>
      <c r="BT193" s="103" t="s">
        <v>3186</v>
      </c>
      <c r="BU193" s="99"/>
      <c r="BV193" s="103" t="s">
        <v>4644</v>
      </c>
      <c r="BW193" s="103" t="s">
        <v>4644</v>
      </c>
      <c r="BX193" s="103"/>
      <c r="BY193" s="103"/>
      <c r="BZ193" s="103"/>
      <c r="CA193" s="103"/>
      <c r="CB193" s="103"/>
      <c r="CC193" s="103" t="s">
        <v>4502</v>
      </c>
      <c r="CD193" s="103" t="s">
        <v>4475</v>
      </c>
      <c r="CE193" s="112" t="s">
        <v>4475</v>
      </c>
      <c r="CF193" s="103"/>
      <c r="CG193" s="103" t="s">
        <v>5441</v>
      </c>
      <c r="CH193" s="103" t="s">
        <v>5442</v>
      </c>
      <c r="CI193" s="103">
        <v>78045342</v>
      </c>
      <c r="CJ193" s="103"/>
      <c r="CK193" s="108">
        <v>43364.693287037036</v>
      </c>
      <c r="CL193" s="109">
        <v>43364.732754629629</v>
      </c>
      <c r="CM193" s="95">
        <v>12.184640699999999</v>
      </c>
      <c r="CN193" s="95">
        <v>-4.0848788999999996</v>
      </c>
      <c r="CO193" s="99"/>
      <c r="CP193" s="99"/>
      <c r="CQ193" s="99"/>
      <c r="CR193" s="99"/>
      <c r="CS193" s="99"/>
      <c r="CT193" s="99"/>
      <c r="CU193" s="99"/>
      <c r="CV193" s="99"/>
      <c r="CW193" s="99"/>
      <c r="CX193" s="99"/>
      <c r="CY193" s="99"/>
      <c r="CZ193" s="99"/>
      <c r="DA193" s="99"/>
      <c r="DB193" s="99"/>
      <c r="DC193" s="99"/>
    </row>
    <row r="194" spans="1:107" ht="15.75" customHeight="1">
      <c r="A194" s="95">
        <v>195</v>
      </c>
      <c r="B194" s="99" t="s">
        <v>837</v>
      </c>
      <c r="C194" s="99" t="s">
        <v>838</v>
      </c>
      <c r="D194" s="99">
        <v>74068753</v>
      </c>
      <c r="E194" s="99" t="s">
        <v>295</v>
      </c>
      <c r="F194" s="95" t="s">
        <v>5193</v>
      </c>
      <c r="G194" s="95" t="s">
        <v>1098</v>
      </c>
      <c r="H194" s="95" t="s">
        <v>1099</v>
      </c>
      <c r="I194" s="95" t="s">
        <v>192</v>
      </c>
      <c r="J194" s="95"/>
      <c r="K194" s="99"/>
      <c r="L194" s="103" t="s">
        <v>4449</v>
      </c>
      <c r="M194" s="99" t="s">
        <v>4787</v>
      </c>
      <c r="N194" s="99" t="s">
        <v>4817</v>
      </c>
      <c r="O194" s="99" t="s">
        <v>4818</v>
      </c>
      <c r="P194" s="103">
        <v>1997</v>
      </c>
      <c r="Q194" s="103" t="s">
        <v>1862</v>
      </c>
      <c r="R194" s="99" t="s">
        <v>4633</v>
      </c>
      <c r="S194" s="103" t="s">
        <v>1541</v>
      </c>
      <c r="T194" s="103" t="s">
        <v>4634</v>
      </c>
      <c r="U194" s="99" t="s">
        <v>5194</v>
      </c>
      <c r="V194" s="95">
        <v>10.5776211</v>
      </c>
      <c r="W194" s="95">
        <v>-5.3556616999999997</v>
      </c>
      <c r="X194" s="104" t="s">
        <v>5195</v>
      </c>
      <c r="Y194" s="103" t="s">
        <v>1634</v>
      </c>
      <c r="Z194" s="103" t="s">
        <v>1634</v>
      </c>
      <c r="AA194" s="103" t="s">
        <v>1862</v>
      </c>
      <c r="AB194" s="103">
        <v>310</v>
      </c>
      <c r="AC194" s="103">
        <v>1</v>
      </c>
      <c r="AD194" s="103">
        <v>309</v>
      </c>
      <c r="AE194" s="103" t="s">
        <v>1634</v>
      </c>
      <c r="AF194" s="103" t="s">
        <v>4637</v>
      </c>
      <c r="AG194" s="99" t="s">
        <v>4554</v>
      </c>
      <c r="AH194" s="103" t="s">
        <v>1862</v>
      </c>
      <c r="AI194" s="103" t="s">
        <v>1862</v>
      </c>
      <c r="AJ194" s="103" t="s">
        <v>1862</v>
      </c>
      <c r="AK194" s="103" t="s">
        <v>1862</v>
      </c>
      <c r="AL194" s="103" t="s">
        <v>1804</v>
      </c>
      <c r="AM194" s="103" t="s">
        <v>1862</v>
      </c>
      <c r="AN194" s="99" t="s">
        <v>4638</v>
      </c>
      <c r="AO194" s="103" t="s">
        <v>1862</v>
      </c>
      <c r="AP194" s="103">
        <v>1250</v>
      </c>
      <c r="AQ194" s="112" t="s">
        <v>4461</v>
      </c>
      <c r="AR194" s="103"/>
      <c r="AS194" s="106">
        <v>39000000</v>
      </c>
      <c r="AT194" s="103" t="s">
        <v>4527</v>
      </c>
      <c r="AU194" s="103" t="s">
        <v>1634</v>
      </c>
      <c r="AV194" s="99" t="s">
        <v>4463</v>
      </c>
      <c r="AW194" s="99" t="s">
        <v>4639</v>
      </c>
      <c r="AX194" s="99" t="s">
        <v>4640</v>
      </c>
      <c r="AY194" s="99" t="s">
        <v>4641</v>
      </c>
      <c r="AZ194" s="99" t="s">
        <v>4530</v>
      </c>
      <c r="BA194" s="103" t="s">
        <v>1634</v>
      </c>
      <c r="BB194" s="99"/>
      <c r="BC194" s="99">
        <v>25000</v>
      </c>
      <c r="BD194" s="99"/>
      <c r="BE194" s="99">
        <v>50000000</v>
      </c>
      <c r="BF194" s="103" t="s">
        <v>4642</v>
      </c>
      <c r="BG194" s="103" t="s">
        <v>1862</v>
      </c>
      <c r="BH194" s="103" t="s">
        <v>1862</v>
      </c>
      <c r="BI194" s="103" t="s">
        <v>1862</v>
      </c>
      <c r="BJ194" s="103" t="s">
        <v>1862</v>
      </c>
      <c r="BK194" s="103" t="s">
        <v>4469</v>
      </c>
      <c r="BL194" s="103" t="s">
        <v>4472</v>
      </c>
      <c r="BM194" s="103" t="s">
        <v>4461</v>
      </c>
      <c r="BN194" s="103" t="s">
        <v>4643</v>
      </c>
      <c r="BO194" s="103">
        <v>400</v>
      </c>
      <c r="BP194" s="103" t="s">
        <v>4532</v>
      </c>
      <c r="BQ194" s="99" t="s">
        <v>4644</v>
      </c>
      <c r="BR194" s="99" t="s">
        <v>4644</v>
      </c>
      <c r="BS194" s="99" t="s">
        <v>4564</v>
      </c>
      <c r="BT194" s="103" t="s">
        <v>3186</v>
      </c>
      <c r="BU194" s="99"/>
      <c r="BV194" s="103" t="s">
        <v>4644</v>
      </c>
      <c r="BW194" s="103" t="s">
        <v>4644</v>
      </c>
      <c r="BX194" s="103"/>
      <c r="BY194" s="103"/>
      <c r="BZ194" s="103"/>
      <c r="CA194" s="103"/>
      <c r="CB194" s="103"/>
      <c r="CC194" s="103" t="s">
        <v>4502</v>
      </c>
      <c r="CD194" s="103" t="s">
        <v>4475</v>
      </c>
      <c r="CE194" s="112" t="s">
        <v>4475</v>
      </c>
      <c r="CF194" s="103"/>
      <c r="CG194" s="103" t="s">
        <v>837</v>
      </c>
      <c r="CH194" s="103" t="s">
        <v>838</v>
      </c>
      <c r="CI194" s="103">
        <v>74068753</v>
      </c>
      <c r="CJ194" s="103"/>
      <c r="CK194" s="108">
        <v>43364.693287037036</v>
      </c>
      <c r="CL194" s="109">
        <v>43364.732754629629</v>
      </c>
      <c r="CM194" s="95">
        <v>10.5776211</v>
      </c>
      <c r="CN194" s="95">
        <v>-5.3556616999999997</v>
      </c>
      <c r="CO194" s="99"/>
      <c r="CP194" s="99"/>
      <c r="CQ194" s="99"/>
      <c r="CR194" s="99"/>
      <c r="CS194" s="99"/>
      <c r="CT194" s="99"/>
      <c r="CU194" s="99"/>
      <c r="CV194" s="99"/>
      <c r="CW194" s="99"/>
      <c r="CX194" s="99"/>
      <c r="CY194" s="99"/>
      <c r="CZ194" s="99"/>
      <c r="DA194" s="99"/>
      <c r="DB194" s="99"/>
      <c r="DC194" s="99"/>
    </row>
    <row r="195" spans="1:107" ht="15.75" customHeight="1">
      <c r="A195" s="95">
        <v>196</v>
      </c>
      <c r="B195" s="99" t="s">
        <v>839</v>
      </c>
      <c r="C195" s="99" t="s">
        <v>840</v>
      </c>
      <c r="D195" s="99">
        <v>60661157</v>
      </c>
      <c r="E195" s="99" t="s">
        <v>296</v>
      </c>
      <c r="F195" s="95" t="s">
        <v>5443</v>
      </c>
      <c r="G195" s="95" t="s">
        <v>1052</v>
      </c>
      <c r="H195" s="95" t="s">
        <v>1103</v>
      </c>
      <c r="I195" s="95" t="s">
        <v>297</v>
      </c>
      <c r="J195" s="95"/>
      <c r="K195" s="99"/>
      <c r="L195" s="103" t="s">
        <v>4449</v>
      </c>
      <c r="M195" s="99" t="s">
        <v>4487</v>
      </c>
      <c r="N195" s="99" t="s">
        <v>1565</v>
      </c>
      <c r="O195" s="99" t="s">
        <v>4615</v>
      </c>
      <c r="P195" s="103">
        <v>2014</v>
      </c>
      <c r="Q195" s="103" t="s">
        <v>1862</v>
      </c>
      <c r="R195" s="99" t="s">
        <v>4551</v>
      </c>
      <c r="S195" s="103" t="s">
        <v>1541</v>
      </c>
      <c r="T195" s="103" t="s">
        <v>4522</v>
      </c>
      <c r="U195" s="99" t="s">
        <v>5444</v>
      </c>
      <c r="V195" s="99">
        <v>11.257892500000001</v>
      </c>
      <c r="W195" s="99">
        <v>-0.30427779999999999</v>
      </c>
      <c r="X195" s="104" t="s">
        <v>5445</v>
      </c>
      <c r="Y195" s="103" t="s">
        <v>1548</v>
      </c>
      <c r="Z195" s="103" t="s">
        <v>1548</v>
      </c>
      <c r="AA195" s="103" t="s">
        <v>1862</v>
      </c>
      <c r="AB195" s="103">
        <v>24</v>
      </c>
      <c r="AC195" s="103">
        <v>0</v>
      </c>
      <c r="AD195" s="103">
        <v>24</v>
      </c>
      <c r="AE195" s="103" t="s">
        <v>1634</v>
      </c>
      <c r="AF195" s="103" t="s">
        <v>5446</v>
      </c>
      <c r="AG195" s="99" t="s">
        <v>4554</v>
      </c>
      <c r="AH195" s="103" t="s">
        <v>1862</v>
      </c>
      <c r="AI195" s="103" t="s">
        <v>1862</v>
      </c>
      <c r="AJ195" s="103" t="s">
        <v>1862</v>
      </c>
      <c r="AK195" s="103" t="s">
        <v>1862</v>
      </c>
      <c r="AL195" s="103" t="s">
        <v>1804</v>
      </c>
      <c r="AM195" s="103" t="s">
        <v>1862</v>
      </c>
      <c r="AN195" s="99" t="s">
        <v>4670</v>
      </c>
      <c r="AO195" s="103" t="s">
        <v>1862</v>
      </c>
      <c r="AP195" s="103">
        <v>650</v>
      </c>
      <c r="AQ195" s="103" t="s">
        <v>4461</v>
      </c>
      <c r="AR195" s="103">
        <v>0</v>
      </c>
      <c r="AS195" s="106">
        <v>150000</v>
      </c>
      <c r="AT195" s="103" t="s">
        <v>4496</v>
      </c>
      <c r="AU195" s="103" t="s">
        <v>1634</v>
      </c>
      <c r="AV195" s="99" t="s">
        <v>4671</v>
      </c>
      <c r="AW195" s="99" t="s">
        <v>5447</v>
      </c>
      <c r="AX195" s="99" t="s">
        <v>5448</v>
      </c>
      <c r="AY195" s="99" t="s">
        <v>4560</v>
      </c>
      <c r="AZ195" s="99" t="s">
        <v>4530</v>
      </c>
      <c r="BA195" s="103" t="s">
        <v>1634</v>
      </c>
      <c r="BB195" s="99">
        <v>0</v>
      </c>
      <c r="BC195" s="99">
        <v>300</v>
      </c>
      <c r="BD195" s="99">
        <v>0</v>
      </c>
      <c r="BE195" s="99">
        <v>200000</v>
      </c>
      <c r="BF195" s="103" t="s">
        <v>4715</v>
      </c>
      <c r="BG195" s="103" t="s">
        <v>1862</v>
      </c>
      <c r="BH195" s="103" t="s">
        <v>1862</v>
      </c>
      <c r="BI195" s="103" t="s">
        <v>1862</v>
      </c>
      <c r="BJ195" s="103" t="s">
        <v>1804</v>
      </c>
      <c r="BK195" s="103" t="s">
        <v>4478</v>
      </c>
      <c r="BL195" s="103" t="s">
        <v>4472</v>
      </c>
      <c r="BM195" s="103" t="s">
        <v>4461</v>
      </c>
      <c r="BN195" s="103" t="s">
        <v>4690</v>
      </c>
      <c r="BO195" s="103">
        <v>800</v>
      </c>
      <c r="BP195" s="103" t="s">
        <v>4500</v>
      </c>
      <c r="BQ195" s="99" t="s">
        <v>4563</v>
      </c>
      <c r="BR195" s="99" t="s">
        <v>4564</v>
      </c>
      <c r="BS195" s="99"/>
      <c r="BT195" s="103" t="s">
        <v>3186</v>
      </c>
      <c r="BU195" s="99" t="s">
        <v>4475</v>
      </c>
      <c r="BV195" s="103" t="s">
        <v>4476</v>
      </c>
      <c r="BW195" s="103" t="s">
        <v>4476</v>
      </c>
      <c r="BX195" s="103" t="s">
        <v>1548</v>
      </c>
      <c r="BY195" s="103" t="s">
        <v>4610</v>
      </c>
      <c r="BZ195" s="103" t="s">
        <v>4478</v>
      </c>
      <c r="CA195" s="103" t="s">
        <v>4461</v>
      </c>
      <c r="CB195" s="103">
        <v>30</v>
      </c>
      <c r="CC195" s="103" t="s">
        <v>4502</v>
      </c>
      <c r="CD195" s="103" t="s">
        <v>4475</v>
      </c>
      <c r="CE195" s="103" t="s">
        <v>4481</v>
      </c>
      <c r="CF195" s="103"/>
      <c r="CG195" s="103" t="s">
        <v>839</v>
      </c>
      <c r="CH195" s="103" t="s">
        <v>5449</v>
      </c>
      <c r="CI195" s="103">
        <v>60661157</v>
      </c>
      <c r="CJ195" s="103"/>
      <c r="CK195" s="108">
        <v>43365.406446759262</v>
      </c>
      <c r="CL195" s="109">
        <v>43366.711782407408</v>
      </c>
      <c r="CM195" s="95">
        <v>11.257892500000001</v>
      </c>
      <c r="CN195" s="95">
        <v>-0.30427779999999999</v>
      </c>
      <c r="CO195" s="99"/>
      <c r="CP195" s="99"/>
      <c r="CQ195" s="99"/>
      <c r="CR195" s="99"/>
      <c r="CS195" s="99"/>
      <c r="CT195" s="99"/>
      <c r="CU195" s="99"/>
      <c r="CV195" s="99"/>
      <c r="CW195" s="99"/>
      <c r="CX195" s="99"/>
      <c r="CY195" s="99"/>
      <c r="CZ195" s="99"/>
      <c r="DA195" s="99"/>
      <c r="DB195" s="99"/>
      <c r="DC195" s="99"/>
    </row>
    <row r="196" spans="1:107" ht="15.75" customHeight="1">
      <c r="A196" s="95">
        <v>197</v>
      </c>
      <c r="B196" s="99" t="s">
        <v>841</v>
      </c>
      <c r="C196" s="99" t="s">
        <v>842</v>
      </c>
      <c r="D196" s="99">
        <v>70381086</v>
      </c>
      <c r="E196" s="99" t="s">
        <v>298</v>
      </c>
      <c r="F196" s="95" t="s">
        <v>5443</v>
      </c>
      <c r="G196" s="95" t="s">
        <v>1052</v>
      </c>
      <c r="H196" s="95" t="s">
        <v>1103</v>
      </c>
      <c r="I196" s="95" t="s">
        <v>297</v>
      </c>
      <c r="J196" s="95"/>
      <c r="K196" s="99"/>
      <c r="L196" s="103" t="s">
        <v>4449</v>
      </c>
      <c r="M196" s="99" t="s">
        <v>4567</v>
      </c>
      <c r="N196" s="99" t="s">
        <v>4568</v>
      </c>
      <c r="O196" s="99" t="s">
        <v>4754</v>
      </c>
      <c r="P196" s="103">
        <v>2007</v>
      </c>
      <c r="Q196" s="103" t="s">
        <v>1862</v>
      </c>
      <c r="R196" s="99" t="s">
        <v>4551</v>
      </c>
      <c r="S196" s="103" t="s">
        <v>1541</v>
      </c>
      <c r="T196" s="103" t="s">
        <v>4522</v>
      </c>
      <c r="U196" s="99" t="s">
        <v>5444</v>
      </c>
      <c r="V196" s="99">
        <v>11.257892500000001</v>
      </c>
      <c r="W196" s="99">
        <v>-0.30427779999999999</v>
      </c>
      <c r="X196" s="104" t="s">
        <v>5445</v>
      </c>
      <c r="Y196" s="103" t="s">
        <v>1548</v>
      </c>
      <c r="Z196" s="103" t="s">
        <v>1548</v>
      </c>
      <c r="AA196" s="103" t="s">
        <v>1862</v>
      </c>
      <c r="AB196" s="103">
        <v>20</v>
      </c>
      <c r="AC196" s="103">
        <v>0</v>
      </c>
      <c r="AD196" s="103">
        <v>20</v>
      </c>
      <c r="AE196" s="103" t="s">
        <v>1634</v>
      </c>
      <c r="AF196" s="103" t="s">
        <v>4493</v>
      </c>
      <c r="AG196" s="99" t="s">
        <v>4494</v>
      </c>
      <c r="AH196" s="103" t="s">
        <v>1862</v>
      </c>
      <c r="AI196" s="103" t="s">
        <v>1862</v>
      </c>
      <c r="AJ196" s="103" t="s">
        <v>1804</v>
      </c>
      <c r="AK196" s="103" t="s">
        <v>1804</v>
      </c>
      <c r="AL196" s="103" t="s">
        <v>1862</v>
      </c>
      <c r="AM196" s="103" t="s">
        <v>1862</v>
      </c>
      <c r="AN196" s="99" t="s">
        <v>4735</v>
      </c>
      <c r="AO196" s="103" t="s">
        <v>1862</v>
      </c>
      <c r="AP196" s="103">
        <v>750</v>
      </c>
      <c r="AQ196" s="103" t="s">
        <v>4461</v>
      </c>
      <c r="AR196" s="103">
        <v>50000</v>
      </c>
      <c r="AS196" s="106">
        <v>100000</v>
      </c>
      <c r="AT196" s="103" t="s">
        <v>4496</v>
      </c>
      <c r="AU196" s="103" t="s">
        <v>1634</v>
      </c>
      <c r="AV196" s="99" t="s">
        <v>4557</v>
      </c>
      <c r="AW196" s="99" t="s">
        <v>5447</v>
      </c>
      <c r="AX196" s="99" t="s">
        <v>4937</v>
      </c>
      <c r="AY196" s="99" t="s">
        <v>4560</v>
      </c>
      <c r="AZ196" s="99" t="s">
        <v>4467</v>
      </c>
      <c r="BA196" s="103" t="s">
        <v>1548</v>
      </c>
      <c r="BB196" s="99">
        <v>300</v>
      </c>
      <c r="BC196" s="99">
        <v>100</v>
      </c>
      <c r="BD196" s="99">
        <v>50000</v>
      </c>
      <c r="BE196" s="99">
        <v>100000</v>
      </c>
      <c r="BF196" s="103" t="s">
        <v>4749</v>
      </c>
      <c r="BG196" s="103" t="s">
        <v>1804</v>
      </c>
      <c r="BH196" s="103" t="s">
        <v>1862</v>
      </c>
      <c r="BI196" s="103" t="s">
        <v>1862</v>
      </c>
      <c r="BJ196" s="103" t="s">
        <v>1804</v>
      </c>
      <c r="BK196" s="103" t="s">
        <v>4478</v>
      </c>
      <c r="BL196" s="103" t="s">
        <v>4472</v>
      </c>
      <c r="BM196" s="103" t="s">
        <v>4461</v>
      </c>
      <c r="BN196" s="103" t="s">
        <v>4690</v>
      </c>
      <c r="BO196" s="103">
        <v>800</v>
      </c>
      <c r="BP196" s="103" t="s">
        <v>4500</v>
      </c>
      <c r="BQ196" s="99" t="s">
        <v>4563</v>
      </c>
      <c r="BR196" s="99" t="s">
        <v>4564</v>
      </c>
      <c r="BS196" s="99"/>
      <c r="BT196" s="103" t="s">
        <v>3186</v>
      </c>
      <c r="BU196" s="99" t="s">
        <v>4475</v>
      </c>
      <c r="BV196" s="103" t="s">
        <v>4476</v>
      </c>
      <c r="BW196" s="103" t="s">
        <v>4476</v>
      </c>
      <c r="BX196" s="103" t="s">
        <v>1548</v>
      </c>
      <c r="BY196" s="103" t="s">
        <v>4501</v>
      </c>
      <c r="BZ196" s="103" t="s">
        <v>4478</v>
      </c>
      <c r="CA196" s="103" t="s">
        <v>4461</v>
      </c>
      <c r="CB196" s="103">
        <v>10</v>
      </c>
      <c r="CC196" s="103" t="s">
        <v>4502</v>
      </c>
      <c r="CD196" s="103" t="s">
        <v>4475</v>
      </c>
      <c r="CE196" s="103" t="s">
        <v>4475</v>
      </c>
      <c r="CF196" s="103"/>
      <c r="CG196" s="103" t="s">
        <v>5450</v>
      </c>
      <c r="CH196" s="103" t="s">
        <v>5451</v>
      </c>
      <c r="CI196" s="103">
        <v>70381086</v>
      </c>
      <c r="CJ196" s="103"/>
      <c r="CK196" s="108">
        <v>43365.448773148149</v>
      </c>
      <c r="CL196" s="109">
        <v>43366.714004629626</v>
      </c>
      <c r="CM196" s="95">
        <v>11.257892500000001</v>
      </c>
      <c r="CN196" s="95">
        <v>-0.30427779999999999</v>
      </c>
      <c r="CO196" s="99"/>
      <c r="CP196" s="99"/>
      <c r="CQ196" s="99"/>
      <c r="CR196" s="99"/>
      <c r="CS196" s="99"/>
      <c r="CT196" s="99"/>
      <c r="CU196" s="99"/>
      <c r="CV196" s="99"/>
      <c r="CW196" s="99"/>
      <c r="CX196" s="99"/>
      <c r="CY196" s="99"/>
      <c r="CZ196" s="99"/>
      <c r="DA196" s="99"/>
      <c r="DB196" s="99"/>
      <c r="DC196" s="99"/>
    </row>
    <row r="197" spans="1:107" ht="15.75" customHeight="1">
      <c r="A197" s="95">
        <v>198</v>
      </c>
      <c r="B197" s="99" t="s">
        <v>706</v>
      </c>
      <c r="C197" s="99" t="s">
        <v>843</v>
      </c>
      <c r="D197" s="99">
        <v>77225436</v>
      </c>
      <c r="E197" s="99" t="s">
        <v>299</v>
      </c>
      <c r="F197" s="95" t="s">
        <v>5452</v>
      </c>
      <c r="G197" s="95" t="s">
        <v>1075</v>
      </c>
      <c r="H197" s="95" t="s">
        <v>1051</v>
      </c>
      <c r="I197" s="95" t="s">
        <v>300</v>
      </c>
      <c r="J197" s="95"/>
      <c r="K197" s="99"/>
      <c r="L197" s="103" t="s">
        <v>4449</v>
      </c>
      <c r="M197" s="99" t="s">
        <v>4787</v>
      </c>
      <c r="N197" s="99" t="s">
        <v>4817</v>
      </c>
      <c r="O197" s="99" t="s">
        <v>4684</v>
      </c>
      <c r="P197" s="103">
        <v>1997</v>
      </c>
      <c r="Q197" s="103" t="s">
        <v>1862</v>
      </c>
      <c r="R197" s="99" t="s">
        <v>4633</v>
      </c>
      <c r="S197" s="103" t="s">
        <v>1541</v>
      </c>
      <c r="T197" s="103" t="s">
        <v>4634</v>
      </c>
      <c r="U197" s="99" t="s">
        <v>5453</v>
      </c>
      <c r="V197" s="95">
        <v>11.9767692</v>
      </c>
      <c r="W197" s="95">
        <v>-1.4434689999999999</v>
      </c>
      <c r="X197" s="104" t="s">
        <v>5454</v>
      </c>
      <c r="Y197" s="103" t="s">
        <v>1634</v>
      </c>
      <c r="Z197" s="103" t="s">
        <v>1634</v>
      </c>
      <c r="AA197" s="103" t="s">
        <v>1862</v>
      </c>
      <c r="AB197" s="103">
        <v>310</v>
      </c>
      <c r="AC197" s="103">
        <v>1</v>
      </c>
      <c r="AD197" s="103">
        <v>309</v>
      </c>
      <c r="AE197" s="103" t="s">
        <v>1634</v>
      </c>
      <c r="AF197" s="103" t="s">
        <v>4493</v>
      </c>
      <c r="AG197" s="99" t="s">
        <v>4554</v>
      </c>
      <c r="AH197" s="103" t="s">
        <v>1862</v>
      </c>
      <c r="AI197" s="103" t="s">
        <v>1862</v>
      </c>
      <c r="AJ197" s="103" t="s">
        <v>1862</v>
      </c>
      <c r="AK197" s="103" t="s">
        <v>1862</v>
      </c>
      <c r="AL197" s="103" t="s">
        <v>1804</v>
      </c>
      <c r="AM197" s="103" t="s">
        <v>1862</v>
      </c>
      <c r="AN197" s="99" t="s">
        <v>4638</v>
      </c>
      <c r="AO197" s="103" t="s">
        <v>1862</v>
      </c>
      <c r="AP197" s="103">
        <v>1250</v>
      </c>
      <c r="AQ197" s="112" t="s">
        <v>4461</v>
      </c>
      <c r="AR197" s="103"/>
      <c r="AS197" s="106">
        <v>39000000</v>
      </c>
      <c r="AT197" s="103" t="s">
        <v>4527</v>
      </c>
      <c r="AU197" s="103" t="s">
        <v>1634</v>
      </c>
      <c r="AV197" s="99" t="s">
        <v>4463</v>
      </c>
      <c r="AW197" s="99" t="s">
        <v>4639</v>
      </c>
      <c r="AX197" s="99" t="s">
        <v>4640</v>
      </c>
      <c r="AY197" s="99" t="s">
        <v>4641</v>
      </c>
      <c r="AZ197" s="99" t="s">
        <v>4530</v>
      </c>
      <c r="BA197" s="103" t="s">
        <v>1634</v>
      </c>
      <c r="BB197" s="99"/>
      <c r="BC197" s="99">
        <v>25000</v>
      </c>
      <c r="BD197" s="99"/>
      <c r="BE197" s="99">
        <v>50000000</v>
      </c>
      <c r="BF197" s="103" t="s">
        <v>4642</v>
      </c>
      <c r="BG197" s="103" t="s">
        <v>1862</v>
      </c>
      <c r="BH197" s="103" t="s">
        <v>1862</v>
      </c>
      <c r="BI197" s="103" t="s">
        <v>1862</v>
      </c>
      <c r="BJ197" s="103" t="s">
        <v>1862</v>
      </c>
      <c r="BK197" s="103" t="s">
        <v>4469</v>
      </c>
      <c r="BL197" s="103" t="s">
        <v>4472</v>
      </c>
      <c r="BM197" s="103" t="s">
        <v>4461</v>
      </c>
      <c r="BN197" s="103" t="s">
        <v>4643</v>
      </c>
      <c r="BO197" s="103">
        <v>400</v>
      </c>
      <c r="BP197" s="103" t="s">
        <v>4532</v>
      </c>
      <c r="BQ197" s="99" t="s">
        <v>4644</v>
      </c>
      <c r="BR197" s="99" t="s">
        <v>4644</v>
      </c>
      <c r="BS197" s="99" t="s">
        <v>4564</v>
      </c>
      <c r="BT197" s="103" t="s">
        <v>3186</v>
      </c>
      <c r="BU197" s="99"/>
      <c r="BV197" s="103" t="s">
        <v>4644</v>
      </c>
      <c r="BW197" s="103" t="s">
        <v>4644</v>
      </c>
      <c r="BX197" s="103"/>
      <c r="BY197" s="103"/>
      <c r="BZ197" s="103"/>
      <c r="CA197" s="103"/>
      <c r="CB197" s="103"/>
      <c r="CC197" s="103" t="s">
        <v>4502</v>
      </c>
      <c r="CD197" s="103" t="s">
        <v>4475</v>
      </c>
      <c r="CE197" s="112" t="s">
        <v>4475</v>
      </c>
      <c r="CF197" s="103"/>
      <c r="CG197" s="103" t="s">
        <v>706</v>
      </c>
      <c r="CH197" s="103" t="s">
        <v>843</v>
      </c>
      <c r="CI197" s="103">
        <v>77225436</v>
      </c>
      <c r="CJ197" s="103"/>
      <c r="CK197" s="108">
        <v>43364.693287037036</v>
      </c>
      <c r="CL197" s="109">
        <v>43364.732754629629</v>
      </c>
      <c r="CM197" s="95">
        <v>11.9767692</v>
      </c>
      <c r="CN197" s="95">
        <v>-1.4434689999999999</v>
      </c>
      <c r="CO197" s="99"/>
      <c r="CP197" s="99"/>
      <c r="CQ197" s="99"/>
      <c r="CR197" s="99"/>
      <c r="CS197" s="99"/>
      <c r="CT197" s="99"/>
      <c r="CU197" s="99"/>
      <c r="CV197" s="99"/>
      <c r="CW197" s="99"/>
      <c r="CX197" s="99"/>
      <c r="CY197" s="99"/>
      <c r="CZ197" s="99"/>
      <c r="DA197" s="99"/>
      <c r="DB197" s="99"/>
      <c r="DC197" s="99"/>
    </row>
    <row r="198" spans="1:107" ht="15.75" customHeight="1">
      <c r="A198" s="95">
        <v>199</v>
      </c>
      <c r="B198" s="99" t="s">
        <v>844</v>
      </c>
      <c r="C198" s="99" t="s">
        <v>845</v>
      </c>
      <c r="D198" s="99">
        <v>71622729</v>
      </c>
      <c r="E198" s="99" t="s">
        <v>301</v>
      </c>
      <c r="F198" s="95" t="s">
        <v>5455</v>
      </c>
      <c r="G198" s="95" t="s">
        <v>1052</v>
      </c>
      <c r="H198" s="95" t="s">
        <v>1103</v>
      </c>
      <c r="I198" s="95" t="s">
        <v>182</v>
      </c>
      <c r="J198" s="95"/>
      <c r="K198" s="99"/>
      <c r="L198" s="103" t="s">
        <v>4449</v>
      </c>
      <c r="M198" s="99" t="s">
        <v>4450</v>
      </c>
      <c r="N198" s="99" t="s">
        <v>4451</v>
      </c>
      <c r="O198" s="99" t="s">
        <v>4452</v>
      </c>
      <c r="P198" s="103">
        <v>2001</v>
      </c>
      <c r="Q198" s="103" t="s">
        <v>1862</v>
      </c>
      <c r="R198" s="99" t="s">
        <v>4551</v>
      </c>
      <c r="S198" s="103" t="s">
        <v>1541</v>
      </c>
      <c r="T198" s="103" t="s">
        <v>4522</v>
      </c>
      <c r="U198" s="99" t="s">
        <v>5456</v>
      </c>
      <c r="V198" s="95">
        <v>11.786332399999999</v>
      </c>
      <c r="W198" s="95">
        <v>-0.36542039999999998</v>
      </c>
      <c r="X198" s="104" t="s">
        <v>5167</v>
      </c>
      <c r="Y198" s="103" t="s">
        <v>1548</v>
      </c>
      <c r="Z198" s="103" t="s">
        <v>1548</v>
      </c>
      <c r="AA198" s="103" t="s">
        <v>1862</v>
      </c>
      <c r="AB198" s="103">
        <v>25</v>
      </c>
      <c r="AC198" s="103">
        <v>0</v>
      </c>
      <c r="AD198" s="103">
        <v>25</v>
      </c>
      <c r="AE198" s="103" t="s">
        <v>1634</v>
      </c>
      <c r="AF198" s="103" t="s">
        <v>4493</v>
      </c>
      <c r="AG198" s="99" t="s">
        <v>4494</v>
      </c>
      <c r="AH198" s="103" t="s">
        <v>1862</v>
      </c>
      <c r="AI198" s="103" t="s">
        <v>1862</v>
      </c>
      <c r="AJ198" s="103" t="s">
        <v>1804</v>
      </c>
      <c r="AK198" s="103" t="s">
        <v>1804</v>
      </c>
      <c r="AL198" s="103" t="s">
        <v>1862</v>
      </c>
      <c r="AM198" s="103" t="s">
        <v>1862</v>
      </c>
      <c r="AN198" s="99" t="s">
        <v>4670</v>
      </c>
      <c r="AO198" s="103" t="s">
        <v>1862</v>
      </c>
      <c r="AP198" s="103">
        <v>1500</v>
      </c>
      <c r="AQ198" s="103" t="s">
        <v>4461</v>
      </c>
      <c r="AR198" s="103">
        <v>500000</v>
      </c>
      <c r="AS198" s="106">
        <v>600000</v>
      </c>
      <c r="AT198" s="103" t="s">
        <v>4496</v>
      </c>
      <c r="AU198" s="103" t="s">
        <v>1634</v>
      </c>
      <c r="AV198" s="99" t="s">
        <v>4671</v>
      </c>
      <c r="AW198" s="99" t="s">
        <v>5293</v>
      </c>
      <c r="AX198" s="99" t="s">
        <v>4937</v>
      </c>
      <c r="AY198" s="99" t="s">
        <v>4560</v>
      </c>
      <c r="AZ198" s="99" t="s">
        <v>4530</v>
      </c>
      <c r="BA198" s="103" t="s">
        <v>1634</v>
      </c>
      <c r="BB198" s="99">
        <v>2000</v>
      </c>
      <c r="BC198" s="99">
        <v>200</v>
      </c>
      <c r="BD198" s="99">
        <v>700000</v>
      </c>
      <c r="BE198" s="99">
        <v>400000</v>
      </c>
      <c r="BF198" s="103" t="s">
        <v>4715</v>
      </c>
      <c r="BG198" s="103" t="s">
        <v>1862</v>
      </c>
      <c r="BH198" s="103" t="s">
        <v>1862</v>
      </c>
      <c r="BI198" s="103" t="s">
        <v>1862</v>
      </c>
      <c r="BJ198" s="103" t="s">
        <v>1804</v>
      </c>
      <c r="BK198" s="103" t="s">
        <v>4478</v>
      </c>
      <c r="BL198" s="103" t="s">
        <v>4472</v>
      </c>
      <c r="BM198" s="103" t="s">
        <v>4461</v>
      </c>
      <c r="BN198" s="103" t="s">
        <v>5457</v>
      </c>
      <c r="BO198" s="103">
        <v>1200</v>
      </c>
      <c r="BP198" s="103" t="s">
        <v>4500</v>
      </c>
      <c r="BQ198" s="99" t="s">
        <v>4563</v>
      </c>
      <c r="BR198" s="99" t="s">
        <v>4564</v>
      </c>
      <c r="BS198" s="99"/>
      <c r="BT198" s="103" t="s">
        <v>3186</v>
      </c>
      <c r="BU198" s="99" t="s">
        <v>4475</v>
      </c>
      <c r="BV198" s="103" t="s">
        <v>4476</v>
      </c>
      <c r="BW198" s="103" t="s">
        <v>4476</v>
      </c>
      <c r="BX198" s="103" t="s">
        <v>1548</v>
      </c>
      <c r="BY198" s="103" t="s">
        <v>4610</v>
      </c>
      <c r="BZ198" s="103" t="s">
        <v>4478</v>
      </c>
      <c r="CA198" s="103" t="s">
        <v>4509</v>
      </c>
      <c r="CB198" s="103">
        <v>50</v>
      </c>
      <c r="CC198" s="103" t="s">
        <v>4502</v>
      </c>
      <c r="CD198" s="103" t="s">
        <v>4475</v>
      </c>
      <c r="CE198" s="103" t="s">
        <v>4475</v>
      </c>
      <c r="CF198" s="103" t="s">
        <v>4691</v>
      </c>
      <c r="CG198" s="103" t="s">
        <v>844</v>
      </c>
      <c r="CH198" s="103" t="s">
        <v>763</v>
      </c>
      <c r="CI198" s="103">
        <v>71622729</v>
      </c>
      <c r="CJ198" s="103"/>
      <c r="CK198" s="108">
        <v>43364.601469907408</v>
      </c>
      <c r="CL198" s="109">
        <v>43366.717476851853</v>
      </c>
      <c r="CM198" s="95">
        <v>11.786332399999999</v>
      </c>
      <c r="CN198" s="95">
        <v>-0.36542039999999998</v>
      </c>
      <c r="CO198" s="99"/>
      <c r="CP198" s="99"/>
      <c r="CQ198" s="99"/>
      <c r="CR198" s="99"/>
      <c r="CS198" s="99"/>
      <c r="CT198" s="99"/>
      <c r="CU198" s="99"/>
      <c r="CV198" s="99"/>
      <c r="CW198" s="99"/>
      <c r="CX198" s="99"/>
      <c r="CY198" s="99"/>
      <c r="CZ198" s="99"/>
      <c r="DA198" s="99"/>
      <c r="DB198" s="99"/>
      <c r="DC198" s="99"/>
    </row>
    <row r="199" spans="1:107" ht="15.75" customHeight="1">
      <c r="A199" s="95">
        <v>200</v>
      </c>
      <c r="B199" s="99" t="s">
        <v>846</v>
      </c>
      <c r="C199" s="99" t="s">
        <v>847</v>
      </c>
      <c r="D199" s="99">
        <v>70450232</v>
      </c>
      <c r="E199" s="99" t="s">
        <v>302</v>
      </c>
      <c r="F199" s="95" t="s">
        <v>5443</v>
      </c>
      <c r="G199" s="95" t="s">
        <v>1052</v>
      </c>
      <c r="H199" s="95" t="s">
        <v>1103</v>
      </c>
      <c r="I199" s="95" t="s">
        <v>297</v>
      </c>
      <c r="J199" s="95"/>
      <c r="K199" s="99"/>
      <c r="L199" s="103" t="s">
        <v>4449</v>
      </c>
      <c r="M199" s="99" t="s">
        <v>4487</v>
      </c>
      <c r="N199" s="99" t="s">
        <v>4451</v>
      </c>
      <c r="O199" s="99" t="s">
        <v>5458</v>
      </c>
      <c r="P199" s="103">
        <v>2003</v>
      </c>
      <c r="Q199" s="103" t="s">
        <v>1862</v>
      </c>
      <c r="R199" s="99" t="s">
        <v>4551</v>
      </c>
      <c r="S199" s="103" t="s">
        <v>1541</v>
      </c>
      <c r="T199" s="103" t="s">
        <v>4522</v>
      </c>
      <c r="U199" s="99" t="s">
        <v>5444</v>
      </c>
      <c r="V199" s="95">
        <v>11.257892500000001</v>
      </c>
      <c r="W199" s="95">
        <v>-0.30427779999999999</v>
      </c>
      <c r="X199" s="104" t="s">
        <v>5445</v>
      </c>
      <c r="Y199" s="103" t="s">
        <v>1548</v>
      </c>
      <c r="Z199" s="103"/>
      <c r="AA199" s="103" t="s">
        <v>1862</v>
      </c>
      <c r="AB199" s="103">
        <v>15</v>
      </c>
      <c r="AC199" s="103">
        <v>0</v>
      </c>
      <c r="AD199" s="103">
        <v>15</v>
      </c>
      <c r="AE199" s="103" t="s">
        <v>1634</v>
      </c>
      <c r="AF199" s="103" t="s">
        <v>5446</v>
      </c>
      <c r="AG199" s="99" t="s">
        <v>4879</v>
      </c>
      <c r="AH199" s="103" t="s">
        <v>1862</v>
      </c>
      <c r="AI199" s="103" t="s">
        <v>1862</v>
      </c>
      <c r="AJ199" s="103" t="s">
        <v>1804</v>
      </c>
      <c r="AK199" s="103" t="s">
        <v>1804</v>
      </c>
      <c r="AL199" s="103" t="s">
        <v>1804</v>
      </c>
      <c r="AM199" s="103" t="s">
        <v>1862</v>
      </c>
      <c r="AN199" s="99" t="s">
        <v>4735</v>
      </c>
      <c r="AO199" s="103" t="s">
        <v>1862</v>
      </c>
      <c r="AP199" s="103">
        <v>1000</v>
      </c>
      <c r="AQ199" s="103" t="s">
        <v>4461</v>
      </c>
      <c r="AR199" s="103">
        <v>0</v>
      </c>
      <c r="AS199" s="106">
        <v>500000</v>
      </c>
      <c r="AT199" s="103" t="s">
        <v>4625</v>
      </c>
      <c r="AU199" s="103" t="s">
        <v>1634</v>
      </c>
      <c r="AV199" s="99" t="s">
        <v>4463</v>
      </c>
      <c r="AW199" s="99" t="s">
        <v>5459</v>
      </c>
      <c r="AX199" s="99" t="s">
        <v>4937</v>
      </c>
      <c r="AY199" s="99" t="s">
        <v>4560</v>
      </c>
      <c r="AZ199" s="99" t="s">
        <v>4530</v>
      </c>
      <c r="BA199" s="103" t="s">
        <v>1548</v>
      </c>
      <c r="BB199" s="99">
        <v>0</v>
      </c>
      <c r="BC199" s="99">
        <v>700</v>
      </c>
      <c r="BD199" s="99">
        <v>0</v>
      </c>
      <c r="BE199" s="99">
        <v>600000</v>
      </c>
      <c r="BF199" s="103" t="s">
        <v>4749</v>
      </c>
      <c r="BG199" s="103" t="s">
        <v>1804</v>
      </c>
      <c r="BH199" s="103" t="s">
        <v>1862</v>
      </c>
      <c r="BI199" s="103" t="s">
        <v>1862</v>
      </c>
      <c r="BJ199" s="103" t="s">
        <v>1804</v>
      </c>
      <c r="BK199" s="103" t="s">
        <v>4478</v>
      </c>
      <c r="BL199" s="103" t="s">
        <v>4472</v>
      </c>
      <c r="BM199" s="103" t="s">
        <v>4461</v>
      </c>
      <c r="BN199" s="103" t="s">
        <v>4627</v>
      </c>
      <c r="BO199" s="103">
        <v>1000</v>
      </c>
      <c r="BP199" s="103" t="s">
        <v>4461</v>
      </c>
      <c r="BQ199" s="99" t="s">
        <v>4563</v>
      </c>
      <c r="BR199" s="99" t="s">
        <v>4564</v>
      </c>
      <c r="BS199" s="99"/>
      <c r="BT199" s="103" t="s">
        <v>3186</v>
      </c>
      <c r="BU199" s="99" t="s">
        <v>4475</v>
      </c>
      <c r="BV199" s="103" t="s">
        <v>4476</v>
      </c>
      <c r="BW199" s="103" t="s">
        <v>4476</v>
      </c>
      <c r="BX199" s="103" t="s">
        <v>1548</v>
      </c>
      <c r="BY199" s="103" t="s">
        <v>4535</v>
      </c>
      <c r="BZ199" s="103" t="s">
        <v>4478</v>
      </c>
      <c r="CA199" s="103" t="s">
        <v>4461</v>
      </c>
      <c r="CB199" s="103">
        <v>10</v>
      </c>
      <c r="CC199" s="103" t="s">
        <v>4502</v>
      </c>
      <c r="CD199" s="103" t="s">
        <v>4475</v>
      </c>
      <c r="CE199" s="103" t="s">
        <v>4502</v>
      </c>
      <c r="CF199" s="103"/>
      <c r="CG199" s="103" t="s">
        <v>5460</v>
      </c>
      <c r="CH199" s="103" t="s">
        <v>5461</v>
      </c>
      <c r="CI199" s="103">
        <v>71088108</v>
      </c>
      <c r="CJ199" s="103"/>
      <c r="CK199" s="108">
        <v>43365.50340277778</v>
      </c>
      <c r="CL199" s="109">
        <v>43366.718564814815</v>
      </c>
      <c r="CM199" s="95">
        <v>11.257892500000001</v>
      </c>
      <c r="CN199" s="95">
        <v>-0.30427779999999999</v>
      </c>
      <c r="CO199" s="99"/>
      <c r="CP199" s="99"/>
      <c r="CQ199" s="99"/>
      <c r="CR199" s="99"/>
      <c r="CS199" s="99"/>
      <c r="CT199" s="99"/>
      <c r="CU199" s="99"/>
      <c r="CV199" s="99"/>
      <c r="CW199" s="99"/>
      <c r="CX199" s="99"/>
      <c r="CY199" s="99"/>
      <c r="CZ199" s="99"/>
      <c r="DA199" s="99"/>
      <c r="DB199" s="99"/>
      <c r="DC199" s="99"/>
    </row>
    <row r="200" spans="1:107" ht="15.75" customHeight="1">
      <c r="A200" s="95">
        <v>201</v>
      </c>
      <c r="B200" s="99" t="s">
        <v>848</v>
      </c>
      <c r="C200" s="99" t="s">
        <v>849</v>
      </c>
      <c r="D200" s="99">
        <v>72555246</v>
      </c>
      <c r="E200" s="99" t="s">
        <v>5462</v>
      </c>
      <c r="F200" s="95" t="s">
        <v>5463</v>
      </c>
      <c r="G200" s="95" t="s">
        <v>1076</v>
      </c>
      <c r="H200" s="95" t="s">
        <v>1128</v>
      </c>
      <c r="I200" s="95" t="s">
        <v>304</v>
      </c>
      <c r="J200" s="95"/>
      <c r="K200" s="99"/>
      <c r="L200" s="103" t="s">
        <v>4449</v>
      </c>
      <c r="M200" s="99" t="s">
        <v>4567</v>
      </c>
      <c r="N200" s="99" t="s">
        <v>4451</v>
      </c>
      <c r="O200" s="99" t="s">
        <v>4452</v>
      </c>
      <c r="P200" s="103">
        <v>2002</v>
      </c>
      <c r="Q200" s="103" t="s">
        <v>1862</v>
      </c>
      <c r="R200" s="99" t="s">
        <v>4991</v>
      </c>
      <c r="S200" s="103" t="s">
        <v>1541</v>
      </c>
      <c r="T200" s="103" t="s">
        <v>4522</v>
      </c>
      <c r="U200" s="99" t="s">
        <v>5464</v>
      </c>
      <c r="V200" s="95">
        <v>12.2497072</v>
      </c>
      <c r="W200" s="95">
        <v>1.6760691000000001</v>
      </c>
      <c r="X200" s="104" t="s">
        <v>5465</v>
      </c>
      <c r="Y200" s="103" t="s">
        <v>1548</v>
      </c>
      <c r="Z200" s="103" t="s">
        <v>1548</v>
      </c>
      <c r="AA200" s="103" t="s">
        <v>1862</v>
      </c>
      <c r="AB200" s="103">
        <v>36</v>
      </c>
      <c r="AC200" s="103">
        <v>0</v>
      </c>
      <c r="AD200" s="103">
        <v>36</v>
      </c>
      <c r="AE200" s="103" t="s">
        <v>1634</v>
      </c>
      <c r="AF200" s="103" t="s">
        <v>4830</v>
      </c>
      <c r="AG200" s="99" t="s">
        <v>4790</v>
      </c>
      <c r="AH200" s="103" t="s">
        <v>1804</v>
      </c>
      <c r="AI200" s="103" t="s">
        <v>1862</v>
      </c>
      <c r="AJ200" s="103" t="s">
        <v>1862</v>
      </c>
      <c r="AK200" s="103" t="s">
        <v>1862</v>
      </c>
      <c r="AL200" s="103" t="s">
        <v>1804</v>
      </c>
      <c r="AM200" s="103" t="s">
        <v>1862</v>
      </c>
      <c r="AN200" s="99" t="s">
        <v>4584</v>
      </c>
      <c r="AO200" s="103" t="s">
        <v>1862</v>
      </c>
      <c r="AP200" s="103">
        <v>1500</v>
      </c>
      <c r="AQ200" s="112" t="s">
        <v>4461</v>
      </c>
      <c r="AR200" s="103"/>
      <c r="AS200" s="106">
        <v>250000</v>
      </c>
      <c r="AT200" s="103" t="s">
        <v>4496</v>
      </c>
      <c r="AU200" s="103" t="s">
        <v>1634</v>
      </c>
      <c r="AV200" s="99" t="s">
        <v>4463</v>
      </c>
      <c r="AW200" s="99" t="s">
        <v>4866</v>
      </c>
      <c r="AX200" s="99" t="s">
        <v>4930</v>
      </c>
      <c r="AY200" s="99" t="s">
        <v>4466</v>
      </c>
      <c r="AZ200" s="99" t="s">
        <v>4467</v>
      </c>
      <c r="BA200" s="103" t="s">
        <v>1634</v>
      </c>
      <c r="BB200" s="99"/>
      <c r="BC200" s="99">
        <v>1560</v>
      </c>
      <c r="BD200" s="99"/>
      <c r="BE200" s="99">
        <v>2340000</v>
      </c>
      <c r="BF200" s="103" t="s">
        <v>4511</v>
      </c>
      <c r="BG200" s="103" t="s">
        <v>1804</v>
      </c>
      <c r="BH200" s="103" t="s">
        <v>1862</v>
      </c>
      <c r="BI200" s="103" t="s">
        <v>1804</v>
      </c>
      <c r="BJ200" s="103" t="s">
        <v>1804</v>
      </c>
      <c r="BK200" s="103" t="s">
        <v>4499</v>
      </c>
      <c r="BL200" s="103" t="s">
        <v>4470</v>
      </c>
      <c r="BM200" s="103" t="s">
        <v>4470</v>
      </c>
      <c r="BN200" s="103" t="s">
        <v>4545</v>
      </c>
      <c r="BO200" s="103">
        <v>3400</v>
      </c>
      <c r="BP200" s="103" t="s">
        <v>4500</v>
      </c>
      <c r="BQ200" s="99" t="s">
        <v>4476</v>
      </c>
      <c r="BR200" s="99" t="s">
        <v>4476</v>
      </c>
      <c r="BS200" s="99" t="s">
        <v>4809</v>
      </c>
      <c r="BT200" s="103" t="s">
        <v>3186</v>
      </c>
      <c r="BU200" s="99" t="s">
        <v>4476</v>
      </c>
      <c r="BV200" s="103" t="s">
        <v>4476</v>
      </c>
      <c r="BW200" s="103" t="s">
        <v>1548</v>
      </c>
      <c r="BX200" s="103" t="s">
        <v>4535</v>
      </c>
      <c r="BY200" s="103" t="s">
        <v>4499</v>
      </c>
      <c r="BZ200" s="103" t="s">
        <v>4509</v>
      </c>
      <c r="CA200" s="103">
        <v>3</v>
      </c>
      <c r="CB200" s="103" t="s">
        <v>4475</v>
      </c>
      <c r="CC200" s="103" t="s">
        <v>4479</v>
      </c>
      <c r="CD200" s="103" t="s">
        <v>4475</v>
      </c>
      <c r="CE200" s="112" t="s">
        <v>4481</v>
      </c>
      <c r="CF200" s="103"/>
      <c r="CG200" s="103" t="s">
        <v>848</v>
      </c>
      <c r="CH200" s="103" t="s">
        <v>849</v>
      </c>
      <c r="CI200" s="103">
        <v>72555246</v>
      </c>
      <c r="CJ200" s="99"/>
      <c r="CK200" s="108">
        <v>43365.525034722225</v>
      </c>
      <c r="CL200" s="108">
        <v>43366.372523148151</v>
      </c>
      <c r="CM200" s="95">
        <v>12.2497072</v>
      </c>
      <c r="CN200" s="95">
        <v>1.6760691000000001</v>
      </c>
      <c r="CO200" s="99"/>
      <c r="CP200" s="99"/>
      <c r="CQ200" s="99"/>
      <c r="CR200" s="99"/>
      <c r="CS200" s="99"/>
      <c r="CT200" s="99"/>
      <c r="CU200" s="99"/>
      <c r="CV200" s="99"/>
      <c r="CW200" s="99"/>
      <c r="CX200" s="99"/>
      <c r="CY200" s="99"/>
      <c r="CZ200" s="99"/>
      <c r="DA200" s="99"/>
      <c r="DB200" s="99"/>
      <c r="DC200" s="99"/>
    </row>
    <row r="201" spans="1:107" ht="15.75" customHeight="1">
      <c r="A201" s="95">
        <v>202</v>
      </c>
      <c r="B201" s="99" t="s">
        <v>850</v>
      </c>
      <c r="C201" s="99" t="s">
        <v>851</v>
      </c>
      <c r="D201" s="99">
        <v>77867517</v>
      </c>
      <c r="E201" s="99" t="s">
        <v>5466</v>
      </c>
      <c r="F201" s="95" t="s">
        <v>5467</v>
      </c>
      <c r="G201" s="95" t="s">
        <v>1062</v>
      </c>
      <c r="H201" s="95" t="s">
        <v>1064</v>
      </c>
      <c r="I201" s="95" t="s">
        <v>306</v>
      </c>
      <c r="J201" s="95"/>
      <c r="K201" s="99"/>
      <c r="L201" s="103" t="s">
        <v>4449</v>
      </c>
      <c r="M201" s="99" t="s">
        <v>4567</v>
      </c>
      <c r="N201" s="99" t="s">
        <v>1565</v>
      </c>
      <c r="O201" s="99" t="s">
        <v>4452</v>
      </c>
      <c r="P201" s="103">
        <v>1996</v>
      </c>
      <c r="Q201" s="103" t="s">
        <v>1862</v>
      </c>
      <c r="R201" s="99" t="s">
        <v>4755</v>
      </c>
      <c r="S201" s="103" t="s">
        <v>1541</v>
      </c>
      <c r="T201" s="103" t="s">
        <v>4522</v>
      </c>
      <c r="U201" s="99" t="s">
        <v>5468</v>
      </c>
      <c r="V201" s="95">
        <v>12.3425897</v>
      </c>
      <c r="W201" s="95">
        <v>-1.4434689999999999</v>
      </c>
      <c r="X201" s="104" t="s">
        <v>5352</v>
      </c>
      <c r="Y201" s="103" t="s">
        <v>1634</v>
      </c>
      <c r="Z201" s="103" t="s">
        <v>1548</v>
      </c>
      <c r="AA201" s="103" t="s">
        <v>1862</v>
      </c>
      <c r="AB201" s="103">
        <v>40</v>
      </c>
      <c r="AC201" s="103">
        <v>0</v>
      </c>
      <c r="AD201" s="103">
        <v>40</v>
      </c>
      <c r="AE201" s="103" t="s">
        <v>1548</v>
      </c>
      <c r="AF201" s="103" t="s">
        <v>4493</v>
      </c>
      <c r="AG201" s="99" t="s">
        <v>5469</v>
      </c>
      <c r="AH201" s="103" t="s">
        <v>1862</v>
      </c>
      <c r="AI201" s="103" t="s">
        <v>1862</v>
      </c>
      <c r="AJ201" s="103" t="s">
        <v>1862</v>
      </c>
      <c r="AK201" s="103" t="s">
        <v>1862</v>
      </c>
      <c r="AL201" s="103" t="s">
        <v>1804</v>
      </c>
      <c r="AM201" s="103" t="s">
        <v>1804</v>
      </c>
      <c r="AN201" s="99" t="s">
        <v>4735</v>
      </c>
      <c r="AO201" s="103" t="s">
        <v>1862</v>
      </c>
      <c r="AP201" s="103">
        <v>675</v>
      </c>
      <c r="AQ201" s="103" t="s">
        <v>4509</v>
      </c>
      <c r="AR201" s="103"/>
      <c r="AS201" s="99"/>
      <c r="AT201" s="103" t="s">
        <v>4499</v>
      </c>
      <c r="AU201" s="103" t="s">
        <v>1634</v>
      </c>
      <c r="AV201" s="99" t="s">
        <v>4463</v>
      </c>
      <c r="AW201" s="99" t="s">
        <v>5470</v>
      </c>
      <c r="AX201" s="99" t="s">
        <v>5471</v>
      </c>
      <c r="AY201" s="99" t="s">
        <v>4466</v>
      </c>
      <c r="AZ201" s="99" t="s">
        <v>4530</v>
      </c>
      <c r="BA201" s="103"/>
      <c r="BB201" s="99"/>
      <c r="BC201" s="99"/>
      <c r="BD201" s="99"/>
      <c r="BE201" s="99"/>
      <c r="BF201" s="103" t="s">
        <v>4653</v>
      </c>
      <c r="BG201" s="103" t="s">
        <v>1862</v>
      </c>
      <c r="BH201" s="103" t="s">
        <v>1804</v>
      </c>
      <c r="BI201" s="103" t="s">
        <v>1862</v>
      </c>
      <c r="BJ201" s="103" t="s">
        <v>1804</v>
      </c>
      <c r="BK201" s="103" t="s">
        <v>4478</v>
      </c>
      <c r="BL201" s="103" t="s">
        <v>4500</v>
      </c>
      <c r="BM201" s="103" t="s">
        <v>4461</v>
      </c>
      <c r="BN201" s="103" t="s">
        <v>4690</v>
      </c>
      <c r="BO201" s="103">
        <v>240</v>
      </c>
      <c r="BP201" s="103" t="s">
        <v>4532</v>
      </c>
      <c r="BQ201" s="99" t="s">
        <v>4476</v>
      </c>
      <c r="BR201" s="99" t="s">
        <v>4476</v>
      </c>
      <c r="BS201" s="99"/>
      <c r="BT201" s="103" t="s">
        <v>3186</v>
      </c>
      <c r="BU201" s="99" t="s">
        <v>4475</v>
      </c>
      <c r="BV201" s="103" t="s">
        <v>4476</v>
      </c>
      <c r="BW201" s="103" t="s">
        <v>4476</v>
      </c>
      <c r="BX201" s="103" t="s">
        <v>1548</v>
      </c>
      <c r="BY201" s="103" t="s">
        <v>4810</v>
      </c>
      <c r="BZ201" s="103" t="s">
        <v>4478</v>
      </c>
      <c r="CA201" s="103" t="s">
        <v>5039</v>
      </c>
      <c r="CB201" s="103">
        <v>30</v>
      </c>
      <c r="CC201" s="103" t="s">
        <v>4479</v>
      </c>
      <c r="CD201" s="103" t="s">
        <v>4475</v>
      </c>
      <c r="CE201" s="103" t="s">
        <v>4502</v>
      </c>
      <c r="CF201" s="103"/>
      <c r="CG201" s="103" t="s">
        <v>850</v>
      </c>
      <c r="CH201" s="103" t="s">
        <v>851</v>
      </c>
      <c r="CI201" s="103">
        <v>77867527</v>
      </c>
      <c r="CJ201" s="103"/>
      <c r="CK201" s="108">
        <v>43366.408645833333</v>
      </c>
      <c r="CL201" s="109">
        <v>43366.731377314813</v>
      </c>
      <c r="CM201" s="95">
        <v>12.3425897</v>
      </c>
      <c r="CN201" s="95">
        <v>-1.4434689999999999</v>
      </c>
      <c r="CO201" s="99"/>
      <c r="CP201" s="99"/>
      <c r="CQ201" s="99"/>
      <c r="CR201" s="99"/>
      <c r="CS201" s="99"/>
      <c r="CT201" s="99"/>
      <c r="CU201" s="99"/>
      <c r="CV201" s="99"/>
      <c r="CW201" s="99"/>
      <c r="CX201" s="99"/>
      <c r="CY201" s="99"/>
      <c r="CZ201" s="99"/>
      <c r="DA201" s="99"/>
      <c r="DB201" s="99"/>
      <c r="DC201" s="99"/>
    </row>
    <row r="202" spans="1:107" ht="15.75" customHeight="1">
      <c r="A202" s="95">
        <v>203</v>
      </c>
      <c r="B202" s="99" t="s">
        <v>852</v>
      </c>
      <c r="C202" s="99" t="s">
        <v>546</v>
      </c>
      <c r="D202" s="99">
        <v>77953834</v>
      </c>
      <c r="E202" s="99" t="s">
        <v>307</v>
      </c>
      <c r="F202" s="95" t="s">
        <v>5472</v>
      </c>
      <c r="G202" s="95" t="s">
        <v>1062</v>
      </c>
      <c r="H202" s="95" t="s">
        <v>1064</v>
      </c>
      <c r="I202" s="95" t="s">
        <v>308</v>
      </c>
      <c r="J202" s="95"/>
      <c r="K202" s="99"/>
      <c r="L202" s="103" t="s">
        <v>4449</v>
      </c>
      <c r="M202" s="99" t="s">
        <v>4487</v>
      </c>
      <c r="N202" s="99" t="s">
        <v>1565</v>
      </c>
      <c r="O202" s="99" t="s">
        <v>4452</v>
      </c>
      <c r="P202" s="103">
        <v>2014</v>
      </c>
      <c r="Q202" s="103" t="s">
        <v>1862</v>
      </c>
      <c r="R202" s="99" t="s">
        <v>4521</v>
      </c>
      <c r="S202" s="103" t="s">
        <v>1541</v>
      </c>
      <c r="T202" s="103" t="s">
        <v>4522</v>
      </c>
      <c r="U202" s="99" t="s">
        <v>5473</v>
      </c>
      <c r="V202" s="95">
        <v>12.3425897</v>
      </c>
      <c r="W202" s="95">
        <v>-1.4434689999999999</v>
      </c>
      <c r="X202" s="104" t="s">
        <v>5352</v>
      </c>
      <c r="Y202" s="103" t="s">
        <v>1634</v>
      </c>
      <c r="Z202" s="103"/>
      <c r="AA202" s="103" t="s">
        <v>1862</v>
      </c>
      <c r="AB202" s="103">
        <v>40</v>
      </c>
      <c r="AC202" s="103">
        <v>0</v>
      </c>
      <c r="AD202" s="103">
        <v>40</v>
      </c>
      <c r="AE202" s="103" t="s">
        <v>1634</v>
      </c>
      <c r="AF202" s="103" t="s">
        <v>4493</v>
      </c>
      <c r="AG202" s="99" t="s">
        <v>4624</v>
      </c>
      <c r="AH202" s="103" t="s">
        <v>1862</v>
      </c>
      <c r="AI202" s="103" t="s">
        <v>1862</v>
      </c>
      <c r="AJ202" s="103" t="s">
        <v>1804</v>
      </c>
      <c r="AK202" s="103" t="s">
        <v>1804</v>
      </c>
      <c r="AL202" s="103" t="s">
        <v>1804</v>
      </c>
      <c r="AM202" s="103" t="s">
        <v>1804</v>
      </c>
      <c r="AN202" s="99" t="s">
        <v>4541</v>
      </c>
      <c r="AO202" s="103" t="s">
        <v>1862</v>
      </c>
      <c r="AP202" s="103">
        <v>675</v>
      </c>
      <c r="AQ202" s="103" t="s">
        <v>4461</v>
      </c>
      <c r="AR202" s="103"/>
      <c r="AS202" s="106">
        <v>980000</v>
      </c>
      <c r="AT202" s="103" t="s">
        <v>4661</v>
      </c>
      <c r="AU202" s="103" t="s">
        <v>1548</v>
      </c>
      <c r="AV202" s="99"/>
      <c r="AW202" s="99"/>
      <c r="AX202" s="99" t="s">
        <v>5474</v>
      </c>
      <c r="AY202" s="99" t="s">
        <v>4466</v>
      </c>
      <c r="AZ202" s="99" t="s">
        <v>4530</v>
      </c>
      <c r="BA202" s="103" t="s">
        <v>1548</v>
      </c>
      <c r="BB202" s="99"/>
      <c r="BC202" s="99">
        <v>1500</v>
      </c>
      <c r="BD202" s="99"/>
      <c r="BE202" s="99">
        <v>980000</v>
      </c>
      <c r="BF202" s="103" t="s">
        <v>5117</v>
      </c>
      <c r="BG202" s="103" t="s">
        <v>1862</v>
      </c>
      <c r="BH202" s="103" t="s">
        <v>1804</v>
      </c>
      <c r="BI202" s="103" t="s">
        <v>1862</v>
      </c>
      <c r="BJ202" s="103" t="s">
        <v>1862</v>
      </c>
      <c r="BK202" s="103" t="s">
        <v>4478</v>
      </c>
      <c r="BL202" s="103" t="s">
        <v>4472</v>
      </c>
      <c r="BM202" s="103" t="s">
        <v>4461</v>
      </c>
      <c r="BN202" s="103" t="s">
        <v>4690</v>
      </c>
      <c r="BO202" s="103">
        <v>200</v>
      </c>
      <c r="BP202" s="103" t="s">
        <v>4500</v>
      </c>
      <c r="BQ202" s="99" t="s">
        <v>4476</v>
      </c>
      <c r="BR202" s="99" t="s">
        <v>4476</v>
      </c>
      <c r="BS202" s="99"/>
      <c r="BT202" s="103" t="s">
        <v>3186</v>
      </c>
      <c r="BU202" s="99" t="s">
        <v>4475</v>
      </c>
      <c r="BV202" s="103" t="s">
        <v>4476</v>
      </c>
      <c r="BW202" s="103" t="s">
        <v>4476</v>
      </c>
      <c r="BX202" s="103" t="s">
        <v>1634</v>
      </c>
      <c r="BY202" s="103" t="s">
        <v>4535</v>
      </c>
      <c r="BZ202" s="103" t="s">
        <v>4515</v>
      </c>
      <c r="CA202" s="103" t="s">
        <v>4461</v>
      </c>
      <c r="CB202" s="103">
        <v>50</v>
      </c>
      <c r="CC202" s="103" t="s">
        <v>4502</v>
      </c>
      <c r="CD202" s="103" t="s">
        <v>4475</v>
      </c>
      <c r="CE202" s="103"/>
      <c r="CF202" s="103"/>
      <c r="CG202" s="103" t="s">
        <v>569</v>
      </c>
      <c r="CH202" s="103" t="s">
        <v>5475</v>
      </c>
      <c r="CI202" s="103">
        <v>76536169</v>
      </c>
      <c r="CJ202" s="103"/>
      <c r="CK202" s="108">
        <v>43366.629710648151</v>
      </c>
      <c r="CL202" s="109">
        <v>43366.66134259259</v>
      </c>
      <c r="CM202" s="95">
        <v>12.3425897</v>
      </c>
      <c r="CN202" s="95">
        <v>-1.4434689999999999</v>
      </c>
      <c r="CO202" s="99"/>
      <c r="CP202" s="99"/>
      <c r="CQ202" s="99"/>
      <c r="CR202" s="99"/>
      <c r="CS202" s="99"/>
      <c r="CT202" s="99"/>
      <c r="CU202" s="99"/>
      <c r="CV202" s="99"/>
      <c r="CW202" s="99"/>
      <c r="CX202" s="99"/>
      <c r="CY202" s="99"/>
      <c r="CZ202" s="99"/>
      <c r="DA202" s="99"/>
      <c r="DB202" s="99"/>
      <c r="DC202" s="99"/>
    </row>
    <row r="203" spans="1:107" ht="15.75" customHeight="1">
      <c r="A203" s="95">
        <v>204</v>
      </c>
      <c r="B203" s="99" t="s">
        <v>853</v>
      </c>
      <c r="C203" s="99" t="s">
        <v>716</v>
      </c>
      <c r="D203" s="99">
        <v>70680134</v>
      </c>
      <c r="E203" s="99" t="s">
        <v>309</v>
      </c>
      <c r="F203" s="95" t="s">
        <v>5159</v>
      </c>
      <c r="G203" s="95" t="s">
        <v>1049</v>
      </c>
      <c r="H203" s="95" t="s">
        <v>1070</v>
      </c>
      <c r="I203" s="95" t="s">
        <v>89</v>
      </c>
      <c r="J203" s="95"/>
      <c r="K203" s="99"/>
      <c r="L203" s="103" t="s">
        <v>4449</v>
      </c>
      <c r="M203" s="99" t="s">
        <v>5072</v>
      </c>
      <c r="N203" s="99" t="s">
        <v>4451</v>
      </c>
      <c r="O203" s="99" t="s">
        <v>4818</v>
      </c>
      <c r="P203" s="103">
        <v>2005</v>
      </c>
      <c r="Q203" s="103" t="s">
        <v>1862</v>
      </c>
      <c r="R203" s="99" t="s">
        <v>4521</v>
      </c>
      <c r="S203" s="103" t="s">
        <v>1541</v>
      </c>
      <c r="T203" s="103" t="s">
        <v>4522</v>
      </c>
      <c r="U203" s="99" t="s">
        <v>5476</v>
      </c>
      <c r="V203" s="95">
        <v>12.2562183</v>
      </c>
      <c r="W203" s="95">
        <v>-2.3517526000000002</v>
      </c>
      <c r="X203" s="104" t="s">
        <v>4839</v>
      </c>
      <c r="Y203" s="103"/>
      <c r="Z203" s="103"/>
      <c r="AA203" s="103" t="s">
        <v>1862</v>
      </c>
      <c r="AB203" s="103">
        <v>20</v>
      </c>
      <c r="AC203" s="103">
        <v>0</v>
      </c>
      <c r="AD203" s="103">
        <v>20</v>
      </c>
      <c r="AE203" s="103"/>
      <c r="AF203" s="103" t="s">
        <v>4493</v>
      </c>
      <c r="AG203" s="99" t="s">
        <v>4494</v>
      </c>
      <c r="AH203" s="103" t="s">
        <v>1862</v>
      </c>
      <c r="AI203" s="103" t="s">
        <v>1862</v>
      </c>
      <c r="AJ203" s="103" t="s">
        <v>1804</v>
      </c>
      <c r="AK203" s="103" t="s">
        <v>1804</v>
      </c>
      <c r="AL203" s="103" t="s">
        <v>1862</v>
      </c>
      <c r="AM203" s="103" t="s">
        <v>1862</v>
      </c>
      <c r="AN203" s="99" t="s">
        <v>4735</v>
      </c>
      <c r="AO203" s="103" t="s">
        <v>1862</v>
      </c>
      <c r="AP203" s="103">
        <v>600</v>
      </c>
      <c r="AQ203" s="103" t="s">
        <v>4461</v>
      </c>
      <c r="AR203" s="103">
        <v>700000</v>
      </c>
      <c r="AS203" s="106">
        <v>600000</v>
      </c>
      <c r="AT203" s="103" t="s">
        <v>4625</v>
      </c>
      <c r="AU203" s="103" t="s">
        <v>1548</v>
      </c>
      <c r="AV203" s="99"/>
      <c r="AW203" s="99" t="s">
        <v>5175</v>
      </c>
      <c r="AX203" s="99" t="s">
        <v>5028</v>
      </c>
      <c r="AY203" s="99" t="s">
        <v>4466</v>
      </c>
      <c r="AZ203" s="99" t="s">
        <v>4530</v>
      </c>
      <c r="BA203" s="103" t="s">
        <v>1548</v>
      </c>
      <c r="BB203" s="99">
        <v>3000</v>
      </c>
      <c r="BC203" s="99">
        <v>1800</v>
      </c>
      <c r="BD203" s="99">
        <v>480000</v>
      </c>
      <c r="BE203" s="99">
        <v>370000</v>
      </c>
      <c r="BF203" s="103" t="s">
        <v>4544</v>
      </c>
      <c r="BG203" s="103" t="s">
        <v>1862</v>
      </c>
      <c r="BH203" s="103" t="s">
        <v>1862</v>
      </c>
      <c r="BI203" s="103" t="s">
        <v>1804</v>
      </c>
      <c r="BJ203" s="103" t="s">
        <v>1804</v>
      </c>
      <c r="BK203" s="103" t="s">
        <v>4478</v>
      </c>
      <c r="BL203" s="103" t="s">
        <v>4472</v>
      </c>
      <c r="BM203" s="103" t="s">
        <v>4461</v>
      </c>
      <c r="BN203" s="103" t="s">
        <v>4690</v>
      </c>
      <c r="BO203" s="103">
        <v>500</v>
      </c>
      <c r="BP203" s="103" t="s">
        <v>4532</v>
      </c>
      <c r="BQ203" s="99" t="s">
        <v>4476</v>
      </c>
      <c r="BR203" s="99" t="s">
        <v>4476</v>
      </c>
      <c r="BS203" s="99" t="s">
        <v>4476</v>
      </c>
      <c r="BT203" s="103" t="s">
        <v>3186</v>
      </c>
      <c r="BU203" s="99" t="s">
        <v>4476</v>
      </c>
      <c r="BV203" s="103" t="s">
        <v>4476</v>
      </c>
      <c r="BW203" s="103" t="s">
        <v>1548</v>
      </c>
      <c r="BX203" s="103" t="s">
        <v>4535</v>
      </c>
      <c r="BY203" s="103" t="s">
        <v>4478</v>
      </c>
      <c r="BZ203" s="103" t="s">
        <v>4461</v>
      </c>
      <c r="CA203" s="103">
        <v>500</v>
      </c>
      <c r="CB203" s="103" t="s">
        <v>4480</v>
      </c>
      <c r="CC203" s="103" t="s">
        <v>4502</v>
      </c>
      <c r="CD203" s="103" t="s">
        <v>4480</v>
      </c>
      <c r="CE203" s="112" t="s">
        <v>4480</v>
      </c>
      <c r="CF203" s="103"/>
      <c r="CG203" s="103" t="s">
        <v>5477</v>
      </c>
      <c r="CH203" s="103" t="s">
        <v>890</v>
      </c>
      <c r="CI203" s="103">
        <v>73069921</v>
      </c>
      <c r="CJ203" s="99"/>
      <c r="CK203" s="108">
        <v>43366.446192129632</v>
      </c>
      <c r="CL203" s="108">
        <v>43366.47115740741</v>
      </c>
      <c r="CM203" s="95">
        <v>12.2562183</v>
      </c>
      <c r="CN203" s="95">
        <v>-2.3517526000000002</v>
      </c>
      <c r="CO203" s="99"/>
      <c r="CP203" s="99"/>
      <c r="CQ203" s="99"/>
      <c r="CR203" s="99"/>
      <c r="CS203" s="99"/>
      <c r="CT203" s="99"/>
      <c r="CU203" s="99"/>
      <c r="CV203" s="99"/>
      <c r="CW203" s="99"/>
      <c r="CX203" s="99"/>
      <c r="CY203" s="99"/>
      <c r="CZ203" s="99"/>
      <c r="DA203" s="99"/>
      <c r="DB203" s="99"/>
      <c r="DC203" s="99"/>
    </row>
    <row r="204" spans="1:107" ht="15.75" customHeight="1">
      <c r="A204" s="95">
        <v>205</v>
      </c>
      <c r="B204" s="99" t="s">
        <v>854</v>
      </c>
      <c r="C204" s="99" t="s">
        <v>776</v>
      </c>
      <c r="D204" s="99">
        <v>74854295</v>
      </c>
      <c r="E204" s="99" t="s">
        <v>310</v>
      </c>
      <c r="F204" s="95" t="s">
        <v>5478</v>
      </c>
      <c r="G204" s="95" t="s">
        <v>1085</v>
      </c>
      <c r="H204" s="95" t="s">
        <v>1123</v>
      </c>
      <c r="I204" s="95" t="s">
        <v>311</v>
      </c>
      <c r="J204" s="95"/>
      <c r="K204" s="99"/>
      <c r="L204" s="103" t="s">
        <v>4449</v>
      </c>
      <c r="M204" s="99" t="s">
        <v>4567</v>
      </c>
      <c r="N204" s="99" t="s">
        <v>4451</v>
      </c>
      <c r="O204" s="99" t="s">
        <v>4488</v>
      </c>
      <c r="P204" s="103">
        <v>2012</v>
      </c>
      <c r="Q204" s="103" t="s">
        <v>1862</v>
      </c>
      <c r="R204" s="99" t="s">
        <v>5479</v>
      </c>
      <c r="S204" s="103" t="s">
        <v>1541</v>
      </c>
      <c r="T204" s="103" t="s">
        <v>4522</v>
      </c>
      <c r="U204" s="99" t="s">
        <v>5480</v>
      </c>
      <c r="V204" s="95">
        <v>11.5029004</v>
      </c>
      <c r="W204" s="95">
        <v>-3.5812691999999999</v>
      </c>
      <c r="X204" s="104" t="s">
        <v>5481</v>
      </c>
      <c r="Y204" s="103" t="s">
        <v>1634</v>
      </c>
      <c r="Z204" s="103" t="s">
        <v>1634</v>
      </c>
      <c r="AA204" s="103" t="s">
        <v>1862</v>
      </c>
      <c r="AB204" s="103">
        <v>38</v>
      </c>
      <c r="AC204" s="103">
        <v>0</v>
      </c>
      <c r="AD204" s="103">
        <v>38</v>
      </c>
      <c r="AE204" s="103" t="s">
        <v>1634</v>
      </c>
      <c r="AF204" s="103" t="s">
        <v>5482</v>
      </c>
      <c r="AG204" s="99" t="s">
        <v>4902</v>
      </c>
      <c r="AH204" s="103" t="s">
        <v>1862</v>
      </c>
      <c r="AI204" s="103" t="s">
        <v>1862</v>
      </c>
      <c r="AJ204" s="103" t="s">
        <v>1804</v>
      </c>
      <c r="AK204" s="103" t="s">
        <v>1804</v>
      </c>
      <c r="AL204" s="103" t="s">
        <v>1862</v>
      </c>
      <c r="AM204" s="103" t="s">
        <v>1862</v>
      </c>
      <c r="AN204" s="99" t="s">
        <v>4604</v>
      </c>
      <c r="AO204" s="103" t="s">
        <v>1862</v>
      </c>
      <c r="AP204" s="103">
        <v>750</v>
      </c>
      <c r="AQ204" s="103" t="s">
        <v>4500</v>
      </c>
      <c r="AR204" s="103">
        <v>400000</v>
      </c>
      <c r="AS204" s="106">
        <v>500000</v>
      </c>
      <c r="AT204" s="103" t="s">
        <v>4542</v>
      </c>
      <c r="AU204" s="103" t="s">
        <v>1548</v>
      </c>
      <c r="AV204" s="99"/>
      <c r="AW204" s="99" t="s">
        <v>4791</v>
      </c>
      <c r="AX204" s="99" t="s">
        <v>4543</v>
      </c>
      <c r="AY204" s="99" t="s">
        <v>4466</v>
      </c>
      <c r="AZ204" s="99" t="s">
        <v>4530</v>
      </c>
      <c r="BA204" s="103" t="s">
        <v>1634</v>
      </c>
      <c r="BB204" s="99">
        <v>2500</v>
      </c>
      <c r="BC204" s="99">
        <v>1200</v>
      </c>
      <c r="BD204" s="99">
        <v>800000</v>
      </c>
      <c r="BE204" s="99">
        <v>1000000</v>
      </c>
      <c r="BF204" s="103" t="s">
        <v>5274</v>
      </c>
      <c r="BG204" s="103" t="s">
        <v>1862</v>
      </c>
      <c r="BH204" s="103" t="s">
        <v>1862</v>
      </c>
      <c r="BI204" s="103" t="s">
        <v>1862</v>
      </c>
      <c r="BJ204" s="103" t="s">
        <v>1804</v>
      </c>
      <c r="BK204" s="103" t="s">
        <v>4586</v>
      </c>
      <c r="BL204" s="103" t="s">
        <v>4472</v>
      </c>
      <c r="BM204" s="103" t="s">
        <v>4500</v>
      </c>
      <c r="BN204" s="103" t="s">
        <v>4512</v>
      </c>
      <c r="BO204" s="103">
        <v>5000</v>
      </c>
      <c r="BP204" s="103" t="s">
        <v>4499</v>
      </c>
      <c r="BQ204" s="99" t="s">
        <v>4476</v>
      </c>
      <c r="BR204" s="99" t="s">
        <v>4476</v>
      </c>
      <c r="BS204" s="99" t="s">
        <v>4476</v>
      </c>
      <c r="BT204" s="103" t="s">
        <v>3186</v>
      </c>
      <c r="BU204" s="99" t="s">
        <v>4475</v>
      </c>
      <c r="BV204" s="103" t="s">
        <v>4476</v>
      </c>
      <c r="BW204" s="103" t="s">
        <v>4476</v>
      </c>
      <c r="BX204" s="103" t="s">
        <v>1634</v>
      </c>
      <c r="BY204" s="103" t="s">
        <v>4810</v>
      </c>
      <c r="BZ204" s="103" t="s">
        <v>4478</v>
      </c>
      <c r="CA204" s="103" t="s">
        <v>5039</v>
      </c>
      <c r="CB204" s="103">
        <v>1000</v>
      </c>
      <c r="CC204" s="103" t="s">
        <v>4502</v>
      </c>
      <c r="CD204" s="103" t="s">
        <v>4502</v>
      </c>
      <c r="CE204" s="103" t="s">
        <v>4475</v>
      </c>
      <c r="CF204" s="103" t="s">
        <v>4482</v>
      </c>
      <c r="CG204" s="103"/>
      <c r="CH204" s="103"/>
      <c r="CI204" s="103">
        <v>74854295</v>
      </c>
      <c r="CJ204" s="103"/>
      <c r="CK204" s="108">
        <v>40179.02447916667</v>
      </c>
      <c r="CL204" s="109">
        <v>40179.044027777774</v>
      </c>
      <c r="CM204" s="95">
        <v>11.5029004</v>
      </c>
      <c r="CN204" s="95">
        <v>-3.5812691999999999</v>
      </c>
      <c r="CO204" s="99"/>
      <c r="CP204" s="99"/>
      <c r="CQ204" s="99"/>
      <c r="CR204" s="99"/>
      <c r="CS204" s="99"/>
      <c r="CT204" s="99"/>
      <c r="CU204" s="99"/>
      <c r="CV204" s="99"/>
      <c r="CW204" s="99"/>
      <c r="CX204" s="99"/>
      <c r="CY204" s="99"/>
      <c r="CZ204" s="99"/>
      <c r="DA204" s="99"/>
      <c r="DB204" s="99"/>
      <c r="DC204" s="99"/>
    </row>
    <row r="205" spans="1:107" ht="15.75" customHeight="1">
      <c r="A205" s="95">
        <v>206</v>
      </c>
      <c r="B205" s="99" t="s">
        <v>855</v>
      </c>
      <c r="C205" s="99" t="s">
        <v>522</v>
      </c>
      <c r="D205" s="110">
        <v>62399793</v>
      </c>
      <c r="E205" s="99" t="s">
        <v>312</v>
      </c>
      <c r="F205" s="95" t="s">
        <v>5434</v>
      </c>
      <c r="G205" s="95" t="s">
        <v>1076</v>
      </c>
      <c r="H205" s="95" t="s">
        <v>1116</v>
      </c>
      <c r="I205" s="95" t="s">
        <v>291</v>
      </c>
      <c r="J205" s="95"/>
      <c r="K205" s="99"/>
      <c r="L205" s="103" t="s">
        <v>4449</v>
      </c>
      <c r="M205" s="99" t="s">
        <v>4450</v>
      </c>
      <c r="N205" s="99" t="s">
        <v>4520</v>
      </c>
      <c r="O205" s="99" t="s">
        <v>4694</v>
      </c>
      <c r="P205" s="103">
        <v>2002</v>
      </c>
      <c r="Q205" s="103" t="s">
        <v>1862</v>
      </c>
      <c r="R205" s="99" t="s">
        <v>4453</v>
      </c>
      <c r="S205" s="103" t="s">
        <v>1541</v>
      </c>
      <c r="T205" s="103" t="s">
        <v>4522</v>
      </c>
      <c r="U205" s="99" t="s">
        <v>5435</v>
      </c>
      <c r="V205" s="95">
        <v>11.4772766</v>
      </c>
      <c r="W205" s="95">
        <v>1.2453219</v>
      </c>
      <c r="X205" s="104" t="s">
        <v>5436</v>
      </c>
      <c r="Y205" s="103" t="s">
        <v>1634</v>
      </c>
      <c r="Z205" s="103" t="s">
        <v>1634</v>
      </c>
      <c r="AA205" s="103" t="s">
        <v>1862</v>
      </c>
      <c r="AB205" s="103">
        <v>15</v>
      </c>
      <c r="AC205" s="103">
        <v>0</v>
      </c>
      <c r="AD205" s="103">
        <v>15</v>
      </c>
      <c r="AE205" s="103" t="s">
        <v>1634</v>
      </c>
      <c r="AF205" s="103" t="s">
        <v>4830</v>
      </c>
      <c r="AG205" s="99" t="s">
        <v>4569</v>
      </c>
      <c r="AH205" s="103" t="s">
        <v>1862</v>
      </c>
      <c r="AI205" s="103" t="s">
        <v>1862</v>
      </c>
      <c r="AJ205" s="103" t="s">
        <v>1862</v>
      </c>
      <c r="AK205" s="103" t="s">
        <v>1862</v>
      </c>
      <c r="AL205" s="103" t="s">
        <v>1862</v>
      </c>
      <c r="AM205" s="103" t="s">
        <v>1862</v>
      </c>
      <c r="AN205" s="99" t="s">
        <v>4570</v>
      </c>
      <c r="AO205" s="103" t="s">
        <v>1862</v>
      </c>
      <c r="AP205" s="103">
        <v>1500</v>
      </c>
      <c r="AQ205" s="103" t="s">
        <v>4461</v>
      </c>
      <c r="AR205" s="105">
        <v>210000</v>
      </c>
      <c r="AS205" s="106">
        <v>300000</v>
      </c>
      <c r="AT205" s="103" t="s">
        <v>4496</v>
      </c>
      <c r="AU205" s="103" t="s">
        <v>1634</v>
      </c>
      <c r="AV205" s="99" t="s">
        <v>4463</v>
      </c>
      <c r="AW205" s="99" t="s">
        <v>4571</v>
      </c>
      <c r="AX205" s="99" t="s">
        <v>4572</v>
      </c>
      <c r="AY205" s="99" t="s">
        <v>4560</v>
      </c>
      <c r="AZ205" s="99" t="s">
        <v>4467</v>
      </c>
      <c r="BA205" s="103" t="s">
        <v>1634</v>
      </c>
      <c r="BB205" s="99">
        <v>1200</v>
      </c>
      <c r="BC205" s="99">
        <v>2000</v>
      </c>
      <c r="BD205" s="99">
        <v>100000</v>
      </c>
      <c r="BE205" s="99">
        <v>200000</v>
      </c>
      <c r="BF205" s="103" t="s">
        <v>4468</v>
      </c>
      <c r="BG205" s="103" t="s">
        <v>1862</v>
      </c>
      <c r="BH205" s="103" t="s">
        <v>1862</v>
      </c>
      <c r="BI205" s="103" t="s">
        <v>1804</v>
      </c>
      <c r="BJ205" s="103" t="s">
        <v>1804</v>
      </c>
      <c r="BK205" s="103" t="s">
        <v>4478</v>
      </c>
      <c r="BL205" s="103" t="s">
        <v>4470</v>
      </c>
      <c r="BM205" s="103" t="s">
        <v>4472</v>
      </c>
      <c r="BN205" s="103" t="s">
        <v>4573</v>
      </c>
      <c r="BO205" s="103">
        <v>80</v>
      </c>
      <c r="BP205" s="103" t="s">
        <v>4472</v>
      </c>
      <c r="BQ205" s="107" t="s">
        <v>4473</v>
      </c>
      <c r="BR205" s="99" t="s">
        <v>4473</v>
      </c>
      <c r="BS205" s="99" t="s">
        <v>4473</v>
      </c>
      <c r="BT205" s="103" t="s">
        <v>3186</v>
      </c>
      <c r="BU205" s="107" t="s">
        <v>4574</v>
      </c>
      <c r="BV205" s="103" t="s">
        <v>4476</v>
      </c>
      <c r="BW205" s="103" t="s">
        <v>1548</v>
      </c>
      <c r="BX205" s="103" t="s">
        <v>4575</v>
      </c>
      <c r="BY205" s="103" t="s">
        <v>4478</v>
      </c>
      <c r="BZ205" s="103" t="s">
        <v>4509</v>
      </c>
      <c r="CA205" s="103">
        <v>2000</v>
      </c>
      <c r="CB205" s="103" t="s">
        <v>4475</v>
      </c>
      <c r="CC205" s="103" t="s">
        <v>4502</v>
      </c>
      <c r="CD205" s="103" t="s">
        <v>4475</v>
      </c>
      <c r="CE205" s="103" t="s">
        <v>4475</v>
      </c>
      <c r="CF205" s="103" t="s">
        <v>4482</v>
      </c>
      <c r="CG205" s="103" t="s">
        <v>5483</v>
      </c>
      <c r="CH205" s="103" t="s">
        <v>847</v>
      </c>
      <c r="CI205" s="111">
        <v>62399793</v>
      </c>
      <c r="CJ205" s="99"/>
      <c r="CK205" s="108">
        <v>43364.414409722223</v>
      </c>
      <c r="CL205" s="108">
        <v>43364.437928240739</v>
      </c>
      <c r="CM205" s="95">
        <v>11.4772766</v>
      </c>
      <c r="CN205" s="95">
        <v>1.2453219</v>
      </c>
      <c r="CO205" s="99"/>
      <c r="CP205" s="99"/>
      <c r="CQ205" s="99"/>
      <c r="CR205" s="99"/>
      <c r="CS205" s="99"/>
      <c r="CT205" s="99"/>
      <c r="CU205" s="99"/>
      <c r="CV205" s="99"/>
      <c r="CW205" s="99"/>
      <c r="CX205" s="99"/>
      <c r="CY205" s="99"/>
      <c r="CZ205" s="99"/>
      <c r="DA205" s="99"/>
      <c r="DB205" s="99"/>
      <c r="DC205" s="99"/>
    </row>
    <row r="206" spans="1:107" ht="15.75" customHeight="1">
      <c r="A206" s="95">
        <v>207</v>
      </c>
      <c r="B206" s="99" t="s">
        <v>856</v>
      </c>
      <c r="C206" s="99" t="s">
        <v>857</v>
      </c>
      <c r="D206" s="99">
        <v>70233569</v>
      </c>
      <c r="E206" s="99" t="s">
        <v>313</v>
      </c>
      <c r="F206" s="95" t="e">
        <v>#N/A</v>
      </c>
      <c r="G206" s="95" t="e">
        <v>#N/A</v>
      </c>
      <c r="H206" s="95"/>
      <c r="I206" s="95"/>
      <c r="J206" s="95"/>
      <c r="K206" s="99"/>
      <c r="L206" s="103" t="s">
        <v>4449</v>
      </c>
      <c r="M206" s="99" t="s">
        <v>4487</v>
      </c>
      <c r="N206" s="99" t="s">
        <v>4698</v>
      </c>
      <c r="O206" s="99" t="s">
        <v>4947</v>
      </c>
      <c r="P206" s="103">
        <v>2005</v>
      </c>
      <c r="Q206" s="103" t="s">
        <v>1862</v>
      </c>
      <c r="R206" s="99" t="s">
        <v>4521</v>
      </c>
      <c r="S206" s="103" t="s">
        <v>2282</v>
      </c>
      <c r="T206" s="103" t="s">
        <v>4490</v>
      </c>
      <c r="U206" s="99" t="e">
        <v>#N/A</v>
      </c>
      <c r="V206" s="95"/>
      <c r="W206" s="95"/>
      <c r="X206" s="104" t="s">
        <v>5484</v>
      </c>
      <c r="Y206" s="103" t="s">
        <v>1548</v>
      </c>
      <c r="Z206" s="103" t="s">
        <v>1548</v>
      </c>
      <c r="AA206" s="103" t="s">
        <v>1862</v>
      </c>
      <c r="AB206" s="103">
        <v>32</v>
      </c>
      <c r="AC206" s="103">
        <v>2</v>
      </c>
      <c r="AD206" s="103">
        <v>30</v>
      </c>
      <c r="AE206" s="103" t="s">
        <v>1634</v>
      </c>
      <c r="AF206" s="103" t="s">
        <v>4493</v>
      </c>
      <c r="AG206" s="99" t="s">
        <v>4724</v>
      </c>
      <c r="AH206" s="103" t="s">
        <v>1804</v>
      </c>
      <c r="AI206" s="103" t="s">
        <v>1804</v>
      </c>
      <c r="AJ206" s="103" t="s">
        <v>1804</v>
      </c>
      <c r="AK206" s="103" t="s">
        <v>1804</v>
      </c>
      <c r="AL206" s="103" t="s">
        <v>1804</v>
      </c>
      <c r="AM206" s="103" t="s">
        <v>1804</v>
      </c>
      <c r="AN206" s="99" t="s">
        <v>5337</v>
      </c>
      <c r="AO206" s="103" t="s">
        <v>1862</v>
      </c>
      <c r="AP206" s="103">
        <v>1000</v>
      </c>
      <c r="AQ206" s="103" t="s">
        <v>4461</v>
      </c>
      <c r="AR206" s="103">
        <v>2000000</v>
      </c>
      <c r="AS206" s="106">
        <v>1375000</v>
      </c>
      <c r="AT206" s="103" t="s">
        <v>4510</v>
      </c>
      <c r="AU206" s="103" t="s">
        <v>1634</v>
      </c>
      <c r="AV206" s="99" t="s">
        <v>5353</v>
      </c>
      <c r="AW206" s="99" t="s">
        <v>4973</v>
      </c>
      <c r="AX206" s="99" t="s">
        <v>5233</v>
      </c>
      <c r="AY206" s="99" t="s">
        <v>4560</v>
      </c>
      <c r="AZ206" s="99" t="s">
        <v>4530</v>
      </c>
      <c r="BA206" s="103" t="s">
        <v>1634</v>
      </c>
      <c r="BB206" s="99">
        <v>10000</v>
      </c>
      <c r="BC206" s="99">
        <v>1375</v>
      </c>
      <c r="BD206" s="99">
        <v>2000000</v>
      </c>
      <c r="BE206" s="99">
        <v>1500000</v>
      </c>
      <c r="BF206" s="103"/>
      <c r="BG206" s="103"/>
      <c r="BH206" s="103"/>
      <c r="BI206" s="103"/>
      <c r="BJ206" s="103"/>
      <c r="BK206" s="103" t="s">
        <v>4499</v>
      </c>
      <c r="BL206" s="103"/>
      <c r="BM206" s="103"/>
      <c r="BN206" s="103" t="s">
        <v>4562</v>
      </c>
      <c r="BO206" s="103">
        <v>1000</v>
      </c>
      <c r="BP206" s="103" t="s">
        <v>4500</v>
      </c>
      <c r="BQ206" s="99" t="s">
        <v>4476</v>
      </c>
      <c r="BR206" s="99" t="s">
        <v>4476</v>
      </c>
      <c r="BS206" s="99"/>
      <c r="BT206" s="103" t="s">
        <v>3186</v>
      </c>
      <c r="BU206" s="99" t="s">
        <v>4475</v>
      </c>
      <c r="BV206" s="103" t="s">
        <v>4476</v>
      </c>
      <c r="BW206" s="103" t="s">
        <v>4476</v>
      </c>
      <c r="BX206" s="103" t="s">
        <v>1548</v>
      </c>
      <c r="BY206" s="103" t="s">
        <v>4535</v>
      </c>
      <c r="BZ206" s="103" t="s">
        <v>4478</v>
      </c>
      <c r="CA206" s="103"/>
      <c r="CB206" s="103">
        <v>75</v>
      </c>
      <c r="CC206" s="103" t="s">
        <v>4502</v>
      </c>
      <c r="CD206" s="103" t="s">
        <v>4502</v>
      </c>
      <c r="CE206" s="103" t="s">
        <v>4481</v>
      </c>
      <c r="CF206" s="103"/>
      <c r="CG206" s="103" t="s">
        <v>5485</v>
      </c>
      <c r="CH206" s="103" t="s">
        <v>5486</v>
      </c>
      <c r="CI206" s="103">
        <v>70233569</v>
      </c>
      <c r="CJ206" s="103"/>
      <c r="CK206" s="108">
        <v>43365.49894675926</v>
      </c>
      <c r="CL206" s="109">
        <v>43365.681469907409</v>
      </c>
      <c r="CM206" s="121"/>
      <c r="CN206" s="121"/>
      <c r="CO206" s="99"/>
      <c r="CP206" s="99"/>
      <c r="CQ206" s="99"/>
      <c r="CR206" s="99"/>
      <c r="CS206" s="99"/>
      <c r="CT206" s="99"/>
      <c r="CU206" s="99"/>
      <c r="CV206" s="99"/>
      <c r="CW206" s="99"/>
      <c r="CX206" s="99"/>
      <c r="CY206" s="99"/>
      <c r="CZ206" s="99"/>
      <c r="DA206" s="99"/>
      <c r="DB206" s="99"/>
      <c r="DC206" s="99"/>
    </row>
    <row r="207" spans="1:107" ht="15.75" customHeight="1">
      <c r="A207" s="95">
        <v>208</v>
      </c>
      <c r="B207" s="99" t="s">
        <v>858</v>
      </c>
      <c r="C207" s="99" t="s">
        <v>859</v>
      </c>
      <c r="D207" s="99">
        <v>72246557</v>
      </c>
      <c r="E207" s="99" t="s">
        <v>314</v>
      </c>
      <c r="F207" s="95" t="s">
        <v>5487</v>
      </c>
      <c r="G207" s="95" t="s">
        <v>1052</v>
      </c>
      <c r="H207" s="95" t="s">
        <v>1103</v>
      </c>
      <c r="I207" s="95" t="s">
        <v>315</v>
      </c>
      <c r="J207" s="99" t="s">
        <v>1129</v>
      </c>
      <c r="K207" s="99"/>
      <c r="L207" s="103" t="s">
        <v>4449</v>
      </c>
      <c r="M207" s="99" t="s">
        <v>4567</v>
      </c>
      <c r="N207" s="99" t="s">
        <v>4520</v>
      </c>
      <c r="O207" s="99" t="s">
        <v>4754</v>
      </c>
      <c r="P207" s="103">
        <v>2016</v>
      </c>
      <c r="Q207" s="103" t="s">
        <v>1862</v>
      </c>
      <c r="R207" s="99" t="s">
        <v>4551</v>
      </c>
      <c r="S207" s="103" t="s">
        <v>1541</v>
      </c>
      <c r="T207" s="103" t="s">
        <v>4522</v>
      </c>
      <c r="U207" s="99" t="s">
        <v>5488</v>
      </c>
      <c r="V207" s="95">
        <v>11.7528516</v>
      </c>
      <c r="W207" s="95">
        <v>-0.5872288</v>
      </c>
      <c r="X207" s="104" t="s">
        <v>5489</v>
      </c>
      <c r="Y207" s="103" t="s">
        <v>1548</v>
      </c>
      <c r="Z207" s="103" t="s">
        <v>1548</v>
      </c>
      <c r="AA207" s="103" t="s">
        <v>1862</v>
      </c>
      <c r="AB207" s="103">
        <v>105</v>
      </c>
      <c r="AC207" s="103">
        <v>0</v>
      </c>
      <c r="AD207" s="103">
        <v>105</v>
      </c>
      <c r="AE207" s="103" t="s">
        <v>1634</v>
      </c>
      <c r="AF207" s="103" t="s">
        <v>5490</v>
      </c>
      <c r="AG207" s="99" t="s">
        <v>5491</v>
      </c>
      <c r="AH207" s="103" t="s">
        <v>1862</v>
      </c>
      <c r="AI207" s="103" t="s">
        <v>1804</v>
      </c>
      <c r="AJ207" s="103" t="s">
        <v>1862</v>
      </c>
      <c r="AK207" s="103" t="s">
        <v>1862</v>
      </c>
      <c r="AL207" s="103" t="s">
        <v>1862</v>
      </c>
      <c r="AM207" s="103" t="s">
        <v>1862</v>
      </c>
      <c r="AN207" s="99" t="s">
        <v>4584</v>
      </c>
      <c r="AO207" s="103" t="s">
        <v>1862</v>
      </c>
      <c r="AP207" s="103">
        <v>900</v>
      </c>
      <c r="AQ207" s="103" t="s">
        <v>4500</v>
      </c>
      <c r="AR207" s="103">
        <v>0</v>
      </c>
      <c r="AS207" s="106">
        <v>84000</v>
      </c>
      <c r="AT207" s="103" t="s">
        <v>4496</v>
      </c>
      <c r="AU207" s="103" t="s">
        <v>1634</v>
      </c>
      <c r="AV207" s="99" t="s">
        <v>4557</v>
      </c>
      <c r="AW207" s="99" t="s">
        <v>5492</v>
      </c>
      <c r="AX207" s="99" t="s">
        <v>5493</v>
      </c>
      <c r="AY207" s="99" t="s">
        <v>4560</v>
      </c>
      <c r="AZ207" s="99" t="s">
        <v>4467</v>
      </c>
      <c r="BA207" s="103" t="s">
        <v>1548</v>
      </c>
      <c r="BB207" s="99">
        <v>0</v>
      </c>
      <c r="BC207" s="99">
        <v>20000</v>
      </c>
      <c r="BD207" s="99">
        <v>0</v>
      </c>
      <c r="BE207" s="99">
        <v>84000</v>
      </c>
      <c r="BF207" s="103" t="s">
        <v>4653</v>
      </c>
      <c r="BG207" s="103" t="s">
        <v>1862</v>
      </c>
      <c r="BH207" s="103" t="s">
        <v>1804</v>
      </c>
      <c r="BI207" s="103" t="s">
        <v>1862</v>
      </c>
      <c r="BJ207" s="103" t="s">
        <v>1804</v>
      </c>
      <c r="BK207" s="103" t="s">
        <v>4478</v>
      </c>
      <c r="BL207" s="103" t="s">
        <v>4472</v>
      </c>
      <c r="BM207" s="103" t="s">
        <v>4461</v>
      </c>
      <c r="BN207" s="103" t="s">
        <v>4531</v>
      </c>
      <c r="BO207" s="103">
        <v>800</v>
      </c>
      <c r="BP207" s="103" t="s">
        <v>4500</v>
      </c>
      <c r="BQ207" s="107" t="s">
        <v>4476</v>
      </c>
      <c r="BR207" s="99" t="s">
        <v>4564</v>
      </c>
      <c r="BS207" s="99"/>
      <c r="BT207" s="103" t="s">
        <v>3186</v>
      </c>
      <c r="BU207" s="99" t="s">
        <v>4502</v>
      </c>
      <c r="BV207" s="103" t="s">
        <v>4476</v>
      </c>
      <c r="BW207" s="103" t="s">
        <v>4476</v>
      </c>
      <c r="BX207" s="103" t="s">
        <v>1548</v>
      </c>
      <c r="BY207" s="103" t="s">
        <v>4501</v>
      </c>
      <c r="BZ207" s="103" t="s">
        <v>4478</v>
      </c>
      <c r="CA207" s="103" t="s">
        <v>4509</v>
      </c>
      <c r="CB207" s="103">
        <v>75</v>
      </c>
      <c r="CC207" s="103"/>
      <c r="CD207" s="103"/>
      <c r="CE207" s="103"/>
      <c r="CF207" s="103"/>
      <c r="CG207" s="103" t="s">
        <v>5494</v>
      </c>
      <c r="CH207" s="103" t="s">
        <v>5495</v>
      </c>
      <c r="CI207" s="103">
        <v>55032309</v>
      </c>
      <c r="CJ207" s="103"/>
      <c r="CK207" s="108">
        <v>43366.559016203704</v>
      </c>
      <c r="CL207" s="109">
        <v>43367.386030092595</v>
      </c>
      <c r="CM207" s="95">
        <v>11.7528516</v>
      </c>
      <c r="CN207" s="95">
        <v>-0.5872288</v>
      </c>
      <c r="CO207" s="99"/>
      <c r="CP207" s="99"/>
      <c r="CQ207" s="99"/>
      <c r="CR207" s="99"/>
      <c r="CS207" s="99"/>
      <c r="CT207" s="99"/>
      <c r="CU207" s="99"/>
      <c r="CV207" s="99"/>
      <c r="CW207" s="99"/>
      <c r="CX207" s="99"/>
      <c r="CY207" s="99"/>
      <c r="CZ207" s="99"/>
      <c r="DA207" s="99"/>
      <c r="DB207" s="99"/>
      <c r="DC207" s="99"/>
    </row>
    <row r="208" spans="1:107" ht="15.75" customHeight="1">
      <c r="A208" s="95">
        <v>209</v>
      </c>
      <c r="B208" s="99" t="s">
        <v>860</v>
      </c>
      <c r="C208" s="99" t="s">
        <v>861</v>
      </c>
      <c r="D208" s="99">
        <v>78701344</v>
      </c>
      <c r="E208" s="99" t="s">
        <v>316</v>
      </c>
      <c r="F208" s="95" t="s">
        <v>4536</v>
      </c>
      <c r="G208" s="95" t="s">
        <v>1049</v>
      </c>
      <c r="H208" s="95" t="s">
        <v>1050</v>
      </c>
      <c r="I208" s="95" t="s">
        <v>16</v>
      </c>
      <c r="J208" s="95"/>
      <c r="K208" s="99"/>
      <c r="L208" s="103" t="s">
        <v>4449</v>
      </c>
      <c r="M208" s="99" t="s">
        <v>4632</v>
      </c>
      <c r="N208" s="99" t="s">
        <v>4451</v>
      </c>
      <c r="O208" s="99" t="s">
        <v>4452</v>
      </c>
      <c r="P208" s="103">
        <v>2001</v>
      </c>
      <c r="Q208" s="103" t="s">
        <v>1862</v>
      </c>
      <c r="R208" s="99" t="s">
        <v>4633</v>
      </c>
      <c r="S208" s="103" t="s">
        <v>1541</v>
      </c>
      <c r="T208" s="103" t="s">
        <v>4634</v>
      </c>
      <c r="U208" s="99" t="s">
        <v>4539</v>
      </c>
      <c r="V208" s="95">
        <v>11.547870400000001</v>
      </c>
      <c r="W208" s="95">
        <v>-1.7684869999999999</v>
      </c>
      <c r="X208" s="104" t="s">
        <v>4540</v>
      </c>
      <c r="Y208" s="103" t="s">
        <v>1634</v>
      </c>
      <c r="Z208" s="103" t="s">
        <v>1634</v>
      </c>
      <c r="AA208" s="103" t="s">
        <v>1862</v>
      </c>
      <c r="AB208" s="103">
        <v>300</v>
      </c>
      <c r="AC208" s="103">
        <v>4</v>
      </c>
      <c r="AD208" s="103">
        <v>296</v>
      </c>
      <c r="AE208" s="103" t="s">
        <v>1634</v>
      </c>
      <c r="AF208" s="103" t="s">
        <v>4493</v>
      </c>
      <c r="AG208" s="99" t="s">
        <v>4554</v>
      </c>
      <c r="AH208" s="103" t="s">
        <v>1862</v>
      </c>
      <c r="AI208" s="103" t="s">
        <v>1862</v>
      </c>
      <c r="AJ208" s="103" t="s">
        <v>1862</v>
      </c>
      <c r="AK208" s="103" t="s">
        <v>1862</v>
      </c>
      <c r="AL208" s="103" t="s">
        <v>1804</v>
      </c>
      <c r="AM208" s="103" t="s">
        <v>1862</v>
      </c>
      <c r="AN208" s="99" t="s">
        <v>4638</v>
      </c>
      <c r="AO208" s="103" t="s">
        <v>1862</v>
      </c>
      <c r="AP208" s="103">
        <v>1500</v>
      </c>
      <c r="AQ208" s="112" t="s">
        <v>4461</v>
      </c>
      <c r="AR208" s="103"/>
      <c r="AS208" s="106">
        <v>50000000</v>
      </c>
      <c r="AT208" s="103" t="s">
        <v>4527</v>
      </c>
      <c r="AU208" s="103" t="s">
        <v>1634</v>
      </c>
      <c r="AV208" s="99" t="s">
        <v>4463</v>
      </c>
      <c r="AW208" s="99" t="s">
        <v>4639</v>
      </c>
      <c r="AX208" s="99" t="s">
        <v>4640</v>
      </c>
      <c r="AY208" s="99" t="s">
        <v>4641</v>
      </c>
      <c r="AZ208" s="99" t="s">
        <v>4530</v>
      </c>
      <c r="BA208" s="103" t="s">
        <v>1634</v>
      </c>
      <c r="BB208" s="99"/>
      <c r="BC208" s="99">
        <v>22000</v>
      </c>
      <c r="BD208" s="99"/>
      <c r="BE208" s="99">
        <v>50000000</v>
      </c>
      <c r="BF208" s="103" t="s">
        <v>4642</v>
      </c>
      <c r="BG208" s="103" t="s">
        <v>1862</v>
      </c>
      <c r="BH208" s="103" t="s">
        <v>1862</v>
      </c>
      <c r="BI208" s="103" t="s">
        <v>1862</v>
      </c>
      <c r="BJ208" s="103" t="s">
        <v>1862</v>
      </c>
      <c r="BK208" s="103" t="s">
        <v>4469</v>
      </c>
      <c r="BL208" s="103" t="s">
        <v>4472</v>
      </c>
      <c r="BM208" s="103" t="s">
        <v>4461</v>
      </c>
      <c r="BN208" s="103" t="s">
        <v>4643</v>
      </c>
      <c r="BO208" s="103">
        <v>450</v>
      </c>
      <c r="BP208" s="103" t="s">
        <v>4532</v>
      </c>
      <c r="BQ208" s="99" t="s">
        <v>4644</v>
      </c>
      <c r="BR208" s="99" t="s">
        <v>4644</v>
      </c>
      <c r="BS208" s="99" t="s">
        <v>4564</v>
      </c>
      <c r="BT208" s="103" t="s">
        <v>3186</v>
      </c>
      <c r="BU208" s="99"/>
      <c r="BV208" s="103" t="s">
        <v>4644</v>
      </c>
      <c r="BW208" s="103" t="s">
        <v>4644</v>
      </c>
      <c r="BX208" s="103"/>
      <c r="BY208" s="103"/>
      <c r="BZ208" s="103"/>
      <c r="CA208" s="103"/>
      <c r="CB208" s="103"/>
      <c r="CC208" s="103" t="s">
        <v>4502</v>
      </c>
      <c r="CD208" s="103" t="s">
        <v>4475</v>
      </c>
      <c r="CE208" s="112" t="s">
        <v>4475</v>
      </c>
      <c r="CF208" s="103"/>
      <c r="CG208" s="103" t="s">
        <v>860</v>
      </c>
      <c r="CH208" s="103" t="s">
        <v>861</v>
      </c>
      <c r="CI208" s="103">
        <v>78701344</v>
      </c>
      <c r="CJ208" s="103"/>
      <c r="CK208" s="108">
        <v>43364.693287037036</v>
      </c>
      <c r="CL208" s="109">
        <v>43364.732754629629</v>
      </c>
      <c r="CM208" s="95">
        <v>11.547870400000001</v>
      </c>
      <c r="CN208" s="95">
        <v>-1.7684869999999999</v>
      </c>
      <c r="CO208" s="99"/>
      <c r="CP208" s="99"/>
      <c r="CQ208" s="99"/>
      <c r="CR208" s="99"/>
      <c r="CS208" s="99"/>
      <c r="CT208" s="99"/>
      <c r="CU208" s="99"/>
      <c r="CV208" s="99"/>
      <c r="CW208" s="99"/>
      <c r="CX208" s="99"/>
      <c r="CY208" s="99"/>
      <c r="CZ208" s="99"/>
      <c r="DA208" s="99"/>
      <c r="DB208" s="99"/>
      <c r="DC208" s="99"/>
    </row>
    <row r="209" spans="1:107" ht="15.75" customHeight="1">
      <c r="A209" s="95">
        <v>210</v>
      </c>
      <c r="B209" s="99" t="s">
        <v>547</v>
      </c>
      <c r="C209" s="99" t="s">
        <v>862</v>
      </c>
      <c r="D209" s="99">
        <v>70259838</v>
      </c>
      <c r="E209" s="99" t="s">
        <v>317</v>
      </c>
      <c r="F209" s="95" t="s">
        <v>4939</v>
      </c>
      <c r="G209" s="95" t="s">
        <v>1086</v>
      </c>
      <c r="H209" s="95" t="s">
        <v>1070</v>
      </c>
      <c r="I209" s="95" t="s">
        <v>89</v>
      </c>
      <c r="J209" s="95"/>
      <c r="K209" s="99"/>
      <c r="L209" s="103" t="s">
        <v>4449</v>
      </c>
      <c r="M209" s="99" t="s">
        <v>4450</v>
      </c>
      <c r="N209" s="99" t="s">
        <v>4718</v>
      </c>
      <c r="O209" s="99" t="s">
        <v>4452</v>
      </c>
      <c r="P209" s="103">
        <v>2001</v>
      </c>
      <c r="Q209" s="103" t="s">
        <v>1862</v>
      </c>
      <c r="R209" s="99" t="s">
        <v>4633</v>
      </c>
      <c r="S209" s="103" t="s">
        <v>4454</v>
      </c>
      <c r="T209" s="103" t="s">
        <v>4634</v>
      </c>
      <c r="U209" s="99" t="s">
        <v>4940</v>
      </c>
      <c r="V209" s="95">
        <v>12.2562183</v>
      </c>
      <c r="W209" s="95">
        <v>-2.3517526000000002</v>
      </c>
      <c r="X209" s="104" t="s">
        <v>4839</v>
      </c>
      <c r="Y209" s="103" t="s">
        <v>1634</v>
      </c>
      <c r="Z209" s="103" t="s">
        <v>1634</v>
      </c>
      <c r="AA209" s="103" t="s">
        <v>1862</v>
      </c>
      <c r="AB209" s="103">
        <v>300</v>
      </c>
      <c r="AC209" s="103">
        <v>4</v>
      </c>
      <c r="AD209" s="103">
        <v>296</v>
      </c>
      <c r="AE209" s="103" t="s">
        <v>1634</v>
      </c>
      <c r="AF209" s="103" t="s">
        <v>4493</v>
      </c>
      <c r="AG209" s="99" t="s">
        <v>4554</v>
      </c>
      <c r="AH209" s="103" t="s">
        <v>1862</v>
      </c>
      <c r="AI209" s="103" t="s">
        <v>1862</v>
      </c>
      <c r="AJ209" s="103" t="s">
        <v>1862</v>
      </c>
      <c r="AK209" s="103" t="s">
        <v>1862</v>
      </c>
      <c r="AL209" s="103" t="s">
        <v>1804</v>
      </c>
      <c r="AM209" s="103" t="s">
        <v>1862</v>
      </c>
      <c r="AN209" s="99" t="s">
        <v>4638</v>
      </c>
      <c r="AO209" s="103" t="s">
        <v>1862</v>
      </c>
      <c r="AP209" s="103">
        <v>1500</v>
      </c>
      <c r="AQ209" s="112" t="s">
        <v>4461</v>
      </c>
      <c r="AR209" s="103"/>
      <c r="AS209" s="106">
        <v>50000000</v>
      </c>
      <c r="AT209" s="103" t="s">
        <v>4527</v>
      </c>
      <c r="AU209" s="103" t="s">
        <v>1634</v>
      </c>
      <c r="AV209" s="99" t="s">
        <v>4463</v>
      </c>
      <c r="AW209" s="99" t="s">
        <v>4639</v>
      </c>
      <c r="AX209" s="99" t="s">
        <v>4640</v>
      </c>
      <c r="AY209" s="99" t="s">
        <v>4641</v>
      </c>
      <c r="AZ209" s="99" t="s">
        <v>4530</v>
      </c>
      <c r="BA209" s="103" t="s">
        <v>1634</v>
      </c>
      <c r="BB209" s="99"/>
      <c r="BC209" s="99">
        <v>22000</v>
      </c>
      <c r="BD209" s="99"/>
      <c r="BE209" s="99">
        <v>41000000</v>
      </c>
      <c r="BF209" s="103" t="s">
        <v>4642</v>
      </c>
      <c r="BG209" s="103" t="s">
        <v>1862</v>
      </c>
      <c r="BH209" s="103" t="s">
        <v>1862</v>
      </c>
      <c r="BI209" s="103" t="s">
        <v>1862</v>
      </c>
      <c r="BJ209" s="103" t="s">
        <v>1862</v>
      </c>
      <c r="BK209" s="103" t="s">
        <v>4469</v>
      </c>
      <c r="BL209" s="103" t="s">
        <v>4472</v>
      </c>
      <c r="BM209" s="103" t="s">
        <v>4461</v>
      </c>
      <c r="BN209" s="103" t="s">
        <v>4643</v>
      </c>
      <c r="BO209" s="103">
        <v>375</v>
      </c>
      <c r="BP209" s="103" t="s">
        <v>4532</v>
      </c>
      <c r="BQ209" s="99" t="s">
        <v>4644</v>
      </c>
      <c r="BR209" s="99" t="s">
        <v>4644</v>
      </c>
      <c r="BS209" s="99" t="s">
        <v>4564</v>
      </c>
      <c r="BT209" s="103" t="s">
        <v>3186</v>
      </c>
      <c r="BU209" s="99"/>
      <c r="BV209" s="103" t="s">
        <v>4644</v>
      </c>
      <c r="BW209" s="103" t="s">
        <v>4644</v>
      </c>
      <c r="BX209" s="103"/>
      <c r="BY209" s="103"/>
      <c r="BZ209" s="103"/>
      <c r="CA209" s="103"/>
      <c r="CB209" s="103"/>
      <c r="CC209" s="103" t="s">
        <v>4502</v>
      </c>
      <c r="CD209" s="103" t="s">
        <v>4475</v>
      </c>
      <c r="CE209" s="112" t="s">
        <v>4475</v>
      </c>
      <c r="CF209" s="103"/>
      <c r="CG209" s="103" t="s">
        <v>547</v>
      </c>
      <c r="CH209" s="103" t="s">
        <v>862</v>
      </c>
      <c r="CI209" s="103">
        <v>70259838</v>
      </c>
      <c r="CJ209" s="103"/>
      <c r="CK209" s="108">
        <v>43364.693287037036</v>
      </c>
      <c r="CL209" s="109">
        <v>43364.732754629629</v>
      </c>
      <c r="CM209" s="95">
        <v>12.2562183</v>
      </c>
      <c r="CN209" s="95">
        <v>-2.3517526000000002</v>
      </c>
      <c r="CO209" s="99"/>
      <c r="CP209" s="99"/>
      <c r="CQ209" s="99"/>
      <c r="CR209" s="99"/>
      <c r="CS209" s="99"/>
      <c r="CT209" s="99"/>
      <c r="CU209" s="99"/>
      <c r="CV209" s="99"/>
      <c r="CW209" s="99"/>
      <c r="CX209" s="99"/>
      <c r="CY209" s="99"/>
      <c r="CZ209" s="99"/>
      <c r="DA209" s="99"/>
      <c r="DB209" s="99"/>
      <c r="DC209" s="99"/>
    </row>
    <row r="210" spans="1:107" ht="15.75" customHeight="1">
      <c r="A210" s="95">
        <v>211</v>
      </c>
      <c r="B210" s="99" t="s">
        <v>863</v>
      </c>
      <c r="C210" s="99" t="s">
        <v>648</v>
      </c>
      <c r="D210" s="99">
        <v>73558839</v>
      </c>
      <c r="E210" s="99" t="s">
        <v>318</v>
      </c>
      <c r="F210" s="95" t="s">
        <v>5455</v>
      </c>
      <c r="G210" s="95" t="s">
        <v>1052</v>
      </c>
      <c r="H210" s="95" t="s">
        <v>1103</v>
      </c>
      <c r="I210" s="95" t="s">
        <v>182</v>
      </c>
      <c r="J210" s="95"/>
      <c r="K210" s="99"/>
      <c r="L210" s="103" t="s">
        <v>4449</v>
      </c>
      <c r="M210" s="99" t="s">
        <v>4567</v>
      </c>
      <c r="N210" s="99" t="s">
        <v>4451</v>
      </c>
      <c r="O210" s="99" t="s">
        <v>4488</v>
      </c>
      <c r="P210" s="103">
        <v>2012</v>
      </c>
      <c r="Q210" s="103" t="s">
        <v>1862</v>
      </c>
      <c r="R210" s="99" t="s">
        <v>4521</v>
      </c>
      <c r="S210" s="103" t="s">
        <v>1541</v>
      </c>
      <c r="T210" s="103" t="s">
        <v>4522</v>
      </c>
      <c r="U210" s="99" t="s">
        <v>5456</v>
      </c>
      <c r="V210" s="95">
        <v>11.786332399999999</v>
      </c>
      <c r="W210" s="95">
        <v>-0.36542039999999998</v>
      </c>
      <c r="X210" s="104" t="s">
        <v>5167</v>
      </c>
      <c r="Y210" s="103" t="s">
        <v>1548</v>
      </c>
      <c r="Z210" s="103" t="s">
        <v>1548</v>
      </c>
      <c r="AA210" s="103" t="s">
        <v>1862</v>
      </c>
      <c r="AB210" s="103">
        <v>25</v>
      </c>
      <c r="AC210" s="103">
        <v>0</v>
      </c>
      <c r="AD210" s="103">
        <v>25</v>
      </c>
      <c r="AE210" s="103" t="s">
        <v>1634</v>
      </c>
      <c r="AF210" s="103" t="s">
        <v>5496</v>
      </c>
      <c r="AG210" s="99" t="s">
        <v>4928</v>
      </c>
      <c r="AH210" s="103" t="s">
        <v>1804</v>
      </c>
      <c r="AI210" s="103" t="s">
        <v>1862</v>
      </c>
      <c r="AJ210" s="103" t="s">
        <v>1804</v>
      </c>
      <c r="AK210" s="103" t="s">
        <v>1804</v>
      </c>
      <c r="AL210" s="103" t="s">
        <v>1804</v>
      </c>
      <c r="AM210" s="103" t="s">
        <v>1862</v>
      </c>
      <c r="AN210" s="99" t="s">
        <v>4584</v>
      </c>
      <c r="AO210" s="103" t="s">
        <v>1862</v>
      </c>
      <c r="AP210" s="103">
        <v>10000</v>
      </c>
      <c r="AQ210" s="103" t="s">
        <v>4461</v>
      </c>
      <c r="AR210" s="103">
        <v>0</v>
      </c>
      <c r="AS210" s="106">
        <v>250000</v>
      </c>
      <c r="AT210" s="103" t="s">
        <v>4625</v>
      </c>
      <c r="AU210" s="103" t="s">
        <v>1634</v>
      </c>
      <c r="AV210" s="99" t="s">
        <v>4557</v>
      </c>
      <c r="AW210" s="99" t="s">
        <v>5497</v>
      </c>
      <c r="AX210" s="99" t="s">
        <v>5498</v>
      </c>
      <c r="AY210" s="99" t="s">
        <v>4560</v>
      </c>
      <c r="AZ210" s="99" t="s">
        <v>4530</v>
      </c>
      <c r="BA210" s="103" t="s">
        <v>1634</v>
      </c>
      <c r="BB210" s="99">
        <v>0</v>
      </c>
      <c r="BC210" s="99">
        <v>200</v>
      </c>
      <c r="BD210" s="99">
        <v>0</v>
      </c>
      <c r="BE210" s="99">
        <v>20000</v>
      </c>
      <c r="BF210" s="103" t="s">
        <v>4793</v>
      </c>
      <c r="BG210" s="103" t="s">
        <v>1804</v>
      </c>
      <c r="BH210" s="103" t="s">
        <v>1804</v>
      </c>
      <c r="BI210" s="103" t="s">
        <v>1862</v>
      </c>
      <c r="BJ210" s="103" t="s">
        <v>1804</v>
      </c>
      <c r="BK210" s="103" t="s">
        <v>4478</v>
      </c>
      <c r="BL210" s="103" t="s">
        <v>4472</v>
      </c>
      <c r="BM210" s="103" t="s">
        <v>4461</v>
      </c>
      <c r="BN210" s="103" t="s">
        <v>4531</v>
      </c>
      <c r="BO210" s="103">
        <v>1000</v>
      </c>
      <c r="BP210" s="103" t="s">
        <v>4500</v>
      </c>
      <c r="BQ210" s="99" t="s">
        <v>4474</v>
      </c>
      <c r="BR210" s="99" t="s">
        <v>4476</v>
      </c>
      <c r="BS210" s="99"/>
      <c r="BT210" s="103" t="s">
        <v>3186</v>
      </c>
      <c r="BU210" s="99" t="s">
        <v>4475</v>
      </c>
      <c r="BV210" s="103" t="s">
        <v>4476</v>
      </c>
      <c r="BW210" s="103" t="s">
        <v>4476</v>
      </c>
      <c r="BX210" s="103" t="s">
        <v>1548</v>
      </c>
      <c r="BY210" s="103" t="s">
        <v>4810</v>
      </c>
      <c r="BZ210" s="103" t="s">
        <v>4478</v>
      </c>
      <c r="CA210" s="103" t="s">
        <v>4500</v>
      </c>
      <c r="CB210" s="103">
        <v>30</v>
      </c>
      <c r="CC210" s="103" t="s">
        <v>4502</v>
      </c>
      <c r="CD210" s="103" t="s">
        <v>4475</v>
      </c>
      <c r="CE210" s="103" t="s">
        <v>4475</v>
      </c>
      <c r="CF210" s="103"/>
      <c r="CG210" s="103" t="s">
        <v>5499</v>
      </c>
      <c r="CH210" s="103" t="s">
        <v>724</v>
      </c>
      <c r="CI210" s="103">
        <v>73558839</v>
      </c>
      <c r="CJ210" s="103"/>
      <c r="CK210" s="108">
        <v>43366.39770833333</v>
      </c>
      <c r="CL210" s="109">
        <v>43367.358611111114</v>
      </c>
      <c r="CM210" s="95">
        <v>11.786332399999999</v>
      </c>
      <c r="CN210" s="95">
        <v>-0.36542039999999998</v>
      </c>
      <c r="CO210" s="99"/>
      <c r="CP210" s="99"/>
      <c r="CQ210" s="99"/>
      <c r="CR210" s="99"/>
      <c r="CS210" s="99"/>
      <c r="CT210" s="99"/>
      <c r="CU210" s="99"/>
      <c r="CV210" s="99"/>
      <c r="CW210" s="99"/>
      <c r="CX210" s="99"/>
      <c r="CY210" s="99"/>
      <c r="CZ210" s="99"/>
      <c r="DA210" s="99"/>
      <c r="DB210" s="99"/>
      <c r="DC210" s="99"/>
    </row>
    <row r="211" spans="1:107" ht="15.75" customHeight="1">
      <c r="A211" s="95">
        <v>212</v>
      </c>
      <c r="B211" s="99" t="s">
        <v>864</v>
      </c>
      <c r="C211" s="99" t="s">
        <v>652</v>
      </c>
      <c r="D211" s="99">
        <v>70423144</v>
      </c>
      <c r="E211" s="99" t="s">
        <v>319</v>
      </c>
      <c r="F211" s="95" t="s">
        <v>5500</v>
      </c>
      <c r="G211" s="95" t="s">
        <v>1052</v>
      </c>
      <c r="H211" s="95" t="s">
        <v>1103</v>
      </c>
      <c r="I211" s="95" t="s">
        <v>320</v>
      </c>
      <c r="J211" s="95"/>
      <c r="K211" s="99"/>
      <c r="L211" s="103" t="s">
        <v>4449</v>
      </c>
      <c r="M211" s="99" t="s">
        <v>4450</v>
      </c>
      <c r="N211" s="99" t="s">
        <v>4568</v>
      </c>
      <c r="O211" s="99" t="s">
        <v>4488</v>
      </c>
      <c r="P211" s="103">
        <v>2011</v>
      </c>
      <c r="Q211" s="103" t="s">
        <v>1862</v>
      </c>
      <c r="R211" s="99" t="s">
        <v>4521</v>
      </c>
      <c r="S211" s="103" t="s">
        <v>4803</v>
      </c>
      <c r="T211" s="103" t="s">
        <v>4634</v>
      </c>
      <c r="U211" s="99" t="s">
        <v>5501</v>
      </c>
      <c r="V211" s="95">
        <v>11.698604700000001</v>
      </c>
      <c r="W211" s="95">
        <v>-0.70217669999999999</v>
      </c>
      <c r="X211" s="104" t="s">
        <v>5502</v>
      </c>
      <c r="Y211" s="103" t="s">
        <v>1548</v>
      </c>
      <c r="Z211" s="103" t="s">
        <v>1548</v>
      </c>
      <c r="AA211" s="103" t="s">
        <v>1862</v>
      </c>
      <c r="AB211" s="103">
        <v>102</v>
      </c>
      <c r="AC211" s="103">
        <v>1</v>
      </c>
      <c r="AD211" s="103">
        <v>101</v>
      </c>
      <c r="AE211" s="103" t="s">
        <v>1634</v>
      </c>
      <c r="AF211" s="103" t="s">
        <v>5490</v>
      </c>
      <c r="AG211" s="99" t="s">
        <v>4771</v>
      </c>
      <c r="AH211" s="103" t="s">
        <v>1804</v>
      </c>
      <c r="AI211" s="103" t="s">
        <v>1862</v>
      </c>
      <c r="AJ211" s="103" t="s">
        <v>1862</v>
      </c>
      <c r="AK211" s="103" t="s">
        <v>1862</v>
      </c>
      <c r="AL211" s="103" t="s">
        <v>1804</v>
      </c>
      <c r="AM211" s="103" t="s">
        <v>1862</v>
      </c>
      <c r="AN211" s="99" t="s">
        <v>5016</v>
      </c>
      <c r="AO211" s="103" t="s">
        <v>1862</v>
      </c>
      <c r="AP211" s="103">
        <v>1100</v>
      </c>
      <c r="AQ211" s="103" t="s">
        <v>4461</v>
      </c>
      <c r="AR211" s="103">
        <v>0</v>
      </c>
      <c r="AS211" s="106">
        <v>1000000</v>
      </c>
      <c r="AT211" s="103" t="s">
        <v>4625</v>
      </c>
      <c r="AU211" s="103" t="s">
        <v>1634</v>
      </c>
      <c r="AV211" s="99" t="s">
        <v>4463</v>
      </c>
      <c r="AW211" s="99" t="s">
        <v>5503</v>
      </c>
      <c r="AX211" s="99" t="s">
        <v>5504</v>
      </c>
      <c r="AY211" s="99" t="s">
        <v>4560</v>
      </c>
      <c r="AZ211" s="99" t="s">
        <v>4561</v>
      </c>
      <c r="BA211" s="103" t="s">
        <v>1634</v>
      </c>
      <c r="BB211" s="99">
        <v>0</v>
      </c>
      <c r="BC211" s="99">
        <v>900</v>
      </c>
      <c r="BD211" s="99">
        <v>0</v>
      </c>
      <c r="BE211" s="99">
        <v>1000000</v>
      </c>
      <c r="BF211" s="103" t="s">
        <v>4785</v>
      </c>
      <c r="BG211" s="103" t="s">
        <v>1804</v>
      </c>
      <c r="BH211" s="103" t="s">
        <v>1804</v>
      </c>
      <c r="BI211" s="103" t="s">
        <v>1804</v>
      </c>
      <c r="BJ211" s="103" t="s">
        <v>1862</v>
      </c>
      <c r="BK211" s="103" t="s">
        <v>4586</v>
      </c>
      <c r="BL211" s="103" t="s">
        <v>4472</v>
      </c>
      <c r="BM211" s="103" t="s">
        <v>4461</v>
      </c>
      <c r="BN211" s="103" t="s">
        <v>4531</v>
      </c>
      <c r="BO211" s="103">
        <v>2000</v>
      </c>
      <c r="BP211" s="103" t="s">
        <v>4532</v>
      </c>
      <c r="BQ211" s="107" t="s">
        <v>4474</v>
      </c>
      <c r="BR211" s="99" t="s">
        <v>4474</v>
      </c>
      <c r="BS211" s="99"/>
      <c r="BT211" s="103" t="s">
        <v>3186</v>
      </c>
      <c r="BU211" s="99" t="s">
        <v>4502</v>
      </c>
      <c r="BV211" s="103" t="s">
        <v>4476</v>
      </c>
      <c r="BW211" s="103" t="s">
        <v>4476</v>
      </c>
      <c r="BX211" s="103" t="s">
        <v>1548</v>
      </c>
      <c r="BY211" s="103" t="s">
        <v>4535</v>
      </c>
      <c r="BZ211" s="103" t="s">
        <v>4478</v>
      </c>
      <c r="CA211" s="103" t="s">
        <v>4509</v>
      </c>
      <c r="CB211" s="103">
        <v>40</v>
      </c>
      <c r="CC211" s="103"/>
      <c r="CD211" s="103"/>
      <c r="CE211" s="103"/>
      <c r="CF211" s="103"/>
      <c r="CG211" s="103" t="s">
        <v>864</v>
      </c>
      <c r="CH211" s="103" t="s">
        <v>556</v>
      </c>
      <c r="CI211" s="103">
        <v>70423144</v>
      </c>
      <c r="CJ211" s="103"/>
      <c r="CK211" s="108">
        <v>43366.460555555554</v>
      </c>
      <c r="CL211" s="109">
        <v>43367.369525462964</v>
      </c>
      <c r="CM211" s="95">
        <v>11.698604700000001</v>
      </c>
      <c r="CN211" s="95">
        <v>-0.70217669999999999</v>
      </c>
      <c r="CO211" s="99"/>
      <c r="CP211" s="99"/>
      <c r="CQ211" s="99"/>
      <c r="CR211" s="99"/>
      <c r="CS211" s="99"/>
      <c r="CT211" s="99"/>
      <c r="CU211" s="99"/>
      <c r="CV211" s="99"/>
      <c r="CW211" s="99"/>
      <c r="CX211" s="99"/>
      <c r="CY211" s="99"/>
      <c r="CZ211" s="99"/>
      <c r="DA211" s="99"/>
      <c r="DB211" s="99"/>
      <c r="DC211" s="99"/>
    </row>
    <row r="212" spans="1:107" ht="15.75" customHeight="1">
      <c r="A212" s="95">
        <v>213</v>
      </c>
      <c r="B212" s="99" t="s">
        <v>865</v>
      </c>
      <c r="C212" s="99" t="s">
        <v>866</v>
      </c>
      <c r="D212" s="99">
        <v>71089888</v>
      </c>
      <c r="E212" s="99" t="s">
        <v>321</v>
      </c>
      <c r="F212" s="95" t="s">
        <v>5505</v>
      </c>
      <c r="G212" s="95" t="s">
        <v>1052</v>
      </c>
      <c r="H212" s="95" t="s">
        <v>1103</v>
      </c>
      <c r="I212" s="95" t="s">
        <v>322</v>
      </c>
      <c r="J212" s="95"/>
      <c r="K212" s="99"/>
      <c r="L212" s="103" t="s">
        <v>4549</v>
      </c>
      <c r="M212" s="99" t="s">
        <v>4567</v>
      </c>
      <c r="N212" s="99" t="s">
        <v>4451</v>
      </c>
      <c r="O212" s="99" t="s">
        <v>5506</v>
      </c>
      <c r="P212" s="103">
        <v>2008</v>
      </c>
      <c r="Q212" s="103" t="s">
        <v>1862</v>
      </c>
      <c r="R212" s="99" t="s">
        <v>4709</v>
      </c>
      <c r="S212" s="103" t="s">
        <v>1541</v>
      </c>
      <c r="T212" s="103" t="s">
        <v>4522</v>
      </c>
      <c r="U212" s="99" t="s">
        <v>5507</v>
      </c>
      <c r="V212" s="95">
        <v>11.4336766</v>
      </c>
      <c r="W212" s="95">
        <v>-0.37483539999999999</v>
      </c>
      <c r="X212" s="104" t="s">
        <v>5508</v>
      </c>
      <c r="Y212" s="103" t="s">
        <v>1634</v>
      </c>
      <c r="Z212" s="103" t="s">
        <v>1548</v>
      </c>
      <c r="AA212" s="103"/>
      <c r="AB212" s="103">
        <v>28</v>
      </c>
      <c r="AC212" s="103">
        <v>3</v>
      </c>
      <c r="AD212" s="103">
        <v>25</v>
      </c>
      <c r="AE212" s="103" t="s">
        <v>1634</v>
      </c>
      <c r="AF212" s="103" t="s">
        <v>4493</v>
      </c>
      <c r="AG212" s="99" t="s">
        <v>5509</v>
      </c>
      <c r="AH212" s="103" t="s">
        <v>1862</v>
      </c>
      <c r="AI212" s="103" t="s">
        <v>1862</v>
      </c>
      <c r="AJ212" s="103" t="s">
        <v>1804</v>
      </c>
      <c r="AK212" s="103" t="s">
        <v>1862</v>
      </c>
      <c r="AL212" s="103" t="s">
        <v>1862</v>
      </c>
      <c r="AM212" s="103" t="s">
        <v>1862</v>
      </c>
      <c r="AN212" s="99" t="s">
        <v>1646</v>
      </c>
      <c r="AO212" s="103" t="s">
        <v>1862</v>
      </c>
      <c r="AP212" s="103">
        <v>1000</v>
      </c>
      <c r="AQ212" s="103" t="s">
        <v>4461</v>
      </c>
      <c r="AR212" s="103">
        <v>2000000</v>
      </c>
      <c r="AS212" s="106">
        <v>900000</v>
      </c>
      <c r="AT212" s="103" t="s">
        <v>4594</v>
      </c>
      <c r="AU212" s="103"/>
      <c r="AV212" s="99"/>
      <c r="AW212" s="99"/>
      <c r="AX212" s="99"/>
      <c r="AY212" s="99" t="s">
        <v>4466</v>
      </c>
      <c r="AZ212" s="99" t="s">
        <v>4530</v>
      </c>
      <c r="BA212" s="103" t="s">
        <v>1548</v>
      </c>
      <c r="BB212" s="99">
        <v>13000</v>
      </c>
      <c r="BC212" s="99">
        <v>1250</v>
      </c>
      <c r="BD212" s="99">
        <v>2600000</v>
      </c>
      <c r="BE212" s="99">
        <v>1250000</v>
      </c>
      <c r="BF212" s="103" t="s">
        <v>4653</v>
      </c>
      <c r="BG212" s="103" t="s">
        <v>1862</v>
      </c>
      <c r="BH212" s="103" t="s">
        <v>1804</v>
      </c>
      <c r="BI212" s="103" t="s">
        <v>1862</v>
      </c>
      <c r="BJ212" s="103" t="s">
        <v>1804</v>
      </c>
      <c r="BK212" s="103" t="s">
        <v>4478</v>
      </c>
      <c r="BL212" s="103" t="s">
        <v>4470</v>
      </c>
      <c r="BM212" s="103" t="s">
        <v>4461</v>
      </c>
      <c r="BN212" s="103" t="s">
        <v>4531</v>
      </c>
      <c r="BO212" s="103">
        <v>1200</v>
      </c>
      <c r="BP212" s="103" t="s">
        <v>4461</v>
      </c>
      <c r="BQ212" s="107" t="s">
        <v>4476</v>
      </c>
      <c r="BR212" s="99" t="s">
        <v>4564</v>
      </c>
      <c r="BS212" s="99"/>
      <c r="BT212" s="103" t="s">
        <v>3186</v>
      </c>
      <c r="BU212" s="99" t="s">
        <v>4502</v>
      </c>
      <c r="BV212" s="103" t="s">
        <v>4476</v>
      </c>
      <c r="BW212" s="103" t="s">
        <v>4476</v>
      </c>
      <c r="BX212" s="103" t="s">
        <v>1634</v>
      </c>
      <c r="BY212" s="103" t="s">
        <v>4501</v>
      </c>
      <c r="BZ212" s="103" t="s">
        <v>4478</v>
      </c>
      <c r="CA212" s="103" t="s">
        <v>4509</v>
      </c>
      <c r="CB212" s="103">
        <v>40</v>
      </c>
      <c r="CC212" s="103"/>
      <c r="CD212" s="103"/>
      <c r="CE212" s="103"/>
      <c r="CF212" s="103"/>
      <c r="CG212" s="103" t="s">
        <v>5510</v>
      </c>
      <c r="CH212" s="103" t="s">
        <v>866</v>
      </c>
      <c r="CI212" s="103">
        <v>71089888</v>
      </c>
      <c r="CJ212" s="103"/>
      <c r="CK212" s="108">
        <v>43365.426574074074</v>
      </c>
      <c r="CL212" s="109">
        <v>43365.690763888888</v>
      </c>
      <c r="CM212" s="95">
        <v>11.4336766</v>
      </c>
      <c r="CN212" s="95">
        <v>-0.37483539999999999</v>
      </c>
      <c r="CO212" s="99"/>
      <c r="CP212" s="99"/>
      <c r="CQ212" s="99"/>
      <c r="CR212" s="99"/>
      <c r="CS212" s="99"/>
      <c r="CT212" s="99"/>
      <c r="CU212" s="99"/>
      <c r="CV212" s="99"/>
      <c r="CW212" s="99"/>
      <c r="CX212" s="99"/>
      <c r="CY212" s="99"/>
      <c r="CZ212" s="99"/>
      <c r="DA212" s="99"/>
      <c r="DB212" s="99"/>
      <c r="DC212" s="99"/>
    </row>
    <row r="213" spans="1:107" ht="15.75" customHeight="1">
      <c r="A213" s="95">
        <v>214</v>
      </c>
      <c r="B213" s="99" t="s">
        <v>819</v>
      </c>
      <c r="C213" s="99" t="s">
        <v>867</v>
      </c>
      <c r="D213" s="99">
        <v>62572369</v>
      </c>
      <c r="E213" s="99" t="s">
        <v>323</v>
      </c>
      <c r="F213" s="95" t="s">
        <v>5511</v>
      </c>
      <c r="G213" s="95" t="s">
        <v>1057</v>
      </c>
      <c r="H213" s="95" t="s">
        <v>1095</v>
      </c>
      <c r="I213" s="95" t="s">
        <v>324</v>
      </c>
      <c r="J213" s="95"/>
      <c r="K213" s="99"/>
      <c r="L213" s="103" t="s">
        <v>4449</v>
      </c>
      <c r="M213" s="99" t="s">
        <v>4632</v>
      </c>
      <c r="N213" s="99" t="s">
        <v>4451</v>
      </c>
      <c r="O213" s="99" t="s">
        <v>4684</v>
      </c>
      <c r="P213" s="103">
        <v>1999</v>
      </c>
      <c r="Q213" s="103" t="s">
        <v>1862</v>
      </c>
      <c r="R213" s="99" t="s">
        <v>4633</v>
      </c>
      <c r="S213" s="103" t="s">
        <v>1541</v>
      </c>
      <c r="T213" s="103" t="s">
        <v>4634</v>
      </c>
      <c r="U213" s="99" t="s">
        <v>5512</v>
      </c>
      <c r="V213" s="95">
        <v>12.4503003</v>
      </c>
      <c r="W213" s="95">
        <v>-3.4700327</v>
      </c>
      <c r="X213" s="104" t="s">
        <v>5513</v>
      </c>
      <c r="Y213" s="103" t="s">
        <v>1634</v>
      </c>
      <c r="Z213" s="103" t="s">
        <v>1634</v>
      </c>
      <c r="AA213" s="103" t="s">
        <v>1862</v>
      </c>
      <c r="AB213" s="103">
        <v>300</v>
      </c>
      <c r="AC213" s="103">
        <v>4</v>
      </c>
      <c r="AD213" s="103">
        <v>296</v>
      </c>
      <c r="AE213" s="103" t="s">
        <v>1634</v>
      </c>
      <c r="AF213" s="103" t="s">
        <v>4637</v>
      </c>
      <c r="AG213" s="99" t="s">
        <v>4554</v>
      </c>
      <c r="AH213" s="103" t="s">
        <v>1862</v>
      </c>
      <c r="AI213" s="103" t="s">
        <v>1862</v>
      </c>
      <c r="AJ213" s="103" t="s">
        <v>1862</v>
      </c>
      <c r="AK213" s="103" t="s">
        <v>1862</v>
      </c>
      <c r="AL213" s="103" t="s">
        <v>1804</v>
      </c>
      <c r="AM213" s="103" t="s">
        <v>1862</v>
      </c>
      <c r="AN213" s="99" t="s">
        <v>4638</v>
      </c>
      <c r="AO213" s="103" t="s">
        <v>1862</v>
      </c>
      <c r="AP213" s="103">
        <v>1500</v>
      </c>
      <c r="AQ213" s="112" t="s">
        <v>4461</v>
      </c>
      <c r="AR213" s="103"/>
      <c r="AS213" s="106">
        <v>40000000</v>
      </c>
      <c r="AT213" s="103" t="s">
        <v>4527</v>
      </c>
      <c r="AU213" s="103" t="s">
        <v>1634</v>
      </c>
      <c r="AV213" s="99" t="s">
        <v>4463</v>
      </c>
      <c r="AW213" s="99" t="s">
        <v>4639</v>
      </c>
      <c r="AX213" s="99" t="s">
        <v>4640</v>
      </c>
      <c r="AY213" s="99" t="s">
        <v>4641</v>
      </c>
      <c r="AZ213" s="99" t="s">
        <v>4530</v>
      </c>
      <c r="BA213" s="103" t="s">
        <v>1634</v>
      </c>
      <c r="BB213" s="99"/>
      <c r="BC213" s="99">
        <v>20500</v>
      </c>
      <c r="BD213" s="99"/>
      <c r="BE213" s="99">
        <v>41000000</v>
      </c>
      <c r="BF213" s="103" t="s">
        <v>4642</v>
      </c>
      <c r="BG213" s="103" t="s">
        <v>1862</v>
      </c>
      <c r="BH213" s="103" t="s">
        <v>1862</v>
      </c>
      <c r="BI213" s="103" t="s">
        <v>1862</v>
      </c>
      <c r="BJ213" s="103" t="s">
        <v>1862</v>
      </c>
      <c r="BK213" s="103" t="s">
        <v>4469</v>
      </c>
      <c r="BL213" s="103" t="s">
        <v>4472</v>
      </c>
      <c r="BM213" s="103" t="s">
        <v>4461</v>
      </c>
      <c r="BN213" s="103" t="s">
        <v>4643</v>
      </c>
      <c r="BO213" s="103">
        <v>400</v>
      </c>
      <c r="BP213" s="103" t="s">
        <v>4532</v>
      </c>
      <c r="BQ213" s="99" t="s">
        <v>4644</v>
      </c>
      <c r="BR213" s="99" t="s">
        <v>4644</v>
      </c>
      <c r="BS213" s="99" t="s">
        <v>4564</v>
      </c>
      <c r="BT213" s="103" t="s">
        <v>3186</v>
      </c>
      <c r="BU213" s="99"/>
      <c r="BV213" s="103" t="s">
        <v>4644</v>
      </c>
      <c r="BW213" s="103" t="s">
        <v>4644</v>
      </c>
      <c r="BX213" s="103"/>
      <c r="BY213" s="103"/>
      <c r="BZ213" s="103"/>
      <c r="CA213" s="103"/>
      <c r="CB213" s="103"/>
      <c r="CC213" s="103" t="s">
        <v>4502</v>
      </c>
      <c r="CD213" s="103" t="s">
        <v>4475</v>
      </c>
      <c r="CE213" s="112" t="s">
        <v>4475</v>
      </c>
      <c r="CF213" s="103"/>
      <c r="CG213" s="103" t="s">
        <v>819</v>
      </c>
      <c r="CH213" s="103" t="s">
        <v>5514</v>
      </c>
      <c r="CI213" s="103">
        <v>62572369</v>
      </c>
      <c r="CJ213" s="103"/>
      <c r="CK213" s="108">
        <v>43364.693287037036</v>
      </c>
      <c r="CL213" s="109">
        <v>43364.732754629629</v>
      </c>
      <c r="CM213" s="95">
        <v>12.4503003</v>
      </c>
      <c r="CN213" s="95">
        <v>-3.4700327</v>
      </c>
      <c r="CO213" s="99"/>
      <c r="CP213" s="99"/>
      <c r="CQ213" s="99"/>
      <c r="CR213" s="99"/>
      <c r="CS213" s="99"/>
      <c r="CT213" s="99"/>
      <c r="CU213" s="99"/>
      <c r="CV213" s="99"/>
      <c r="CW213" s="99"/>
      <c r="CX213" s="99"/>
      <c r="CY213" s="99"/>
      <c r="CZ213" s="99"/>
      <c r="DA213" s="99"/>
      <c r="DB213" s="99"/>
      <c r="DC213" s="99"/>
    </row>
    <row r="214" spans="1:107" ht="15.75" customHeight="1">
      <c r="A214" s="95">
        <v>215</v>
      </c>
      <c r="B214" s="99" t="s">
        <v>868</v>
      </c>
      <c r="C214" s="99" t="s">
        <v>615</v>
      </c>
      <c r="D214" s="99">
        <v>70734794</v>
      </c>
      <c r="E214" s="99" t="s">
        <v>325</v>
      </c>
      <c r="F214" s="95" t="s">
        <v>5455</v>
      </c>
      <c r="G214" s="95" t="s">
        <v>1052</v>
      </c>
      <c r="H214" s="95" t="s">
        <v>1103</v>
      </c>
      <c r="I214" s="95" t="s">
        <v>182</v>
      </c>
      <c r="J214" s="95"/>
      <c r="K214" s="99"/>
      <c r="L214" s="103" t="s">
        <v>4449</v>
      </c>
      <c r="M214" s="99" t="s">
        <v>4450</v>
      </c>
      <c r="N214" s="99" t="s">
        <v>4520</v>
      </c>
      <c r="O214" s="99" t="s">
        <v>5515</v>
      </c>
      <c r="P214" s="103">
        <v>2000</v>
      </c>
      <c r="Q214" s="103" t="s">
        <v>1862</v>
      </c>
      <c r="R214" s="99" t="s">
        <v>4521</v>
      </c>
      <c r="S214" s="103" t="s">
        <v>2282</v>
      </c>
      <c r="T214" s="103" t="s">
        <v>4490</v>
      </c>
      <c r="U214" s="99" t="s">
        <v>5456</v>
      </c>
      <c r="V214" s="95">
        <v>11.786332399999999</v>
      </c>
      <c r="W214" s="95">
        <v>-0.36542039999999998</v>
      </c>
      <c r="X214" s="104" t="s">
        <v>5167</v>
      </c>
      <c r="Y214" s="103" t="s">
        <v>1634</v>
      </c>
      <c r="Z214" s="103" t="s">
        <v>1634</v>
      </c>
      <c r="AA214" s="103" t="s">
        <v>1862</v>
      </c>
      <c r="AB214" s="103">
        <v>105</v>
      </c>
      <c r="AC214" s="103">
        <v>2</v>
      </c>
      <c r="AD214" s="103">
        <v>103</v>
      </c>
      <c r="AE214" s="103" t="s">
        <v>1634</v>
      </c>
      <c r="AF214" s="103" t="s">
        <v>5496</v>
      </c>
      <c r="AG214" s="99" t="s">
        <v>4724</v>
      </c>
      <c r="AH214" s="103" t="s">
        <v>1862</v>
      </c>
      <c r="AI214" s="103" t="s">
        <v>1862</v>
      </c>
      <c r="AJ214" s="103" t="s">
        <v>1862</v>
      </c>
      <c r="AK214" s="103" t="s">
        <v>1862</v>
      </c>
      <c r="AL214" s="103" t="s">
        <v>1862</v>
      </c>
      <c r="AM214" s="103" t="s">
        <v>1862</v>
      </c>
      <c r="AN214" s="99" t="s">
        <v>5516</v>
      </c>
      <c r="AO214" s="103" t="s">
        <v>1862</v>
      </c>
      <c r="AP214" s="103">
        <v>1500</v>
      </c>
      <c r="AQ214" s="103" t="s">
        <v>4472</v>
      </c>
      <c r="AR214" s="103">
        <v>27000000</v>
      </c>
      <c r="AS214" s="106">
        <v>1500000</v>
      </c>
      <c r="AT214" s="103" t="s">
        <v>4594</v>
      </c>
      <c r="AU214" s="103" t="s">
        <v>1634</v>
      </c>
      <c r="AV214" s="99" t="s">
        <v>4463</v>
      </c>
      <c r="AW214" s="99" t="s">
        <v>5517</v>
      </c>
      <c r="AX214" s="99" t="s">
        <v>5518</v>
      </c>
      <c r="AY214" s="99" t="s">
        <v>4560</v>
      </c>
      <c r="AZ214" s="99" t="s">
        <v>4561</v>
      </c>
      <c r="BA214" s="103" t="s">
        <v>1634</v>
      </c>
      <c r="BB214" s="99">
        <v>200000</v>
      </c>
      <c r="BC214" s="99">
        <v>3000</v>
      </c>
      <c r="BD214" s="99">
        <v>27000000</v>
      </c>
      <c r="BE214" s="99">
        <v>1500000</v>
      </c>
      <c r="BF214" s="103" t="s">
        <v>4468</v>
      </c>
      <c r="BG214" s="103" t="s">
        <v>1862</v>
      </c>
      <c r="BH214" s="103" t="s">
        <v>1862</v>
      </c>
      <c r="BI214" s="103" t="s">
        <v>1804</v>
      </c>
      <c r="BJ214" s="103" t="s">
        <v>1804</v>
      </c>
      <c r="BK214" s="103" t="s">
        <v>4586</v>
      </c>
      <c r="BL214" s="103" t="s">
        <v>4470</v>
      </c>
      <c r="BM214" s="103" t="s">
        <v>4461</v>
      </c>
      <c r="BN214" s="103" t="s">
        <v>4512</v>
      </c>
      <c r="BO214" s="103">
        <v>600</v>
      </c>
      <c r="BP214" s="103" t="s">
        <v>4500</v>
      </c>
      <c r="BQ214" s="99" t="s">
        <v>4474</v>
      </c>
      <c r="BR214" s="99" t="s">
        <v>5070</v>
      </c>
      <c r="BS214" s="99"/>
      <c r="BT214" s="103" t="s">
        <v>3186</v>
      </c>
      <c r="BU214" s="99" t="s">
        <v>4475</v>
      </c>
      <c r="BV214" s="103" t="s">
        <v>4514</v>
      </c>
      <c r="BW214" s="103" t="s">
        <v>4476</v>
      </c>
      <c r="BX214" s="103" t="s">
        <v>1548</v>
      </c>
      <c r="BY214" s="103" t="s">
        <v>4546</v>
      </c>
      <c r="BZ214" s="103" t="s">
        <v>4478</v>
      </c>
      <c r="CA214" s="103" t="s">
        <v>4509</v>
      </c>
      <c r="CB214" s="103">
        <v>50</v>
      </c>
      <c r="CC214" s="103" t="s">
        <v>4502</v>
      </c>
      <c r="CD214" s="103" t="s">
        <v>4475</v>
      </c>
      <c r="CE214" s="103" t="s">
        <v>4475</v>
      </c>
      <c r="CF214" s="103"/>
      <c r="CG214" s="103" t="s">
        <v>868</v>
      </c>
      <c r="CH214" s="103" t="s">
        <v>5519</v>
      </c>
      <c r="CI214" s="103">
        <v>78038063</v>
      </c>
      <c r="CJ214" s="103"/>
      <c r="CK214" s="108">
        <v>43363.767199074071</v>
      </c>
      <c r="CL214" s="109">
        <v>43365.665324074071</v>
      </c>
      <c r="CM214" s="95">
        <v>11.786332399999999</v>
      </c>
      <c r="CN214" s="95">
        <v>-0.36542039999999998</v>
      </c>
      <c r="CO214" s="99"/>
      <c r="CP214" s="99"/>
      <c r="CQ214" s="99"/>
      <c r="CR214" s="99"/>
      <c r="CS214" s="99"/>
      <c r="CT214" s="99"/>
      <c r="CU214" s="99"/>
      <c r="CV214" s="99"/>
      <c r="CW214" s="99"/>
      <c r="CX214" s="99"/>
      <c r="CY214" s="99"/>
      <c r="CZ214" s="99"/>
      <c r="DA214" s="99"/>
      <c r="DB214" s="99"/>
      <c r="DC214" s="99"/>
    </row>
    <row r="215" spans="1:107" ht="15.75" customHeight="1">
      <c r="A215" s="95">
        <v>217</v>
      </c>
      <c r="B215" s="99" t="s">
        <v>869</v>
      </c>
      <c r="C215" s="99" t="s">
        <v>870</v>
      </c>
      <c r="D215" s="99">
        <v>76550160</v>
      </c>
      <c r="E215" s="99" t="s">
        <v>326</v>
      </c>
      <c r="F215" s="95" t="s">
        <v>5520</v>
      </c>
      <c r="G215" s="95" t="s">
        <v>1057</v>
      </c>
      <c r="H215" s="95" t="s">
        <v>1059</v>
      </c>
      <c r="I215" s="95" t="s">
        <v>30</v>
      </c>
      <c r="J215" s="95" t="s">
        <v>1130</v>
      </c>
      <c r="K215" s="99"/>
      <c r="L215" s="103" t="s">
        <v>4449</v>
      </c>
      <c r="M215" s="99" t="s">
        <v>4450</v>
      </c>
      <c r="N215" s="99" t="s">
        <v>4718</v>
      </c>
      <c r="O215" s="99" t="s">
        <v>4684</v>
      </c>
      <c r="P215" s="103">
        <v>2005</v>
      </c>
      <c r="Q215" s="103" t="s">
        <v>1862</v>
      </c>
      <c r="R215" s="99" t="s">
        <v>4633</v>
      </c>
      <c r="S215" s="103" t="s">
        <v>1541</v>
      </c>
      <c r="T215" s="103" t="s">
        <v>4634</v>
      </c>
      <c r="U215" s="99" t="s">
        <v>5521</v>
      </c>
      <c r="V215" s="95">
        <v>11.530863399999999</v>
      </c>
      <c r="W215" s="95">
        <v>-2.764243</v>
      </c>
      <c r="X215" s="104" t="s">
        <v>5522</v>
      </c>
      <c r="Y215" s="103" t="s">
        <v>1634</v>
      </c>
      <c r="Z215" s="103" t="s">
        <v>1634</v>
      </c>
      <c r="AA215" s="103" t="s">
        <v>1862</v>
      </c>
      <c r="AB215" s="103">
        <v>400</v>
      </c>
      <c r="AC215" s="103">
        <v>10</v>
      </c>
      <c r="AD215" s="103">
        <v>380</v>
      </c>
      <c r="AE215" s="103" t="s">
        <v>1634</v>
      </c>
      <c r="AF215" s="103" t="s">
        <v>4637</v>
      </c>
      <c r="AG215" s="99" t="s">
        <v>4554</v>
      </c>
      <c r="AH215" s="103" t="s">
        <v>1862</v>
      </c>
      <c r="AI215" s="103" t="s">
        <v>1862</v>
      </c>
      <c r="AJ215" s="103" t="s">
        <v>1862</v>
      </c>
      <c r="AK215" s="103" t="s">
        <v>1862</v>
      </c>
      <c r="AL215" s="103" t="s">
        <v>1804</v>
      </c>
      <c r="AM215" s="103" t="s">
        <v>1862</v>
      </c>
      <c r="AN215" s="99" t="s">
        <v>4638</v>
      </c>
      <c r="AO215" s="103" t="s">
        <v>1862</v>
      </c>
      <c r="AP215" s="103">
        <v>1700</v>
      </c>
      <c r="AQ215" s="112" t="s">
        <v>4461</v>
      </c>
      <c r="AR215" s="103"/>
      <c r="AS215" s="106">
        <v>60000000</v>
      </c>
      <c r="AT215" s="103" t="s">
        <v>4527</v>
      </c>
      <c r="AU215" s="103" t="s">
        <v>1634</v>
      </c>
      <c r="AV215" s="99" t="s">
        <v>4463</v>
      </c>
      <c r="AW215" s="99" t="s">
        <v>4639</v>
      </c>
      <c r="AX215" s="99" t="s">
        <v>4640</v>
      </c>
      <c r="AY215" s="99" t="s">
        <v>4641</v>
      </c>
      <c r="AZ215" s="99" t="s">
        <v>4530</v>
      </c>
      <c r="BA215" s="103" t="s">
        <v>1634</v>
      </c>
      <c r="BB215" s="99"/>
      <c r="BC215" s="99">
        <v>25000</v>
      </c>
      <c r="BD215" s="99"/>
      <c r="BE215" s="99">
        <v>40000000</v>
      </c>
      <c r="BF215" s="103" t="s">
        <v>4642</v>
      </c>
      <c r="BG215" s="103" t="s">
        <v>1862</v>
      </c>
      <c r="BH215" s="103" t="s">
        <v>1862</v>
      </c>
      <c r="BI215" s="103" t="s">
        <v>1862</v>
      </c>
      <c r="BJ215" s="103" t="s">
        <v>1862</v>
      </c>
      <c r="BK215" s="103" t="s">
        <v>4469</v>
      </c>
      <c r="BL215" s="103" t="s">
        <v>4472</v>
      </c>
      <c r="BM215" s="103" t="s">
        <v>4461</v>
      </c>
      <c r="BN215" s="103" t="s">
        <v>4643</v>
      </c>
      <c r="BO215" s="103">
        <v>350</v>
      </c>
      <c r="BP215" s="103" t="s">
        <v>4532</v>
      </c>
      <c r="BQ215" s="99" t="s">
        <v>4644</v>
      </c>
      <c r="BR215" s="99" t="s">
        <v>4644</v>
      </c>
      <c r="BS215" s="99" t="s">
        <v>4564</v>
      </c>
      <c r="BT215" s="103" t="s">
        <v>3186</v>
      </c>
      <c r="BU215" s="99"/>
      <c r="BV215" s="103" t="s">
        <v>4644</v>
      </c>
      <c r="BW215" s="103" t="s">
        <v>4644</v>
      </c>
      <c r="BX215" s="103"/>
      <c r="BY215" s="103"/>
      <c r="BZ215" s="103"/>
      <c r="CA215" s="103"/>
      <c r="CB215" s="103"/>
      <c r="CC215" s="103" t="s">
        <v>4502</v>
      </c>
      <c r="CD215" s="103" t="s">
        <v>4475</v>
      </c>
      <c r="CE215" s="112" t="s">
        <v>4475</v>
      </c>
      <c r="CF215" s="103"/>
      <c r="CG215" s="103" t="s">
        <v>837</v>
      </c>
      <c r="CH215" s="103" t="s">
        <v>875</v>
      </c>
      <c r="CI215" s="103">
        <v>76550160</v>
      </c>
      <c r="CJ215" s="103"/>
      <c r="CK215" s="108">
        <v>43364.693287037036</v>
      </c>
      <c r="CL215" s="109">
        <v>43364.732754629629</v>
      </c>
      <c r="CM215" s="95">
        <v>11.530863399999999</v>
      </c>
      <c r="CN215" s="95">
        <v>-2.764243</v>
      </c>
      <c r="CO215" s="99"/>
      <c r="CP215" s="99"/>
      <c r="CQ215" s="99"/>
      <c r="CR215" s="99"/>
      <c r="CS215" s="99"/>
      <c r="CT215" s="99"/>
      <c r="CU215" s="99"/>
      <c r="CV215" s="99"/>
      <c r="CW215" s="99"/>
      <c r="CX215" s="99"/>
      <c r="CY215" s="99"/>
      <c r="CZ215" s="99"/>
      <c r="DA215" s="99"/>
      <c r="DB215" s="99"/>
      <c r="DC215" s="99"/>
    </row>
    <row r="216" spans="1:107" ht="15.75" customHeight="1">
      <c r="A216" s="95">
        <v>218</v>
      </c>
      <c r="B216" s="99" t="s">
        <v>871</v>
      </c>
      <c r="C216" s="99" t="s">
        <v>872</v>
      </c>
      <c r="D216" s="99">
        <v>76959154</v>
      </c>
      <c r="E216" s="99" t="s">
        <v>327</v>
      </c>
      <c r="F216" s="95" t="s">
        <v>5478</v>
      </c>
      <c r="G216" s="95" t="s">
        <v>1085</v>
      </c>
      <c r="H216" s="95" t="s">
        <v>1123</v>
      </c>
      <c r="I216" s="95" t="s">
        <v>311</v>
      </c>
      <c r="J216" s="95"/>
      <c r="K216" s="99"/>
      <c r="L216" s="103" t="s">
        <v>4449</v>
      </c>
      <c r="M216" s="99" t="s">
        <v>4450</v>
      </c>
      <c r="N216" s="99" t="s">
        <v>4520</v>
      </c>
      <c r="O216" s="99" t="s">
        <v>4818</v>
      </c>
      <c r="P216" s="103">
        <v>2012</v>
      </c>
      <c r="Q216" s="103" t="s">
        <v>1862</v>
      </c>
      <c r="R216" s="99" t="s">
        <v>4687</v>
      </c>
      <c r="S216" s="103" t="s">
        <v>1541</v>
      </c>
      <c r="T216" s="103" t="s">
        <v>4522</v>
      </c>
      <c r="U216" s="99" t="s">
        <v>5480</v>
      </c>
      <c r="V216" s="95">
        <v>11.5029004</v>
      </c>
      <c r="W216" s="95">
        <v>-3.5812691999999999</v>
      </c>
      <c r="X216" s="104" t="s">
        <v>5481</v>
      </c>
      <c r="Y216" s="103" t="s">
        <v>1634</v>
      </c>
      <c r="Z216" s="103" t="s">
        <v>1634</v>
      </c>
      <c r="AA216" s="103" t="s">
        <v>1862</v>
      </c>
      <c r="AB216" s="103">
        <v>30</v>
      </c>
      <c r="AC216" s="103">
        <v>0</v>
      </c>
      <c r="AD216" s="103">
        <v>30</v>
      </c>
      <c r="AE216" s="103" t="s">
        <v>1634</v>
      </c>
      <c r="AF216" s="103" t="s">
        <v>5482</v>
      </c>
      <c r="AG216" s="99" t="s">
        <v>4902</v>
      </c>
      <c r="AH216" s="103" t="s">
        <v>1862</v>
      </c>
      <c r="AI216" s="103" t="s">
        <v>1862</v>
      </c>
      <c r="AJ216" s="103" t="s">
        <v>1804</v>
      </c>
      <c r="AK216" s="103" t="s">
        <v>1804</v>
      </c>
      <c r="AL216" s="103" t="s">
        <v>1862</v>
      </c>
      <c r="AM216" s="103" t="s">
        <v>1862</v>
      </c>
      <c r="AN216" s="99" t="s">
        <v>4604</v>
      </c>
      <c r="AO216" s="103" t="s">
        <v>1862</v>
      </c>
      <c r="AP216" s="103">
        <v>750</v>
      </c>
      <c r="AQ216" s="103" t="s">
        <v>4500</v>
      </c>
      <c r="AR216" s="103">
        <v>300000</v>
      </c>
      <c r="AS216" s="106">
        <v>500000</v>
      </c>
      <c r="AT216" s="103" t="s">
        <v>4625</v>
      </c>
      <c r="AU216" s="103" t="s">
        <v>1548</v>
      </c>
      <c r="AV216" s="99"/>
      <c r="AW216" s="99" t="s">
        <v>4680</v>
      </c>
      <c r="AX216" s="99" t="s">
        <v>5493</v>
      </c>
      <c r="AY216" s="99" t="s">
        <v>4466</v>
      </c>
      <c r="AZ216" s="99" t="s">
        <v>4467</v>
      </c>
      <c r="BA216" s="103" t="s">
        <v>1634</v>
      </c>
      <c r="BB216" s="99">
        <v>2000</v>
      </c>
      <c r="BC216" s="99">
        <v>1200</v>
      </c>
      <c r="BD216" s="99">
        <v>600000</v>
      </c>
      <c r="BE216" s="99">
        <v>900000</v>
      </c>
      <c r="BF216" s="103" t="s">
        <v>4958</v>
      </c>
      <c r="BG216" s="103" t="s">
        <v>1804</v>
      </c>
      <c r="BH216" s="103" t="s">
        <v>1862</v>
      </c>
      <c r="BI216" s="103" t="s">
        <v>1862</v>
      </c>
      <c r="BJ216" s="103" t="s">
        <v>1804</v>
      </c>
      <c r="BK216" s="103" t="s">
        <v>4478</v>
      </c>
      <c r="BL216" s="103" t="s">
        <v>4472</v>
      </c>
      <c r="BM216" s="103" t="s">
        <v>4500</v>
      </c>
      <c r="BN216" s="103" t="s">
        <v>4512</v>
      </c>
      <c r="BO216" s="103">
        <v>4000</v>
      </c>
      <c r="BP216" s="103" t="s">
        <v>4500</v>
      </c>
      <c r="BQ216" s="99"/>
      <c r="BR216" s="99" t="s">
        <v>5129</v>
      </c>
      <c r="BS216" s="99" t="s">
        <v>4476</v>
      </c>
      <c r="BT216" s="103" t="s">
        <v>3186</v>
      </c>
      <c r="BU216" s="99" t="s">
        <v>4480</v>
      </c>
      <c r="BV216" s="103" t="s">
        <v>4476</v>
      </c>
      <c r="BW216" s="103" t="s">
        <v>4476</v>
      </c>
      <c r="BX216" s="103" t="s">
        <v>1634</v>
      </c>
      <c r="BY216" s="103" t="s">
        <v>4810</v>
      </c>
      <c r="BZ216" s="103" t="s">
        <v>4478</v>
      </c>
      <c r="CA216" s="103" t="s">
        <v>5039</v>
      </c>
      <c r="CB216" s="103">
        <v>100</v>
      </c>
      <c r="CC216" s="103" t="s">
        <v>4502</v>
      </c>
      <c r="CD216" s="103" t="s">
        <v>4480</v>
      </c>
      <c r="CE216" s="103" t="s">
        <v>4475</v>
      </c>
      <c r="CF216" s="103" t="s">
        <v>4482</v>
      </c>
      <c r="CG216" s="103" t="s">
        <v>5523</v>
      </c>
      <c r="CH216" s="103" t="s">
        <v>5524</v>
      </c>
      <c r="CI216" s="103">
        <v>76537864</v>
      </c>
      <c r="CJ216" s="103"/>
      <c r="CK216" s="108">
        <v>40179.002962962964</v>
      </c>
      <c r="CL216" s="109">
        <v>40179.05364583333</v>
      </c>
      <c r="CM216" s="95">
        <v>11.5029004</v>
      </c>
      <c r="CN216" s="95">
        <v>-3.5812691999999999</v>
      </c>
      <c r="CO216" s="99"/>
      <c r="CP216" s="99"/>
      <c r="CQ216" s="99"/>
      <c r="CR216" s="99"/>
      <c r="CS216" s="99"/>
      <c r="CT216" s="99"/>
      <c r="CU216" s="99"/>
      <c r="CV216" s="99"/>
      <c r="CW216" s="99"/>
      <c r="CX216" s="99"/>
      <c r="CY216" s="99"/>
      <c r="CZ216" s="99"/>
      <c r="DA216" s="99"/>
      <c r="DB216" s="99"/>
      <c r="DC216" s="99"/>
    </row>
    <row r="217" spans="1:107" ht="15.75" customHeight="1">
      <c r="A217" s="95">
        <v>219</v>
      </c>
      <c r="B217" s="99" t="s">
        <v>873</v>
      </c>
      <c r="C217" s="99" t="s">
        <v>874</v>
      </c>
      <c r="D217" s="99">
        <v>76060049</v>
      </c>
      <c r="E217" s="99" t="s">
        <v>328</v>
      </c>
      <c r="F217" s="95" t="s">
        <v>5525</v>
      </c>
      <c r="G217" s="95" t="s">
        <v>1062</v>
      </c>
      <c r="H217" s="95" t="s">
        <v>1064</v>
      </c>
      <c r="I217" s="95" t="s">
        <v>334</v>
      </c>
      <c r="J217" s="95"/>
      <c r="K217" s="99"/>
      <c r="L217" s="103" t="s">
        <v>4449</v>
      </c>
      <c r="M217" s="99" t="s">
        <v>4567</v>
      </c>
      <c r="N217" s="99" t="s">
        <v>4451</v>
      </c>
      <c r="O217" s="99" t="s">
        <v>4452</v>
      </c>
      <c r="P217" s="103">
        <v>2011</v>
      </c>
      <c r="Q217" s="103" t="s">
        <v>1862</v>
      </c>
      <c r="R217" s="99" t="s">
        <v>4551</v>
      </c>
      <c r="S217" s="103" t="s">
        <v>1541</v>
      </c>
      <c r="T217" s="103" t="s">
        <v>4522</v>
      </c>
      <c r="U217" s="99" t="s">
        <v>5526</v>
      </c>
      <c r="V217" s="95">
        <v>12.3425897</v>
      </c>
      <c r="W217" s="95">
        <v>-1.4434689999999999</v>
      </c>
      <c r="X217" s="104" t="s">
        <v>5352</v>
      </c>
      <c r="Y217" s="103" t="s">
        <v>1634</v>
      </c>
      <c r="Z217" s="103"/>
      <c r="AA217" s="103" t="s">
        <v>1862</v>
      </c>
      <c r="AB217" s="103">
        <v>14</v>
      </c>
      <c r="AC217" s="103">
        <v>0</v>
      </c>
      <c r="AD217" s="103">
        <v>14</v>
      </c>
      <c r="AE217" s="103" t="s">
        <v>1634</v>
      </c>
      <c r="AF217" s="103" t="s">
        <v>4493</v>
      </c>
      <c r="AG217" s="99" t="s">
        <v>4745</v>
      </c>
      <c r="AH217" s="103" t="s">
        <v>1862</v>
      </c>
      <c r="AI217" s="103" t="s">
        <v>1862</v>
      </c>
      <c r="AJ217" s="103" t="s">
        <v>1862</v>
      </c>
      <c r="AK217" s="103" t="s">
        <v>1862</v>
      </c>
      <c r="AL217" s="103" t="s">
        <v>1862</v>
      </c>
      <c r="AM217" s="103" t="s">
        <v>1862</v>
      </c>
      <c r="AN217" s="99" t="s">
        <v>4584</v>
      </c>
      <c r="AO217" s="103" t="s">
        <v>1862</v>
      </c>
      <c r="AP217" s="103">
        <v>850</v>
      </c>
      <c r="AQ217" s="103" t="s">
        <v>4509</v>
      </c>
      <c r="AR217" s="103">
        <v>800000</v>
      </c>
      <c r="AS217" s="106">
        <v>375000</v>
      </c>
      <c r="AT217" s="103" t="s">
        <v>4594</v>
      </c>
      <c r="AU217" s="103" t="s">
        <v>1634</v>
      </c>
      <c r="AV217" s="99" t="s">
        <v>4671</v>
      </c>
      <c r="AW217" s="99"/>
      <c r="AX217" s="99" t="s">
        <v>5527</v>
      </c>
      <c r="AY217" s="99" t="s">
        <v>4466</v>
      </c>
      <c r="AZ217" s="99" t="s">
        <v>4530</v>
      </c>
      <c r="BA217" s="103" t="s">
        <v>1634</v>
      </c>
      <c r="BB217" s="99">
        <v>2000</v>
      </c>
      <c r="BC217" s="99">
        <v>420</v>
      </c>
      <c r="BD217" s="99">
        <v>800000</v>
      </c>
      <c r="BE217" s="99">
        <v>375000</v>
      </c>
      <c r="BF217" s="103" t="s">
        <v>4642</v>
      </c>
      <c r="BG217" s="103" t="s">
        <v>1862</v>
      </c>
      <c r="BH217" s="103" t="s">
        <v>1862</v>
      </c>
      <c r="BI217" s="103" t="s">
        <v>1862</v>
      </c>
      <c r="BJ217" s="103" t="s">
        <v>1862</v>
      </c>
      <c r="BK217" s="103" t="s">
        <v>4478</v>
      </c>
      <c r="BL217" s="103" t="s">
        <v>4472</v>
      </c>
      <c r="BM217" s="103" t="s">
        <v>4461</v>
      </c>
      <c r="BN217" s="103" t="s">
        <v>4512</v>
      </c>
      <c r="BO217" s="103">
        <v>600</v>
      </c>
      <c r="BP217" s="103" t="s">
        <v>4500</v>
      </c>
      <c r="BQ217" s="99" t="s">
        <v>4476</v>
      </c>
      <c r="BR217" s="99" t="s">
        <v>4476</v>
      </c>
      <c r="BS217" s="99"/>
      <c r="BT217" s="103" t="s">
        <v>3186</v>
      </c>
      <c r="BU217" s="99" t="s">
        <v>4475</v>
      </c>
      <c r="BV217" s="103" t="s">
        <v>4476</v>
      </c>
      <c r="BW217" s="103" t="s">
        <v>4476</v>
      </c>
      <c r="BX217" s="103" t="s">
        <v>1634</v>
      </c>
      <c r="BY217" s="103" t="s">
        <v>4535</v>
      </c>
      <c r="BZ217" s="103" t="s">
        <v>4478</v>
      </c>
      <c r="CA217" s="103" t="s">
        <v>4509</v>
      </c>
      <c r="CB217" s="103">
        <v>40</v>
      </c>
      <c r="CC217" s="103" t="s">
        <v>4502</v>
      </c>
      <c r="CD217" s="103" t="s">
        <v>4475</v>
      </c>
      <c r="CE217" s="103" t="s">
        <v>4481</v>
      </c>
      <c r="CF217" s="103"/>
      <c r="CG217" s="103" t="s">
        <v>5528</v>
      </c>
      <c r="CH217" s="103" t="s">
        <v>3841</v>
      </c>
      <c r="CI217" s="103">
        <v>61413498</v>
      </c>
      <c r="CJ217" s="103"/>
      <c r="CK217" s="108">
        <v>43367.444814814815</v>
      </c>
      <c r="CL217" s="109">
        <v>43367.472974537035</v>
      </c>
      <c r="CM217" s="95">
        <v>12.3425897</v>
      </c>
      <c r="CN217" s="95">
        <v>-1.4434689999999999</v>
      </c>
      <c r="CO217" s="99"/>
      <c r="CP217" s="99"/>
      <c r="CQ217" s="99"/>
      <c r="CR217" s="99"/>
      <c r="CS217" s="99"/>
      <c r="CT217" s="99"/>
      <c r="CU217" s="99"/>
      <c r="CV217" s="99"/>
      <c r="CW217" s="99"/>
      <c r="CX217" s="99"/>
      <c r="CY217" s="99"/>
      <c r="CZ217" s="99"/>
      <c r="DA217" s="99"/>
      <c r="DB217" s="99"/>
      <c r="DC217" s="99"/>
    </row>
    <row r="218" spans="1:107" ht="15.75" customHeight="1">
      <c r="A218" s="95">
        <v>220</v>
      </c>
      <c r="B218" s="99" t="s">
        <v>837</v>
      </c>
      <c r="C218" s="99" t="s">
        <v>875</v>
      </c>
      <c r="D218" s="99">
        <v>70565174</v>
      </c>
      <c r="E218" s="99" t="s">
        <v>330</v>
      </c>
      <c r="F218" s="95" t="s">
        <v>5529</v>
      </c>
      <c r="G218" s="95" t="s">
        <v>1098</v>
      </c>
      <c r="H218" s="95" t="s">
        <v>1099</v>
      </c>
      <c r="I218" s="95" t="s">
        <v>331</v>
      </c>
      <c r="J218" s="95"/>
      <c r="K218" s="99"/>
      <c r="L218" s="103" t="s">
        <v>4449</v>
      </c>
      <c r="M218" s="99" t="s">
        <v>4450</v>
      </c>
      <c r="N218" s="99" t="s">
        <v>4718</v>
      </c>
      <c r="O218" s="99" t="s">
        <v>4452</v>
      </c>
      <c r="P218" s="103">
        <v>2003</v>
      </c>
      <c r="Q218" s="103" t="s">
        <v>1862</v>
      </c>
      <c r="R218" s="99" t="s">
        <v>4633</v>
      </c>
      <c r="S218" s="103" t="s">
        <v>1541</v>
      </c>
      <c r="T218" s="103" t="s">
        <v>4634</v>
      </c>
      <c r="U218" s="99" t="s">
        <v>5530</v>
      </c>
      <c r="V218" s="95">
        <v>10.457233</v>
      </c>
      <c r="W218" s="95">
        <v>-5.2949906999999996</v>
      </c>
      <c r="X218" s="104" t="s">
        <v>5531</v>
      </c>
      <c r="Y218" s="103" t="s">
        <v>1634</v>
      </c>
      <c r="Z218" s="103" t="s">
        <v>1634</v>
      </c>
      <c r="AA218" s="103" t="s">
        <v>1862</v>
      </c>
      <c r="AB218" s="103">
        <v>400</v>
      </c>
      <c r="AC218" s="103">
        <v>10</v>
      </c>
      <c r="AD218" s="103">
        <v>380</v>
      </c>
      <c r="AE218" s="103" t="s">
        <v>1634</v>
      </c>
      <c r="AF218" s="103" t="s">
        <v>4637</v>
      </c>
      <c r="AG218" s="99" t="s">
        <v>4554</v>
      </c>
      <c r="AH218" s="103" t="s">
        <v>1862</v>
      </c>
      <c r="AI218" s="103" t="s">
        <v>1862</v>
      </c>
      <c r="AJ218" s="103" t="s">
        <v>1862</v>
      </c>
      <c r="AK218" s="103" t="s">
        <v>1862</v>
      </c>
      <c r="AL218" s="103" t="s">
        <v>1804</v>
      </c>
      <c r="AM218" s="103" t="s">
        <v>1862</v>
      </c>
      <c r="AN218" s="99" t="s">
        <v>4638</v>
      </c>
      <c r="AO218" s="103" t="s">
        <v>1862</v>
      </c>
      <c r="AP218" s="103">
        <v>1700</v>
      </c>
      <c r="AQ218" s="112" t="s">
        <v>4461</v>
      </c>
      <c r="AR218" s="103"/>
      <c r="AS218" s="106">
        <v>60000000</v>
      </c>
      <c r="AT218" s="103" t="s">
        <v>4527</v>
      </c>
      <c r="AU218" s="103" t="s">
        <v>1634</v>
      </c>
      <c r="AV218" s="99" t="s">
        <v>4463</v>
      </c>
      <c r="AW218" s="99" t="s">
        <v>4639</v>
      </c>
      <c r="AX218" s="99" t="s">
        <v>4640</v>
      </c>
      <c r="AY218" s="99" t="s">
        <v>4641</v>
      </c>
      <c r="AZ218" s="99" t="s">
        <v>4530</v>
      </c>
      <c r="BA218" s="103" t="s">
        <v>1634</v>
      </c>
      <c r="BB218" s="99"/>
      <c r="BC218" s="99">
        <v>25000</v>
      </c>
      <c r="BD218" s="99"/>
      <c r="BE218" s="99">
        <v>40000000</v>
      </c>
      <c r="BF218" s="103" t="s">
        <v>4642</v>
      </c>
      <c r="BG218" s="103" t="s">
        <v>1862</v>
      </c>
      <c r="BH218" s="103" t="s">
        <v>1862</v>
      </c>
      <c r="BI218" s="103" t="s">
        <v>1862</v>
      </c>
      <c r="BJ218" s="103" t="s">
        <v>1862</v>
      </c>
      <c r="BK218" s="103" t="s">
        <v>4469</v>
      </c>
      <c r="BL218" s="103" t="s">
        <v>4472</v>
      </c>
      <c r="BM218" s="103" t="s">
        <v>4461</v>
      </c>
      <c r="BN218" s="103" t="s">
        <v>4643</v>
      </c>
      <c r="BO218" s="103">
        <v>350</v>
      </c>
      <c r="BP218" s="103" t="s">
        <v>4532</v>
      </c>
      <c r="BQ218" s="99" t="s">
        <v>4644</v>
      </c>
      <c r="BR218" s="99" t="s">
        <v>4644</v>
      </c>
      <c r="BS218" s="99" t="s">
        <v>4564</v>
      </c>
      <c r="BT218" s="103" t="s">
        <v>3186</v>
      </c>
      <c r="BU218" s="99"/>
      <c r="BV218" s="103" t="s">
        <v>4644</v>
      </c>
      <c r="BW218" s="103" t="s">
        <v>4644</v>
      </c>
      <c r="BX218" s="103"/>
      <c r="BY218" s="103"/>
      <c r="BZ218" s="103"/>
      <c r="CA218" s="103"/>
      <c r="CB218" s="103"/>
      <c r="CC218" s="103" t="s">
        <v>4502</v>
      </c>
      <c r="CD218" s="103" t="s">
        <v>4475</v>
      </c>
      <c r="CE218" s="112" t="s">
        <v>4475</v>
      </c>
      <c r="CF218" s="103"/>
      <c r="CG218" s="103" t="s">
        <v>837</v>
      </c>
      <c r="CH218" s="103" t="s">
        <v>875</v>
      </c>
      <c r="CI218" s="103">
        <v>70565174</v>
      </c>
      <c r="CJ218" s="103"/>
      <c r="CK218" s="108">
        <v>43364.693287037036</v>
      </c>
      <c r="CL218" s="109">
        <v>43364.732754629629</v>
      </c>
      <c r="CM218" s="95">
        <v>10.457233</v>
      </c>
      <c r="CN218" s="95">
        <v>-5.2949906999999996</v>
      </c>
      <c r="CO218" s="99"/>
      <c r="CP218" s="99"/>
      <c r="CQ218" s="99"/>
      <c r="CR218" s="99"/>
      <c r="CS218" s="99"/>
      <c r="CT218" s="99"/>
      <c r="CU218" s="99"/>
      <c r="CV218" s="99"/>
      <c r="CW218" s="99"/>
      <c r="CX218" s="99"/>
      <c r="CY218" s="99"/>
      <c r="CZ218" s="99"/>
      <c r="DA218" s="99"/>
      <c r="DB218" s="99"/>
      <c r="DC218" s="99"/>
    </row>
    <row r="219" spans="1:107" ht="15.75" customHeight="1">
      <c r="A219" s="95">
        <v>221</v>
      </c>
      <c r="B219" s="99" t="s">
        <v>527</v>
      </c>
      <c r="C219" s="99" t="s">
        <v>876</v>
      </c>
      <c r="D219" s="99">
        <v>76656592</v>
      </c>
      <c r="E219" s="99" t="s">
        <v>332</v>
      </c>
      <c r="F219" s="95" t="s">
        <v>4982</v>
      </c>
      <c r="G219" s="95" t="s">
        <v>1042</v>
      </c>
      <c r="H219" s="95" t="s">
        <v>1051</v>
      </c>
      <c r="I219" s="95" t="s">
        <v>125</v>
      </c>
      <c r="J219" s="95"/>
      <c r="K219" s="99"/>
      <c r="L219" s="103" t="s">
        <v>4449</v>
      </c>
      <c r="M219" s="99" t="s">
        <v>4450</v>
      </c>
      <c r="N219" s="99" t="s">
        <v>4520</v>
      </c>
      <c r="O219" s="99" t="s">
        <v>4452</v>
      </c>
      <c r="P219" s="103">
        <v>2005</v>
      </c>
      <c r="Q219" s="103" t="s">
        <v>1862</v>
      </c>
      <c r="R219" s="99" t="s">
        <v>4767</v>
      </c>
      <c r="S219" s="103" t="s">
        <v>2282</v>
      </c>
      <c r="T219" s="103" t="s">
        <v>4505</v>
      </c>
      <c r="U219" s="99" t="s">
        <v>4983</v>
      </c>
      <c r="V219" s="95">
        <v>12.074325</v>
      </c>
      <c r="W219" s="95">
        <v>-1.3421031999999999</v>
      </c>
      <c r="X219" s="104" t="s">
        <v>4984</v>
      </c>
      <c r="Y219" s="103" t="s">
        <v>1634</v>
      </c>
      <c r="Z219" s="103" t="s">
        <v>1634</v>
      </c>
      <c r="AA219" s="103" t="s">
        <v>1862</v>
      </c>
      <c r="AB219" s="103">
        <v>45</v>
      </c>
      <c r="AC219" s="103">
        <v>10</v>
      </c>
      <c r="AD219" s="103">
        <v>35</v>
      </c>
      <c r="AE219" s="103" t="s">
        <v>1634</v>
      </c>
      <c r="AF219" s="103" t="s">
        <v>4493</v>
      </c>
      <c r="AG219" s="99" t="s">
        <v>4554</v>
      </c>
      <c r="AH219" s="103" t="s">
        <v>1862</v>
      </c>
      <c r="AI219" s="103" t="s">
        <v>1862</v>
      </c>
      <c r="AJ219" s="103" t="s">
        <v>1862</v>
      </c>
      <c r="AK219" s="103" t="s">
        <v>1862</v>
      </c>
      <c r="AL219" s="103" t="s">
        <v>1804</v>
      </c>
      <c r="AM219" s="103" t="s">
        <v>1862</v>
      </c>
      <c r="AN219" s="99" t="s">
        <v>4555</v>
      </c>
      <c r="AO219" s="103" t="s">
        <v>1862</v>
      </c>
      <c r="AP219" s="103">
        <v>2100</v>
      </c>
      <c r="AQ219" s="103" t="s">
        <v>4461</v>
      </c>
      <c r="AR219" s="103">
        <v>0</v>
      </c>
      <c r="AS219" s="106">
        <v>16000000</v>
      </c>
      <c r="AT219" s="103" t="s">
        <v>4594</v>
      </c>
      <c r="AU219" s="103" t="s">
        <v>1634</v>
      </c>
      <c r="AV219" s="99" t="s">
        <v>4557</v>
      </c>
      <c r="AW219" s="99" t="s">
        <v>5532</v>
      </c>
      <c r="AX219" s="99" t="s">
        <v>5533</v>
      </c>
      <c r="AY219" s="99" t="s">
        <v>4560</v>
      </c>
      <c r="AZ219" s="99" t="s">
        <v>4561</v>
      </c>
      <c r="BA219" s="103" t="s">
        <v>1634</v>
      </c>
      <c r="BB219" s="99">
        <v>12640</v>
      </c>
      <c r="BC219" s="99">
        <v>8500</v>
      </c>
      <c r="BD219" s="99">
        <v>0</v>
      </c>
      <c r="BE219" s="99">
        <v>16000000</v>
      </c>
      <c r="BF219" s="103" t="s">
        <v>4642</v>
      </c>
      <c r="BG219" s="103" t="s">
        <v>1862</v>
      </c>
      <c r="BH219" s="103" t="s">
        <v>1862</v>
      </c>
      <c r="BI219" s="103" t="s">
        <v>1862</v>
      </c>
      <c r="BJ219" s="103" t="s">
        <v>1862</v>
      </c>
      <c r="BK219" s="103" t="s">
        <v>4478</v>
      </c>
      <c r="BL219" s="103" t="s">
        <v>4470</v>
      </c>
      <c r="BM219" s="103" t="s">
        <v>4461</v>
      </c>
      <c r="BN219" s="103" t="s">
        <v>4545</v>
      </c>
      <c r="BO219" s="103">
        <v>240</v>
      </c>
      <c r="BP219" s="103" t="s">
        <v>4532</v>
      </c>
      <c r="BQ219" s="107" t="s">
        <v>4809</v>
      </c>
      <c r="BR219" s="99" t="s">
        <v>4564</v>
      </c>
      <c r="BS219" s="99" t="s">
        <v>4564</v>
      </c>
      <c r="BT219" s="103" t="s">
        <v>3186</v>
      </c>
      <c r="BU219" s="99" t="s">
        <v>4480</v>
      </c>
      <c r="BV219" s="103" t="s">
        <v>4476</v>
      </c>
      <c r="BW219" s="103" t="s">
        <v>4476</v>
      </c>
      <c r="BX219" s="103" t="s">
        <v>1548</v>
      </c>
      <c r="BY219" s="103" t="s">
        <v>4501</v>
      </c>
      <c r="BZ219" s="103" t="s">
        <v>4478</v>
      </c>
      <c r="CA219" s="103" t="s">
        <v>4509</v>
      </c>
      <c r="CB219" s="103">
        <v>80</v>
      </c>
      <c r="CC219" s="103" t="s">
        <v>4479</v>
      </c>
      <c r="CD219" s="103" t="s">
        <v>4480</v>
      </c>
      <c r="CE219" s="103" t="s">
        <v>4481</v>
      </c>
      <c r="CF219" s="103"/>
      <c r="CG219" s="103" t="s">
        <v>527</v>
      </c>
      <c r="CH219" s="103" t="s">
        <v>5427</v>
      </c>
      <c r="CI219" s="103">
        <v>76656592</v>
      </c>
      <c r="CJ219" s="103" t="s">
        <v>5534</v>
      </c>
      <c r="CK219" s="108">
        <v>43365.425347222219</v>
      </c>
      <c r="CL219" s="109">
        <v>43367.508946759262</v>
      </c>
      <c r="CM219" s="95">
        <v>12.074325</v>
      </c>
      <c r="CN219" s="95">
        <v>-1.3421031999999999</v>
      </c>
      <c r="CO219" s="99"/>
      <c r="CP219" s="99"/>
      <c r="CQ219" s="99"/>
      <c r="CR219" s="99"/>
      <c r="CS219" s="99"/>
      <c r="CT219" s="99"/>
      <c r="CU219" s="99"/>
      <c r="CV219" s="99"/>
      <c r="CW219" s="99"/>
      <c r="CX219" s="99"/>
      <c r="CY219" s="99"/>
      <c r="CZ219" s="99"/>
      <c r="DA219" s="99"/>
      <c r="DB219" s="99"/>
      <c r="DC219" s="99"/>
    </row>
    <row r="220" spans="1:107" ht="15.75" customHeight="1">
      <c r="A220" s="95">
        <v>222</v>
      </c>
      <c r="B220" s="99" t="s">
        <v>767</v>
      </c>
      <c r="C220" s="99" t="s">
        <v>877</v>
      </c>
      <c r="D220" s="99">
        <v>72454198</v>
      </c>
      <c r="E220" s="99" t="s">
        <v>5535</v>
      </c>
      <c r="F220" s="95" t="s">
        <v>5536</v>
      </c>
      <c r="G220" s="95" t="s">
        <v>1062</v>
      </c>
      <c r="H220" s="95" t="s">
        <v>1064</v>
      </c>
      <c r="I220" s="95" t="s">
        <v>334</v>
      </c>
      <c r="J220" s="95" t="s">
        <v>1131</v>
      </c>
      <c r="K220" s="99"/>
      <c r="L220" s="103" t="s">
        <v>4449</v>
      </c>
      <c r="M220" s="99" t="s">
        <v>4450</v>
      </c>
      <c r="N220" s="99" t="s">
        <v>1565</v>
      </c>
      <c r="O220" s="99" t="s">
        <v>4452</v>
      </c>
      <c r="P220" s="103">
        <v>2005</v>
      </c>
      <c r="Q220" s="103" t="s">
        <v>1862</v>
      </c>
      <c r="R220" s="99" t="s">
        <v>4551</v>
      </c>
      <c r="S220" s="103" t="s">
        <v>1541</v>
      </c>
      <c r="T220" s="103" t="s">
        <v>4522</v>
      </c>
      <c r="U220" s="99" t="s">
        <v>5537</v>
      </c>
      <c r="V220" s="95">
        <v>12.510161099999999</v>
      </c>
      <c r="W220" s="95">
        <v>-1.5771523000000001</v>
      </c>
      <c r="X220" s="104" t="s">
        <v>5538</v>
      </c>
      <c r="Y220" s="103" t="s">
        <v>1634</v>
      </c>
      <c r="Z220" s="103" t="s">
        <v>1548</v>
      </c>
      <c r="AA220" s="103" t="s">
        <v>1862</v>
      </c>
      <c r="AB220" s="103">
        <v>200</v>
      </c>
      <c r="AC220" s="103">
        <v>0</v>
      </c>
      <c r="AD220" s="103">
        <v>200</v>
      </c>
      <c r="AE220" s="103" t="s">
        <v>1634</v>
      </c>
      <c r="AF220" s="103" t="s">
        <v>4493</v>
      </c>
      <c r="AG220" s="99" t="s">
        <v>4554</v>
      </c>
      <c r="AH220" s="103" t="s">
        <v>1862</v>
      </c>
      <c r="AI220" s="103" t="s">
        <v>1862</v>
      </c>
      <c r="AJ220" s="103" t="s">
        <v>1862</v>
      </c>
      <c r="AK220" s="103" t="s">
        <v>1862</v>
      </c>
      <c r="AL220" s="103" t="s">
        <v>1804</v>
      </c>
      <c r="AM220" s="103" t="s">
        <v>1862</v>
      </c>
      <c r="AN220" s="99" t="s">
        <v>4735</v>
      </c>
      <c r="AO220" s="103" t="s">
        <v>1862</v>
      </c>
      <c r="AP220" s="103">
        <v>675</v>
      </c>
      <c r="AQ220" s="103" t="s">
        <v>4461</v>
      </c>
      <c r="AR220" s="103"/>
      <c r="AS220" s="106">
        <v>6615000</v>
      </c>
      <c r="AT220" s="103" t="s">
        <v>4496</v>
      </c>
      <c r="AU220" s="103" t="s">
        <v>1634</v>
      </c>
      <c r="AV220" s="99" t="s">
        <v>4463</v>
      </c>
      <c r="AW220" s="99" t="s">
        <v>5539</v>
      </c>
      <c r="AX220" s="99" t="s">
        <v>5540</v>
      </c>
      <c r="AY220" s="99" t="s">
        <v>4560</v>
      </c>
      <c r="AZ220" s="99" t="s">
        <v>4530</v>
      </c>
      <c r="BA220" s="103" t="s">
        <v>1634</v>
      </c>
      <c r="BB220" s="99"/>
      <c r="BC220" s="99">
        <v>9800</v>
      </c>
      <c r="BD220" s="99"/>
      <c r="BE220" s="99">
        <v>6615000</v>
      </c>
      <c r="BF220" s="103" t="s">
        <v>4842</v>
      </c>
      <c r="BG220" s="103" t="s">
        <v>1804</v>
      </c>
      <c r="BH220" s="103" t="s">
        <v>1862</v>
      </c>
      <c r="BI220" s="103" t="s">
        <v>1862</v>
      </c>
      <c r="BJ220" s="103" t="s">
        <v>1862</v>
      </c>
      <c r="BK220" s="103" t="s">
        <v>4728</v>
      </c>
      <c r="BL220" s="103" t="s">
        <v>4470</v>
      </c>
      <c r="BM220" s="103" t="s">
        <v>4461</v>
      </c>
      <c r="BN220" s="103" t="s">
        <v>4531</v>
      </c>
      <c r="BO220" s="103"/>
      <c r="BP220" s="103"/>
      <c r="BQ220" s="107" t="s">
        <v>4476</v>
      </c>
      <c r="BR220" s="99"/>
      <c r="BS220" s="99"/>
      <c r="BT220" s="103" t="s">
        <v>3186</v>
      </c>
      <c r="BU220" s="99" t="s">
        <v>4502</v>
      </c>
      <c r="BV220" s="103" t="s">
        <v>4476</v>
      </c>
      <c r="BW220" s="103" t="s">
        <v>4476</v>
      </c>
      <c r="BX220" s="103"/>
      <c r="BY220" s="103" t="s">
        <v>4610</v>
      </c>
      <c r="BZ220" s="103" t="s">
        <v>4478</v>
      </c>
      <c r="CA220" s="103" t="s">
        <v>4509</v>
      </c>
      <c r="CB220" s="103"/>
      <c r="CC220" s="103" t="s">
        <v>4716</v>
      </c>
      <c r="CD220" s="103" t="s">
        <v>4480</v>
      </c>
      <c r="CE220" s="103" t="s">
        <v>4481</v>
      </c>
      <c r="CF220" s="103"/>
      <c r="CG220" s="103" t="s">
        <v>767</v>
      </c>
      <c r="CH220" s="103" t="s">
        <v>763</v>
      </c>
      <c r="CI220" s="103">
        <v>69056683</v>
      </c>
      <c r="CJ220" s="103"/>
      <c r="CK220" s="108">
        <v>43367.519872685189</v>
      </c>
      <c r="CL220" s="109">
        <v>43367.565185185187</v>
      </c>
      <c r="CM220" s="95">
        <v>12.510161099999999</v>
      </c>
      <c r="CN220" s="95">
        <v>-1.5771523000000001</v>
      </c>
      <c r="CO220" s="99"/>
      <c r="CP220" s="99"/>
      <c r="CQ220" s="99"/>
      <c r="CR220" s="99"/>
      <c r="CS220" s="99"/>
      <c r="CT220" s="99"/>
      <c r="CU220" s="99"/>
      <c r="CV220" s="99"/>
      <c r="CW220" s="99"/>
      <c r="CX220" s="99"/>
      <c r="CY220" s="99"/>
      <c r="CZ220" s="99"/>
      <c r="DA220" s="99"/>
      <c r="DB220" s="99"/>
      <c r="DC220" s="99"/>
    </row>
    <row r="221" spans="1:107" ht="15.75" customHeight="1">
      <c r="A221" s="95">
        <v>223</v>
      </c>
      <c r="B221" s="99" t="s">
        <v>878</v>
      </c>
      <c r="C221" s="99" t="s">
        <v>876</v>
      </c>
      <c r="D221" s="99">
        <v>76352202</v>
      </c>
      <c r="E221" s="99" t="s">
        <v>335</v>
      </c>
      <c r="F221" s="95" t="s">
        <v>4666</v>
      </c>
      <c r="G221" s="95" t="s">
        <v>1057</v>
      </c>
      <c r="H221" s="95" t="s">
        <v>1061</v>
      </c>
      <c r="I221" s="95" t="s">
        <v>37</v>
      </c>
      <c r="J221" s="95" t="s">
        <v>37</v>
      </c>
      <c r="K221" s="99"/>
      <c r="L221" s="103" t="s">
        <v>4449</v>
      </c>
      <c r="M221" s="99" t="s">
        <v>4567</v>
      </c>
      <c r="N221" s="99" t="s">
        <v>4520</v>
      </c>
      <c r="O221" s="99" t="s">
        <v>5541</v>
      </c>
      <c r="P221" s="103">
        <v>2015</v>
      </c>
      <c r="Q221" s="103" t="s">
        <v>1862</v>
      </c>
      <c r="R221" s="99" t="s">
        <v>4616</v>
      </c>
      <c r="S221" s="103" t="s">
        <v>1541</v>
      </c>
      <c r="T221" s="103" t="s">
        <v>4538</v>
      </c>
      <c r="U221" s="99" t="s">
        <v>5235</v>
      </c>
      <c r="V221" s="95">
        <v>12.184640699999999</v>
      </c>
      <c r="W221" s="95">
        <v>-4.0848788999999996</v>
      </c>
      <c r="X221" s="104" t="s">
        <v>4668</v>
      </c>
      <c r="Y221" s="103" t="s">
        <v>1634</v>
      </c>
      <c r="Z221" s="103" t="s">
        <v>1634</v>
      </c>
      <c r="AA221" s="103" t="s">
        <v>1862</v>
      </c>
      <c r="AB221" s="103">
        <v>25</v>
      </c>
      <c r="AC221" s="103"/>
      <c r="AD221" s="103">
        <v>25</v>
      </c>
      <c r="AE221" s="103" t="s">
        <v>1634</v>
      </c>
      <c r="AF221" s="103" t="s">
        <v>4651</v>
      </c>
      <c r="AG221" s="99" t="s">
        <v>5199</v>
      </c>
      <c r="AH221" s="103" t="s">
        <v>1862</v>
      </c>
      <c r="AI221" s="103" t="s">
        <v>1862</v>
      </c>
      <c r="AJ221" s="103" t="s">
        <v>1804</v>
      </c>
      <c r="AK221" s="103" t="s">
        <v>1862</v>
      </c>
      <c r="AL221" s="103" t="s">
        <v>1804</v>
      </c>
      <c r="AM221" s="103" t="s">
        <v>1804</v>
      </c>
      <c r="AN221" s="99" t="s">
        <v>4735</v>
      </c>
      <c r="AO221" s="103" t="s">
        <v>1862</v>
      </c>
      <c r="AP221" s="103"/>
      <c r="AQ221" s="103" t="s">
        <v>4472</v>
      </c>
      <c r="AR221" s="103">
        <v>290000</v>
      </c>
      <c r="AS221" s="106">
        <v>60000</v>
      </c>
      <c r="AT221" s="103" t="s">
        <v>4496</v>
      </c>
      <c r="AU221" s="103"/>
      <c r="AV221" s="99" t="s">
        <v>4671</v>
      </c>
      <c r="AW221" s="99" t="s">
        <v>5542</v>
      </c>
      <c r="AX221" s="99" t="s">
        <v>4543</v>
      </c>
      <c r="AY221" s="99" t="s">
        <v>4466</v>
      </c>
      <c r="AZ221" s="99" t="s">
        <v>4467</v>
      </c>
      <c r="BA221" s="103" t="s">
        <v>1634</v>
      </c>
      <c r="BB221" s="99">
        <v>4000</v>
      </c>
      <c r="BC221" s="99"/>
      <c r="BD221" s="99"/>
      <c r="BE221" s="99"/>
      <c r="BF221" s="103" t="s">
        <v>5425</v>
      </c>
      <c r="BG221" s="103" t="s">
        <v>1862</v>
      </c>
      <c r="BH221" s="103" t="s">
        <v>1862</v>
      </c>
      <c r="BI221" s="103" t="s">
        <v>1862</v>
      </c>
      <c r="BJ221" s="103" t="s">
        <v>1862</v>
      </c>
      <c r="BK221" s="103" t="s">
        <v>4478</v>
      </c>
      <c r="BL221" s="103" t="s">
        <v>4472</v>
      </c>
      <c r="BM221" s="103" t="s">
        <v>4470</v>
      </c>
      <c r="BN221" s="103" t="s">
        <v>4664</v>
      </c>
      <c r="BO221" s="103">
        <v>400</v>
      </c>
      <c r="BP221" s="103" t="s">
        <v>4500</v>
      </c>
      <c r="BQ221" s="99" t="s">
        <v>4476</v>
      </c>
      <c r="BR221" s="99" t="s">
        <v>4476</v>
      </c>
      <c r="BS221" s="99" t="s">
        <v>4476</v>
      </c>
      <c r="BT221" s="103" t="s">
        <v>3186</v>
      </c>
      <c r="BU221" s="99" t="s">
        <v>4502</v>
      </c>
      <c r="BV221" s="103" t="s">
        <v>4476</v>
      </c>
      <c r="BW221" s="103" t="s">
        <v>4476</v>
      </c>
      <c r="BX221" s="103" t="s">
        <v>1634</v>
      </c>
      <c r="BY221" s="103" t="s">
        <v>4595</v>
      </c>
      <c r="BZ221" s="103" t="s">
        <v>4478</v>
      </c>
      <c r="CA221" s="103" t="s">
        <v>4461</v>
      </c>
      <c r="CB221" s="103"/>
      <c r="CC221" s="103" t="s">
        <v>4502</v>
      </c>
      <c r="CD221" s="103" t="s">
        <v>4502</v>
      </c>
      <c r="CE221" s="103" t="s">
        <v>4475</v>
      </c>
      <c r="CF221" s="103"/>
      <c r="CG221" s="103" t="s">
        <v>837</v>
      </c>
      <c r="CH221" s="103" t="s">
        <v>5543</v>
      </c>
      <c r="CI221" s="103">
        <v>66290472</v>
      </c>
      <c r="CJ221" s="103" t="s">
        <v>5544</v>
      </c>
      <c r="CK221" s="108">
        <v>43367.653310185182</v>
      </c>
      <c r="CL221" s="109">
        <v>43367.669652777775</v>
      </c>
      <c r="CM221" s="95">
        <v>12.184640699999999</v>
      </c>
      <c r="CN221" s="95">
        <v>-4.0848788999999996</v>
      </c>
      <c r="CO221" s="99"/>
      <c r="CP221" s="99"/>
      <c r="CQ221" s="99"/>
      <c r="CR221" s="99"/>
      <c r="CS221" s="99"/>
      <c r="CT221" s="99"/>
      <c r="CU221" s="99"/>
      <c r="CV221" s="99"/>
      <c r="CW221" s="99"/>
      <c r="CX221" s="99"/>
      <c r="CY221" s="99"/>
      <c r="CZ221" s="99"/>
      <c r="DA221" s="99"/>
      <c r="DB221" s="99"/>
      <c r="DC221" s="99"/>
    </row>
    <row r="222" spans="1:107" ht="15.75" customHeight="1">
      <c r="A222" s="95">
        <v>224</v>
      </c>
      <c r="B222" s="99" t="s">
        <v>879</v>
      </c>
      <c r="C222" s="99" t="s">
        <v>655</v>
      </c>
      <c r="D222" s="99">
        <v>71965599</v>
      </c>
      <c r="E222" s="99" t="s">
        <v>336</v>
      </c>
      <c r="F222" s="95" t="s">
        <v>5545</v>
      </c>
      <c r="G222" s="95" t="s">
        <v>1049</v>
      </c>
      <c r="H222" s="95" t="s">
        <v>1066</v>
      </c>
      <c r="I222" s="95" t="s">
        <v>337</v>
      </c>
      <c r="J222" s="95" t="s">
        <v>1132</v>
      </c>
      <c r="K222" s="99"/>
      <c r="L222" s="103" t="s">
        <v>4449</v>
      </c>
      <c r="M222" s="99" t="s">
        <v>4567</v>
      </c>
      <c r="N222" s="99" t="s">
        <v>4520</v>
      </c>
      <c r="O222" s="99" t="s">
        <v>4452</v>
      </c>
      <c r="P222" s="103">
        <v>2010</v>
      </c>
      <c r="Q222" s="103" t="s">
        <v>1862</v>
      </c>
      <c r="R222" s="99" t="s">
        <v>4616</v>
      </c>
      <c r="S222" s="103" t="s">
        <v>1541</v>
      </c>
      <c r="T222" s="103" t="s">
        <v>4522</v>
      </c>
      <c r="U222" s="99" t="s">
        <v>5546</v>
      </c>
      <c r="V222" s="115">
        <v>12.58333</v>
      </c>
      <c r="W222" s="115">
        <v>-2.0333299999999999</v>
      </c>
      <c r="X222" s="104" t="s">
        <v>5547</v>
      </c>
      <c r="Y222" s="103" t="s">
        <v>1634</v>
      </c>
      <c r="Z222" s="103" t="s">
        <v>4499</v>
      </c>
      <c r="AA222" s="103" t="s">
        <v>1862</v>
      </c>
      <c r="AB222" s="103">
        <v>29</v>
      </c>
      <c r="AC222" s="103">
        <v>0</v>
      </c>
      <c r="AD222" s="103">
        <v>29</v>
      </c>
      <c r="AE222" s="103" t="s">
        <v>1634</v>
      </c>
      <c r="AF222" s="103" t="s">
        <v>4493</v>
      </c>
      <c r="AG222" s="99" t="s">
        <v>5548</v>
      </c>
      <c r="AH222" s="103" t="s">
        <v>1862</v>
      </c>
      <c r="AI222" s="103" t="s">
        <v>1862</v>
      </c>
      <c r="AJ222" s="103" t="s">
        <v>1804</v>
      </c>
      <c r="AK222" s="103" t="s">
        <v>1804</v>
      </c>
      <c r="AL222" s="103" t="s">
        <v>1862</v>
      </c>
      <c r="AM222" s="103" t="s">
        <v>1862</v>
      </c>
      <c r="AN222" s="99" t="s">
        <v>4604</v>
      </c>
      <c r="AO222" s="103" t="s">
        <v>1862</v>
      </c>
      <c r="AP222" s="103">
        <v>700</v>
      </c>
      <c r="AQ222" s="103" t="s">
        <v>4461</v>
      </c>
      <c r="AR222" s="103">
        <v>400000</v>
      </c>
      <c r="AS222" s="106">
        <v>250000</v>
      </c>
      <c r="AT222" s="103" t="s">
        <v>4625</v>
      </c>
      <c r="AU222" s="103" t="s">
        <v>1634</v>
      </c>
      <c r="AV222" s="99" t="s">
        <v>4463</v>
      </c>
      <c r="AW222" s="99" t="s">
        <v>4680</v>
      </c>
      <c r="AX222" s="99" t="s">
        <v>5046</v>
      </c>
      <c r="AY222" s="99" t="s">
        <v>4466</v>
      </c>
      <c r="AZ222" s="99" t="s">
        <v>4467</v>
      </c>
      <c r="BA222" s="103" t="s">
        <v>1634</v>
      </c>
      <c r="BB222" s="99">
        <v>2000</v>
      </c>
      <c r="BC222" s="99">
        <v>10000</v>
      </c>
      <c r="BD222" s="99">
        <v>300000</v>
      </c>
      <c r="BE222" s="99">
        <v>175000</v>
      </c>
      <c r="BF222" s="103" t="s">
        <v>4715</v>
      </c>
      <c r="BG222" s="103" t="s">
        <v>1862</v>
      </c>
      <c r="BH222" s="103" t="s">
        <v>1862</v>
      </c>
      <c r="BI222" s="103" t="s">
        <v>1862</v>
      </c>
      <c r="BJ222" s="103" t="s">
        <v>1804</v>
      </c>
      <c r="BK222" s="103" t="s">
        <v>4478</v>
      </c>
      <c r="BL222" s="103" t="s">
        <v>4470</v>
      </c>
      <c r="BM222" s="103" t="s">
        <v>4461</v>
      </c>
      <c r="BN222" s="103" t="s">
        <v>4531</v>
      </c>
      <c r="BO222" s="103">
        <v>400</v>
      </c>
      <c r="BP222" s="103" t="s">
        <v>4500</v>
      </c>
      <c r="BQ222" s="99" t="s">
        <v>4476</v>
      </c>
      <c r="BR222" s="99" t="s">
        <v>4476</v>
      </c>
      <c r="BS222" s="99" t="s">
        <v>4476</v>
      </c>
      <c r="BT222" s="103" t="s">
        <v>3186</v>
      </c>
      <c r="BU222" s="99" t="s">
        <v>4502</v>
      </c>
      <c r="BV222" s="103" t="s">
        <v>4476</v>
      </c>
      <c r="BW222" s="103" t="s">
        <v>4476</v>
      </c>
      <c r="BX222" s="103" t="s">
        <v>1548</v>
      </c>
      <c r="BY222" s="103" t="s">
        <v>4535</v>
      </c>
      <c r="BZ222" s="103" t="s">
        <v>4478</v>
      </c>
      <c r="CA222" s="103" t="s">
        <v>4461</v>
      </c>
      <c r="CB222" s="103">
        <v>250</v>
      </c>
      <c r="CC222" s="103" t="s">
        <v>4502</v>
      </c>
      <c r="CD222" s="103" t="s">
        <v>4502</v>
      </c>
      <c r="CE222" s="103" t="s">
        <v>4502</v>
      </c>
      <c r="CF222" s="103"/>
      <c r="CG222" s="103" t="s">
        <v>592</v>
      </c>
      <c r="CH222" s="103" t="s">
        <v>5549</v>
      </c>
      <c r="CI222" s="103">
        <v>79682986</v>
      </c>
      <c r="CJ222" s="103"/>
      <c r="CK222" s="108">
        <v>43367.536076388889</v>
      </c>
      <c r="CL222" s="109">
        <v>43367.610995370371</v>
      </c>
      <c r="CM222" s="95">
        <v>12.58333</v>
      </c>
      <c r="CN222" s="95">
        <v>-2.0333299999999999</v>
      </c>
      <c r="CO222" s="99"/>
      <c r="CP222" s="99"/>
      <c r="CQ222" s="99"/>
      <c r="CR222" s="99"/>
      <c r="CS222" s="99"/>
      <c r="CT222" s="99"/>
      <c r="CU222" s="99"/>
      <c r="CV222" s="99"/>
      <c r="CW222" s="99"/>
      <c r="CX222" s="99"/>
      <c r="CY222" s="99"/>
      <c r="CZ222" s="99"/>
      <c r="DA222" s="99"/>
      <c r="DB222" s="99"/>
      <c r="DC222" s="99"/>
    </row>
    <row r="223" spans="1:107" ht="15.75" customHeight="1">
      <c r="A223" s="95">
        <v>225</v>
      </c>
      <c r="B223" s="99" t="s">
        <v>880</v>
      </c>
      <c r="C223" s="99" t="s">
        <v>881</v>
      </c>
      <c r="D223" s="99">
        <v>79153634</v>
      </c>
      <c r="E223" s="99" t="s">
        <v>338</v>
      </c>
      <c r="F223" s="95" t="s">
        <v>5550</v>
      </c>
      <c r="G223" s="95" t="s">
        <v>1049</v>
      </c>
      <c r="H223" s="95" t="s">
        <v>1070</v>
      </c>
      <c r="I223" s="95" t="s">
        <v>337</v>
      </c>
      <c r="J223" s="95"/>
      <c r="K223" s="99"/>
      <c r="L223" s="103" t="s">
        <v>4449</v>
      </c>
      <c r="M223" s="99" t="s">
        <v>4567</v>
      </c>
      <c r="N223" s="99" t="s">
        <v>4451</v>
      </c>
      <c r="O223" s="99" t="s">
        <v>4452</v>
      </c>
      <c r="P223" s="103">
        <v>2000</v>
      </c>
      <c r="Q223" s="103" t="s">
        <v>1862</v>
      </c>
      <c r="R223" s="99" t="s">
        <v>4709</v>
      </c>
      <c r="S223" s="103" t="s">
        <v>1541</v>
      </c>
      <c r="T223" s="103" t="s">
        <v>4522</v>
      </c>
      <c r="U223" s="99" t="s">
        <v>5551</v>
      </c>
      <c r="V223" s="95">
        <v>12.588378499999999</v>
      </c>
      <c r="W223" s="95">
        <v>-2.0914676999999999</v>
      </c>
      <c r="X223" s="104" t="s">
        <v>5552</v>
      </c>
      <c r="Y223" s="103" t="s">
        <v>1634</v>
      </c>
      <c r="Z223" s="103" t="s">
        <v>1634</v>
      </c>
      <c r="AA223" s="103" t="s">
        <v>1862</v>
      </c>
      <c r="AB223" s="103">
        <v>29</v>
      </c>
      <c r="AC223" s="103">
        <v>0</v>
      </c>
      <c r="AD223" s="103">
        <v>29</v>
      </c>
      <c r="AE223" s="103" t="s">
        <v>1634</v>
      </c>
      <c r="AF223" s="103" t="s">
        <v>4493</v>
      </c>
      <c r="AG223" s="99" t="s">
        <v>5267</v>
      </c>
      <c r="AH223" s="103" t="s">
        <v>1804</v>
      </c>
      <c r="AI223" s="103" t="s">
        <v>1862</v>
      </c>
      <c r="AJ223" s="103" t="s">
        <v>1862</v>
      </c>
      <c r="AK223" s="103" t="s">
        <v>1862</v>
      </c>
      <c r="AL223" s="103" t="s">
        <v>1804</v>
      </c>
      <c r="AM223" s="103" t="s">
        <v>1862</v>
      </c>
      <c r="AN223" s="99" t="s">
        <v>5016</v>
      </c>
      <c r="AO223" s="103" t="s">
        <v>1862</v>
      </c>
      <c r="AP223" s="103">
        <v>750</v>
      </c>
      <c r="AQ223" s="103" t="s">
        <v>4461</v>
      </c>
      <c r="AR223" s="103">
        <v>0</v>
      </c>
      <c r="AS223" s="106">
        <v>2000000</v>
      </c>
      <c r="AT223" s="103" t="s">
        <v>4594</v>
      </c>
      <c r="AU223" s="103" t="s">
        <v>1634</v>
      </c>
      <c r="AV223" s="99" t="s">
        <v>5241</v>
      </c>
      <c r="AW223" s="99" t="s">
        <v>5553</v>
      </c>
      <c r="AX223" s="99" t="s">
        <v>4913</v>
      </c>
      <c r="AY223" s="99" t="s">
        <v>4466</v>
      </c>
      <c r="AZ223" s="99" t="s">
        <v>4561</v>
      </c>
      <c r="BA223" s="103" t="s">
        <v>1634</v>
      </c>
      <c r="BB223" s="99">
        <v>2000</v>
      </c>
      <c r="BC223" s="99">
        <v>1500</v>
      </c>
      <c r="BD223" s="99">
        <v>0</v>
      </c>
      <c r="BE223" s="99">
        <v>850000</v>
      </c>
      <c r="BF223" s="103" t="s">
        <v>4749</v>
      </c>
      <c r="BG223" s="103" t="s">
        <v>1804</v>
      </c>
      <c r="BH223" s="103" t="s">
        <v>1862</v>
      </c>
      <c r="BI223" s="103" t="s">
        <v>1862</v>
      </c>
      <c r="BJ223" s="103" t="s">
        <v>1804</v>
      </c>
      <c r="BK223" s="103" t="s">
        <v>4478</v>
      </c>
      <c r="BL223" s="103" t="s">
        <v>4472</v>
      </c>
      <c r="BM223" s="103" t="s">
        <v>4461</v>
      </c>
      <c r="BN223" s="103" t="s">
        <v>4607</v>
      </c>
      <c r="BO223" s="103">
        <v>400</v>
      </c>
      <c r="BP223" s="103" t="s">
        <v>4500</v>
      </c>
      <c r="BQ223" s="107" t="s">
        <v>4476</v>
      </c>
      <c r="BR223" s="99" t="s">
        <v>4476</v>
      </c>
      <c r="BS223" s="99" t="s">
        <v>4476</v>
      </c>
      <c r="BT223" s="103" t="s">
        <v>3186</v>
      </c>
      <c r="BU223" s="99" t="s">
        <v>4628</v>
      </c>
      <c r="BV223" s="103" t="s">
        <v>4476</v>
      </c>
      <c r="BW223" s="103" t="s">
        <v>4476</v>
      </c>
      <c r="BX223" s="103" t="s">
        <v>1548</v>
      </c>
      <c r="BY223" s="103" t="s">
        <v>4610</v>
      </c>
      <c r="BZ223" s="103" t="s">
        <v>4478</v>
      </c>
      <c r="CA223" s="103" t="s">
        <v>4461</v>
      </c>
      <c r="CB223" s="103">
        <v>500</v>
      </c>
      <c r="CC223" s="103" t="s">
        <v>4479</v>
      </c>
      <c r="CD223" s="103" t="s">
        <v>4480</v>
      </c>
      <c r="CE223" s="103" t="s">
        <v>4480</v>
      </c>
      <c r="CF223" s="103"/>
      <c r="CG223" s="103" t="s">
        <v>569</v>
      </c>
      <c r="CH223" s="103" t="s">
        <v>5554</v>
      </c>
      <c r="CI223" s="103">
        <v>76544411</v>
      </c>
      <c r="CJ223" s="103"/>
      <c r="CK223" s="108">
        <v>43367.551724537036</v>
      </c>
      <c r="CL223" s="109">
        <v>43367.757627314815</v>
      </c>
      <c r="CM223" s="95">
        <v>12.588378499999999</v>
      </c>
      <c r="CN223" s="95">
        <v>-2.0914676999999999</v>
      </c>
      <c r="CO223" s="99"/>
      <c r="CP223" s="99"/>
      <c r="CQ223" s="99"/>
      <c r="CR223" s="99"/>
      <c r="CS223" s="99"/>
      <c r="CT223" s="99"/>
      <c r="CU223" s="99"/>
      <c r="CV223" s="99"/>
      <c r="CW223" s="99"/>
      <c r="CX223" s="99"/>
      <c r="CY223" s="99"/>
      <c r="CZ223" s="99"/>
      <c r="DA223" s="99"/>
      <c r="DB223" s="99"/>
      <c r="DC223" s="99"/>
    </row>
    <row r="224" spans="1:107" ht="15.75" customHeight="1">
      <c r="A224" s="95">
        <v>226</v>
      </c>
      <c r="B224" s="99" t="s">
        <v>882</v>
      </c>
      <c r="C224" s="99" t="s">
        <v>636</v>
      </c>
      <c r="D224" s="99">
        <v>78799503</v>
      </c>
      <c r="E224" s="99" t="s">
        <v>339</v>
      </c>
      <c r="F224" s="95" t="s">
        <v>5455</v>
      </c>
      <c r="G224" s="95" t="s">
        <v>1052</v>
      </c>
      <c r="H224" s="95" t="s">
        <v>1103</v>
      </c>
      <c r="I224" s="95" t="s">
        <v>182</v>
      </c>
      <c r="J224" s="95"/>
      <c r="K224" s="99"/>
      <c r="L224" s="103" t="s">
        <v>4449</v>
      </c>
      <c r="M224" s="99" t="s">
        <v>4450</v>
      </c>
      <c r="N224" s="99" t="s">
        <v>4718</v>
      </c>
      <c r="O224" s="99" t="s">
        <v>4452</v>
      </c>
      <c r="P224" s="103">
        <v>2004</v>
      </c>
      <c r="Q224" s="103" t="s">
        <v>1862</v>
      </c>
      <c r="R224" s="99" t="s">
        <v>4633</v>
      </c>
      <c r="S224" s="103" t="s">
        <v>2282</v>
      </c>
      <c r="T224" s="103" t="s">
        <v>4634</v>
      </c>
      <c r="U224" s="99" t="s">
        <v>5456</v>
      </c>
      <c r="V224" s="95">
        <v>11.786332399999999</v>
      </c>
      <c r="W224" s="95">
        <v>-0.36542039999999998</v>
      </c>
      <c r="X224" s="104" t="s">
        <v>5167</v>
      </c>
      <c r="Y224" s="103" t="s">
        <v>1634</v>
      </c>
      <c r="Z224" s="103" t="s">
        <v>1634</v>
      </c>
      <c r="AA224" s="103" t="s">
        <v>1862</v>
      </c>
      <c r="AB224" s="103">
        <v>255</v>
      </c>
      <c r="AC224" s="103">
        <v>1</v>
      </c>
      <c r="AD224" s="103">
        <v>254</v>
      </c>
      <c r="AE224" s="103" t="s">
        <v>1634</v>
      </c>
      <c r="AF224" s="103" t="s">
        <v>4493</v>
      </c>
      <c r="AG224" s="99" t="s">
        <v>4554</v>
      </c>
      <c r="AH224" s="103" t="s">
        <v>1862</v>
      </c>
      <c r="AI224" s="103" t="s">
        <v>1862</v>
      </c>
      <c r="AJ224" s="103" t="s">
        <v>1862</v>
      </c>
      <c r="AK224" s="103" t="s">
        <v>1862</v>
      </c>
      <c r="AL224" s="103" t="s">
        <v>1804</v>
      </c>
      <c r="AM224" s="103" t="s">
        <v>1862</v>
      </c>
      <c r="AN224" s="99" t="s">
        <v>4638</v>
      </c>
      <c r="AO224" s="103" t="s">
        <v>1862</v>
      </c>
      <c r="AP224" s="103">
        <v>1800</v>
      </c>
      <c r="AQ224" s="112" t="s">
        <v>4461</v>
      </c>
      <c r="AR224" s="103"/>
      <c r="AS224" s="106">
        <v>47500000</v>
      </c>
      <c r="AT224" s="103" t="s">
        <v>4527</v>
      </c>
      <c r="AU224" s="103" t="s">
        <v>1634</v>
      </c>
      <c r="AV224" s="99" t="s">
        <v>4463</v>
      </c>
      <c r="AW224" s="99" t="s">
        <v>4639</v>
      </c>
      <c r="AX224" s="99" t="s">
        <v>4640</v>
      </c>
      <c r="AY224" s="99" t="s">
        <v>4641</v>
      </c>
      <c r="AZ224" s="99" t="s">
        <v>4530</v>
      </c>
      <c r="BA224" s="103" t="s">
        <v>1634</v>
      </c>
      <c r="BB224" s="99"/>
      <c r="BC224" s="99">
        <v>21000</v>
      </c>
      <c r="BD224" s="99"/>
      <c r="BE224" s="99">
        <v>40000000</v>
      </c>
      <c r="BF224" s="103" t="s">
        <v>4642</v>
      </c>
      <c r="BG224" s="103" t="s">
        <v>1862</v>
      </c>
      <c r="BH224" s="103" t="s">
        <v>1862</v>
      </c>
      <c r="BI224" s="103" t="s">
        <v>1862</v>
      </c>
      <c r="BJ224" s="103" t="s">
        <v>1862</v>
      </c>
      <c r="BK224" s="103" t="s">
        <v>4469</v>
      </c>
      <c r="BL224" s="103" t="s">
        <v>4472</v>
      </c>
      <c r="BM224" s="103" t="s">
        <v>4461</v>
      </c>
      <c r="BN224" s="103" t="s">
        <v>4643</v>
      </c>
      <c r="BO224" s="103">
        <v>500</v>
      </c>
      <c r="BP224" s="103" t="s">
        <v>4532</v>
      </c>
      <c r="BQ224" s="99" t="s">
        <v>4644</v>
      </c>
      <c r="BR224" s="99" t="s">
        <v>4644</v>
      </c>
      <c r="BS224" s="99" t="s">
        <v>4564</v>
      </c>
      <c r="BT224" s="103" t="s">
        <v>3186</v>
      </c>
      <c r="BU224" s="99"/>
      <c r="BV224" s="103" t="s">
        <v>4644</v>
      </c>
      <c r="BW224" s="103" t="s">
        <v>4644</v>
      </c>
      <c r="BX224" s="103"/>
      <c r="BY224" s="103"/>
      <c r="BZ224" s="103"/>
      <c r="CA224" s="103"/>
      <c r="CB224" s="103"/>
      <c r="CC224" s="103" t="s">
        <v>4502</v>
      </c>
      <c r="CD224" s="103" t="s">
        <v>4475</v>
      </c>
      <c r="CE224" s="112" t="s">
        <v>4475</v>
      </c>
      <c r="CF224" s="103"/>
      <c r="CG224" s="103" t="s">
        <v>5555</v>
      </c>
      <c r="CH224" s="103" t="s">
        <v>636</v>
      </c>
      <c r="CI224" s="103">
        <v>78799503</v>
      </c>
      <c r="CJ224" s="103"/>
      <c r="CK224" s="108">
        <v>43364.693287037036</v>
      </c>
      <c r="CL224" s="109">
        <v>43364.732754629629</v>
      </c>
      <c r="CM224" s="95">
        <v>11.786332399999999</v>
      </c>
      <c r="CN224" s="95">
        <v>-0.36542039999999998</v>
      </c>
      <c r="CO224" s="99"/>
      <c r="CP224" s="99"/>
      <c r="CQ224" s="99"/>
      <c r="CR224" s="99"/>
      <c r="CS224" s="99"/>
      <c r="CT224" s="99"/>
      <c r="CU224" s="99"/>
      <c r="CV224" s="99"/>
      <c r="CW224" s="99"/>
      <c r="CX224" s="99"/>
      <c r="CY224" s="99"/>
      <c r="CZ224" s="99"/>
      <c r="DA224" s="99"/>
      <c r="DB224" s="99"/>
      <c r="DC224" s="99"/>
    </row>
    <row r="225" spans="1:107" ht="15.75" customHeight="1">
      <c r="A225" s="95">
        <v>227</v>
      </c>
      <c r="B225" s="99" t="s">
        <v>883</v>
      </c>
      <c r="C225" s="99" t="s">
        <v>763</v>
      </c>
      <c r="D225" s="99">
        <v>71153100</v>
      </c>
      <c r="E225" s="99" t="s">
        <v>340</v>
      </c>
      <c r="F225" s="95" t="s">
        <v>5556</v>
      </c>
      <c r="G225" s="95" t="s">
        <v>1089</v>
      </c>
      <c r="H225" s="95" t="s">
        <v>1121</v>
      </c>
      <c r="I225" s="95" t="s">
        <v>341</v>
      </c>
      <c r="J225" s="95"/>
      <c r="K225" s="99"/>
      <c r="L225" s="103" t="s">
        <v>4449</v>
      </c>
      <c r="M225" s="99" t="s">
        <v>4567</v>
      </c>
      <c r="N225" s="99" t="s">
        <v>4451</v>
      </c>
      <c r="O225" s="99" t="s">
        <v>5557</v>
      </c>
      <c r="P225" s="103">
        <v>1995</v>
      </c>
      <c r="Q225" s="103" t="s">
        <v>1862</v>
      </c>
      <c r="R225" s="99" t="s">
        <v>4633</v>
      </c>
      <c r="S225" s="103" t="s">
        <v>1541</v>
      </c>
      <c r="T225" s="103" t="s">
        <v>4538</v>
      </c>
      <c r="U225" s="99" t="s">
        <v>5558</v>
      </c>
      <c r="V225" s="95">
        <v>12.6612116</v>
      </c>
      <c r="W225" s="95">
        <v>-0.56833990000000001</v>
      </c>
      <c r="X225" s="104" t="s">
        <v>5559</v>
      </c>
      <c r="Y225" s="103" t="s">
        <v>1634</v>
      </c>
      <c r="Z225" s="103" t="s">
        <v>1634</v>
      </c>
      <c r="AA225" s="103" t="s">
        <v>1862</v>
      </c>
      <c r="AB225" s="103">
        <v>28</v>
      </c>
      <c r="AC225" s="103">
        <v>1</v>
      </c>
      <c r="AD225" s="103">
        <v>27</v>
      </c>
      <c r="AE225" s="103" t="s">
        <v>1634</v>
      </c>
      <c r="AF225" s="103" t="s">
        <v>4493</v>
      </c>
      <c r="AG225" s="99" t="s">
        <v>4771</v>
      </c>
      <c r="AH225" s="103" t="s">
        <v>1804</v>
      </c>
      <c r="AI225" s="103" t="s">
        <v>1862</v>
      </c>
      <c r="AJ225" s="103" t="s">
        <v>1862</v>
      </c>
      <c r="AK225" s="103" t="s">
        <v>1862</v>
      </c>
      <c r="AL225" s="103" t="s">
        <v>1804</v>
      </c>
      <c r="AM225" s="103" t="s">
        <v>1862</v>
      </c>
      <c r="AN225" s="99" t="s">
        <v>4670</v>
      </c>
      <c r="AO225" s="103" t="s">
        <v>1862</v>
      </c>
      <c r="AP225" s="103">
        <v>900</v>
      </c>
      <c r="AQ225" s="103" t="s">
        <v>4500</v>
      </c>
      <c r="AR225" s="103">
        <v>0</v>
      </c>
      <c r="AS225" s="106">
        <v>820000</v>
      </c>
      <c r="AT225" s="103" t="s">
        <v>4625</v>
      </c>
      <c r="AU225" s="103" t="s">
        <v>1634</v>
      </c>
      <c r="AV225" s="99" t="s">
        <v>4463</v>
      </c>
      <c r="AW225" s="99" t="s">
        <v>5560</v>
      </c>
      <c r="AX225" s="99" t="s">
        <v>5561</v>
      </c>
      <c r="AY225" s="99" t="s">
        <v>4466</v>
      </c>
      <c r="AZ225" s="99" t="s">
        <v>4530</v>
      </c>
      <c r="BA225" s="103" t="s">
        <v>1634</v>
      </c>
      <c r="BB225" s="99">
        <v>1000</v>
      </c>
      <c r="BC225" s="99">
        <v>2000</v>
      </c>
      <c r="BD225" s="99">
        <v>0</v>
      </c>
      <c r="BE225" s="99">
        <v>1400000</v>
      </c>
      <c r="BF225" s="103" t="s">
        <v>4727</v>
      </c>
      <c r="BG225" s="103" t="s">
        <v>1804</v>
      </c>
      <c r="BH225" s="103" t="s">
        <v>1862</v>
      </c>
      <c r="BI225" s="103" t="s">
        <v>1862</v>
      </c>
      <c r="BJ225" s="103" t="s">
        <v>1862</v>
      </c>
      <c r="BK225" s="103" t="s">
        <v>4586</v>
      </c>
      <c r="BL225" s="103" t="s">
        <v>4500</v>
      </c>
      <c r="BM225" s="103" t="s">
        <v>4461</v>
      </c>
      <c r="BN225" s="103" t="s">
        <v>5562</v>
      </c>
      <c r="BO225" s="103">
        <v>220</v>
      </c>
      <c r="BP225" s="103" t="s">
        <v>4500</v>
      </c>
      <c r="BQ225" s="107" t="s">
        <v>5563</v>
      </c>
      <c r="BR225" s="99" t="s">
        <v>4476</v>
      </c>
      <c r="BS225" s="99" t="s">
        <v>4564</v>
      </c>
      <c r="BT225" s="103" t="s">
        <v>3186</v>
      </c>
      <c r="BU225" s="99" t="s">
        <v>4475</v>
      </c>
      <c r="BV225" s="103" t="s">
        <v>4476</v>
      </c>
      <c r="BW225" s="103" t="s">
        <v>4476</v>
      </c>
      <c r="BX225" s="103" t="s">
        <v>1634</v>
      </c>
      <c r="BY225" s="103" t="s">
        <v>4595</v>
      </c>
      <c r="BZ225" s="103" t="s">
        <v>4478</v>
      </c>
      <c r="CA225" s="103" t="s">
        <v>4461</v>
      </c>
      <c r="CB225" s="103">
        <v>500</v>
      </c>
      <c r="CC225" s="103" t="s">
        <v>4479</v>
      </c>
      <c r="CD225" s="103" t="s">
        <v>4502</v>
      </c>
      <c r="CE225" s="103" t="s">
        <v>4475</v>
      </c>
      <c r="CF225" s="103" t="s">
        <v>4691</v>
      </c>
      <c r="CG225" s="103" t="s">
        <v>5564</v>
      </c>
      <c r="CH225" s="103" t="s">
        <v>5565</v>
      </c>
      <c r="CI225" s="103">
        <v>71073239</v>
      </c>
      <c r="CJ225" s="103" t="s">
        <v>5566</v>
      </c>
      <c r="CK225" s="108">
        <v>43364.342835648145</v>
      </c>
      <c r="CL225" s="109">
        <v>43367.826296296298</v>
      </c>
      <c r="CM225" s="95">
        <v>12.6612116</v>
      </c>
      <c r="CN225" s="95">
        <v>-0.56833990000000001</v>
      </c>
      <c r="CO225" s="99"/>
      <c r="CP225" s="99"/>
      <c r="CQ225" s="99"/>
      <c r="CR225" s="99"/>
      <c r="CS225" s="99"/>
      <c r="CT225" s="99"/>
      <c r="CU225" s="99"/>
      <c r="CV225" s="99"/>
      <c r="CW225" s="99"/>
      <c r="CX225" s="99"/>
      <c r="CY225" s="99"/>
      <c r="CZ225" s="99"/>
      <c r="DA225" s="99"/>
      <c r="DB225" s="99"/>
      <c r="DC225" s="99"/>
    </row>
    <row r="226" spans="1:107" ht="15.75" customHeight="1">
      <c r="A226" s="95">
        <v>228</v>
      </c>
      <c r="B226" s="99" t="s">
        <v>537</v>
      </c>
      <c r="C226" s="99" t="s">
        <v>724</v>
      </c>
      <c r="D226" s="99">
        <v>72797671</v>
      </c>
      <c r="E226" s="99" t="s">
        <v>342</v>
      </c>
      <c r="F226" s="95" t="s">
        <v>5567</v>
      </c>
      <c r="G226" s="95" t="s">
        <v>1089</v>
      </c>
      <c r="H226" s="95" t="s">
        <v>1121</v>
      </c>
      <c r="I226" s="95" t="s">
        <v>341</v>
      </c>
      <c r="J226" s="95" t="s">
        <v>1133</v>
      </c>
      <c r="K226" s="99"/>
      <c r="L226" s="103" t="s">
        <v>4449</v>
      </c>
      <c r="M226" s="99" t="s">
        <v>4450</v>
      </c>
      <c r="N226" s="99" t="s">
        <v>1565</v>
      </c>
      <c r="O226" s="99" t="s">
        <v>4947</v>
      </c>
      <c r="P226" s="103">
        <v>2007</v>
      </c>
      <c r="Q226" s="103" t="s">
        <v>1862</v>
      </c>
      <c r="R226" s="99" t="s">
        <v>5142</v>
      </c>
      <c r="S226" s="103" t="s">
        <v>1541</v>
      </c>
      <c r="T226" s="103" t="s">
        <v>4538</v>
      </c>
      <c r="U226" s="99" t="s">
        <v>5568</v>
      </c>
      <c r="V226" s="95">
        <v>12.9873879</v>
      </c>
      <c r="W226" s="95">
        <v>-1.3451348000000001</v>
      </c>
      <c r="X226" s="104" t="s">
        <v>5569</v>
      </c>
      <c r="Y226" s="103" t="s">
        <v>1634</v>
      </c>
      <c r="Z226" s="103" t="s">
        <v>1634</v>
      </c>
      <c r="AA226" s="103" t="s">
        <v>1862</v>
      </c>
      <c r="AB226" s="103">
        <v>30</v>
      </c>
      <c r="AC226" s="103">
        <v>0</v>
      </c>
      <c r="AD226" s="103">
        <v>30</v>
      </c>
      <c r="AE226" s="103" t="s">
        <v>1634</v>
      </c>
      <c r="AF226" s="103" t="s">
        <v>4493</v>
      </c>
      <c r="AG226" s="99" t="s">
        <v>4669</v>
      </c>
      <c r="AH226" s="103" t="s">
        <v>1862</v>
      </c>
      <c r="AI226" s="103" t="s">
        <v>1862</v>
      </c>
      <c r="AJ226" s="103" t="s">
        <v>1862</v>
      </c>
      <c r="AK226" s="103" t="s">
        <v>1862</v>
      </c>
      <c r="AL226" s="103" t="s">
        <v>1804</v>
      </c>
      <c r="AM226" s="103" t="s">
        <v>1862</v>
      </c>
      <c r="AN226" s="99" t="s">
        <v>5516</v>
      </c>
      <c r="AO226" s="103" t="s">
        <v>1862</v>
      </c>
      <c r="AP226" s="103">
        <v>850</v>
      </c>
      <c r="AQ226" s="103" t="s">
        <v>4461</v>
      </c>
      <c r="AR226" s="103">
        <v>0</v>
      </c>
      <c r="AS226" s="106">
        <v>900000</v>
      </c>
      <c r="AT226" s="103" t="s">
        <v>4496</v>
      </c>
      <c r="AU226" s="103" t="s">
        <v>1634</v>
      </c>
      <c r="AV226" s="99" t="s">
        <v>4463</v>
      </c>
      <c r="AW226" s="99" t="s">
        <v>5570</v>
      </c>
      <c r="AX226" s="99" t="s">
        <v>5561</v>
      </c>
      <c r="AY226" s="99" t="s">
        <v>4466</v>
      </c>
      <c r="AZ226" s="99" t="s">
        <v>4530</v>
      </c>
      <c r="BA226" s="103" t="s">
        <v>1634</v>
      </c>
      <c r="BB226" s="99">
        <v>0</v>
      </c>
      <c r="BC226" s="99">
        <v>500</v>
      </c>
      <c r="BD226" s="99">
        <v>0</v>
      </c>
      <c r="BE226" s="99">
        <v>900000</v>
      </c>
      <c r="BF226" s="103" t="s">
        <v>4415</v>
      </c>
      <c r="BG226" s="103" t="s">
        <v>1862</v>
      </c>
      <c r="BH226" s="103" t="s">
        <v>1804</v>
      </c>
      <c r="BI226" s="103" t="s">
        <v>1804</v>
      </c>
      <c r="BJ226" s="103" t="s">
        <v>1804</v>
      </c>
      <c r="BK226" s="103" t="s">
        <v>4478</v>
      </c>
      <c r="BL226" s="103" t="s">
        <v>4461</v>
      </c>
      <c r="BM226" s="103" t="s">
        <v>4500</v>
      </c>
      <c r="BN226" s="103" t="s">
        <v>5562</v>
      </c>
      <c r="BO226" s="103">
        <v>500</v>
      </c>
      <c r="BP226" s="103" t="s">
        <v>4500</v>
      </c>
      <c r="BQ226" s="107" t="s">
        <v>4476</v>
      </c>
      <c r="BR226" s="99" t="s">
        <v>4476</v>
      </c>
      <c r="BS226" s="99" t="s">
        <v>4476</v>
      </c>
      <c r="BT226" s="103" t="s">
        <v>3186</v>
      </c>
      <c r="BU226" s="99" t="s">
        <v>4608</v>
      </c>
      <c r="BV226" s="103" t="s">
        <v>4476</v>
      </c>
      <c r="BW226" s="103" t="s">
        <v>4476</v>
      </c>
      <c r="BX226" s="103" t="s">
        <v>1634</v>
      </c>
      <c r="BY226" s="103" t="s">
        <v>4810</v>
      </c>
      <c r="BZ226" s="103" t="s">
        <v>4478</v>
      </c>
      <c r="CA226" s="103" t="s">
        <v>4500</v>
      </c>
      <c r="CB226" s="103">
        <v>400</v>
      </c>
      <c r="CC226" s="103" t="s">
        <v>4479</v>
      </c>
      <c r="CD226" s="103" t="s">
        <v>4475</v>
      </c>
      <c r="CE226" s="103" t="s">
        <v>4475</v>
      </c>
      <c r="CF226" s="103" t="s">
        <v>4691</v>
      </c>
      <c r="CG226" s="103" t="s">
        <v>651</v>
      </c>
      <c r="CH226" s="103" t="s">
        <v>5571</v>
      </c>
      <c r="CI226" s="103">
        <v>71501294</v>
      </c>
      <c r="CJ226" s="103" t="s">
        <v>5566</v>
      </c>
      <c r="CK226" s="108">
        <v>43364.400289351855</v>
      </c>
      <c r="CL226" s="109">
        <v>43367.828136574077</v>
      </c>
      <c r="CM226" s="95">
        <v>12.9873879</v>
      </c>
      <c r="CN226" s="95">
        <v>-1.3451348000000001</v>
      </c>
      <c r="CO226" s="99"/>
      <c r="CP226" s="99"/>
      <c r="CQ226" s="99"/>
      <c r="CR226" s="99"/>
      <c r="CS226" s="99"/>
      <c r="CT226" s="99"/>
      <c r="CU226" s="99"/>
      <c r="CV226" s="99"/>
      <c r="CW226" s="99"/>
      <c r="CX226" s="99"/>
      <c r="CY226" s="99"/>
      <c r="CZ226" s="99"/>
      <c r="DA226" s="99"/>
      <c r="DB226" s="99"/>
      <c r="DC226" s="99"/>
    </row>
    <row r="227" spans="1:107" ht="15.75" customHeight="1">
      <c r="A227" s="95">
        <v>229</v>
      </c>
      <c r="B227" s="99" t="s">
        <v>884</v>
      </c>
      <c r="C227" s="99" t="s">
        <v>885</v>
      </c>
      <c r="D227" s="99">
        <v>70313529</v>
      </c>
      <c r="E227" s="99" t="s">
        <v>343</v>
      </c>
      <c r="F227" s="95" t="s">
        <v>5572</v>
      </c>
      <c r="G227" s="95" t="s">
        <v>1052</v>
      </c>
      <c r="H227" s="95" t="s">
        <v>1121</v>
      </c>
      <c r="I227" s="95" t="s">
        <v>341</v>
      </c>
      <c r="J227" s="95"/>
      <c r="K227" s="99"/>
      <c r="L227" s="103" t="s">
        <v>4449</v>
      </c>
      <c r="M227" s="99" t="s">
        <v>4450</v>
      </c>
      <c r="N227" s="99" t="s">
        <v>4520</v>
      </c>
      <c r="O227" s="99" t="s">
        <v>5573</v>
      </c>
      <c r="P227" s="103">
        <v>2000</v>
      </c>
      <c r="Q227" s="103" t="s">
        <v>1862</v>
      </c>
      <c r="R227" s="99" t="s">
        <v>4633</v>
      </c>
      <c r="S227" s="103" t="s">
        <v>2282</v>
      </c>
      <c r="T227" s="103" t="s">
        <v>4505</v>
      </c>
      <c r="U227" s="99" t="s">
        <v>5574</v>
      </c>
      <c r="V227" s="95">
        <v>12.6612116</v>
      </c>
      <c r="W227" s="95">
        <v>-0.56833990000000001</v>
      </c>
      <c r="X227" s="104" t="s">
        <v>5559</v>
      </c>
      <c r="Y227" s="103" t="s">
        <v>1634</v>
      </c>
      <c r="Z227" s="103" t="s">
        <v>1634</v>
      </c>
      <c r="AA227" s="103" t="s">
        <v>1862</v>
      </c>
      <c r="AB227" s="103">
        <v>12</v>
      </c>
      <c r="AC227" s="103">
        <v>0</v>
      </c>
      <c r="AD227" s="103">
        <v>12</v>
      </c>
      <c r="AE227" s="103" t="s">
        <v>1634</v>
      </c>
      <c r="AF227" s="103" t="s">
        <v>4493</v>
      </c>
      <c r="AG227" s="99" t="s">
        <v>4669</v>
      </c>
      <c r="AH227" s="103" t="s">
        <v>1862</v>
      </c>
      <c r="AI227" s="103" t="s">
        <v>1862</v>
      </c>
      <c r="AJ227" s="103" t="s">
        <v>1862</v>
      </c>
      <c r="AK227" s="103" t="s">
        <v>1862</v>
      </c>
      <c r="AL227" s="103" t="s">
        <v>1804</v>
      </c>
      <c r="AM227" s="103" t="s">
        <v>1862</v>
      </c>
      <c r="AN227" s="99" t="s">
        <v>4670</v>
      </c>
      <c r="AO227" s="103" t="s">
        <v>1862</v>
      </c>
      <c r="AP227" s="103">
        <v>850</v>
      </c>
      <c r="AQ227" s="103" t="s">
        <v>4461</v>
      </c>
      <c r="AR227" s="103">
        <v>0</v>
      </c>
      <c r="AS227" s="106">
        <v>1800000</v>
      </c>
      <c r="AT227" s="103" t="s">
        <v>4556</v>
      </c>
      <c r="AU227" s="103" t="s">
        <v>1634</v>
      </c>
      <c r="AV227" s="99" t="s">
        <v>4463</v>
      </c>
      <c r="AW227" s="99" t="s">
        <v>5575</v>
      </c>
      <c r="AX227" s="99" t="s">
        <v>5576</v>
      </c>
      <c r="AY227" s="99" t="s">
        <v>4560</v>
      </c>
      <c r="AZ227" s="99" t="s">
        <v>4561</v>
      </c>
      <c r="BA227" s="103" t="s">
        <v>1634</v>
      </c>
      <c r="BB227" s="99">
        <v>0</v>
      </c>
      <c r="BC227" s="99">
        <v>10000</v>
      </c>
      <c r="BD227" s="99">
        <v>0</v>
      </c>
      <c r="BE227" s="99">
        <v>500000</v>
      </c>
      <c r="BF227" s="103" t="s">
        <v>4727</v>
      </c>
      <c r="BG227" s="103" t="s">
        <v>1804</v>
      </c>
      <c r="BH227" s="103" t="s">
        <v>1862</v>
      </c>
      <c r="BI227" s="103" t="s">
        <v>1862</v>
      </c>
      <c r="BJ227" s="103" t="s">
        <v>1862</v>
      </c>
      <c r="BK227" s="103" t="s">
        <v>4728</v>
      </c>
      <c r="BL227" s="103" t="s">
        <v>4500</v>
      </c>
      <c r="BM227" s="103" t="s">
        <v>4500</v>
      </c>
      <c r="BN227" s="103" t="s">
        <v>5577</v>
      </c>
      <c r="BO227" s="103">
        <v>200</v>
      </c>
      <c r="BP227" s="103" t="s">
        <v>4500</v>
      </c>
      <c r="BQ227" s="99" t="s">
        <v>5563</v>
      </c>
      <c r="BR227" s="99" t="s">
        <v>5563</v>
      </c>
      <c r="BS227" s="99" t="s">
        <v>4533</v>
      </c>
      <c r="BT227" s="103" t="s">
        <v>3186</v>
      </c>
      <c r="BU227" s="99" t="s">
        <v>4608</v>
      </c>
      <c r="BV227" s="103" t="s">
        <v>4609</v>
      </c>
      <c r="BW227" s="103" t="s">
        <v>4476</v>
      </c>
      <c r="BX227" s="103" t="s">
        <v>1634</v>
      </c>
      <c r="BY227" s="103" t="s">
        <v>4729</v>
      </c>
      <c r="BZ227" s="103" t="s">
        <v>4478</v>
      </c>
      <c r="CA227" s="103" t="s">
        <v>4461</v>
      </c>
      <c r="CB227" s="103">
        <v>600</v>
      </c>
      <c r="CC227" s="103" t="s">
        <v>4502</v>
      </c>
      <c r="CD227" s="103" t="s">
        <v>4502</v>
      </c>
      <c r="CE227" s="103" t="s">
        <v>4475</v>
      </c>
      <c r="CF227" s="103" t="s">
        <v>4691</v>
      </c>
      <c r="CG227" s="103" t="s">
        <v>651</v>
      </c>
      <c r="CH227" s="103" t="s">
        <v>5578</v>
      </c>
      <c r="CI227" s="103">
        <v>70008964</v>
      </c>
      <c r="CJ227" s="103" t="s">
        <v>5566</v>
      </c>
      <c r="CK227" s="108">
        <v>43364.447766203702</v>
      </c>
      <c r="CL227" s="109">
        <v>43367.828634259262</v>
      </c>
      <c r="CM227" s="95">
        <v>12.6612116</v>
      </c>
      <c r="CN227" s="95">
        <v>-0.56833990000000001</v>
      </c>
      <c r="CO227" s="99"/>
      <c r="CP227" s="99"/>
      <c r="CQ227" s="99"/>
      <c r="CR227" s="99"/>
      <c r="CS227" s="99"/>
      <c r="CT227" s="99"/>
      <c r="CU227" s="99"/>
      <c r="CV227" s="99"/>
      <c r="CW227" s="99"/>
      <c r="CX227" s="99"/>
      <c r="CY227" s="99"/>
      <c r="CZ227" s="99"/>
      <c r="DA227" s="99"/>
      <c r="DB227" s="99"/>
      <c r="DC227" s="99"/>
    </row>
    <row r="228" spans="1:107" ht="15.75" customHeight="1">
      <c r="A228" s="95">
        <v>230</v>
      </c>
      <c r="B228" s="99" t="s">
        <v>886</v>
      </c>
      <c r="C228" s="99" t="s">
        <v>887</v>
      </c>
      <c r="D228" s="99">
        <v>52288018</v>
      </c>
      <c r="E228" s="99" t="s">
        <v>344</v>
      </c>
      <c r="F228" s="95" t="s">
        <v>5579</v>
      </c>
      <c r="G228" s="95" t="s">
        <v>1089</v>
      </c>
      <c r="H228" s="95" t="s">
        <v>1121</v>
      </c>
      <c r="I228" s="95" t="s">
        <v>341</v>
      </c>
      <c r="J228" s="95" t="s">
        <v>1134</v>
      </c>
      <c r="K228" s="99"/>
      <c r="L228" s="103" t="s">
        <v>4449</v>
      </c>
      <c r="M228" s="99" t="s">
        <v>4487</v>
      </c>
      <c r="N228" s="99" t="s">
        <v>1565</v>
      </c>
      <c r="O228" s="99" t="s">
        <v>5580</v>
      </c>
      <c r="P228" s="103">
        <v>1999</v>
      </c>
      <c r="Q228" s="103" t="s">
        <v>1862</v>
      </c>
      <c r="R228" s="99" t="s">
        <v>4521</v>
      </c>
      <c r="S228" s="103" t="s">
        <v>1541</v>
      </c>
      <c r="T228" s="103" t="s">
        <v>4538</v>
      </c>
      <c r="U228" s="99" t="s">
        <v>5581</v>
      </c>
      <c r="V228" s="95">
        <v>12.683332999999999</v>
      </c>
      <c r="W228" s="95">
        <v>-0.45000010000000001</v>
      </c>
      <c r="X228" s="104" t="s">
        <v>5582</v>
      </c>
      <c r="Y228" s="103" t="s">
        <v>1634</v>
      </c>
      <c r="Z228" s="103" t="s">
        <v>1634</v>
      </c>
      <c r="AA228" s="103" t="s">
        <v>1862</v>
      </c>
      <c r="AB228" s="103">
        <v>23</v>
      </c>
      <c r="AC228" s="103">
        <v>3</v>
      </c>
      <c r="AD228" s="103">
        <v>20</v>
      </c>
      <c r="AE228" s="103" t="s">
        <v>1634</v>
      </c>
      <c r="AF228" s="103" t="s">
        <v>4493</v>
      </c>
      <c r="AG228" s="99" t="s">
        <v>4771</v>
      </c>
      <c r="AH228" s="103" t="s">
        <v>1804</v>
      </c>
      <c r="AI228" s="103" t="s">
        <v>1862</v>
      </c>
      <c r="AJ228" s="103" t="s">
        <v>1862</v>
      </c>
      <c r="AK228" s="103" t="s">
        <v>1862</v>
      </c>
      <c r="AL228" s="103" t="s">
        <v>1804</v>
      </c>
      <c r="AM228" s="103" t="s">
        <v>1862</v>
      </c>
      <c r="AN228" s="99" t="s">
        <v>4670</v>
      </c>
      <c r="AO228" s="103" t="s">
        <v>1862</v>
      </c>
      <c r="AP228" s="103">
        <v>800</v>
      </c>
      <c r="AQ228" s="103" t="s">
        <v>4461</v>
      </c>
      <c r="AR228" s="103">
        <v>0</v>
      </c>
      <c r="AS228" s="106">
        <v>760000</v>
      </c>
      <c r="AT228" s="103" t="s">
        <v>4625</v>
      </c>
      <c r="AU228" s="103" t="s">
        <v>1634</v>
      </c>
      <c r="AV228" s="99" t="s">
        <v>4463</v>
      </c>
      <c r="AW228" s="99" t="s">
        <v>5583</v>
      </c>
      <c r="AX228" s="99" t="s">
        <v>5584</v>
      </c>
      <c r="AY228" s="99" t="s">
        <v>4466</v>
      </c>
      <c r="AZ228" s="99" t="s">
        <v>4467</v>
      </c>
      <c r="BA228" s="103" t="s">
        <v>1634</v>
      </c>
      <c r="BB228" s="99">
        <v>0</v>
      </c>
      <c r="BC228" s="99">
        <v>950</v>
      </c>
      <c r="BD228" s="99">
        <v>0</v>
      </c>
      <c r="BE228" s="99">
        <v>750000</v>
      </c>
      <c r="BF228" s="103" t="s">
        <v>5274</v>
      </c>
      <c r="BG228" s="103" t="s">
        <v>1862</v>
      </c>
      <c r="BH228" s="103" t="s">
        <v>1862</v>
      </c>
      <c r="BI228" s="103" t="s">
        <v>1862</v>
      </c>
      <c r="BJ228" s="103" t="s">
        <v>1804</v>
      </c>
      <c r="BK228" s="103" t="s">
        <v>4478</v>
      </c>
      <c r="BL228" s="103" t="s">
        <v>4461</v>
      </c>
      <c r="BM228" s="103" t="s">
        <v>4461</v>
      </c>
      <c r="BN228" s="103" t="s">
        <v>5585</v>
      </c>
      <c r="BO228" s="103">
        <v>220</v>
      </c>
      <c r="BP228" s="103" t="s">
        <v>4461</v>
      </c>
      <c r="BQ228" s="107" t="s">
        <v>4476</v>
      </c>
      <c r="BR228" s="99" t="s">
        <v>4476</v>
      </c>
      <c r="BS228" s="99" t="s">
        <v>4476</v>
      </c>
      <c r="BT228" s="103" t="s">
        <v>3186</v>
      </c>
      <c r="BU228" s="99" t="s">
        <v>4608</v>
      </c>
      <c r="BV228" s="103" t="s">
        <v>4476</v>
      </c>
      <c r="BW228" s="103" t="s">
        <v>4476</v>
      </c>
      <c r="BX228" s="103" t="s">
        <v>1634</v>
      </c>
      <c r="BY228" s="103" t="s">
        <v>4739</v>
      </c>
      <c r="BZ228" s="103" t="s">
        <v>4478</v>
      </c>
      <c r="CA228" s="103" t="s">
        <v>4461</v>
      </c>
      <c r="CB228" s="103">
        <v>420</v>
      </c>
      <c r="CC228" s="103" t="s">
        <v>4479</v>
      </c>
      <c r="CD228" s="103" t="s">
        <v>4475</v>
      </c>
      <c r="CE228" s="103" t="s">
        <v>4475</v>
      </c>
      <c r="CF228" s="103" t="s">
        <v>4482</v>
      </c>
      <c r="CG228" s="103" t="s">
        <v>537</v>
      </c>
      <c r="CH228" s="103" t="s">
        <v>566</v>
      </c>
      <c r="CI228" s="103">
        <v>70481193</v>
      </c>
      <c r="CJ228" s="103" t="s">
        <v>5566</v>
      </c>
      <c r="CK228" s="108">
        <v>43364.498078703706</v>
      </c>
      <c r="CL228" s="109">
        <v>43367.829050925924</v>
      </c>
      <c r="CM228" s="95">
        <v>12.683332999999999</v>
      </c>
      <c r="CN228" s="95">
        <v>-0.45000010000000001</v>
      </c>
      <c r="CO228" s="99"/>
      <c r="CP228" s="99"/>
      <c r="CQ228" s="99"/>
      <c r="CR228" s="99"/>
      <c r="CS228" s="99"/>
      <c r="CT228" s="99"/>
      <c r="CU228" s="99"/>
      <c r="CV228" s="99"/>
      <c r="CW228" s="99"/>
      <c r="CX228" s="99"/>
      <c r="CY228" s="99"/>
      <c r="CZ228" s="99"/>
      <c r="DA228" s="99"/>
      <c r="DB228" s="99"/>
      <c r="DC228" s="99"/>
    </row>
    <row r="229" spans="1:107" ht="15.75" customHeight="1">
      <c r="A229" s="95">
        <v>231</v>
      </c>
      <c r="B229" s="99" t="s">
        <v>888</v>
      </c>
      <c r="C229" s="99" t="s">
        <v>609</v>
      </c>
      <c r="D229" s="99">
        <v>70811233</v>
      </c>
      <c r="E229" s="99" t="s">
        <v>345</v>
      </c>
      <c r="F229" s="95" t="s">
        <v>4939</v>
      </c>
      <c r="G229" s="95" t="s">
        <v>1086</v>
      </c>
      <c r="H229" s="95" t="s">
        <v>1070</v>
      </c>
      <c r="I229" s="95" t="s">
        <v>89</v>
      </c>
      <c r="J229" s="95"/>
      <c r="K229" s="99"/>
      <c r="L229" s="103" t="s">
        <v>4449</v>
      </c>
      <c r="M229" s="99" t="s">
        <v>4450</v>
      </c>
      <c r="N229" s="99" t="s">
        <v>4451</v>
      </c>
      <c r="O229" s="99" t="s">
        <v>4579</v>
      </c>
      <c r="P229" s="103">
        <v>2013</v>
      </c>
      <c r="Q229" s="103" t="s">
        <v>1862</v>
      </c>
      <c r="R229" s="99" t="s">
        <v>4504</v>
      </c>
      <c r="S229" s="103" t="s">
        <v>2282</v>
      </c>
      <c r="T229" s="103" t="s">
        <v>4490</v>
      </c>
      <c r="U229" s="99" t="s">
        <v>4940</v>
      </c>
      <c r="V229" s="95">
        <v>12.2562183</v>
      </c>
      <c r="W229" s="95">
        <v>-2.3517526000000002</v>
      </c>
      <c r="X229" s="104" t="s">
        <v>4839</v>
      </c>
      <c r="Y229" s="103" t="s">
        <v>1634</v>
      </c>
      <c r="Z229" s="103" t="s">
        <v>1634</v>
      </c>
      <c r="AA229" s="103" t="s">
        <v>1862</v>
      </c>
      <c r="AB229" s="103">
        <v>175</v>
      </c>
      <c r="AC229" s="103">
        <v>0</v>
      </c>
      <c r="AD229" s="103">
        <v>175</v>
      </c>
      <c r="AE229" s="103" t="s">
        <v>1634</v>
      </c>
      <c r="AF229" s="103" t="s">
        <v>4830</v>
      </c>
      <c r="AG229" s="99" t="s">
        <v>4507</v>
      </c>
      <c r="AH229" s="103" t="s">
        <v>1862</v>
      </c>
      <c r="AI229" s="103" t="s">
        <v>1862</v>
      </c>
      <c r="AJ229" s="103" t="s">
        <v>1862</v>
      </c>
      <c r="AK229" s="103" t="s">
        <v>1862</v>
      </c>
      <c r="AL229" s="103" t="s">
        <v>1804</v>
      </c>
      <c r="AM229" s="103" t="s">
        <v>1862</v>
      </c>
      <c r="AN229" s="99" t="s">
        <v>4508</v>
      </c>
      <c r="AO229" s="103" t="s">
        <v>1862</v>
      </c>
      <c r="AP229" s="103">
        <v>1000</v>
      </c>
      <c r="AQ229" s="103" t="s">
        <v>4509</v>
      </c>
      <c r="AR229" s="105">
        <v>300000</v>
      </c>
      <c r="AS229" s="106">
        <v>500000</v>
      </c>
      <c r="AT229" s="103" t="s">
        <v>4510</v>
      </c>
      <c r="AU229" s="103"/>
      <c r="AV229" s="99"/>
      <c r="AW229" s="99"/>
      <c r="AX229" s="99"/>
      <c r="AY229" s="99"/>
      <c r="AZ229" s="99"/>
      <c r="BA229" s="103"/>
      <c r="BB229" s="99">
        <v>13000</v>
      </c>
      <c r="BC229" s="99">
        <v>2500</v>
      </c>
      <c r="BD229" s="99">
        <v>0</v>
      </c>
      <c r="BE229" s="99">
        <v>12800000</v>
      </c>
      <c r="BF229" s="103" t="s">
        <v>4511</v>
      </c>
      <c r="BG229" s="103" t="s">
        <v>1804</v>
      </c>
      <c r="BH229" s="103" t="s">
        <v>1862</v>
      </c>
      <c r="BI229" s="103" t="s">
        <v>1804</v>
      </c>
      <c r="BJ229" s="103" t="s">
        <v>1804</v>
      </c>
      <c r="BK229" s="103" t="s">
        <v>4478</v>
      </c>
      <c r="BL229" s="103" t="s">
        <v>4472</v>
      </c>
      <c r="BM229" s="103" t="s">
        <v>4461</v>
      </c>
      <c r="BN229" s="103" t="s">
        <v>4512</v>
      </c>
      <c r="BO229" s="103">
        <v>1200</v>
      </c>
      <c r="BP229" s="103" t="s">
        <v>4500</v>
      </c>
      <c r="BQ229" s="107" t="s">
        <v>4474</v>
      </c>
      <c r="BR229" s="99" t="s">
        <v>4474</v>
      </c>
      <c r="BS229" s="99" t="s">
        <v>4513</v>
      </c>
      <c r="BT229" s="103" t="s">
        <v>4513</v>
      </c>
      <c r="BU229" s="107" t="s">
        <v>4476</v>
      </c>
      <c r="BV229" s="103" t="s">
        <v>4514</v>
      </c>
      <c r="BW229" s="103" t="s">
        <v>1548</v>
      </c>
      <c r="BX229" s="103" t="s">
        <v>4501</v>
      </c>
      <c r="BY229" s="103" t="s">
        <v>4515</v>
      </c>
      <c r="BZ229" s="103" t="s">
        <v>4509</v>
      </c>
      <c r="CA229" s="103">
        <v>60</v>
      </c>
      <c r="CB229" s="103" t="s">
        <v>4502</v>
      </c>
      <c r="CC229" s="103" t="s">
        <v>4479</v>
      </c>
      <c r="CD229" s="103" t="s">
        <v>4475</v>
      </c>
      <c r="CE229" s="103" t="s">
        <v>4481</v>
      </c>
      <c r="CF229" s="103" t="s">
        <v>4482</v>
      </c>
      <c r="CG229" s="103" t="s">
        <v>5586</v>
      </c>
      <c r="CH229" s="103" t="s">
        <v>1654</v>
      </c>
      <c r="CI229" s="103">
        <v>70811233</v>
      </c>
      <c r="CJ229" s="99"/>
      <c r="CK229" s="108">
        <v>43363.517060185186</v>
      </c>
      <c r="CL229" s="108">
        <v>43363.548888888887</v>
      </c>
      <c r="CM229" s="95">
        <v>12.2562183</v>
      </c>
      <c r="CN229" s="95">
        <v>-2.3517526000000002</v>
      </c>
      <c r="CO229" s="99"/>
      <c r="CP229" s="99"/>
      <c r="CQ229" s="99"/>
      <c r="CR229" s="99"/>
      <c r="CS229" s="99"/>
      <c r="CT229" s="99"/>
      <c r="CU229" s="99"/>
      <c r="CV229" s="99"/>
      <c r="CW229" s="99"/>
      <c r="CX229" s="99"/>
      <c r="CY229" s="99"/>
      <c r="CZ229" s="99"/>
      <c r="DA229" s="99"/>
      <c r="DB229" s="99"/>
      <c r="DC229" s="99"/>
    </row>
    <row r="230" spans="1:107" ht="15.75" customHeight="1">
      <c r="A230" s="95">
        <v>232</v>
      </c>
      <c r="B230" s="99" t="s">
        <v>889</v>
      </c>
      <c r="C230" s="99" t="s">
        <v>732</v>
      </c>
      <c r="D230" s="99">
        <v>62280315</v>
      </c>
      <c r="E230" s="99" t="s">
        <v>346</v>
      </c>
      <c r="F230" s="95" t="s">
        <v>5572</v>
      </c>
      <c r="G230" s="95" t="s">
        <v>1052</v>
      </c>
      <c r="H230" s="95" t="s">
        <v>1121</v>
      </c>
      <c r="I230" s="95" t="s">
        <v>341</v>
      </c>
      <c r="J230" s="95"/>
      <c r="K230" s="99"/>
      <c r="L230" s="103" t="s">
        <v>4449</v>
      </c>
      <c r="M230" s="99" t="s">
        <v>4567</v>
      </c>
      <c r="N230" s="99" t="s">
        <v>1565</v>
      </c>
      <c r="O230" s="99" t="s">
        <v>5587</v>
      </c>
      <c r="P230" s="103">
        <v>2008</v>
      </c>
      <c r="Q230" s="103" t="s">
        <v>1862</v>
      </c>
      <c r="R230" s="99" t="s">
        <v>5142</v>
      </c>
      <c r="S230" s="103" t="s">
        <v>1541</v>
      </c>
      <c r="T230" s="103" t="s">
        <v>4538</v>
      </c>
      <c r="U230" s="99" t="s">
        <v>5574</v>
      </c>
      <c r="V230" s="95">
        <v>12.6612116</v>
      </c>
      <c r="W230" s="95">
        <v>-0.56833990000000001</v>
      </c>
      <c r="X230" s="104" t="s">
        <v>5559</v>
      </c>
      <c r="Y230" s="103" t="s">
        <v>1634</v>
      </c>
      <c r="Z230" s="103" t="s">
        <v>1634</v>
      </c>
      <c r="AA230" s="103" t="s">
        <v>1862</v>
      </c>
      <c r="AB230" s="103">
        <v>22</v>
      </c>
      <c r="AC230" s="103">
        <v>1</v>
      </c>
      <c r="AD230" s="103">
        <v>21</v>
      </c>
      <c r="AE230" s="103" t="s">
        <v>1634</v>
      </c>
      <c r="AF230" s="103" t="s">
        <v>4493</v>
      </c>
      <c r="AG230" s="99" t="s">
        <v>4879</v>
      </c>
      <c r="AH230" s="103" t="s">
        <v>1862</v>
      </c>
      <c r="AI230" s="103" t="s">
        <v>1862</v>
      </c>
      <c r="AJ230" s="103" t="s">
        <v>1862</v>
      </c>
      <c r="AK230" s="103" t="s">
        <v>1862</v>
      </c>
      <c r="AL230" s="103" t="s">
        <v>1862</v>
      </c>
      <c r="AM230" s="103" t="s">
        <v>1862</v>
      </c>
      <c r="AN230" s="99" t="s">
        <v>4670</v>
      </c>
      <c r="AO230" s="103" t="s">
        <v>1862</v>
      </c>
      <c r="AP230" s="103">
        <v>900</v>
      </c>
      <c r="AQ230" s="103" t="s">
        <v>4461</v>
      </c>
      <c r="AR230" s="103">
        <v>0</v>
      </c>
      <c r="AS230" s="106">
        <v>600000</v>
      </c>
      <c r="AT230" s="103" t="s">
        <v>4496</v>
      </c>
      <c r="AU230" s="103" t="s">
        <v>1634</v>
      </c>
      <c r="AV230" s="99" t="s">
        <v>4671</v>
      </c>
      <c r="AW230" s="99" t="s">
        <v>5588</v>
      </c>
      <c r="AX230" s="99" t="s">
        <v>5584</v>
      </c>
      <c r="AY230" s="99" t="s">
        <v>4466</v>
      </c>
      <c r="AZ230" s="99" t="s">
        <v>4467</v>
      </c>
      <c r="BA230" s="103" t="s">
        <v>1634</v>
      </c>
      <c r="BB230" s="99">
        <v>7000</v>
      </c>
      <c r="BC230" s="99">
        <v>2000</v>
      </c>
      <c r="BD230" s="99">
        <v>0</v>
      </c>
      <c r="BE230" s="99">
        <v>680000</v>
      </c>
      <c r="BF230" s="103" t="s">
        <v>4468</v>
      </c>
      <c r="BG230" s="103" t="s">
        <v>1862</v>
      </c>
      <c r="BH230" s="103" t="s">
        <v>1862</v>
      </c>
      <c r="BI230" s="103" t="s">
        <v>1804</v>
      </c>
      <c r="BJ230" s="103" t="s">
        <v>1804</v>
      </c>
      <c r="BK230" s="103" t="s">
        <v>4469</v>
      </c>
      <c r="BL230" s="103" t="s">
        <v>4500</v>
      </c>
      <c r="BM230" s="103" t="s">
        <v>4500</v>
      </c>
      <c r="BN230" s="103" t="s">
        <v>5340</v>
      </c>
      <c r="BO230" s="103">
        <v>350</v>
      </c>
      <c r="BP230" s="103" t="s">
        <v>4500</v>
      </c>
      <c r="BQ230" s="99" t="s">
        <v>4476</v>
      </c>
      <c r="BR230" s="99" t="s">
        <v>4476</v>
      </c>
      <c r="BS230" s="99" t="s">
        <v>4476</v>
      </c>
      <c r="BT230" s="103" t="s">
        <v>3186</v>
      </c>
      <c r="BU230" s="99" t="s">
        <v>4608</v>
      </c>
      <c r="BV230" s="103" t="s">
        <v>4476</v>
      </c>
      <c r="BW230" s="103" t="s">
        <v>4476</v>
      </c>
      <c r="BX230" s="103" t="s">
        <v>1634</v>
      </c>
      <c r="BY230" s="103" t="s">
        <v>4739</v>
      </c>
      <c r="BZ230" s="103" t="s">
        <v>4478</v>
      </c>
      <c r="CA230" s="103" t="s">
        <v>4500</v>
      </c>
      <c r="CB230" s="103">
        <v>450</v>
      </c>
      <c r="CC230" s="103" t="s">
        <v>4479</v>
      </c>
      <c r="CD230" s="103" t="s">
        <v>4475</v>
      </c>
      <c r="CE230" s="103" t="s">
        <v>4502</v>
      </c>
      <c r="CF230" s="103" t="s">
        <v>4691</v>
      </c>
      <c r="CG230" s="103" t="s">
        <v>651</v>
      </c>
      <c r="CH230" s="103" t="s">
        <v>4061</v>
      </c>
      <c r="CI230" s="103">
        <v>66546845</v>
      </c>
      <c r="CJ230" s="103" t="s">
        <v>5566</v>
      </c>
      <c r="CK230" s="108">
        <v>43364.433020833334</v>
      </c>
      <c r="CL230" s="109">
        <v>43367.829444444447</v>
      </c>
      <c r="CM230" s="95">
        <v>12.6612116</v>
      </c>
      <c r="CN230" s="95">
        <v>-0.56833990000000001</v>
      </c>
      <c r="CO230" s="99"/>
      <c r="CP230" s="99"/>
      <c r="CQ230" s="99"/>
      <c r="CR230" s="99"/>
      <c r="CS230" s="99"/>
      <c r="CT230" s="99"/>
      <c r="CU230" s="99"/>
      <c r="CV230" s="99"/>
      <c r="CW230" s="99"/>
      <c r="CX230" s="99"/>
      <c r="CY230" s="99"/>
      <c r="CZ230" s="99"/>
      <c r="DA230" s="99"/>
      <c r="DB230" s="99"/>
      <c r="DC230" s="99"/>
    </row>
    <row r="231" spans="1:107" ht="15.75" customHeight="1">
      <c r="A231" s="95">
        <v>233</v>
      </c>
      <c r="B231" s="99" t="s">
        <v>670</v>
      </c>
      <c r="C231" s="99" t="s">
        <v>574</v>
      </c>
      <c r="D231" s="99">
        <v>70164634</v>
      </c>
      <c r="E231" s="99" t="s">
        <v>347</v>
      </c>
      <c r="F231" s="95" t="s">
        <v>4966</v>
      </c>
      <c r="G231" s="95" t="s">
        <v>1089</v>
      </c>
      <c r="H231" s="95" t="s">
        <v>1090</v>
      </c>
      <c r="I231" s="95" t="s">
        <v>119</v>
      </c>
      <c r="J231" s="95"/>
      <c r="K231" s="99"/>
      <c r="L231" s="103" t="s">
        <v>4449</v>
      </c>
      <c r="M231" s="99" t="s">
        <v>4450</v>
      </c>
      <c r="N231" s="99" t="s">
        <v>4718</v>
      </c>
      <c r="O231" s="99" t="s">
        <v>4452</v>
      </c>
      <c r="P231" s="103">
        <v>2004</v>
      </c>
      <c r="Q231" s="103" t="s">
        <v>1862</v>
      </c>
      <c r="R231" s="99" t="s">
        <v>4633</v>
      </c>
      <c r="S231" s="103" t="s">
        <v>1541</v>
      </c>
      <c r="T231" s="103" t="s">
        <v>4634</v>
      </c>
      <c r="U231" s="99" t="s">
        <v>4967</v>
      </c>
      <c r="V231" s="95">
        <v>13.0910405</v>
      </c>
      <c r="W231" s="95">
        <v>-1.0873550999999999</v>
      </c>
      <c r="X231" s="104" t="s">
        <v>4968</v>
      </c>
      <c r="Y231" s="103" t="s">
        <v>1634</v>
      </c>
      <c r="Z231" s="103" t="s">
        <v>1634</v>
      </c>
      <c r="AA231" s="103" t="s">
        <v>1862</v>
      </c>
      <c r="AB231" s="103">
        <v>255</v>
      </c>
      <c r="AC231" s="103">
        <v>1</v>
      </c>
      <c r="AD231" s="103">
        <v>254</v>
      </c>
      <c r="AE231" s="103" t="s">
        <v>1634</v>
      </c>
      <c r="AF231" s="103" t="s">
        <v>4493</v>
      </c>
      <c r="AG231" s="99" t="s">
        <v>4554</v>
      </c>
      <c r="AH231" s="103" t="s">
        <v>1862</v>
      </c>
      <c r="AI231" s="103" t="s">
        <v>1862</v>
      </c>
      <c r="AJ231" s="103" t="s">
        <v>1862</v>
      </c>
      <c r="AK231" s="103" t="s">
        <v>1862</v>
      </c>
      <c r="AL231" s="103" t="s">
        <v>1804</v>
      </c>
      <c r="AM231" s="103" t="s">
        <v>1862</v>
      </c>
      <c r="AN231" s="99" t="s">
        <v>4638</v>
      </c>
      <c r="AO231" s="103" t="s">
        <v>1862</v>
      </c>
      <c r="AP231" s="103">
        <v>1800</v>
      </c>
      <c r="AQ231" s="112" t="s">
        <v>4461</v>
      </c>
      <c r="AR231" s="103"/>
      <c r="AS231" s="106">
        <v>47500000</v>
      </c>
      <c r="AT231" s="103" t="s">
        <v>4527</v>
      </c>
      <c r="AU231" s="103" t="s">
        <v>1634</v>
      </c>
      <c r="AV231" s="99" t="s">
        <v>4463</v>
      </c>
      <c r="AW231" s="99" t="s">
        <v>4639</v>
      </c>
      <c r="AX231" s="99" t="s">
        <v>4640</v>
      </c>
      <c r="AY231" s="99" t="s">
        <v>4641</v>
      </c>
      <c r="AZ231" s="99" t="s">
        <v>4530</v>
      </c>
      <c r="BA231" s="103" t="s">
        <v>1634</v>
      </c>
      <c r="BB231" s="99"/>
      <c r="BC231" s="99">
        <v>21000</v>
      </c>
      <c r="BD231" s="99"/>
      <c r="BE231" s="99">
        <v>40000000</v>
      </c>
      <c r="BF231" s="103" t="s">
        <v>4642</v>
      </c>
      <c r="BG231" s="103" t="s">
        <v>1862</v>
      </c>
      <c r="BH231" s="103" t="s">
        <v>1862</v>
      </c>
      <c r="BI231" s="103" t="s">
        <v>1862</v>
      </c>
      <c r="BJ231" s="103" t="s">
        <v>1862</v>
      </c>
      <c r="BK231" s="103" t="s">
        <v>4469</v>
      </c>
      <c r="BL231" s="103" t="s">
        <v>4472</v>
      </c>
      <c r="BM231" s="103" t="s">
        <v>4461</v>
      </c>
      <c r="BN231" s="103" t="s">
        <v>4643</v>
      </c>
      <c r="BO231" s="103">
        <v>500</v>
      </c>
      <c r="BP231" s="103" t="s">
        <v>4532</v>
      </c>
      <c r="BQ231" s="99" t="s">
        <v>4644</v>
      </c>
      <c r="BR231" s="99" t="s">
        <v>4644</v>
      </c>
      <c r="BS231" s="99" t="s">
        <v>4564</v>
      </c>
      <c r="BT231" s="103" t="s">
        <v>3186</v>
      </c>
      <c r="BU231" s="99"/>
      <c r="BV231" s="103" t="s">
        <v>4644</v>
      </c>
      <c r="BW231" s="103" t="s">
        <v>4644</v>
      </c>
      <c r="BX231" s="103"/>
      <c r="BY231" s="103"/>
      <c r="BZ231" s="103"/>
      <c r="CA231" s="103"/>
      <c r="CB231" s="103"/>
      <c r="CC231" s="103" t="s">
        <v>4502</v>
      </c>
      <c r="CD231" s="103" t="s">
        <v>4475</v>
      </c>
      <c r="CE231" s="112" t="s">
        <v>4475</v>
      </c>
      <c r="CF231" s="103"/>
      <c r="CG231" s="103" t="s">
        <v>767</v>
      </c>
      <c r="CH231" s="103" t="s">
        <v>574</v>
      </c>
      <c r="CI231" s="103">
        <v>70164634</v>
      </c>
      <c r="CJ231" s="103"/>
      <c r="CK231" s="108">
        <v>43364.693287037036</v>
      </c>
      <c r="CL231" s="109">
        <v>43364.732754629629</v>
      </c>
      <c r="CM231" s="95">
        <v>13.0910405</v>
      </c>
      <c r="CN231" s="95">
        <v>-1.0873550999999999</v>
      </c>
      <c r="CO231" s="99"/>
      <c r="CP231" s="99"/>
      <c r="CQ231" s="99"/>
      <c r="CR231" s="99"/>
      <c r="CS231" s="99"/>
      <c r="CT231" s="99"/>
      <c r="CU231" s="99"/>
      <c r="CV231" s="99"/>
      <c r="CW231" s="99"/>
      <c r="CX231" s="99"/>
      <c r="CY231" s="99"/>
      <c r="CZ231" s="99"/>
      <c r="DA231" s="99"/>
      <c r="DB231" s="99"/>
      <c r="DC231" s="99"/>
    </row>
    <row r="232" spans="1:107" ht="15.75" customHeight="1">
      <c r="A232" s="95">
        <v>234</v>
      </c>
      <c r="B232" s="99" t="s">
        <v>888</v>
      </c>
      <c r="C232" s="99" t="s">
        <v>890</v>
      </c>
      <c r="D232" s="99">
        <v>78434249</v>
      </c>
      <c r="E232" s="99" t="s">
        <v>348</v>
      </c>
      <c r="F232" s="95" t="s">
        <v>4982</v>
      </c>
      <c r="G232" s="95" t="s">
        <v>1042</v>
      </c>
      <c r="H232" s="95" t="s">
        <v>1051</v>
      </c>
      <c r="I232" s="95" t="s">
        <v>125</v>
      </c>
      <c r="J232" s="95"/>
      <c r="K232" s="99"/>
      <c r="L232" s="103" t="s">
        <v>4449</v>
      </c>
      <c r="M232" s="99" t="s">
        <v>4450</v>
      </c>
      <c r="N232" s="99" t="s">
        <v>4520</v>
      </c>
      <c r="O232" s="99" t="s">
        <v>5589</v>
      </c>
      <c r="P232" s="103">
        <v>2012</v>
      </c>
      <c r="Q232" s="103" t="s">
        <v>1862</v>
      </c>
      <c r="R232" s="99" t="s">
        <v>4633</v>
      </c>
      <c r="S232" s="103" t="s">
        <v>2282</v>
      </c>
      <c r="T232" s="103" t="s">
        <v>4490</v>
      </c>
      <c r="U232" s="99" t="s">
        <v>4983</v>
      </c>
      <c r="V232" s="95">
        <v>12.074325</v>
      </c>
      <c r="W232" s="95">
        <v>-1.3421031999999999</v>
      </c>
      <c r="X232" s="104" t="s">
        <v>4984</v>
      </c>
      <c r="Y232" s="103" t="s">
        <v>1634</v>
      </c>
      <c r="Z232" s="103" t="s">
        <v>1634</v>
      </c>
      <c r="AA232" s="103" t="s">
        <v>1862</v>
      </c>
      <c r="AB232" s="103">
        <v>28</v>
      </c>
      <c r="AC232" s="103">
        <v>0</v>
      </c>
      <c r="AD232" s="103">
        <v>28</v>
      </c>
      <c r="AE232" s="103" t="s">
        <v>1634</v>
      </c>
      <c r="AF232" s="103" t="s">
        <v>4493</v>
      </c>
      <c r="AG232" s="99" t="s">
        <v>4554</v>
      </c>
      <c r="AH232" s="103" t="s">
        <v>1862</v>
      </c>
      <c r="AI232" s="103" t="s">
        <v>1862</v>
      </c>
      <c r="AJ232" s="103" t="s">
        <v>1862</v>
      </c>
      <c r="AK232" s="103" t="s">
        <v>1862</v>
      </c>
      <c r="AL232" s="103" t="s">
        <v>1804</v>
      </c>
      <c r="AM232" s="103" t="s">
        <v>1862</v>
      </c>
      <c r="AN232" s="99" t="s">
        <v>4735</v>
      </c>
      <c r="AO232" s="103" t="s">
        <v>1862</v>
      </c>
      <c r="AP232" s="103">
        <v>850</v>
      </c>
      <c r="AQ232" s="103" t="s">
        <v>4461</v>
      </c>
      <c r="AR232" s="103">
        <v>0</v>
      </c>
      <c r="AS232" s="106">
        <v>142800</v>
      </c>
      <c r="AT232" s="103" t="s">
        <v>4625</v>
      </c>
      <c r="AU232" s="103" t="s">
        <v>1634</v>
      </c>
      <c r="AV232" s="99" t="s">
        <v>4557</v>
      </c>
      <c r="AW232" s="99" t="s">
        <v>5590</v>
      </c>
      <c r="AX232" s="99" t="s">
        <v>5591</v>
      </c>
      <c r="AY232" s="99" t="s">
        <v>4466</v>
      </c>
      <c r="AZ232" s="99" t="s">
        <v>4467</v>
      </c>
      <c r="BA232" s="103" t="s">
        <v>1548</v>
      </c>
      <c r="BB232" s="99">
        <v>4000</v>
      </c>
      <c r="BC232" s="99">
        <v>2000</v>
      </c>
      <c r="BD232" s="99">
        <v>0</v>
      </c>
      <c r="BE232" s="99">
        <v>1700000</v>
      </c>
      <c r="BF232" s="103" t="s">
        <v>4715</v>
      </c>
      <c r="BG232" s="103" t="s">
        <v>1862</v>
      </c>
      <c r="BH232" s="103" t="s">
        <v>1862</v>
      </c>
      <c r="BI232" s="103" t="s">
        <v>1862</v>
      </c>
      <c r="BJ232" s="103" t="s">
        <v>1804</v>
      </c>
      <c r="BK232" s="103" t="s">
        <v>4478</v>
      </c>
      <c r="BL232" s="103" t="s">
        <v>4470</v>
      </c>
      <c r="BM232" s="103" t="s">
        <v>4461</v>
      </c>
      <c r="BN232" s="103" t="s">
        <v>4607</v>
      </c>
      <c r="BO232" s="103">
        <v>240</v>
      </c>
      <c r="BP232" s="103" t="s">
        <v>4500</v>
      </c>
      <c r="BQ232" s="107" t="s">
        <v>4476</v>
      </c>
      <c r="BR232" s="99" t="s">
        <v>4476</v>
      </c>
      <c r="BS232" s="99" t="s">
        <v>4476</v>
      </c>
      <c r="BT232" s="103" t="s">
        <v>3186</v>
      </c>
      <c r="BU232" s="99" t="s">
        <v>4480</v>
      </c>
      <c r="BV232" s="103" t="s">
        <v>4476</v>
      </c>
      <c r="BW232" s="103" t="s">
        <v>4476</v>
      </c>
      <c r="BX232" s="103" t="s">
        <v>1548</v>
      </c>
      <c r="BY232" s="103" t="s">
        <v>4761</v>
      </c>
      <c r="BZ232" s="103" t="s">
        <v>4478</v>
      </c>
      <c r="CA232" s="103" t="s">
        <v>4461</v>
      </c>
      <c r="CB232" s="103">
        <v>1000</v>
      </c>
      <c r="CC232" s="103" t="s">
        <v>4716</v>
      </c>
      <c r="CD232" s="103" t="s">
        <v>4480</v>
      </c>
      <c r="CE232" s="103" t="s">
        <v>4480</v>
      </c>
      <c r="CF232" s="103"/>
      <c r="CG232" s="103" t="s">
        <v>888</v>
      </c>
      <c r="CH232" s="103" t="s">
        <v>890</v>
      </c>
      <c r="CI232" s="103">
        <v>78434249</v>
      </c>
      <c r="CJ232" s="103"/>
      <c r="CK232" s="108">
        <v>43365.537881944445</v>
      </c>
      <c r="CL232" s="109">
        <v>43367.862604166665</v>
      </c>
      <c r="CM232" s="95">
        <v>12.074325</v>
      </c>
      <c r="CN232" s="95">
        <v>-1.3421031999999999</v>
      </c>
      <c r="CO232" s="99"/>
      <c r="CP232" s="99"/>
      <c r="CQ232" s="99"/>
      <c r="CR232" s="99"/>
      <c r="CS232" s="99"/>
      <c r="CT232" s="99"/>
      <c r="CU232" s="99"/>
      <c r="CV232" s="99"/>
      <c r="CW232" s="99"/>
      <c r="CX232" s="99"/>
      <c r="CY232" s="99"/>
      <c r="CZ232" s="99"/>
      <c r="DA232" s="99"/>
      <c r="DB232" s="99"/>
      <c r="DC232" s="99"/>
    </row>
    <row r="233" spans="1:107" ht="15.75" customHeight="1">
      <c r="A233" s="95">
        <v>235</v>
      </c>
      <c r="B233" s="99" t="s">
        <v>537</v>
      </c>
      <c r="C233" s="99" t="s">
        <v>891</v>
      </c>
      <c r="D233" s="99">
        <v>75989676</v>
      </c>
      <c r="E233" s="99" t="s">
        <v>349</v>
      </c>
      <c r="F233" s="95" t="s">
        <v>5592</v>
      </c>
      <c r="G233" s="95" t="s">
        <v>1047</v>
      </c>
      <c r="H233" s="95" t="s">
        <v>1091</v>
      </c>
      <c r="I233" s="95" t="s">
        <v>121</v>
      </c>
      <c r="J233" s="95"/>
      <c r="K233" s="99"/>
      <c r="L233" s="103" t="s">
        <v>4449</v>
      </c>
      <c r="M233" s="99" t="s">
        <v>4450</v>
      </c>
      <c r="N233" s="99" t="s">
        <v>4520</v>
      </c>
      <c r="O233" s="99" t="s">
        <v>4694</v>
      </c>
      <c r="P233" s="103">
        <v>2005</v>
      </c>
      <c r="Q233" s="103" t="s">
        <v>1862</v>
      </c>
      <c r="R233" s="99" t="s">
        <v>4521</v>
      </c>
      <c r="S233" s="103" t="s">
        <v>1541</v>
      </c>
      <c r="T233" s="103" t="s">
        <v>4522</v>
      </c>
      <c r="U233" s="99" t="s">
        <v>5593</v>
      </c>
      <c r="V233" s="95">
        <v>12.6528861</v>
      </c>
      <c r="W233" s="95">
        <v>-1.8862692999999999</v>
      </c>
      <c r="X233" s="104" t="s">
        <v>4972</v>
      </c>
      <c r="Y233" s="103" t="s">
        <v>1548</v>
      </c>
      <c r="Z233" s="103" t="s">
        <v>1548</v>
      </c>
      <c r="AA233" s="103" t="s">
        <v>1862</v>
      </c>
      <c r="AB233" s="103">
        <v>40</v>
      </c>
      <c r="AC233" s="103">
        <v>0</v>
      </c>
      <c r="AD233" s="103">
        <v>40</v>
      </c>
      <c r="AE233" s="103" t="s">
        <v>1634</v>
      </c>
      <c r="AF233" s="103" t="s">
        <v>4493</v>
      </c>
      <c r="AG233" s="99" t="s">
        <v>4695</v>
      </c>
      <c r="AH233" s="103" t="s">
        <v>1862</v>
      </c>
      <c r="AI233" s="103" t="s">
        <v>1862</v>
      </c>
      <c r="AJ233" s="103" t="s">
        <v>1804</v>
      </c>
      <c r="AK233" s="103" t="s">
        <v>1804</v>
      </c>
      <c r="AL233" s="103" t="s">
        <v>1804</v>
      </c>
      <c r="AM233" s="103" t="s">
        <v>1804</v>
      </c>
      <c r="AN233" s="99" t="s">
        <v>1646</v>
      </c>
      <c r="AO233" s="103" t="s">
        <v>1862</v>
      </c>
      <c r="AP233" s="103">
        <v>750</v>
      </c>
      <c r="AQ233" s="103" t="s">
        <v>4509</v>
      </c>
      <c r="AR233" s="103" t="s">
        <v>4831</v>
      </c>
      <c r="AS233" s="106">
        <v>350000</v>
      </c>
      <c r="AT233" s="103" t="s">
        <v>4625</v>
      </c>
      <c r="AU233" s="103" t="s">
        <v>1548</v>
      </c>
      <c r="AV233" s="99"/>
      <c r="AW233" s="99" t="s">
        <v>4680</v>
      </c>
      <c r="AX233" s="99" t="s">
        <v>4543</v>
      </c>
      <c r="AY233" s="99" t="s">
        <v>4466</v>
      </c>
      <c r="AZ233" s="99" t="s">
        <v>4467</v>
      </c>
      <c r="BA233" s="103" t="s">
        <v>1634</v>
      </c>
      <c r="BB233" s="99">
        <v>500</v>
      </c>
      <c r="BC233" s="99">
        <v>42</v>
      </c>
      <c r="BD233" s="99">
        <v>0</v>
      </c>
      <c r="BE233" s="99"/>
      <c r="BF233" s="103" t="s">
        <v>4511</v>
      </c>
      <c r="BG233" s="103" t="s">
        <v>1804</v>
      </c>
      <c r="BH233" s="103" t="s">
        <v>1862</v>
      </c>
      <c r="BI233" s="103" t="s">
        <v>1804</v>
      </c>
      <c r="BJ233" s="103" t="s">
        <v>1804</v>
      </c>
      <c r="BK233" s="103" t="s">
        <v>4478</v>
      </c>
      <c r="BL233" s="103" t="s">
        <v>4470</v>
      </c>
      <c r="BM233" s="103" t="s">
        <v>4461</v>
      </c>
      <c r="BN233" s="103" t="s">
        <v>4512</v>
      </c>
      <c r="BO233" s="103">
        <v>50</v>
      </c>
      <c r="BP233" s="103" t="s">
        <v>4509</v>
      </c>
      <c r="BQ233" s="107" t="s">
        <v>4476</v>
      </c>
      <c r="BR233" s="99" t="s">
        <v>4476</v>
      </c>
      <c r="BS233" s="99"/>
      <c r="BT233" s="103" t="s">
        <v>3186</v>
      </c>
      <c r="BU233" s="107" t="s">
        <v>4514</v>
      </c>
      <c r="BV233" s="103" t="s">
        <v>4476</v>
      </c>
      <c r="BW233" s="103" t="s">
        <v>1548</v>
      </c>
      <c r="BX233" s="103" t="s">
        <v>4501</v>
      </c>
      <c r="BY233" s="103" t="s">
        <v>4478</v>
      </c>
      <c r="BZ233" s="103" t="s">
        <v>4509</v>
      </c>
      <c r="CA233" s="103">
        <v>15</v>
      </c>
      <c r="CB233" s="103" t="s">
        <v>4475</v>
      </c>
      <c r="CC233" s="103" t="s">
        <v>4502</v>
      </c>
      <c r="CD233" s="103" t="s">
        <v>4475</v>
      </c>
      <c r="CE233" s="103" t="s">
        <v>4475</v>
      </c>
      <c r="CF233" s="103" t="s">
        <v>4482</v>
      </c>
      <c r="CG233" s="103" t="s">
        <v>537</v>
      </c>
      <c r="CH233" s="103" t="s">
        <v>891</v>
      </c>
      <c r="CI233" s="103">
        <v>75989676</v>
      </c>
      <c r="CJ233" s="99"/>
      <c r="CK233" s="108">
        <v>43364.601354166669</v>
      </c>
      <c r="CL233" s="108">
        <v>43364.61478009259</v>
      </c>
      <c r="CM233" s="95">
        <v>12.6528861</v>
      </c>
      <c r="CN233" s="95">
        <v>-1.8862692999999999</v>
      </c>
      <c r="CO233" s="99"/>
      <c r="CP233" s="99"/>
      <c r="CQ233" s="99"/>
      <c r="CR233" s="99"/>
      <c r="CS233" s="99"/>
      <c r="CT233" s="99"/>
      <c r="CU233" s="99"/>
      <c r="CV233" s="99"/>
      <c r="CW233" s="99"/>
      <c r="CX233" s="99"/>
      <c r="CY233" s="99"/>
      <c r="CZ233" s="99"/>
      <c r="DA233" s="99"/>
      <c r="DB233" s="99"/>
      <c r="DC233" s="99"/>
    </row>
    <row r="234" spans="1:107" ht="15.75" customHeight="1">
      <c r="A234" s="95">
        <v>236</v>
      </c>
      <c r="B234" s="99" t="s">
        <v>892</v>
      </c>
      <c r="C234" s="99" t="s">
        <v>534</v>
      </c>
      <c r="D234" s="99">
        <v>66194444</v>
      </c>
      <c r="E234" s="99" t="s">
        <v>350</v>
      </c>
      <c r="F234" s="95" t="s">
        <v>4666</v>
      </c>
      <c r="G234" s="95" t="s">
        <v>1057</v>
      </c>
      <c r="H234" s="95" t="s">
        <v>1061</v>
      </c>
      <c r="I234" s="95" t="s">
        <v>37</v>
      </c>
      <c r="J234" s="95"/>
      <c r="K234" s="99"/>
      <c r="L234" s="103" t="s">
        <v>4449</v>
      </c>
      <c r="M234" s="99" t="s">
        <v>4450</v>
      </c>
      <c r="N234" s="99" t="s">
        <v>4568</v>
      </c>
      <c r="O234" s="99" t="s">
        <v>4452</v>
      </c>
      <c r="P234" s="103">
        <v>2011</v>
      </c>
      <c r="Q234" s="103" t="s">
        <v>1862</v>
      </c>
      <c r="R234" s="99" t="s">
        <v>4504</v>
      </c>
      <c r="S234" s="103" t="s">
        <v>1541</v>
      </c>
      <c r="T234" s="103" t="s">
        <v>4538</v>
      </c>
      <c r="U234" s="99" t="s">
        <v>4667</v>
      </c>
      <c r="V234" s="95">
        <v>12.184640699999999</v>
      </c>
      <c r="W234" s="95">
        <v>-4.0848788999999996</v>
      </c>
      <c r="X234" s="104" t="s">
        <v>4668</v>
      </c>
      <c r="Y234" s="103" t="s">
        <v>1634</v>
      </c>
      <c r="Z234" s="103" t="s">
        <v>1548</v>
      </c>
      <c r="AA234" s="103" t="s">
        <v>1862</v>
      </c>
      <c r="AB234" s="103">
        <v>33</v>
      </c>
      <c r="AC234" s="103">
        <v>0</v>
      </c>
      <c r="AD234" s="103">
        <v>33</v>
      </c>
      <c r="AE234" s="103" t="s">
        <v>1634</v>
      </c>
      <c r="AF234" s="103" t="s">
        <v>4493</v>
      </c>
      <c r="AG234" s="99" t="s">
        <v>4745</v>
      </c>
      <c r="AH234" s="103" t="s">
        <v>1862</v>
      </c>
      <c r="AI234" s="103" t="s">
        <v>1862</v>
      </c>
      <c r="AJ234" s="103" t="s">
        <v>1862</v>
      </c>
      <c r="AK234" s="103" t="s">
        <v>1862</v>
      </c>
      <c r="AL234" s="103" t="s">
        <v>1862</v>
      </c>
      <c r="AM234" s="103" t="s">
        <v>1862</v>
      </c>
      <c r="AN234" s="99" t="s">
        <v>4584</v>
      </c>
      <c r="AO234" s="103" t="s">
        <v>1862</v>
      </c>
      <c r="AP234" s="103">
        <v>500</v>
      </c>
      <c r="AQ234" s="103" t="s">
        <v>4461</v>
      </c>
      <c r="AR234" s="103">
        <v>100000</v>
      </c>
      <c r="AS234" s="106">
        <v>50000</v>
      </c>
      <c r="AT234" s="103" t="s">
        <v>4496</v>
      </c>
      <c r="AU234" s="103" t="s">
        <v>1634</v>
      </c>
      <c r="AV234" s="99" t="s">
        <v>4463</v>
      </c>
      <c r="AW234" s="99" t="s">
        <v>5594</v>
      </c>
      <c r="AX234" s="99" t="s">
        <v>5595</v>
      </c>
      <c r="AY234" s="99" t="s">
        <v>4560</v>
      </c>
      <c r="AZ234" s="99" t="s">
        <v>4467</v>
      </c>
      <c r="BA234" s="103" t="s">
        <v>1634</v>
      </c>
      <c r="BB234" s="99">
        <v>1000</v>
      </c>
      <c r="BC234" s="99">
        <v>100</v>
      </c>
      <c r="BD234" s="99">
        <v>150000</v>
      </c>
      <c r="BE234" s="99">
        <v>800000</v>
      </c>
      <c r="BF234" s="103" t="s">
        <v>5425</v>
      </c>
      <c r="BG234" s="103" t="s">
        <v>1862</v>
      </c>
      <c r="BH234" s="103" t="s">
        <v>1862</v>
      </c>
      <c r="BI234" s="103" t="s">
        <v>1862</v>
      </c>
      <c r="BJ234" s="103" t="s">
        <v>1862</v>
      </c>
      <c r="BK234" s="103" t="s">
        <v>4478</v>
      </c>
      <c r="BL234" s="103" t="s">
        <v>4472</v>
      </c>
      <c r="BM234" s="103" t="s">
        <v>4461</v>
      </c>
      <c r="BN234" s="103" t="s">
        <v>4531</v>
      </c>
      <c r="BO234" s="103">
        <v>450</v>
      </c>
      <c r="BP234" s="103" t="s">
        <v>4532</v>
      </c>
      <c r="BQ234" s="99" t="s">
        <v>4476</v>
      </c>
      <c r="BR234" s="99" t="s">
        <v>4564</v>
      </c>
      <c r="BS234" s="99"/>
      <c r="BT234" s="103" t="s">
        <v>3186</v>
      </c>
      <c r="BU234" s="99" t="s">
        <v>4502</v>
      </c>
      <c r="BV234" s="103" t="s">
        <v>4476</v>
      </c>
      <c r="BW234" s="103" t="s">
        <v>4476</v>
      </c>
      <c r="BX234" s="103" t="s">
        <v>1548</v>
      </c>
      <c r="BY234" s="103" t="s">
        <v>4535</v>
      </c>
      <c r="BZ234" s="103" t="s">
        <v>4478</v>
      </c>
      <c r="CA234" s="103" t="s">
        <v>4461</v>
      </c>
      <c r="CB234" s="103">
        <v>700</v>
      </c>
      <c r="CC234" s="103" t="s">
        <v>4502</v>
      </c>
      <c r="CD234" s="103" t="s">
        <v>4475</v>
      </c>
      <c r="CE234" s="103" t="s">
        <v>4475</v>
      </c>
      <c r="CF234" s="103"/>
      <c r="CG234" s="103" t="s">
        <v>5596</v>
      </c>
      <c r="CH234" s="103" t="s">
        <v>5597</v>
      </c>
      <c r="CI234" s="103">
        <v>61410514</v>
      </c>
      <c r="CJ234" s="103" t="s">
        <v>5598</v>
      </c>
      <c r="CK234" s="108">
        <v>43366.597696759258</v>
      </c>
      <c r="CL234" s="109">
        <v>43368.355914351851</v>
      </c>
      <c r="CM234" s="95">
        <v>12.184640699999999</v>
      </c>
      <c r="CN234" s="95">
        <v>-4.0848788999999996</v>
      </c>
      <c r="CO234" s="99"/>
      <c r="CP234" s="99"/>
      <c r="CQ234" s="99"/>
      <c r="CR234" s="99"/>
      <c r="CS234" s="99"/>
      <c r="CT234" s="99"/>
      <c r="CU234" s="99"/>
      <c r="CV234" s="99"/>
      <c r="CW234" s="99"/>
      <c r="CX234" s="99"/>
      <c r="CY234" s="99"/>
      <c r="CZ234" s="99"/>
      <c r="DA234" s="99"/>
      <c r="DB234" s="99"/>
      <c r="DC234" s="99"/>
    </row>
    <row r="235" spans="1:107" ht="15.75" customHeight="1">
      <c r="A235" s="95">
        <v>237</v>
      </c>
      <c r="B235" s="99" t="s">
        <v>792</v>
      </c>
      <c r="C235" s="99" t="s">
        <v>893</v>
      </c>
      <c r="D235" s="110">
        <v>70626144</v>
      </c>
      <c r="E235" s="99" t="s">
        <v>351</v>
      </c>
      <c r="F235" s="95" t="s">
        <v>5259</v>
      </c>
      <c r="G235" s="95" t="s">
        <v>1076</v>
      </c>
      <c r="H235" s="95" t="s">
        <v>1116</v>
      </c>
      <c r="I235" s="95" t="s">
        <v>210</v>
      </c>
      <c r="J235" s="95"/>
      <c r="K235" s="99"/>
      <c r="L235" s="103" t="s">
        <v>4449</v>
      </c>
      <c r="M235" s="99" t="s">
        <v>4567</v>
      </c>
      <c r="N235" s="99" t="s">
        <v>1565</v>
      </c>
      <c r="O235" s="99" t="s">
        <v>4488</v>
      </c>
      <c r="P235" s="103">
        <v>2002</v>
      </c>
      <c r="Q235" s="103" t="s">
        <v>1862</v>
      </c>
      <c r="R235" s="99" t="s">
        <v>4521</v>
      </c>
      <c r="S235" s="103" t="s">
        <v>1541</v>
      </c>
      <c r="T235" s="103" t="s">
        <v>4522</v>
      </c>
      <c r="U235" s="99" t="s">
        <v>5260</v>
      </c>
      <c r="V235" s="95">
        <v>11.248952299999999</v>
      </c>
      <c r="W235" s="95">
        <v>0.70499250000000002</v>
      </c>
      <c r="X235" s="104" t="s">
        <v>5261</v>
      </c>
      <c r="Y235" s="103" t="s">
        <v>1634</v>
      </c>
      <c r="Z235" s="103" t="s">
        <v>4499</v>
      </c>
      <c r="AA235" s="103" t="s">
        <v>1862</v>
      </c>
      <c r="AB235" s="103">
        <v>38</v>
      </c>
      <c r="AC235" s="103">
        <v>0</v>
      </c>
      <c r="AD235" s="103">
        <v>38</v>
      </c>
      <c r="AE235" s="103" t="s">
        <v>1634</v>
      </c>
      <c r="AF235" s="103" t="s">
        <v>4830</v>
      </c>
      <c r="AG235" s="99" t="s">
        <v>4494</v>
      </c>
      <c r="AH235" s="103" t="s">
        <v>1862</v>
      </c>
      <c r="AI235" s="103" t="s">
        <v>1862</v>
      </c>
      <c r="AJ235" s="103" t="s">
        <v>1804</v>
      </c>
      <c r="AK235" s="103" t="s">
        <v>1804</v>
      </c>
      <c r="AL235" s="103" t="s">
        <v>1862</v>
      </c>
      <c r="AM235" s="103" t="s">
        <v>1862</v>
      </c>
      <c r="AN235" s="99" t="s">
        <v>4735</v>
      </c>
      <c r="AO235" s="103" t="s">
        <v>1862</v>
      </c>
      <c r="AP235" s="103">
        <v>600</v>
      </c>
      <c r="AQ235" s="103" t="s">
        <v>4461</v>
      </c>
      <c r="AR235" s="103">
        <v>300000</v>
      </c>
      <c r="AS235" s="106">
        <v>200000</v>
      </c>
      <c r="AT235" s="103" t="s">
        <v>4496</v>
      </c>
      <c r="AU235" s="103" t="s">
        <v>1548</v>
      </c>
      <c r="AV235" s="99"/>
      <c r="AW235" s="99"/>
      <c r="AX235" s="99" t="s">
        <v>4888</v>
      </c>
      <c r="AY235" s="99" t="s">
        <v>4466</v>
      </c>
      <c r="AZ235" s="99" t="s">
        <v>4467</v>
      </c>
      <c r="BA235" s="103" t="s">
        <v>1548</v>
      </c>
      <c r="BB235" s="99">
        <v>19000</v>
      </c>
      <c r="BC235" s="99">
        <v>950</v>
      </c>
      <c r="BD235" s="99">
        <v>225000</v>
      </c>
      <c r="BE235" s="99">
        <v>175000</v>
      </c>
      <c r="BF235" s="103" t="s">
        <v>4889</v>
      </c>
      <c r="BG235" s="103" t="s">
        <v>1862</v>
      </c>
      <c r="BH235" s="103" t="s">
        <v>1862</v>
      </c>
      <c r="BI235" s="103" t="s">
        <v>1804</v>
      </c>
      <c r="BJ235" s="103" t="s">
        <v>1862</v>
      </c>
      <c r="BK235" s="103" t="s">
        <v>4478</v>
      </c>
      <c r="BL235" s="103" t="s">
        <v>4461</v>
      </c>
      <c r="BM235" s="103" t="s">
        <v>4461</v>
      </c>
      <c r="BN235" s="103" t="s">
        <v>4690</v>
      </c>
      <c r="BO235" s="103">
        <v>450</v>
      </c>
      <c r="BP235" s="103" t="s">
        <v>4532</v>
      </c>
      <c r="BQ235" s="99" t="s">
        <v>4476</v>
      </c>
      <c r="BR235" s="99" t="s">
        <v>4476</v>
      </c>
      <c r="BS235" s="99" t="s">
        <v>4476</v>
      </c>
      <c r="BT235" s="103" t="s">
        <v>3186</v>
      </c>
      <c r="BU235" s="99" t="s">
        <v>4476</v>
      </c>
      <c r="BV235" s="103" t="s">
        <v>4476</v>
      </c>
      <c r="BW235" s="103" t="s">
        <v>1548</v>
      </c>
      <c r="BX235" s="103" t="s">
        <v>4595</v>
      </c>
      <c r="BY235" s="103" t="s">
        <v>4478</v>
      </c>
      <c r="BZ235" s="103" t="s">
        <v>4461</v>
      </c>
      <c r="CA235" s="103">
        <v>500</v>
      </c>
      <c r="CB235" s="103" t="s">
        <v>4480</v>
      </c>
      <c r="CC235" s="103" t="s">
        <v>4716</v>
      </c>
      <c r="CD235" s="103" t="s">
        <v>4502</v>
      </c>
      <c r="CE235" s="103" t="s">
        <v>4502</v>
      </c>
      <c r="CF235" s="103"/>
      <c r="CG235" s="103" t="s">
        <v>792</v>
      </c>
      <c r="CH235" s="103" t="s">
        <v>893</v>
      </c>
      <c r="CI235" s="111">
        <v>70626144</v>
      </c>
      <c r="CJ235" s="99"/>
      <c r="CK235" s="108">
        <v>43366.502337962964</v>
      </c>
      <c r="CL235" s="108">
        <v>43366.511840277781</v>
      </c>
      <c r="CM235" s="95">
        <v>11.248952299999999</v>
      </c>
      <c r="CN235" s="95">
        <v>0.70499250000000002</v>
      </c>
      <c r="CO235" s="99"/>
      <c r="CP235" s="99"/>
      <c r="CQ235" s="99"/>
      <c r="CR235" s="99"/>
      <c r="CS235" s="99"/>
      <c r="CT235" s="99"/>
      <c r="CU235" s="99"/>
      <c r="CV235" s="99"/>
      <c r="CW235" s="99"/>
      <c r="CX235" s="99"/>
      <c r="CY235" s="99"/>
      <c r="CZ235" s="99"/>
      <c r="DA235" s="99"/>
      <c r="DB235" s="99"/>
      <c r="DC235" s="99"/>
    </row>
    <row r="236" spans="1:107" ht="15.75" customHeight="1">
      <c r="A236" s="95">
        <v>238</v>
      </c>
      <c r="B236" s="99" t="s">
        <v>894</v>
      </c>
      <c r="C236" s="99" t="s">
        <v>895</v>
      </c>
      <c r="D236" s="99">
        <v>72364771</v>
      </c>
      <c r="E236" s="99" t="s">
        <v>352</v>
      </c>
      <c r="F236" s="95" t="s">
        <v>5599</v>
      </c>
      <c r="G236" s="95" t="s">
        <v>1052</v>
      </c>
      <c r="H236" s="95" t="s">
        <v>1117</v>
      </c>
      <c r="I236" s="95" t="s">
        <v>353</v>
      </c>
      <c r="J236" s="95" t="s">
        <v>725</v>
      </c>
      <c r="K236" s="99"/>
      <c r="L236" s="103" t="s">
        <v>4449</v>
      </c>
      <c r="M236" s="99" t="s">
        <v>4487</v>
      </c>
      <c r="N236" s="99" t="s">
        <v>4451</v>
      </c>
      <c r="O236" s="99" t="s">
        <v>4452</v>
      </c>
      <c r="P236" s="103">
        <v>2012</v>
      </c>
      <c r="Q236" s="103" t="s">
        <v>1862</v>
      </c>
      <c r="R236" s="99" t="s">
        <v>4755</v>
      </c>
      <c r="S236" s="103" t="s">
        <v>1541</v>
      </c>
      <c r="T236" s="103" t="s">
        <v>4538</v>
      </c>
      <c r="U236" s="99" t="s">
        <v>5600</v>
      </c>
      <c r="V236" s="95">
        <v>12.3446813</v>
      </c>
      <c r="W236" s="95">
        <v>-0.49707050000000003</v>
      </c>
      <c r="X236" s="104" t="s">
        <v>5601</v>
      </c>
      <c r="Y236" s="103" t="s">
        <v>1634</v>
      </c>
      <c r="Z236" s="103" t="s">
        <v>1634</v>
      </c>
      <c r="AA236" s="103" t="s">
        <v>1862</v>
      </c>
      <c r="AB236" s="103">
        <v>12</v>
      </c>
      <c r="AC236" s="103">
        <v>0</v>
      </c>
      <c r="AD236" s="103">
        <v>12</v>
      </c>
      <c r="AE236" s="103" t="s">
        <v>1634</v>
      </c>
      <c r="AF236" s="103" t="s">
        <v>4493</v>
      </c>
      <c r="AG236" s="99" t="s">
        <v>5085</v>
      </c>
      <c r="AH236" s="103" t="s">
        <v>1804</v>
      </c>
      <c r="AI236" s="103" t="s">
        <v>1862</v>
      </c>
      <c r="AJ236" s="103" t="s">
        <v>1804</v>
      </c>
      <c r="AK236" s="103" t="s">
        <v>1804</v>
      </c>
      <c r="AL236" s="103" t="s">
        <v>1862</v>
      </c>
      <c r="AM236" s="103" t="s">
        <v>1862</v>
      </c>
      <c r="AN236" s="99" t="s">
        <v>4735</v>
      </c>
      <c r="AO236" s="103" t="s">
        <v>1862</v>
      </c>
      <c r="AP236" s="103">
        <v>750</v>
      </c>
      <c r="AQ236" s="103" t="s">
        <v>4509</v>
      </c>
      <c r="AR236" s="103">
        <v>40000</v>
      </c>
      <c r="AS236" s="106">
        <v>50000</v>
      </c>
      <c r="AT236" s="103" t="s">
        <v>4625</v>
      </c>
      <c r="AU236" s="103" t="s">
        <v>1634</v>
      </c>
      <c r="AV236" s="99" t="s">
        <v>4671</v>
      </c>
      <c r="AW236" s="99" t="s">
        <v>4912</v>
      </c>
      <c r="AX236" s="99" t="s">
        <v>4543</v>
      </c>
      <c r="AY236" s="99" t="s">
        <v>4560</v>
      </c>
      <c r="AZ236" s="99" t="s">
        <v>4467</v>
      </c>
      <c r="BA236" s="103" t="s">
        <v>1548</v>
      </c>
      <c r="BB236" s="99">
        <v>100</v>
      </c>
      <c r="BC236" s="99">
        <v>100</v>
      </c>
      <c r="BD236" s="99">
        <v>60000</v>
      </c>
      <c r="BE236" s="99">
        <v>75000</v>
      </c>
      <c r="BF236" s="103" t="s">
        <v>4749</v>
      </c>
      <c r="BG236" s="103" t="s">
        <v>1804</v>
      </c>
      <c r="BH236" s="103" t="s">
        <v>1862</v>
      </c>
      <c r="BI236" s="103" t="s">
        <v>1862</v>
      </c>
      <c r="BJ236" s="103" t="s">
        <v>1804</v>
      </c>
      <c r="BK236" s="103" t="s">
        <v>4478</v>
      </c>
      <c r="BL236" s="103" t="s">
        <v>4472</v>
      </c>
      <c r="BM236" s="103" t="s">
        <v>4461</v>
      </c>
      <c r="BN236" s="103" t="s">
        <v>4531</v>
      </c>
      <c r="BO236" s="103">
        <v>300</v>
      </c>
      <c r="BP236" s="103" t="s">
        <v>4500</v>
      </c>
      <c r="BQ236" s="99" t="s">
        <v>4476</v>
      </c>
      <c r="BR236" s="99" t="s">
        <v>4564</v>
      </c>
      <c r="BS236" s="99"/>
      <c r="BT236" s="103" t="s">
        <v>3186</v>
      </c>
      <c r="BU236" s="99" t="s">
        <v>4502</v>
      </c>
      <c r="BV236" s="103" t="s">
        <v>4476</v>
      </c>
      <c r="BW236" s="103" t="s">
        <v>4476</v>
      </c>
      <c r="BX236" s="103" t="s">
        <v>1548</v>
      </c>
      <c r="BY236" s="103" t="s">
        <v>4535</v>
      </c>
      <c r="BZ236" s="103" t="s">
        <v>4478</v>
      </c>
      <c r="CA236" s="103" t="s">
        <v>4509</v>
      </c>
      <c r="CB236" s="103">
        <v>200</v>
      </c>
      <c r="CC236" s="103" t="s">
        <v>4502</v>
      </c>
      <c r="CD236" s="103" t="s">
        <v>4475</v>
      </c>
      <c r="CE236" s="103" t="s">
        <v>4475</v>
      </c>
      <c r="CF236" s="103"/>
      <c r="CG236" s="103" t="s">
        <v>894</v>
      </c>
      <c r="CH236" s="103" t="s">
        <v>895</v>
      </c>
      <c r="CI236" s="103">
        <v>72364771</v>
      </c>
      <c r="CJ236" s="103" t="s">
        <v>5602</v>
      </c>
      <c r="CK236" s="108">
        <v>43366.361747685187</v>
      </c>
      <c r="CL236" s="109">
        <v>43368.363032407404</v>
      </c>
      <c r="CM236" s="95">
        <v>12.3446813</v>
      </c>
      <c r="CN236" s="95">
        <v>-0.49707050000000003</v>
      </c>
      <c r="CO236" s="99"/>
      <c r="CP236" s="99"/>
      <c r="CQ236" s="99"/>
      <c r="CR236" s="99"/>
      <c r="CS236" s="99"/>
      <c r="CT236" s="99"/>
      <c r="CU236" s="99"/>
      <c r="CV236" s="99"/>
      <c r="CW236" s="99"/>
      <c r="CX236" s="99"/>
      <c r="CY236" s="99"/>
      <c r="CZ236" s="99"/>
      <c r="DA236" s="99"/>
      <c r="DB236" s="99"/>
      <c r="DC236" s="99"/>
    </row>
    <row r="237" spans="1:107" ht="15.75" customHeight="1">
      <c r="A237" s="95">
        <v>239</v>
      </c>
      <c r="B237" s="99" t="s">
        <v>896</v>
      </c>
      <c r="C237" s="99" t="s">
        <v>534</v>
      </c>
      <c r="D237" s="99">
        <v>70592273</v>
      </c>
      <c r="E237" s="99" t="s">
        <v>354</v>
      </c>
      <c r="F237" s="95" t="s">
        <v>5603</v>
      </c>
      <c r="G237" s="95" t="s">
        <v>1049</v>
      </c>
      <c r="H237" s="95" t="s">
        <v>1065</v>
      </c>
      <c r="I237" s="95" t="s">
        <v>355</v>
      </c>
      <c r="J237" s="95"/>
      <c r="K237" s="99"/>
      <c r="L237" s="103" t="s">
        <v>4449</v>
      </c>
      <c r="M237" s="99" t="s">
        <v>4450</v>
      </c>
      <c r="N237" s="99" t="s">
        <v>4718</v>
      </c>
      <c r="O237" s="99" t="s">
        <v>4452</v>
      </c>
      <c r="P237" s="103">
        <v>2002</v>
      </c>
      <c r="Q237" s="103" t="s">
        <v>1862</v>
      </c>
      <c r="R237" s="99" t="s">
        <v>4633</v>
      </c>
      <c r="S237" s="103" t="s">
        <v>1541</v>
      </c>
      <c r="T237" s="103" t="s">
        <v>4634</v>
      </c>
      <c r="U237" s="99" t="s">
        <v>5604</v>
      </c>
      <c r="V237" s="95">
        <v>12.0187493</v>
      </c>
      <c r="W237" s="95">
        <v>-2.7133004999999999</v>
      </c>
      <c r="X237" s="104" t="s">
        <v>5605</v>
      </c>
      <c r="Y237" s="103" t="s">
        <v>1634</v>
      </c>
      <c r="Z237" s="103" t="s">
        <v>1634</v>
      </c>
      <c r="AA237" s="103" t="s">
        <v>1862</v>
      </c>
      <c r="AB237" s="103">
        <v>403</v>
      </c>
      <c r="AC237" s="103">
        <v>5</v>
      </c>
      <c r="AD237" s="103">
        <v>398</v>
      </c>
      <c r="AE237" s="103" t="s">
        <v>1634</v>
      </c>
      <c r="AF237" s="103" t="s">
        <v>4935</v>
      </c>
      <c r="AG237" s="99" t="s">
        <v>4554</v>
      </c>
      <c r="AH237" s="103" t="s">
        <v>1862</v>
      </c>
      <c r="AI237" s="103" t="s">
        <v>1862</v>
      </c>
      <c r="AJ237" s="103" t="s">
        <v>1862</v>
      </c>
      <c r="AK237" s="103" t="s">
        <v>1862</v>
      </c>
      <c r="AL237" s="103" t="s">
        <v>1804</v>
      </c>
      <c r="AM237" s="103" t="s">
        <v>1862</v>
      </c>
      <c r="AN237" s="99" t="s">
        <v>4638</v>
      </c>
      <c r="AO237" s="103" t="s">
        <v>1862</v>
      </c>
      <c r="AP237" s="103">
        <v>2000</v>
      </c>
      <c r="AQ237" s="103" t="s">
        <v>4461</v>
      </c>
      <c r="AR237" s="103"/>
      <c r="AS237" s="106">
        <v>60000000</v>
      </c>
      <c r="AT237" s="103" t="s">
        <v>4527</v>
      </c>
      <c r="AU237" s="103" t="s">
        <v>1634</v>
      </c>
      <c r="AV237" s="99" t="s">
        <v>4463</v>
      </c>
      <c r="AW237" s="99" t="s">
        <v>4639</v>
      </c>
      <c r="AX237" s="99" t="s">
        <v>4640</v>
      </c>
      <c r="AY237" s="99" t="s">
        <v>4641</v>
      </c>
      <c r="AZ237" s="99" t="s">
        <v>4530</v>
      </c>
      <c r="BA237" s="103" t="s">
        <v>1634</v>
      </c>
      <c r="BB237" s="99"/>
      <c r="BC237" s="99">
        <v>25000</v>
      </c>
      <c r="BD237" s="99"/>
      <c r="BE237" s="99">
        <v>50000000</v>
      </c>
      <c r="BF237" s="103" t="s">
        <v>4642</v>
      </c>
      <c r="BG237" s="103" t="s">
        <v>1862</v>
      </c>
      <c r="BH237" s="103" t="s">
        <v>1862</v>
      </c>
      <c r="BI237" s="103" t="s">
        <v>1862</v>
      </c>
      <c r="BJ237" s="103" t="s">
        <v>1862</v>
      </c>
      <c r="BK237" s="103" t="s">
        <v>4469</v>
      </c>
      <c r="BL237" s="103" t="s">
        <v>4472</v>
      </c>
      <c r="BM237" s="103" t="s">
        <v>4461</v>
      </c>
      <c r="BN237" s="103" t="s">
        <v>4643</v>
      </c>
      <c r="BO237" s="103">
        <v>400</v>
      </c>
      <c r="BP237" s="103" t="s">
        <v>4532</v>
      </c>
      <c r="BQ237" s="99" t="s">
        <v>4644</v>
      </c>
      <c r="BR237" s="99" t="s">
        <v>4644</v>
      </c>
      <c r="BS237" s="99" t="s">
        <v>4564</v>
      </c>
      <c r="BT237" s="103" t="s">
        <v>3186</v>
      </c>
      <c r="BU237" s="99"/>
      <c r="BV237" s="103" t="s">
        <v>4644</v>
      </c>
      <c r="BW237" s="103" t="s">
        <v>4644</v>
      </c>
      <c r="BX237" s="103"/>
      <c r="BY237" s="103"/>
      <c r="BZ237" s="103"/>
      <c r="CA237" s="103"/>
      <c r="CB237" s="103"/>
      <c r="CC237" s="103" t="s">
        <v>4502</v>
      </c>
      <c r="CD237" s="103" t="s">
        <v>4475</v>
      </c>
      <c r="CE237" s="103" t="s">
        <v>4475</v>
      </c>
      <c r="CF237" s="103"/>
      <c r="CG237" s="103" t="s">
        <v>801</v>
      </c>
      <c r="CH237" s="103" t="s">
        <v>802</v>
      </c>
      <c r="CI237" s="103">
        <v>71481681</v>
      </c>
      <c r="CJ237" s="103"/>
      <c r="CK237" s="108">
        <v>43364.693287037036</v>
      </c>
      <c r="CL237" s="109">
        <v>43364.732754629629</v>
      </c>
      <c r="CM237" s="95">
        <v>12.0187493</v>
      </c>
      <c r="CN237" s="95">
        <v>-2.7133004999999999</v>
      </c>
      <c r="CO237" s="99"/>
      <c r="CP237" s="99"/>
      <c r="CQ237" s="99"/>
      <c r="CR237" s="99"/>
      <c r="CS237" s="99"/>
      <c r="CT237" s="99"/>
      <c r="CU237" s="99"/>
      <c r="CV237" s="99"/>
      <c r="CW237" s="99"/>
      <c r="CX237" s="99"/>
      <c r="CY237" s="99"/>
      <c r="CZ237" s="99"/>
      <c r="DA237" s="99"/>
      <c r="DB237" s="99"/>
      <c r="DC237" s="99"/>
    </row>
    <row r="238" spans="1:107" ht="15.75" customHeight="1">
      <c r="A238" s="95">
        <v>240</v>
      </c>
      <c r="B238" s="99" t="s">
        <v>311</v>
      </c>
      <c r="C238" s="99" t="s">
        <v>897</v>
      </c>
      <c r="D238" s="99">
        <v>76180890</v>
      </c>
      <c r="E238" s="99" t="s">
        <v>356</v>
      </c>
      <c r="F238" s="95" t="s">
        <v>5606</v>
      </c>
      <c r="G238" s="95" t="s">
        <v>1057</v>
      </c>
      <c r="H238" s="95" t="s">
        <v>1095</v>
      </c>
      <c r="I238" s="95" t="s">
        <v>357</v>
      </c>
      <c r="J238" s="95"/>
      <c r="K238" s="99"/>
      <c r="L238" s="103" t="s">
        <v>4449</v>
      </c>
      <c r="M238" s="99" t="s">
        <v>4450</v>
      </c>
      <c r="N238" s="99" t="s">
        <v>4451</v>
      </c>
      <c r="O238" s="99" t="s">
        <v>4579</v>
      </c>
      <c r="P238" s="103">
        <v>2013</v>
      </c>
      <c r="Q238" s="103" t="s">
        <v>1862</v>
      </c>
      <c r="R238" s="99" t="s">
        <v>4504</v>
      </c>
      <c r="S238" s="103" t="s">
        <v>1541</v>
      </c>
      <c r="T238" s="103" t="s">
        <v>4490</v>
      </c>
      <c r="U238" s="99" t="s">
        <v>5607</v>
      </c>
      <c r="V238" s="95">
        <v>12.4503003</v>
      </c>
      <c r="W238" s="95">
        <v>-3.4700327</v>
      </c>
      <c r="X238" s="104" t="s">
        <v>5513</v>
      </c>
      <c r="Y238" s="103" t="s">
        <v>1634</v>
      </c>
      <c r="Z238" s="103" t="s">
        <v>1634</v>
      </c>
      <c r="AA238" s="103" t="s">
        <v>1862</v>
      </c>
      <c r="AB238" s="103">
        <v>175</v>
      </c>
      <c r="AC238" s="103">
        <v>0</v>
      </c>
      <c r="AD238" s="103">
        <v>175</v>
      </c>
      <c r="AE238" s="103" t="s">
        <v>1634</v>
      </c>
      <c r="AF238" s="103" t="s">
        <v>4651</v>
      </c>
      <c r="AG238" s="99" t="s">
        <v>4507</v>
      </c>
      <c r="AH238" s="103" t="s">
        <v>1862</v>
      </c>
      <c r="AI238" s="103" t="s">
        <v>1862</v>
      </c>
      <c r="AJ238" s="103" t="s">
        <v>1862</v>
      </c>
      <c r="AK238" s="103" t="s">
        <v>1862</v>
      </c>
      <c r="AL238" s="103" t="s">
        <v>1804</v>
      </c>
      <c r="AM238" s="103" t="s">
        <v>1862</v>
      </c>
      <c r="AN238" s="99" t="s">
        <v>4508</v>
      </c>
      <c r="AO238" s="103" t="s">
        <v>1862</v>
      </c>
      <c r="AP238" s="103">
        <v>1000</v>
      </c>
      <c r="AQ238" s="103" t="s">
        <v>4509</v>
      </c>
      <c r="AR238" s="105">
        <v>300000</v>
      </c>
      <c r="AS238" s="106">
        <v>500000</v>
      </c>
      <c r="AT238" s="103" t="s">
        <v>4510</v>
      </c>
      <c r="AU238" s="103"/>
      <c r="AV238" s="99"/>
      <c r="AW238" s="99"/>
      <c r="AX238" s="99"/>
      <c r="AY238" s="99"/>
      <c r="AZ238" s="99"/>
      <c r="BA238" s="103"/>
      <c r="BB238" s="99">
        <v>13000</v>
      </c>
      <c r="BC238" s="99">
        <v>2500</v>
      </c>
      <c r="BD238" s="99">
        <v>0</v>
      </c>
      <c r="BE238" s="99">
        <v>12800000</v>
      </c>
      <c r="BF238" s="103" t="s">
        <v>4511</v>
      </c>
      <c r="BG238" s="103" t="s">
        <v>1804</v>
      </c>
      <c r="BH238" s="103" t="s">
        <v>1862</v>
      </c>
      <c r="BI238" s="103" t="s">
        <v>1804</v>
      </c>
      <c r="BJ238" s="103" t="s">
        <v>1804</v>
      </c>
      <c r="BK238" s="103" t="s">
        <v>4478</v>
      </c>
      <c r="BL238" s="103" t="s">
        <v>4472</v>
      </c>
      <c r="BM238" s="103" t="s">
        <v>4461</v>
      </c>
      <c r="BN238" s="103" t="s">
        <v>4512</v>
      </c>
      <c r="BO238" s="103">
        <v>1200</v>
      </c>
      <c r="BP238" s="103" t="s">
        <v>4500</v>
      </c>
      <c r="BQ238" s="107" t="s">
        <v>4474</v>
      </c>
      <c r="BR238" s="99" t="s">
        <v>4474</v>
      </c>
      <c r="BS238" s="99" t="s">
        <v>4513</v>
      </c>
      <c r="BT238" s="103" t="s">
        <v>4513</v>
      </c>
      <c r="BU238" s="107" t="s">
        <v>4476</v>
      </c>
      <c r="BV238" s="103" t="s">
        <v>4514</v>
      </c>
      <c r="BW238" s="103" t="s">
        <v>1548</v>
      </c>
      <c r="BX238" s="103" t="s">
        <v>4501</v>
      </c>
      <c r="BY238" s="103" t="s">
        <v>4515</v>
      </c>
      <c r="BZ238" s="103" t="s">
        <v>4509</v>
      </c>
      <c r="CA238" s="103">
        <v>60</v>
      </c>
      <c r="CB238" s="103" t="s">
        <v>4502</v>
      </c>
      <c r="CC238" s="103" t="s">
        <v>4479</v>
      </c>
      <c r="CD238" s="103" t="s">
        <v>4475</v>
      </c>
      <c r="CE238" s="103" t="s">
        <v>4481</v>
      </c>
      <c r="CF238" s="103" t="s">
        <v>4482</v>
      </c>
      <c r="CG238" s="103" t="s">
        <v>5608</v>
      </c>
      <c r="CH238" s="103" t="s">
        <v>5609</v>
      </c>
      <c r="CI238" s="103">
        <v>76180890</v>
      </c>
      <c r="CJ238" s="99"/>
      <c r="CK238" s="108">
        <v>43363.517060185186</v>
      </c>
      <c r="CL238" s="108">
        <v>43363.548888888887</v>
      </c>
      <c r="CM238" s="95">
        <v>12.4503003</v>
      </c>
      <c r="CN238" s="95">
        <v>-3.4700327</v>
      </c>
      <c r="CO238" s="99"/>
      <c r="CP238" s="99"/>
      <c r="CQ238" s="99"/>
      <c r="CR238" s="99"/>
      <c r="CS238" s="99"/>
      <c r="CT238" s="99"/>
      <c r="CU238" s="99"/>
      <c r="CV238" s="99"/>
      <c r="CW238" s="99"/>
      <c r="CX238" s="99"/>
      <c r="CY238" s="99"/>
      <c r="CZ238" s="99"/>
      <c r="DA238" s="99"/>
      <c r="DB238" s="99"/>
      <c r="DC238" s="99"/>
    </row>
    <row r="239" spans="1:107" ht="15.75" customHeight="1">
      <c r="A239" s="95">
        <v>241</v>
      </c>
      <c r="B239" s="99" t="s">
        <v>769</v>
      </c>
      <c r="C239" s="99" t="s">
        <v>898</v>
      </c>
      <c r="D239" s="99">
        <v>71432728</v>
      </c>
      <c r="E239" s="99" t="s">
        <v>358</v>
      </c>
      <c r="F239" s="95" t="s">
        <v>7130</v>
      </c>
      <c r="G239" s="95" t="s">
        <v>1052</v>
      </c>
      <c r="H239" s="95" t="s">
        <v>1117</v>
      </c>
      <c r="I239" s="95" t="s">
        <v>213</v>
      </c>
      <c r="J239" s="95" t="s">
        <v>359</v>
      </c>
      <c r="K239" s="99"/>
      <c r="L239" s="103" t="s">
        <v>4449</v>
      </c>
      <c r="M239" s="99" t="s">
        <v>4450</v>
      </c>
      <c r="N239" s="99" t="s">
        <v>4568</v>
      </c>
      <c r="O239" s="99" t="s">
        <v>4452</v>
      </c>
      <c r="P239" s="103">
        <v>2010</v>
      </c>
      <c r="Q239" s="103" t="s">
        <v>1862</v>
      </c>
      <c r="R239" s="99" t="s">
        <v>4551</v>
      </c>
      <c r="S239" s="103" t="s">
        <v>1541</v>
      </c>
      <c r="T239" s="103" t="s">
        <v>4538</v>
      </c>
      <c r="U239" s="99" t="s">
        <v>7131</v>
      </c>
      <c r="V239" s="99">
        <v>12.1631813</v>
      </c>
      <c r="W239" s="99">
        <v>-0.2244662</v>
      </c>
      <c r="X239" s="104" t="s">
        <v>5266</v>
      </c>
      <c r="Y239" s="103" t="s">
        <v>1634</v>
      </c>
      <c r="Z239" s="103" t="s">
        <v>1634</v>
      </c>
      <c r="AA239" s="103" t="s">
        <v>1862</v>
      </c>
      <c r="AB239" s="103">
        <v>30</v>
      </c>
      <c r="AC239" s="103">
        <v>0</v>
      </c>
      <c r="AD239" s="103">
        <v>30</v>
      </c>
      <c r="AE239" s="103" t="s">
        <v>1634</v>
      </c>
      <c r="AF239" s="103" t="s">
        <v>4493</v>
      </c>
      <c r="AG239" s="99" t="s">
        <v>4745</v>
      </c>
      <c r="AH239" s="103" t="s">
        <v>1862</v>
      </c>
      <c r="AI239" s="103" t="s">
        <v>1862</v>
      </c>
      <c r="AJ239" s="103" t="s">
        <v>1862</v>
      </c>
      <c r="AK239" s="103" t="s">
        <v>1862</v>
      </c>
      <c r="AL239" s="103" t="s">
        <v>1862</v>
      </c>
      <c r="AM239" s="103" t="s">
        <v>1862</v>
      </c>
      <c r="AN239" s="99" t="s">
        <v>4735</v>
      </c>
      <c r="AO239" s="103" t="s">
        <v>1862</v>
      </c>
      <c r="AP239" s="103">
        <v>3000</v>
      </c>
      <c r="AQ239" s="103" t="s">
        <v>4509</v>
      </c>
      <c r="AR239" s="103">
        <v>5000</v>
      </c>
      <c r="AS239" s="106">
        <v>100000</v>
      </c>
      <c r="AT239" s="103" t="s">
        <v>4496</v>
      </c>
      <c r="AU239" s="103" t="s">
        <v>1548</v>
      </c>
      <c r="AV239" s="99"/>
      <c r="AW239" s="99"/>
      <c r="AX239" s="99"/>
      <c r="AY239" s="99" t="s">
        <v>4560</v>
      </c>
      <c r="AZ239" s="99" t="s">
        <v>4467</v>
      </c>
      <c r="BA239" s="103" t="s">
        <v>1548</v>
      </c>
      <c r="BB239" s="99">
        <v>50</v>
      </c>
      <c r="BC239" s="99">
        <v>15</v>
      </c>
      <c r="BD239" s="99">
        <v>10000</v>
      </c>
      <c r="BE239" s="99">
        <v>200000</v>
      </c>
      <c r="BF239" s="103" t="s">
        <v>5425</v>
      </c>
      <c r="BG239" s="103" t="s">
        <v>1862</v>
      </c>
      <c r="BH239" s="103" t="s">
        <v>1862</v>
      </c>
      <c r="BI239" s="103" t="s">
        <v>1862</v>
      </c>
      <c r="BJ239" s="103" t="s">
        <v>1862</v>
      </c>
      <c r="BK239" s="103" t="s">
        <v>4478</v>
      </c>
      <c r="BL239" s="103" t="s">
        <v>4470</v>
      </c>
      <c r="BM239" s="103" t="s">
        <v>4461</v>
      </c>
      <c r="BN239" s="103" t="s">
        <v>4531</v>
      </c>
      <c r="BO239" s="103">
        <v>400</v>
      </c>
      <c r="BP239" s="103" t="s">
        <v>4470</v>
      </c>
      <c r="BQ239" s="99" t="s">
        <v>4476</v>
      </c>
      <c r="BR239" s="99" t="s">
        <v>4564</v>
      </c>
      <c r="BS239" s="99"/>
      <c r="BT239" s="103" t="s">
        <v>3186</v>
      </c>
      <c r="BU239" s="99" t="s">
        <v>4475</v>
      </c>
      <c r="BV239" s="103" t="s">
        <v>4476</v>
      </c>
      <c r="BW239" s="103" t="s">
        <v>4476</v>
      </c>
      <c r="BX239" s="103" t="s">
        <v>1634</v>
      </c>
      <c r="BY239" s="103" t="s">
        <v>4761</v>
      </c>
      <c r="BZ239" s="103" t="s">
        <v>4478</v>
      </c>
      <c r="CA239" s="103" t="s">
        <v>4500</v>
      </c>
      <c r="CB239" s="103">
        <v>500</v>
      </c>
      <c r="CC239" s="103" t="s">
        <v>4502</v>
      </c>
      <c r="CD239" s="103" t="s">
        <v>4475</v>
      </c>
      <c r="CE239" s="103" t="s">
        <v>4475</v>
      </c>
      <c r="CF239" s="103" t="s">
        <v>4482</v>
      </c>
      <c r="CG239" s="103" t="s">
        <v>769</v>
      </c>
      <c r="CH239" s="103" t="s">
        <v>5610</v>
      </c>
      <c r="CI239" s="103">
        <v>72036772</v>
      </c>
      <c r="CJ239" s="103" t="s">
        <v>5602</v>
      </c>
      <c r="CK239" s="108">
        <v>43365.430162037039</v>
      </c>
      <c r="CL239" s="109">
        <v>43368.370462962965</v>
      </c>
      <c r="CM239" s="95">
        <v>12.1631813</v>
      </c>
      <c r="CN239" s="95">
        <v>-0.2244662</v>
      </c>
      <c r="CO239" s="99"/>
      <c r="CP239" s="99"/>
      <c r="CQ239" s="99"/>
      <c r="CR239" s="99"/>
      <c r="CS239" s="99"/>
      <c r="CT239" s="99"/>
      <c r="CU239" s="99"/>
      <c r="CV239" s="99"/>
      <c r="CW239" s="99"/>
      <c r="CX239" s="99"/>
      <c r="CY239" s="99"/>
      <c r="CZ239" s="99"/>
      <c r="DA239" s="99"/>
      <c r="DB239" s="99"/>
      <c r="DC239" s="99"/>
    </row>
    <row r="240" spans="1:107" ht="15.75" customHeight="1">
      <c r="A240" s="95">
        <v>243</v>
      </c>
      <c r="B240" s="99" t="s">
        <v>899</v>
      </c>
      <c r="C240" s="99" t="s">
        <v>900</v>
      </c>
      <c r="D240" s="99">
        <v>76884455</v>
      </c>
      <c r="E240" s="99" t="s">
        <v>362</v>
      </c>
      <c r="F240" s="95" t="s">
        <v>5611</v>
      </c>
      <c r="G240" s="95" t="s">
        <v>1049</v>
      </c>
      <c r="H240" s="95" t="s">
        <v>1070</v>
      </c>
      <c r="I240" s="95" t="s">
        <v>509</v>
      </c>
      <c r="J240" s="95"/>
      <c r="K240" s="99"/>
      <c r="L240" s="103" t="s">
        <v>4449</v>
      </c>
      <c r="M240" s="99" t="s">
        <v>4450</v>
      </c>
      <c r="N240" s="99" t="s">
        <v>4568</v>
      </c>
      <c r="O240" s="99" t="s">
        <v>4452</v>
      </c>
      <c r="P240" s="103">
        <v>2000</v>
      </c>
      <c r="Q240" s="103" t="s">
        <v>1862</v>
      </c>
      <c r="R240" s="99" t="s">
        <v>4709</v>
      </c>
      <c r="S240" s="103" t="s">
        <v>2282</v>
      </c>
      <c r="T240" s="103" t="s">
        <v>4522</v>
      </c>
      <c r="U240" s="99" t="s">
        <v>5612</v>
      </c>
      <c r="V240" s="95">
        <v>12.2562183</v>
      </c>
      <c r="W240" s="95">
        <v>-2.3517526000000002</v>
      </c>
      <c r="X240" s="104" t="s">
        <v>4839</v>
      </c>
      <c r="Y240" s="103" t="s">
        <v>1634</v>
      </c>
      <c r="Z240" s="103" t="s">
        <v>1634</v>
      </c>
      <c r="AA240" s="103" t="s">
        <v>1862</v>
      </c>
      <c r="AB240" s="103">
        <v>120</v>
      </c>
      <c r="AC240" s="103">
        <v>0</v>
      </c>
      <c r="AD240" s="103">
        <v>120</v>
      </c>
      <c r="AE240" s="103" t="s">
        <v>1634</v>
      </c>
      <c r="AF240" s="103" t="s">
        <v>4493</v>
      </c>
      <c r="AG240" s="99" t="s">
        <v>5613</v>
      </c>
      <c r="AH240" s="103" t="s">
        <v>1804</v>
      </c>
      <c r="AI240" s="103" t="s">
        <v>1862</v>
      </c>
      <c r="AJ240" s="103" t="s">
        <v>1862</v>
      </c>
      <c r="AK240" s="103" t="s">
        <v>1862</v>
      </c>
      <c r="AL240" s="103" t="s">
        <v>1862</v>
      </c>
      <c r="AM240" s="103" t="s">
        <v>1862</v>
      </c>
      <c r="AN240" s="99" t="s">
        <v>5016</v>
      </c>
      <c r="AO240" s="103" t="s">
        <v>1862</v>
      </c>
      <c r="AP240" s="103">
        <v>650</v>
      </c>
      <c r="AQ240" s="103" t="s">
        <v>4461</v>
      </c>
      <c r="AR240" s="103">
        <v>900000</v>
      </c>
      <c r="AS240" s="106">
        <v>650000</v>
      </c>
      <c r="AT240" s="103" t="s">
        <v>4594</v>
      </c>
      <c r="AU240" s="103" t="s">
        <v>1634</v>
      </c>
      <c r="AV240" s="99" t="s">
        <v>4463</v>
      </c>
      <c r="AW240" s="99" t="s">
        <v>5027</v>
      </c>
      <c r="AX240" s="99" t="s">
        <v>5614</v>
      </c>
      <c r="AY240" s="99" t="s">
        <v>4466</v>
      </c>
      <c r="AZ240" s="99" t="s">
        <v>4561</v>
      </c>
      <c r="BA240" s="103" t="s">
        <v>1634</v>
      </c>
      <c r="BB240" s="99">
        <v>2000</v>
      </c>
      <c r="BC240" s="99">
        <v>1500</v>
      </c>
      <c r="BD240" s="99">
        <v>700000</v>
      </c>
      <c r="BE240" s="99">
        <v>800000</v>
      </c>
      <c r="BF240" s="103" t="s">
        <v>4793</v>
      </c>
      <c r="BG240" s="103" t="s">
        <v>1804</v>
      </c>
      <c r="BH240" s="103" t="s">
        <v>1804</v>
      </c>
      <c r="BI240" s="103" t="s">
        <v>1862</v>
      </c>
      <c r="BJ240" s="103" t="s">
        <v>1804</v>
      </c>
      <c r="BK240" s="103" t="s">
        <v>4499</v>
      </c>
      <c r="BL240" s="103" t="s">
        <v>4472</v>
      </c>
      <c r="BM240" s="103" t="s">
        <v>4461</v>
      </c>
      <c r="BN240" s="103" t="s">
        <v>4512</v>
      </c>
      <c r="BO240" s="103">
        <v>500</v>
      </c>
      <c r="BP240" s="103" t="s">
        <v>4500</v>
      </c>
      <c r="BQ240" s="99" t="s">
        <v>4750</v>
      </c>
      <c r="BR240" s="99" t="s">
        <v>4750</v>
      </c>
      <c r="BS240" s="99" t="s">
        <v>4750</v>
      </c>
      <c r="BT240" s="103" t="s">
        <v>3186</v>
      </c>
      <c r="BU240" s="99" t="s">
        <v>4502</v>
      </c>
      <c r="BV240" s="103" t="s">
        <v>4513</v>
      </c>
      <c r="BW240" s="103" t="s">
        <v>4513</v>
      </c>
      <c r="BX240" s="103" t="s">
        <v>1548</v>
      </c>
      <c r="BY240" s="103" t="s">
        <v>4535</v>
      </c>
      <c r="BZ240" s="103" t="s">
        <v>4499</v>
      </c>
      <c r="CA240" s="103" t="s">
        <v>4461</v>
      </c>
      <c r="CB240" s="103">
        <v>450</v>
      </c>
      <c r="CC240" s="103" t="s">
        <v>4502</v>
      </c>
      <c r="CD240" s="103" t="s">
        <v>4502</v>
      </c>
      <c r="CE240" s="103" t="s">
        <v>4502</v>
      </c>
      <c r="CF240" s="103"/>
      <c r="CG240" s="103" t="s">
        <v>899</v>
      </c>
      <c r="CH240" s="103" t="s">
        <v>5615</v>
      </c>
      <c r="CI240" s="103">
        <v>70738750</v>
      </c>
      <c r="CJ240" s="103"/>
      <c r="CK240" s="108">
        <v>43368.588159722225</v>
      </c>
      <c r="CL240" s="109">
        <v>43368.637013888889</v>
      </c>
      <c r="CM240" s="95">
        <v>12.2562183</v>
      </c>
      <c r="CN240" s="95">
        <v>-2.3517526000000002</v>
      </c>
      <c r="CO240" s="99"/>
      <c r="CP240" s="99"/>
      <c r="CQ240" s="99"/>
      <c r="CR240" s="99"/>
      <c r="CS240" s="99"/>
      <c r="CT240" s="99"/>
      <c r="CU240" s="99"/>
      <c r="CV240" s="99"/>
      <c r="CW240" s="99"/>
      <c r="CX240" s="99"/>
      <c r="CY240" s="99"/>
      <c r="CZ240" s="99"/>
      <c r="DA240" s="99"/>
      <c r="DB240" s="99"/>
      <c r="DC240" s="99"/>
    </row>
    <row r="241" spans="1:107" ht="15.75" customHeight="1">
      <c r="A241" s="95">
        <v>244</v>
      </c>
      <c r="B241" s="99" t="s">
        <v>602</v>
      </c>
      <c r="C241" s="99" t="s">
        <v>522</v>
      </c>
      <c r="D241" s="110">
        <v>71182855</v>
      </c>
      <c r="E241" s="99" t="s">
        <v>363</v>
      </c>
      <c r="F241" s="95" t="s">
        <v>5616</v>
      </c>
      <c r="G241" s="95" t="s">
        <v>1076</v>
      </c>
      <c r="H241" s="95" t="s">
        <v>1088</v>
      </c>
      <c r="I241" s="95" t="s">
        <v>364</v>
      </c>
      <c r="J241" s="95"/>
      <c r="K241" s="99"/>
      <c r="L241" s="103" t="s">
        <v>4449</v>
      </c>
      <c r="M241" s="99" t="s">
        <v>4450</v>
      </c>
      <c r="N241" s="99" t="s">
        <v>4451</v>
      </c>
      <c r="O241" s="99" t="s">
        <v>4452</v>
      </c>
      <c r="P241" s="103">
        <v>2010</v>
      </c>
      <c r="Q241" s="103" t="s">
        <v>1862</v>
      </c>
      <c r="R241" s="99" t="s">
        <v>4453</v>
      </c>
      <c r="S241" s="103" t="s">
        <v>1541</v>
      </c>
      <c r="T241" s="103" t="s">
        <v>4522</v>
      </c>
      <c r="U241" s="99" t="s">
        <v>5617</v>
      </c>
      <c r="V241" s="95">
        <v>12.6513142</v>
      </c>
      <c r="W241" s="95">
        <v>0.49153289999999999</v>
      </c>
      <c r="X241" s="104" t="s">
        <v>5618</v>
      </c>
      <c r="Y241" s="103" t="s">
        <v>1634</v>
      </c>
      <c r="Z241" s="103" t="s">
        <v>1634</v>
      </c>
      <c r="AA241" s="103" t="s">
        <v>1862</v>
      </c>
      <c r="AB241" s="103">
        <v>350</v>
      </c>
      <c r="AC241" s="103">
        <v>0</v>
      </c>
      <c r="AD241" s="103">
        <v>350</v>
      </c>
      <c r="AE241" s="103" t="s">
        <v>1634</v>
      </c>
      <c r="AF241" s="103" t="s">
        <v>4830</v>
      </c>
      <c r="AG241" s="99" t="s">
        <v>4459</v>
      </c>
      <c r="AH241" s="103" t="s">
        <v>1862</v>
      </c>
      <c r="AI241" s="103" t="s">
        <v>1862</v>
      </c>
      <c r="AJ241" s="103" t="s">
        <v>1862</v>
      </c>
      <c r="AK241" s="103" t="s">
        <v>1862</v>
      </c>
      <c r="AL241" s="103" t="s">
        <v>1862</v>
      </c>
      <c r="AM241" s="103" t="s">
        <v>1862</v>
      </c>
      <c r="AN241" s="99" t="s">
        <v>4460</v>
      </c>
      <c r="AO241" s="103" t="s">
        <v>1862</v>
      </c>
      <c r="AP241" s="103">
        <v>1200</v>
      </c>
      <c r="AQ241" s="103" t="s">
        <v>4461</v>
      </c>
      <c r="AR241" s="105">
        <v>600000000</v>
      </c>
      <c r="AS241" s="106">
        <v>500000000</v>
      </c>
      <c r="AT241" s="103" t="s">
        <v>4462</v>
      </c>
      <c r="AU241" s="103" t="s">
        <v>1634</v>
      </c>
      <c r="AV241" s="99" t="s">
        <v>4463</v>
      </c>
      <c r="AW241" s="99" t="s">
        <v>4464</v>
      </c>
      <c r="AX241" s="99" t="s">
        <v>4465</v>
      </c>
      <c r="AY241" s="99" t="s">
        <v>4466</v>
      </c>
      <c r="AZ241" s="99" t="s">
        <v>4467</v>
      </c>
      <c r="BA241" s="103" t="s">
        <v>1634</v>
      </c>
      <c r="BB241" s="99">
        <v>41666</v>
      </c>
      <c r="BC241" s="99">
        <v>16666</v>
      </c>
      <c r="BD241" s="99">
        <v>87500000</v>
      </c>
      <c r="BE241" s="99">
        <v>150000000</v>
      </c>
      <c r="BF241" s="103" t="s">
        <v>4468</v>
      </c>
      <c r="BG241" s="103" t="s">
        <v>1862</v>
      </c>
      <c r="BH241" s="103" t="s">
        <v>1862</v>
      </c>
      <c r="BI241" s="103" t="s">
        <v>1804</v>
      </c>
      <c r="BJ241" s="103" t="s">
        <v>1804</v>
      </c>
      <c r="BK241" s="103" t="s">
        <v>4469</v>
      </c>
      <c r="BL241" s="103" t="s">
        <v>4470</v>
      </c>
      <c r="BM241" s="103" t="s">
        <v>4461</v>
      </c>
      <c r="BN241" s="103" t="s">
        <v>4471</v>
      </c>
      <c r="BO241" s="103">
        <v>400</v>
      </c>
      <c r="BP241" s="103" t="s">
        <v>4472</v>
      </c>
      <c r="BQ241" s="107" t="s">
        <v>4473</v>
      </c>
      <c r="BR241" s="99" t="s">
        <v>4474</v>
      </c>
      <c r="BS241" s="99" t="s">
        <v>4474</v>
      </c>
      <c r="BT241" s="103" t="s">
        <v>3186</v>
      </c>
      <c r="BU241" s="107" t="s">
        <v>4476</v>
      </c>
      <c r="BV241" s="103" t="s">
        <v>4476</v>
      </c>
      <c r="BW241" s="103" t="s">
        <v>1548</v>
      </c>
      <c r="BX241" s="103" t="s">
        <v>4477</v>
      </c>
      <c r="BY241" s="103" t="s">
        <v>4478</v>
      </c>
      <c r="BZ241" s="103" t="s">
        <v>4461</v>
      </c>
      <c r="CA241" s="103">
        <v>2000</v>
      </c>
      <c r="CB241" s="103" t="s">
        <v>4475</v>
      </c>
      <c r="CC241" s="103" t="s">
        <v>4479</v>
      </c>
      <c r="CD241" s="103" t="s">
        <v>4480</v>
      </c>
      <c r="CE241" s="103" t="s">
        <v>4481</v>
      </c>
      <c r="CF241" s="103" t="s">
        <v>4482</v>
      </c>
      <c r="CG241" s="103" t="s">
        <v>5060</v>
      </c>
      <c r="CH241" s="103" t="s">
        <v>847</v>
      </c>
      <c r="CI241" s="111">
        <v>71182855</v>
      </c>
      <c r="CJ241" s="99"/>
      <c r="CK241" s="108">
        <v>43364.306145833332</v>
      </c>
      <c r="CL241" s="108">
        <v>43364.34574074074</v>
      </c>
      <c r="CM241" s="95">
        <v>12.6513142</v>
      </c>
      <c r="CN241" s="95">
        <v>0.49153289999999999</v>
      </c>
      <c r="CO241" s="99"/>
      <c r="CP241" s="99"/>
      <c r="CQ241" s="99"/>
      <c r="CR241" s="99"/>
      <c r="CS241" s="99"/>
      <c r="CT241" s="99"/>
      <c r="CU241" s="99"/>
      <c r="CV241" s="99"/>
      <c r="CW241" s="99"/>
      <c r="CX241" s="99"/>
      <c r="CY241" s="99"/>
      <c r="CZ241" s="99"/>
      <c r="DA241" s="99"/>
      <c r="DB241" s="99"/>
      <c r="DC241" s="99"/>
    </row>
    <row r="242" spans="1:107" ht="15.75" customHeight="1">
      <c r="A242" s="95">
        <v>245</v>
      </c>
      <c r="B242" s="99" t="s">
        <v>901</v>
      </c>
      <c r="C242" s="99" t="s">
        <v>703</v>
      </c>
      <c r="D242" s="99">
        <v>70738750</v>
      </c>
      <c r="E242" s="99" t="s">
        <v>365</v>
      </c>
      <c r="F242" s="95" t="s">
        <v>5159</v>
      </c>
      <c r="G242" s="95" t="s">
        <v>1049</v>
      </c>
      <c r="H242" s="95" t="s">
        <v>1070</v>
      </c>
      <c r="I242" s="95" t="s">
        <v>89</v>
      </c>
      <c r="J242" s="95" t="s">
        <v>1135</v>
      </c>
      <c r="K242" s="99"/>
      <c r="L242" s="103" t="s">
        <v>4449</v>
      </c>
      <c r="M242" s="99" t="s">
        <v>4567</v>
      </c>
      <c r="N242" s="99" t="s">
        <v>1565</v>
      </c>
      <c r="O242" s="99" t="s">
        <v>4452</v>
      </c>
      <c r="P242" s="103">
        <v>2014</v>
      </c>
      <c r="Q242" s="103" t="s">
        <v>1862</v>
      </c>
      <c r="R242" s="99" t="s">
        <v>4709</v>
      </c>
      <c r="S242" s="103" t="s">
        <v>1541</v>
      </c>
      <c r="T242" s="103" t="s">
        <v>4522</v>
      </c>
      <c r="U242" s="99" t="s">
        <v>5619</v>
      </c>
      <c r="V242" s="95">
        <v>12.2562183</v>
      </c>
      <c r="W242" s="95">
        <v>-2.3517526000000002</v>
      </c>
      <c r="X242" s="104" t="s">
        <v>4839</v>
      </c>
      <c r="Y242" s="103" t="s">
        <v>1634</v>
      </c>
      <c r="Z242" s="103" t="s">
        <v>1634</v>
      </c>
      <c r="AA242" s="103" t="s">
        <v>1862</v>
      </c>
      <c r="AB242" s="103">
        <v>45</v>
      </c>
      <c r="AC242" s="103">
        <v>0</v>
      </c>
      <c r="AD242" s="103">
        <v>45</v>
      </c>
      <c r="AE242" s="103" t="s">
        <v>1634</v>
      </c>
      <c r="AF242" s="103" t="s">
        <v>4493</v>
      </c>
      <c r="AG242" s="99" t="s">
        <v>4494</v>
      </c>
      <c r="AH242" s="103" t="s">
        <v>1862</v>
      </c>
      <c r="AI242" s="103" t="s">
        <v>1862</v>
      </c>
      <c r="AJ242" s="103" t="s">
        <v>1804</v>
      </c>
      <c r="AK242" s="103" t="s">
        <v>1804</v>
      </c>
      <c r="AL242" s="103" t="s">
        <v>1862</v>
      </c>
      <c r="AM242" s="103" t="s">
        <v>1862</v>
      </c>
      <c r="AN242" s="99" t="s">
        <v>4604</v>
      </c>
      <c r="AO242" s="103" t="s">
        <v>1862</v>
      </c>
      <c r="AP242" s="103">
        <v>650</v>
      </c>
      <c r="AQ242" s="103" t="s">
        <v>4461</v>
      </c>
      <c r="AR242" s="103">
        <v>500000</v>
      </c>
      <c r="AS242" s="106">
        <v>300000</v>
      </c>
      <c r="AT242" s="103" t="s">
        <v>4625</v>
      </c>
      <c r="AU242" s="103" t="s">
        <v>1634</v>
      </c>
      <c r="AV242" s="99" t="s">
        <v>4463</v>
      </c>
      <c r="AW242" s="99" t="s">
        <v>5553</v>
      </c>
      <c r="AX242" s="99" t="s">
        <v>5224</v>
      </c>
      <c r="AY242" s="99" t="s">
        <v>4466</v>
      </c>
      <c r="AZ242" s="99" t="s">
        <v>4561</v>
      </c>
      <c r="BA242" s="103" t="s">
        <v>1634</v>
      </c>
      <c r="BB242" s="99">
        <v>2000</v>
      </c>
      <c r="BC242" s="99">
        <v>1200</v>
      </c>
      <c r="BD242" s="99">
        <v>400000</v>
      </c>
      <c r="BE242" s="99">
        <v>270000</v>
      </c>
      <c r="BF242" s="103" t="s">
        <v>4715</v>
      </c>
      <c r="BG242" s="103" t="s">
        <v>1862</v>
      </c>
      <c r="BH242" s="103" t="s">
        <v>1862</v>
      </c>
      <c r="BI242" s="103" t="s">
        <v>1862</v>
      </c>
      <c r="BJ242" s="103" t="s">
        <v>1804</v>
      </c>
      <c r="BK242" s="103" t="s">
        <v>4499</v>
      </c>
      <c r="BL242" s="103" t="s">
        <v>4472</v>
      </c>
      <c r="BM242" s="103" t="s">
        <v>4461</v>
      </c>
      <c r="BN242" s="103" t="s">
        <v>4512</v>
      </c>
      <c r="BO242" s="103">
        <v>500</v>
      </c>
      <c r="BP242" s="103" t="s">
        <v>4461</v>
      </c>
      <c r="BQ242" s="99" t="s">
        <v>4750</v>
      </c>
      <c r="BR242" s="99" t="s">
        <v>4750</v>
      </c>
      <c r="BS242" s="99" t="s">
        <v>4750</v>
      </c>
      <c r="BT242" s="103" t="s">
        <v>3186</v>
      </c>
      <c r="BU242" s="99" t="s">
        <v>4480</v>
      </c>
      <c r="BV242" s="103" t="s">
        <v>4476</v>
      </c>
      <c r="BW242" s="103" t="s">
        <v>4476</v>
      </c>
      <c r="BX242" s="103" t="s">
        <v>1548</v>
      </c>
      <c r="BY242" s="103" t="s">
        <v>4535</v>
      </c>
      <c r="BZ242" s="103" t="s">
        <v>4515</v>
      </c>
      <c r="CA242" s="103" t="s">
        <v>4461</v>
      </c>
      <c r="CB242" s="103">
        <v>300</v>
      </c>
      <c r="CC242" s="103" t="s">
        <v>4502</v>
      </c>
      <c r="CD242" s="103" t="s">
        <v>4502</v>
      </c>
      <c r="CE242" s="103" t="s">
        <v>4502</v>
      </c>
      <c r="CF242" s="103"/>
      <c r="CG242" s="103" t="s">
        <v>899</v>
      </c>
      <c r="CH242" s="103" t="s">
        <v>5620</v>
      </c>
      <c r="CI242" s="103">
        <v>70738750</v>
      </c>
      <c r="CJ242" s="103"/>
      <c r="CK242" s="108">
        <v>43368.591527777775</v>
      </c>
      <c r="CL242" s="109">
        <v>43368.636331018519</v>
      </c>
      <c r="CM242" s="95">
        <v>12.2562183</v>
      </c>
      <c r="CN242" s="95">
        <v>-2.3517526000000002</v>
      </c>
      <c r="CO242" s="99"/>
      <c r="CP242" s="99"/>
      <c r="CQ242" s="99"/>
      <c r="CR242" s="99"/>
      <c r="CS242" s="99"/>
      <c r="CT242" s="99"/>
      <c r="CU242" s="99"/>
      <c r="CV242" s="99"/>
      <c r="CW242" s="99"/>
      <c r="CX242" s="99"/>
      <c r="CY242" s="99"/>
      <c r="CZ242" s="99"/>
      <c r="DA242" s="99"/>
      <c r="DB242" s="99"/>
      <c r="DC242" s="99"/>
    </row>
    <row r="243" spans="1:107" ht="15.75" customHeight="1">
      <c r="A243" s="95">
        <v>246</v>
      </c>
      <c r="B243" s="99" t="s">
        <v>902</v>
      </c>
      <c r="C243" s="99" t="s">
        <v>903</v>
      </c>
      <c r="D243" s="99">
        <v>72424425</v>
      </c>
      <c r="E243" s="99" t="s">
        <v>366</v>
      </c>
      <c r="F243" s="95" t="s">
        <v>5621</v>
      </c>
      <c r="G243" s="95" t="s">
        <v>1049</v>
      </c>
      <c r="H243" s="95" t="s">
        <v>1065</v>
      </c>
      <c r="I243" s="95" t="s">
        <v>367</v>
      </c>
      <c r="J243" s="95"/>
      <c r="K243" s="99"/>
      <c r="L243" s="103" t="s">
        <v>4449</v>
      </c>
      <c r="M243" s="99" t="s">
        <v>4567</v>
      </c>
      <c r="N243" s="99" t="s">
        <v>4451</v>
      </c>
      <c r="O243" s="99" t="s">
        <v>4452</v>
      </c>
      <c r="P243" s="103">
        <v>2004</v>
      </c>
      <c r="Q243" s="103" t="s">
        <v>1862</v>
      </c>
      <c r="R243" s="99" t="s">
        <v>4709</v>
      </c>
      <c r="S243" s="103" t="s">
        <v>1541</v>
      </c>
      <c r="T243" s="103" t="s">
        <v>4538</v>
      </c>
      <c r="U243" s="99" t="s">
        <v>5622</v>
      </c>
      <c r="V243" s="95">
        <v>12.596882000000001</v>
      </c>
      <c r="W243" s="95">
        <v>-2.3640875000000001</v>
      </c>
      <c r="X243" s="104" t="s">
        <v>5623</v>
      </c>
      <c r="Y243" s="103" t="s">
        <v>1634</v>
      </c>
      <c r="Z243" s="103" t="s">
        <v>1634</v>
      </c>
      <c r="AA243" s="103" t="s">
        <v>1862</v>
      </c>
      <c r="AB243" s="103">
        <v>45</v>
      </c>
      <c r="AC243" s="103">
        <v>0</v>
      </c>
      <c r="AD243" s="103">
        <v>45</v>
      </c>
      <c r="AE243" s="103" t="s">
        <v>1634</v>
      </c>
      <c r="AF243" s="103" t="s">
        <v>4744</v>
      </c>
      <c r="AG243" s="99" t="s">
        <v>4494</v>
      </c>
      <c r="AH243" s="103" t="s">
        <v>1862</v>
      </c>
      <c r="AI243" s="103" t="s">
        <v>1862</v>
      </c>
      <c r="AJ243" s="103" t="s">
        <v>1804</v>
      </c>
      <c r="AK243" s="103" t="s">
        <v>1804</v>
      </c>
      <c r="AL243" s="103" t="s">
        <v>1862</v>
      </c>
      <c r="AM243" s="103" t="s">
        <v>1862</v>
      </c>
      <c r="AN243" s="99" t="s">
        <v>4604</v>
      </c>
      <c r="AO243" s="103" t="s">
        <v>1862</v>
      </c>
      <c r="AP243" s="103">
        <v>600</v>
      </c>
      <c r="AQ243" s="103" t="s">
        <v>4461</v>
      </c>
      <c r="AR243" s="103">
        <v>30000</v>
      </c>
      <c r="AS243" s="106">
        <v>400000</v>
      </c>
      <c r="AT243" s="103" t="s">
        <v>4625</v>
      </c>
      <c r="AU243" s="103" t="s">
        <v>1548</v>
      </c>
      <c r="AV243" s="99"/>
      <c r="AW243" s="99"/>
      <c r="AX243" s="99" t="s">
        <v>4913</v>
      </c>
      <c r="AY243" s="99" t="s">
        <v>4466</v>
      </c>
      <c r="AZ243" s="99"/>
      <c r="BA243" s="103" t="s">
        <v>1634</v>
      </c>
      <c r="BB243" s="99">
        <v>2000</v>
      </c>
      <c r="BC243" s="99">
        <v>1400</v>
      </c>
      <c r="BD243" s="99">
        <v>250000</v>
      </c>
      <c r="BE243" s="99">
        <v>325000</v>
      </c>
      <c r="BF243" s="103" t="s">
        <v>4715</v>
      </c>
      <c r="BG243" s="103" t="s">
        <v>1862</v>
      </c>
      <c r="BH243" s="103" t="s">
        <v>1862</v>
      </c>
      <c r="BI243" s="103" t="s">
        <v>1862</v>
      </c>
      <c r="BJ243" s="103" t="s">
        <v>1804</v>
      </c>
      <c r="BK243" s="103" t="s">
        <v>4478</v>
      </c>
      <c r="BL243" s="103" t="s">
        <v>4472</v>
      </c>
      <c r="BM243" s="103" t="s">
        <v>4461</v>
      </c>
      <c r="BN243" s="103" t="s">
        <v>4690</v>
      </c>
      <c r="BO243" s="103">
        <v>450</v>
      </c>
      <c r="BP243" s="103" t="s">
        <v>4532</v>
      </c>
      <c r="BQ243" s="99" t="s">
        <v>4476</v>
      </c>
      <c r="BR243" s="99" t="s">
        <v>4476</v>
      </c>
      <c r="BS243" s="99" t="s">
        <v>4476</v>
      </c>
      <c r="BT243" s="103" t="s">
        <v>3186</v>
      </c>
      <c r="BU243" s="99" t="s">
        <v>4480</v>
      </c>
      <c r="BV243" s="103" t="s">
        <v>4476</v>
      </c>
      <c r="BW243" s="103" t="s">
        <v>4476</v>
      </c>
      <c r="BX243" s="103" t="s">
        <v>1548</v>
      </c>
      <c r="BY243" s="103" t="s">
        <v>5624</v>
      </c>
      <c r="BZ243" s="103" t="s">
        <v>4478</v>
      </c>
      <c r="CA243" s="103" t="s">
        <v>4461</v>
      </c>
      <c r="CB243" s="103">
        <v>450</v>
      </c>
      <c r="CC243" s="103" t="s">
        <v>4716</v>
      </c>
      <c r="CD243" s="103" t="s">
        <v>4480</v>
      </c>
      <c r="CE243" s="103" t="s">
        <v>4502</v>
      </c>
      <c r="CF243" s="103"/>
      <c r="CG243" s="103" t="s">
        <v>5625</v>
      </c>
      <c r="CH243" s="103" t="s">
        <v>5626</v>
      </c>
      <c r="CI243" s="103">
        <v>60560018</v>
      </c>
      <c r="CJ243" s="103" t="s">
        <v>5627</v>
      </c>
      <c r="CK243" s="108">
        <v>43368.671805555554</v>
      </c>
      <c r="CL243" s="109">
        <v>43368.679074074076</v>
      </c>
      <c r="CM243" s="95">
        <v>12.596882000000001</v>
      </c>
      <c r="CN243" s="95">
        <v>-2.3640875000000001</v>
      </c>
      <c r="CO243" s="99"/>
      <c r="CP243" s="99"/>
      <c r="CQ243" s="99"/>
      <c r="CR243" s="99"/>
      <c r="CS243" s="99"/>
      <c r="CT243" s="99"/>
      <c r="CU243" s="99"/>
      <c r="CV243" s="99"/>
      <c r="CW243" s="99"/>
      <c r="CX243" s="99"/>
      <c r="CY243" s="99"/>
      <c r="CZ243" s="99"/>
      <c r="DA243" s="99"/>
      <c r="DB243" s="99"/>
      <c r="DC243" s="99"/>
    </row>
    <row r="244" spans="1:107" ht="15.75" customHeight="1">
      <c r="A244" s="95">
        <v>247</v>
      </c>
      <c r="B244" s="99" t="s">
        <v>904</v>
      </c>
      <c r="C244" s="99" t="s">
        <v>905</v>
      </c>
      <c r="D244" s="99">
        <v>76773785</v>
      </c>
      <c r="E244" s="99" t="s">
        <v>368</v>
      </c>
      <c r="F244" s="95" t="s">
        <v>5628</v>
      </c>
      <c r="G244" s="95" t="s">
        <v>1042</v>
      </c>
      <c r="H244" s="95" t="s">
        <v>1078</v>
      </c>
      <c r="I244" s="95" t="s">
        <v>68</v>
      </c>
      <c r="J244" s="95"/>
      <c r="K244" s="99"/>
      <c r="L244" s="103" t="s">
        <v>4449</v>
      </c>
      <c r="M244" s="99" t="s">
        <v>4450</v>
      </c>
      <c r="N244" s="99" t="s">
        <v>1565</v>
      </c>
      <c r="O244" s="99" t="s">
        <v>4600</v>
      </c>
      <c r="P244" s="103">
        <v>1998</v>
      </c>
      <c r="Q244" s="103" t="s">
        <v>1862</v>
      </c>
      <c r="R244" s="99" t="s">
        <v>5629</v>
      </c>
      <c r="S244" s="103" t="s">
        <v>1541</v>
      </c>
      <c r="T244" s="103" t="s">
        <v>4522</v>
      </c>
      <c r="U244" s="99" t="s">
        <v>5630</v>
      </c>
      <c r="V244" s="115">
        <v>11.68333</v>
      </c>
      <c r="W244" s="115">
        <v>-1.1666700000000001</v>
      </c>
      <c r="X244" s="104" t="s">
        <v>4797</v>
      </c>
      <c r="Y244" s="103" t="s">
        <v>1548</v>
      </c>
      <c r="Z244" s="103" t="s">
        <v>1634</v>
      </c>
      <c r="AA244" s="103" t="s">
        <v>1862</v>
      </c>
      <c r="AB244" s="103">
        <v>10</v>
      </c>
      <c r="AC244" s="103">
        <v>0</v>
      </c>
      <c r="AD244" s="103">
        <v>10</v>
      </c>
      <c r="AE244" s="103" t="s">
        <v>1634</v>
      </c>
      <c r="AF244" s="103" t="s">
        <v>4493</v>
      </c>
      <c r="AG244" s="99" t="s">
        <v>4879</v>
      </c>
      <c r="AH244" s="103" t="s">
        <v>1862</v>
      </c>
      <c r="AI244" s="103" t="s">
        <v>1862</v>
      </c>
      <c r="AJ244" s="103" t="s">
        <v>1862</v>
      </c>
      <c r="AK244" s="103" t="s">
        <v>1862</v>
      </c>
      <c r="AL244" s="103" t="s">
        <v>1862</v>
      </c>
      <c r="AM244" s="103" t="s">
        <v>1862</v>
      </c>
      <c r="AN244" s="99" t="s">
        <v>4495</v>
      </c>
      <c r="AO244" s="103" t="s">
        <v>1862</v>
      </c>
      <c r="AP244" s="103">
        <v>1500</v>
      </c>
      <c r="AQ244" s="103" t="s">
        <v>4470</v>
      </c>
      <c r="AR244" s="103">
        <v>1980000</v>
      </c>
      <c r="AS244" s="106">
        <v>1267500</v>
      </c>
      <c r="AT244" s="103" t="s">
        <v>4594</v>
      </c>
      <c r="AU244" s="103" t="s">
        <v>1548</v>
      </c>
      <c r="AV244" s="99"/>
      <c r="AW244" s="99" t="s">
        <v>5077</v>
      </c>
      <c r="AX244" s="99" t="s">
        <v>5631</v>
      </c>
      <c r="AY244" s="99" t="s">
        <v>4466</v>
      </c>
      <c r="AZ244" s="99" t="s">
        <v>4467</v>
      </c>
      <c r="BA244" s="103" t="s">
        <v>1548</v>
      </c>
      <c r="BB244" s="99">
        <v>1200</v>
      </c>
      <c r="BC244" s="99">
        <v>3500</v>
      </c>
      <c r="BD244" s="99">
        <v>7200009</v>
      </c>
      <c r="BE244" s="99">
        <v>2275000</v>
      </c>
      <c r="BF244" s="103" t="s">
        <v>5117</v>
      </c>
      <c r="BG244" s="103" t="s">
        <v>1862</v>
      </c>
      <c r="BH244" s="103" t="s">
        <v>1804</v>
      </c>
      <c r="BI244" s="103" t="s">
        <v>1862</v>
      </c>
      <c r="BJ244" s="103" t="s">
        <v>1862</v>
      </c>
      <c r="BK244" s="103" t="s">
        <v>4728</v>
      </c>
      <c r="BL244" s="103" t="s">
        <v>4470</v>
      </c>
      <c r="BM244" s="103" t="s">
        <v>4461</v>
      </c>
      <c r="BN244" s="103" t="s">
        <v>5632</v>
      </c>
      <c r="BO244" s="103">
        <v>200</v>
      </c>
      <c r="BP244" s="103" t="s">
        <v>4500</v>
      </c>
      <c r="BQ244" s="107" t="s">
        <v>4476</v>
      </c>
      <c r="BR244" s="99" t="s">
        <v>4476</v>
      </c>
      <c r="BS244" s="99" t="s">
        <v>4476</v>
      </c>
      <c r="BT244" s="103" t="s">
        <v>3186</v>
      </c>
      <c r="BU244" s="99" t="s">
        <v>4502</v>
      </c>
      <c r="BV244" s="103" t="s">
        <v>4476</v>
      </c>
      <c r="BW244" s="103" t="s">
        <v>4476</v>
      </c>
      <c r="BX244" s="103" t="s">
        <v>1548</v>
      </c>
      <c r="BY244" s="103" t="s">
        <v>4501</v>
      </c>
      <c r="BZ244" s="103" t="s">
        <v>4478</v>
      </c>
      <c r="CA244" s="103" t="s">
        <v>4461</v>
      </c>
      <c r="CB244" s="103">
        <v>1000</v>
      </c>
      <c r="CC244" s="103"/>
      <c r="CD244" s="103"/>
      <c r="CE244" s="103"/>
      <c r="CF244" s="103"/>
      <c r="CG244" s="103" t="s">
        <v>5633</v>
      </c>
      <c r="CH244" s="103" t="s">
        <v>905</v>
      </c>
      <c r="CI244" s="103">
        <v>76773785</v>
      </c>
      <c r="CJ244" s="103"/>
      <c r="CK244" s="108">
        <v>43365.921215277776</v>
      </c>
      <c r="CL244" s="109">
        <v>43365.946203703701</v>
      </c>
      <c r="CM244" s="95">
        <v>11.68333</v>
      </c>
      <c r="CN244" s="95">
        <v>-1.1666700000000001</v>
      </c>
      <c r="CO244" s="99"/>
      <c r="CP244" s="99"/>
      <c r="CQ244" s="99"/>
      <c r="CR244" s="99"/>
      <c r="CS244" s="99"/>
      <c r="CT244" s="99"/>
      <c r="CU244" s="99"/>
      <c r="CV244" s="99"/>
      <c r="CW244" s="99"/>
      <c r="CX244" s="99"/>
      <c r="CY244" s="99"/>
      <c r="CZ244" s="99"/>
      <c r="DA244" s="99"/>
      <c r="DB244" s="99"/>
      <c r="DC244" s="99"/>
    </row>
    <row r="245" spans="1:107" ht="15.75" customHeight="1">
      <c r="A245" s="95">
        <v>248</v>
      </c>
      <c r="B245" s="99" t="s">
        <v>906</v>
      </c>
      <c r="C245" s="99" t="s">
        <v>907</v>
      </c>
      <c r="D245" s="99">
        <v>76694440</v>
      </c>
      <c r="E245" s="99" t="s">
        <v>369</v>
      </c>
      <c r="F245" s="95" t="s">
        <v>5634</v>
      </c>
      <c r="G245" s="95" t="s">
        <v>1052</v>
      </c>
      <c r="H245" s="95" t="s">
        <v>1103</v>
      </c>
      <c r="I245" s="95" t="s">
        <v>315</v>
      </c>
      <c r="J245" s="95"/>
      <c r="K245" s="99"/>
      <c r="L245" s="103" t="s">
        <v>4449</v>
      </c>
      <c r="M245" s="99" t="s">
        <v>4450</v>
      </c>
      <c r="N245" s="99" t="s">
        <v>4698</v>
      </c>
      <c r="O245" s="99" t="s">
        <v>4947</v>
      </c>
      <c r="P245" s="103">
        <v>2005</v>
      </c>
      <c r="Q245" s="103" t="s">
        <v>1862</v>
      </c>
      <c r="R245" s="99" t="s">
        <v>4551</v>
      </c>
      <c r="S245" s="103" t="s">
        <v>4454</v>
      </c>
      <c r="T245" s="103" t="s">
        <v>4768</v>
      </c>
      <c r="U245" s="99" t="s">
        <v>5488</v>
      </c>
      <c r="V245" s="95">
        <v>11.8088575</v>
      </c>
      <c r="W245" s="95">
        <v>-0.53523560000000003</v>
      </c>
      <c r="X245" s="104" t="s">
        <v>5635</v>
      </c>
      <c r="Y245" s="103" t="s">
        <v>1548</v>
      </c>
      <c r="Z245" s="103" t="s">
        <v>1548</v>
      </c>
      <c r="AA245" s="103" t="s">
        <v>1862</v>
      </c>
      <c r="AB245" s="103">
        <v>200</v>
      </c>
      <c r="AC245" s="103">
        <v>0</v>
      </c>
      <c r="AD245" s="103">
        <v>200</v>
      </c>
      <c r="AE245" s="103" t="s">
        <v>1634</v>
      </c>
      <c r="AF245" s="103" t="s">
        <v>5490</v>
      </c>
      <c r="AG245" s="99" t="s">
        <v>5509</v>
      </c>
      <c r="AH245" s="103" t="s">
        <v>1862</v>
      </c>
      <c r="AI245" s="103" t="s">
        <v>1862</v>
      </c>
      <c r="AJ245" s="103" t="s">
        <v>1804</v>
      </c>
      <c r="AK245" s="103" t="s">
        <v>1862</v>
      </c>
      <c r="AL245" s="103" t="s">
        <v>1862</v>
      </c>
      <c r="AM245" s="103" t="s">
        <v>1862</v>
      </c>
      <c r="AN245" s="99" t="s">
        <v>4735</v>
      </c>
      <c r="AO245" s="103" t="s">
        <v>1862</v>
      </c>
      <c r="AP245" s="103">
        <v>2000</v>
      </c>
      <c r="AQ245" s="103" t="s">
        <v>4461</v>
      </c>
      <c r="AR245" s="103">
        <v>0</v>
      </c>
      <c r="AS245" s="106">
        <v>15000000</v>
      </c>
      <c r="AT245" s="103" t="s">
        <v>4496</v>
      </c>
      <c r="AU245" s="103" t="s">
        <v>1634</v>
      </c>
      <c r="AV245" s="99" t="s">
        <v>5353</v>
      </c>
      <c r="AW245" s="99" t="s">
        <v>5517</v>
      </c>
      <c r="AX245" s="99" t="s">
        <v>5636</v>
      </c>
      <c r="AY245" s="99" t="s">
        <v>4560</v>
      </c>
      <c r="AZ245" s="99" t="s">
        <v>4561</v>
      </c>
      <c r="BA245" s="103" t="s">
        <v>1634</v>
      </c>
      <c r="BB245" s="99">
        <v>0</v>
      </c>
      <c r="BC245" s="99">
        <v>10000</v>
      </c>
      <c r="BD245" s="99">
        <v>0</v>
      </c>
      <c r="BE245" s="99">
        <v>20000000</v>
      </c>
      <c r="BF245" s="103" t="s">
        <v>4468</v>
      </c>
      <c r="BG245" s="103" t="s">
        <v>1862</v>
      </c>
      <c r="BH245" s="103" t="s">
        <v>1862</v>
      </c>
      <c r="BI245" s="103" t="s">
        <v>1804</v>
      </c>
      <c r="BJ245" s="103" t="s">
        <v>1804</v>
      </c>
      <c r="BK245" s="103" t="s">
        <v>4586</v>
      </c>
      <c r="BL245" s="103" t="s">
        <v>4472</v>
      </c>
      <c r="BM245" s="103" t="s">
        <v>4461</v>
      </c>
      <c r="BN245" s="103" t="s">
        <v>4643</v>
      </c>
      <c r="BO245" s="103">
        <v>1000</v>
      </c>
      <c r="BP245" s="103" t="s">
        <v>4500</v>
      </c>
      <c r="BQ245" s="107" t="s">
        <v>4476</v>
      </c>
      <c r="BR245" s="99" t="s">
        <v>4513</v>
      </c>
      <c r="BS245" s="99" t="s">
        <v>4513</v>
      </c>
      <c r="BT245" s="103" t="s">
        <v>4513</v>
      </c>
      <c r="BU245" s="99" t="s">
        <v>4475</v>
      </c>
      <c r="BV245" s="103" t="s">
        <v>4513</v>
      </c>
      <c r="BW245" s="103" t="s">
        <v>4476</v>
      </c>
      <c r="BX245" s="103" t="s">
        <v>1548</v>
      </c>
      <c r="BY245" s="103" t="s">
        <v>4501</v>
      </c>
      <c r="BZ245" s="103" t="s">
        <v>4478</v>
      </c>
      <c r="CA245" s="103" t="s">
        <v>4461</v>
      </c>
      <c r="CB245" s="103">
        <v>45</v>
      </c>
      <c r="CC245" s="103"/>
      <c r="CD245" s="103"/>
      <c r="CE245" s="103"/>
      <c r="CF245" s="103"/>
      <c r="CG245" s="103" t="s">
        <v>5637</v>
      </c>
      <c r="CH245" s="103" t="s">
        <v>574</v>
      </c>
      <c r="CI245" s="103">
        <v>76694440</v>
      </c>
      <c r="CJ245" s="103"/>
      <c r="CK245" s="108">
        <v>43368.728067129632</v>
      </c>
      <c r="CL245" s="109">
        <v>43368.786736111113</v>
      </c>
      <c r="CM245" s="95">
        <v>11.8088575</v>
      </c>
      <c r="CN245" s="95">
        <v>-0.53523560000000003</v>
      </c>
      <c r="CO245" s="99"/>
      <c r="CP245" s="99"/>
      <c r="CQ245" s="99"/>
      <c r="CR245" s="99"/>
      <c r="CS245" s="99"/>
      <c r="CT245" s="99"/>
      <c r="CU245" s="99"/>
      <c r="CV245" s="99"/>
      <c r="CW245" s="99"/>
      <c r="CX245" s="99"/>
      <c r="CY245" s="99"/>
      <c r="CZ245" s="99"/>
      <c r="DA245" s="99"/>
      <c r="DB245" s="99"/>
      <c r="DC245" s="99"/>
    </row>
    <row r="246" spans="1:107" ht="15.75" customHeight="1">
      <c r="A246" s="95">
        <v>249</v>
      </c>
      <c r="B246" s="99" t="s">
        <v>908</v>
      </c>
      <c r="C246" s="99" t="s">
        <v>909</v>
      </c>
      <c r="D246" s="99">
        <v>79208669</v>
      </c>
      <c r="E246" s="99" t="s">
        <v>370</v>
      </c>
      <c r="F246" s="95" t="s">
        <v>4666</v>
      </c>
      <c r="G246" s="95" t="s">
        <v>1057</v>
      </c>
      <c r="H246" s="95" t="s">
        <v>1061</v>
      </c>
      <c r="I246" s="95" t="s">
        <v>37</v>
      </c>
      <c r="J246" s="95"/>
      <c r="K246" s="99"/>
      <c r="L246" s="103" t="s">
        <v>4549</v>
      </c>
      <c r="M246" s="99" t="s">
        <v>4487</v>
      </c>
      <c r="N246" s="99" t="s">
        <v>4451</v>
      </c>
      <c r="O246" s="99" t="s">
        <v>5638</v>
      </c>
      <c r="P246" s="103">
        <v>2013</v>
      </c>
      <c r="Q246" s="103" t="s">
        <v>1862</v>
      </c>
      <c r="R246" s="99" t="s">
        <v>4521</v>
      </c>
      <c r="S246" s="103" t="s">
        <v>1541</v>
      </c>
      <c r="T246" s="103" t="s">
        <v>4522</v>
      </c>
      <c r="U246" s="99" t="s">
        <v>4667</v>
      </c>
      <c r="V246" s="95">
        <v>12.184640699999999</v>
      </c>
      <c r="W246" s="95">
        <v>-4.0848788999999996</v>
      </c>
      <c r="X246" s="104" t="s">
        <v>4668</v>
      </c>
      <c r="Y246" s="103" t="s">
        <v>1548</v>
      </c>
      <c r="Z246" s="103" t="s">
        <v>1548</v>
      </c>
      <c r="AA246" s="103" t="s">
        <v>1862</v>
      </c>
      <c r="AB246" s="103">
        <v>20</v>
      </c>
      <c r="AC246" s="103">
        <v>4</v>
      </c>
      <c r="AD246" s="103">
        <v>16</v>
      </c>
      <c r="AE246" s="103" t="s">
        <v>1634</v>
      </c>
      <c r="AF246" s="103" t="s">
        <v>4651</v>
      </c>
      <c r="AG246" s="99" t="s">
        <v>5639</v>
      </c>
      <c r="AH246" s="103" t="s">
        <v>1804</v>
      </c>
      <c r="AI246" s="103" t="s">
        <v>1862</v>
      </c>
      <c r="AJ246" s="103" t="s">
        <v>1804</v>
      </c>
      <c r="AK246" s="103" t="s">
        <v>1804</v>
      </c>
      <c r="AL246" s="103" t="s">
        <v>1862</v>
      </c>
      <c r="AM246" s="103" t="s">
        <v>1862</v>
      </c>
      <c r="AN246" s="99" t="s">
        <v>4735</v>
      </c>
      <c r="AO246" s="103" t="s">
        <v>1862</v>
      </c>
      <c r="AP246" s="103">
        <v>250</v>
      </c>
      <c r="AQ246" s="103" t="s">
        <v>4500</v>
      </c>
      <c r="AR246" s="103">
        <v>625000</v>
      </c>
      <c r="AS246" s="106">
        <v>12500</v>
      </c>
      <c r="AT246" s="103" t="s">
        <v>4499</v>
      </c>
      <c r="AU246" s="103" t="s">
        <v>1634</v>
      </c>
      <c r="AV246" s="99" t="s">
        <v>4671</v>
      </c>
      <c r="AW246" s="99" t="s">
        <v>4973</v>
      </c>
      <c r="AX246" s="99" t="s">
        <v>4881</v>
      </c>
      <c r="AY246" s="99" t="s">
        <v>4560</v>
      </c>
      <c r="AZ246" s="99" t="s">
        <v>4467</v>
      </c>
      <c r="BA246" s="103" t="s">
        <v>1634</v>
      </c>
      <c r="BB246" s="99">
        <v>2500</v>
      </c>
      <c r="BC246" s="99">
        <v>50</v>
      </c>
      <c r="BD246" s="99">
        <v>625000</v>
      </c>
      <c r="BE246" s="99">
        <v>12500</v>
      </c>
      <c r="BF246" s="103" t="s">
        <v>4793</v>
      </c>
      <c r="BG246" s="103" t="s">
        <v>1804</v>
      </c>
      <c r="BH246" s="103" t="s">
        <v>1804</v>
      </c>
      <c r="BI246" s="103" t="s">
        <v>1862</v>
      </c>
      <c r="BJ246" s="103" t="s">
        <v>1804</v>
      </c>
      <c r="BK246" s="103" t="s">
        <v>4478</v>
      </c>
      <c r="BL246" s="103" t="s">
        <v>4500</v>
      </c>
      <c r="BM246" s="103" t="s">
        <v>4500</v>
      </c>
      <c r="BN246" s="103" t="s">
        <v>4545</v>
      </c>
      <c r="BO246" s="103">
        <v>200</v>
      </c>
      <c r="BP246" s="103" t="s">
        <v>4532</v>
      </c>
      <c r="BQ246" s="99" t="s">
        <v>4476</v>
      </c>
      <c r="BR246" s="99"/>
      <c r="BS246" s="99"/>
      <c r="BT246" s="103" t="s">
        <v>3186</v>
      </c>
      <c r="BU246" s="99" t="s">
        <v>4502</v>
      </c>
      <c r="BV246" s="103"/>
      <c r="BW246" s="103" t="s">
        <v>4476</v>
      </c>
      <c r="BX246" s="103" t="s">
        <v>1548</v>
      </c>
      <c r="BY246" s="103" t="s">
        <v>4535</v>
      </c>
      <c r="BZ246" s="103" t="s">
        <v>4478</v>
      </c>
      <c r="CA246" s="103" t="s">
        <v>4500</v>
      </c>
      <c r="CB246" s="103">
        <v>600</v>
      </c>
      <c r="CC246" s="103" t="s">
        <v>4502</v>
      </c>
      <c r="CD246" s="103" t="s">
        <v>4502</v>
      </c>
      <c r="CE246" s="103"/>
      <c r="CF246" s="103"/>
      <c r="CG246" s="103" t="s">
        <v>5640</v>
      </c>
      <c r="CH246" s="103" t="s">
        <v>5641</v>
      </c>
      <c r="CI246" s="103">
        <v>67832905</v>
      </c>
      <c r="CJ246" s="103"/>
      <c r="CK246" s="108">
        <v>43365.402430555558</v>
      </c>
      <c r="CL246" s="109">
        <v>43365.434745370374</v>
      </c>
      <c r="CM246" s="95">
        <v>12.184640699999999</v>
      </c>
      <c r="CN246" s="95">
        <v>-4.0848788999999996</v>
      </c>
      <c r="CO246" s="99"/>
      <c r="CP246" s="99"/>
      <c r="CQ246" s="99"/>
      <c r="CR246" s="99"/>
      <c r="CS246" s="99"/>
      <c r="CT246" s="99"/>
      <c r="CU246" s="99"/>
      <c r="CV246" s="99"/>
      <c r="CW246" s="99"/>
      <c r="CX246" s="99"/>
      <c r="CY246" s="99"/>
      <c r="CZ246" s="99"/>
      <c r="DA246" s="99"/>
      <c r="DB246" s="99"/>
      <c r="DC246" s="99"/>
    </row>
    <row r="247" spans="1:107" ht="15.75" customHeight="1">
      <c r="A247" s="95">
        <v>250</v>
      </c>
      <c r="B247" s="99" t="s">
        <v>910</v>
      </c>
      <c r="C247" s="99" t="s">
        <v>911</v>
      </c>
      <c r="D247" s="99">
        <v>71197943</v>
      </c>
      <c r="E247" s="99" t="s">
        <v>371</v>
      </c>
      <c r="F247" s="95" t="s">
        <v>4654</v>
      </c>
      <c r="G247" s="95" t="s">
        <v>1057</v>
      </c>
      <c r="H247" s="95" t="s">
        <v>1060</v>
      </c>
      <c r="I247" s="95" t="s">
        <v>34</v>
      </c>
      <c r="J247" s="95"/>
      <c r="K247" s="99"/>
      <c r="L247" s="103" t="s">
        <v>4449</v>
      </c>
      <c r="M247" s="99" t="s">
        <v>4450</v>
      </c>
      <c r="N247" s="99" t="s">
        <v>4451</v>
      </c>
      <c r="O247" s="99" t="s">
        <v>5292</v>
      </c>
      <c r="P247" s="103">
        <v>2011</v>
      </c>
      <c r="Q247" s="103" t="s">
        <v>1862</v>
      </c>
      <c r="R247" s="99" t="s">
        <v>4521</v>
      </c>
      <c r="S247" s="103" t="s">
        <v>1541</v>
      </c>
      <c r="T247" s="103" t="s">
        <v>4522</v>
      </c>
      <c r="U247" s="99" t="s">
        <v>4655</v>
      </c>
      <c r="V247" s="95">
        <v>12.743024399999999</v>
      </c>
      <c r="W247" s="95">
        <v>-3.8553506999999998</v>
      </c>
      <c r="X247" s="104" t="s">
        <v>4656</v>
      </c>
      <c r="Y247" s="103" t="s">
        <v>1548</v>
      </c>
      <c r="Z247" s="103" t="s">
        <v>1548</v>
      </c>
      <c r="AA247" s="103" t="s">
        <v>1862</v>
      </c>
      <c r="AB247" s="103">
        <v>70</v>
      </c>
      <c r="AC247" s="103">
        <v>0</v>
      </c>
      <c r="AD247" s="103">
        <v>70</v>
      </c>
      <c r="AE247" s="103" t="s">
        <v>1634</v>
      </c>
      <c r="AF247" s="103" t="s">
        <v>5642</v>
      </c>
      <c r="AG247" s="99" t="s">
        <v>5643</v>
      </c>
      <c r="AH247" s="103" t="s">
        <v>1862</v>
      </c>
      <c r="AI247" s="103" t="s">
        <v>1862</v>
      </c>
      <c r="AJ247" s="103" t="s">
        <v>1804</v>
      </c>
      <c r="AK247" s="103" t="s">
        <v>1804</v>
      </c>
      <c r="AL247" s="103" t="s">
        <v>1862</v>
      </c>
      <c r="AM247" s="103" t="s">
        <v>1862</v>
      </c>
      <c r="AN247" s="99" t="s">
        <v>4735</v>
      </c>
      <c r="AO247" s="103" t="s">
        <v>1862</v>
      </c>
      <c r="AP247" s="103">
        <v>650</v>
      </c>
      <c r="AQ247" s="103" t="s">
        <v>4500</v>
      </c>
      <c r="AR247" s="103">
        <v>500000</v>
      </c>
      <c r="AS247" s="106">
        <v>300000</v>
      </c>
      <c r="AT247" s="103" t="s">
        <v>4496</v>
      </c>
      <c r="AU247" s="103" t="s">
        <v>1634</v>
      </c>
      <c r="AV247" s="99" t="s">
        <v>4671</v>
      </c>
      <c r="AW247" s="99" t="s">
        <v>4791</v>
      </c>
      <c r="AX247" s="99" t="s">
        <v>5493</v>
      </c>
      <c r="AY247" s="99" t="s">
        <v>4560</v>
      </c>
      <c r="AZ247" s="99" t="s">
        <v>4530</v>
      </c>
      <c r="BA247" s="103" t="s">
        <v>1634</v>
      </c>
      <c r="BB247" s="99">
        <v>300</v>
      </c>
      <c r="BC247" s="99">
        <v>50</v>
      </c>
      <c r="BD247" s="99">
        <v>400000</v>
      </c>
      <c r="BE247" s="99">
        <v>250000</v>
      </c>
      <c r="BF247" s="103" t="s">
        <v>4415</v>
      </c>
      <c r="BG247" s="103" t="s">
        <v>1862</v>
      </c>
      <c r="BH247" s="103" t="s">
        <v>1804</v>
      </c>
      <c r="BI247" s="103" t="s">
        <v>1804</v>
      </c>
      <c r="BJ247" s="103" t="s">
        <v>1804</v>
      </c>
      <c r="BK247" s="103" t="s">
        <v>4478</v>
      </c>
      <c r="BL247" s="103" t="s">
        <v>4472</v>
      </c>
      <c r="BM247" s="103" t="s">
        <v>4500</v>
      </c>
      <c r="BN247" s="103" t="s">
        <v>4545</v>
      </c>
      <c r="BO247" s="103"/>
      <c r="BP247" s="103" t="s">
        <v>4532</v>
      </c>
      <c r="BQ247" s="99" t="s">
        <v>4476</v>
      </c>
      <c r="BR247" s="99"/>
      <c r="BS247" s="99"/>
      <c r="BT247" s="103" t="s">
        <v>3186</v>
      </c>
      <c r="BU247" s="99" t="s">
        <v>4502</v>
      </c>
      <c r="BV247" s="103"/>
      <c r="BW247" s="103" t="s">
        <v>4476</v>
      </c>
      <c r="BX247" s="103" t="s">
        <v>1548</v>
      </c>
      <c r="BY247" s="103" t="s">
        <v>4535</v>
      </c>
      <c r="BZ247" s="103" t="s">
        <v>4478</v>
      </c>
      <c r="CA247" s="103" t="s">
        <v>4509</v>
      </c>
      <c r="CB247" s="103">
        <v>350</v>
      </c>
      <c r="CC247" s="103" t="s">
        <v>4502</v>
      </c>
      <c r="CD247" s="103" t="s">
        <v>4502</v>
      </c>
      <c r="CE247" s="103" t="s">
        <v>4479</v>
      </c>
      <c r="CF247" s="103"/>
      <c r="CG247" s="103" t="s">
        <v>5644</v>
      </c>
      <c r="CH247" s="103" t="s">
        <v>5645</v>
      </c>
      <c r="CI247" s="103">
        <v>71197943</v>
      </c>
      <c r="CJ247" s="103"/>
      <c r="CK247" s="108">
        <v>43365.33489583333</v>
      </c>
      <c r="CL247" s="109">
        <v>43365.387384259258</v>
      </c>
      <c r="CM247" s="95">
        <v>12.743024399999999</v>
      </c>
      <c r="CN247" s="95">
        <v>-3.8553506999999998</v>
      </c>
      <c r="CO247" s="99"/>
      <c r="CP247" s="99"/>
      <c r="CQ247" s="99"/>
      <c r="CR247" s="99"/>
      <c r="CS247" s="99"/>
      <c r="CT247" s="99"/>
      <c r="CU247" s="99"/>
      <c r="CV247" s="99"/>
      <c r="CW247" s="99"/>
      <c r="CX247" s="99"/>
      <c r="CY247" s="99"/>
      <c r="CZ247" s="99"/>
      <c r="DA247" s="99"/>
      <c r="DB247" s="99"/>
      <c r="DC247" s="99"/>
    </row>
    <row r="248" spans="1:107" ht="15.75" customHeight="1">
      <c r="A248" s="95">
        <v>251</v>
      </c>
      <c r="B248" s="99" t="s">
        <v>912</v>
      </c>
      <c r="C248" s="99" t="s">
        <v>913</v>
      </c>
      <c r="D248" s="99">
        <v>71338970</v>
      </c>
      <c r="E248" s="99" t="s">
        <v>372</v>
      </c>
      <c r="F248" s="95" t="s">
        <v>4654</v>
      </c>
      <c r="G248" s="95" t="s">
        <v>1057</v>
      </c>
      <c r="H248" s="95" t="s">
        <v>1060</v>
      </c>
      <c r="I248" s="95" t="s">
        <v>34</v>
      </c>
      <c r="J248" s="95"/>
      <c r="K248" s="99"/>
      <c r="L248" s="103" t="s">
        <v>4449</v>
      </c>
      <c r="M248" s="99" t="s">
        <v>4567</v>
      </c>
      <c r="N248" s="99" t="s">
        <v>1565</v>
      </c>
      <c r="O248" s="99" t="s">
        <v>4754</v>
      </c>
      <c r="P248" s="103">
        <v>2011</v>
      </c>
      <c r="Q248" s="103" t="s">
        <v>1548</v>
      </c>
      <c r="R248" s="99" t="s">
        <v>4521</v>
      </c>
      <c r="S248" s="103" t="s">
        <v>1541</v>
      </c>
      <c r="T248" s="103" t="s">
        <v>4522</v>
      </c>
      <c r="U248" s="99" t="s">
        <v>4655</v>
      </c>
      <c r="V248" s="95">
        <v>12.743024399999999</v>
      </c>
      <c r="W248" s="95">
        <v>-3.8553506999999998</v>
      </c>
      <c r="X248" s="104" t="s">
        <v>4656</v>
      </c>
      <c r="Y248" s="103" t="s">
        <v>1634</v>
      </c>
      <c r="Z248" s="103" t="s">
        <v>1634</v>
      </c>
      <c r="AA248" s="103" t="s">
        <v>1862</v>
      </c>
      <c r="AB248" s="103">
        <v>20</v>
      </c>
      <c r="AC248" s="103">
        <v>0</v>
      </c>
      <c r="AD248" s="103">
        <v>20</v>
      </c>
      <c r="AE248" s="103" t="s">
        <v>1634</v>
      </c>
      <c r="AF248" s="103" t="s">
        <v>4651</v>
      </c>
      <c r="AG248" s="99" t="s">
        <v>4928</v>
      </c>
      <c r="AH248" s="103" t="s">
        <v>1804</v>
      </c>
      <c r="AI248" s="103" t="s">
        <v>1862</v>
      </c>
      <c r="AJ248" s="103" t="s">
        <v>1804</v>
      </c>
      <c r="AK248" s="103" t="s">
        <v>1804</v>
      </c>
      <c r="AL248" s="103" t="s">
        <v>1804</v>
      </c>
      <c r="AM248" s="103" t="s">
        <v>1862</v>
      </c>
      <c r="AN248" s="99" t="s">
        <v>4735</v>
      </c>
      <c r="AO248" s="103" t="s">
        <v>1862</v>
      </c>
      <c r="AP248" s="103">
        <v>500</v>
      </c>
      <c r="AQ248" s="103" t="s">
        <v>4461</v>
      </c>
      <c r="AR248" s="103">
        <v>0</v>
      </c>
      <c r="AS248" s="106">
        <v>1200000</v>
      </c>
      <c r="AT248" s="103" t="s">
        <v>4594</v>
      </c>
      <c r="AU248" s="103" t="s">
        <v>1548</v>
      </c>
      <c r="AV248" s="99" t="s">
        <v>4671</v>
      </c>
      <c r="AW248" s="99" t="s">
        <v>5646</v>
      </c>
      <c r="AX248" s="99" t="s">
        <v>4543</v>
      </c>
      <c r="AY248" s="99" t="s">
        <v>4560</v>
      </c>
      <c r="AZ248" s="99" t="s">
        <v>4530</v>
      </c>
      <c r="BA248" s="103" t="s">
        <v>1634</v>
      </c>
      <c r="BB248" s="99">
        <v>0</v>
      </c>
      <c r="BC248" s="99">
        <v>2400</v>
      </c>
      <c r="BD248" s="99">
        <v>0</v>
      </c>
      <c r="BE248" s="99">
        <v>1200000</v>
      </c>
      <c r="BF248" s="103" t="s">
        <v>5274</v>
      </c>
      <c r="BG248" s="103" t="s">
        <v>1862</v>
      </c>
      <c r="BH248" s="103" t="s">
        <v>1862</v>
      </c>
      <c r="BI248" s="103" t="s">
        <v>1862</v>
      </c>
      <c r="BJ248" s="103" t="s">
        <v>1804</v>
      </c>
      <c r="BK248" s="103" t="s">
        <v>4586</v>
      </c>
      <c r="BL248" s="103" t="s">
        <v>4500</v>
      </c>
      <c r="BM248" s="103" t="s">
        <v>4461</v>
      </c>
      <c r="BN248" s="103" t="s">
        <v>4545</v>
      </c>
      <c r="BO248" s="103">
        <v>500</v>
      </c>
      <c r="BP248" s="103" t="s">
        <v>4532</v>
      </c>
      <c r="BQ248" s="99" t="s">
        <v>4476</v>
      </c>
      <c r="BR248" s="99"/>
      <c r="BS248" s="99"/>
      <c r="BT248" s="103" t="s">
        <v>3186</v>
      </c>
      <c r="BU248" s="99" t="s">
        <v>4502</v>
      </c>
      <c r="BV248" s="103"/>
      <c r="BW248" s="103" t="s">
        <v>4476</v>
      </c>
      <c r="BX248" s="103" t="s">
        <v>1548</v>
      </c>
      <c r="BY248" s="103" t="s">
        <v>4535</v>
      </c>
      <c r="BZ248" s="103" t="s">
        <v>4478</v>
      </c>
      <c r="CA248" s="103" t="s">
        <v>4500</v>
      </c>
      <c r="CB248" s="103">
        <v>400</v>
      </c>
      <c r="CC248" s="103" t="s">
        <v>4502</v>
      </c>
      <c r="CD248" s="103" t="s">
        <v>4502</v>
      </c>
      <c r="CE248" s="103" t="s">
        <v>4502</v>
      </c>
      <c r="CF248" s="103"/>
      <c r="CG248" s="103" t="s">
        <v>5647</v>
      </c>
      <c r="CH248" s="103" t="s">
        <v>589</v>
      </c>
      <c r="CI248" s="103">
        <v>71338970</v>
      </c>
      <c r="CJ248" s="103"/>
      <c r="CK248" s="108">
        <v>43364.486574074072</v>
      </c>
      <c r="CL248" s="109">
        <v>43365.286226851851</v>
      </c>
      <c r="CM248" s="95">
        <v>12.743024399999999</v>
      </c>
      <c r="CN248" s="95">
        <v>-3.8553506999999998</v>
      </c>
      <c r="CO248" s="99"/>
      <c r="CP248" s="99"/>
      <c r="CQ248" s="99"/>
      <c r="CR248" s="99"/>
      <c r="CS248" s="99"/>
      <c r="CT248" s="99"/>
      <c r="CU248" s="99"/>
      <c r="CV248" s="99"/>
      <c r="CW248" s="99"/>
      <c r="CX248" s="99"/>
      <c r="CY248" s="99"/>
      <c r="CZ248" s="99"/>
      <c r="DA248" s="99"/>
      <c r="DB248" s="99"/>
      <c r="DC248" s="99"/>
    </row>
    <row r="249" spans="1:107" ht="15.75" customHeight="1">
      <c r="A249" s="95">
        <v>252</v>
      </c>
      <c r="B249" s="99" t="s">
        <v>914</v>
      </c>
      <c r="C249" s="99" t="s">
        <v>915</v>
      </c>
      <c r="D249" s="99">
        <v>78714465</v>
      </c>
      <c r="E249" s="99" t="s">
        <v>373</v>
      </c>
      <c r="F249" s="95" t="s">
        <v>4654</v>
      </c>
      <c r="G249" s="95" t="s">
        <v>1057</v>
      </c>
      <c r="H249" s="95" t="s">
        <v>1060</v>
      </c>
      <c r="I249" s="95" t="s">
        <v>34</v>
      </c>
      <c r="J249" s="95"/>
      <c r="K249" s="99"/>
      <c r="L249" s="103" t="s">
        <v>4449</v>
      </c>
      <c r="M249" s="99" t="s">
        <v>4567</v>
      </c>
      <c r="N249" s="99" t="s">
        <v>4520</v>
      </c>
      <c r="O249" s="99" t="s">
        <v>5292</v>
      </c>
      <c r="P249" s="103">
        <v>2008</v>
      </c>
      <c r="Q249" s="103" t="s">
        <v>1862</v>
      </c>
      <c r="R249" s="99" t="s">
        <v>4521</v>
      </c>
      <c r="S249" s="103" t="s">
        <v>1541</v>
      </c>
      <c r="T249" s="103" t="s">
        <v>4522</v>
      </c>
      <c r="U249" s="99" t="s">
        <v>4655</v>
      </c>
      <c r="V249" s="95">
        <v>12.743024399999999</v>
      </c>
      <c r="W249" s="95">
        <v>-3.8553506999999998</v>
      </c>
      <c r="X249" s="104" t="s">
        <v>4656</v>
      </c>
      <c r="Y249" s="103" t="s">
        <v>1634</v>
      </c>
      <c r="Z249" s="103" t="s">
        <v>1634</v>
      </c>
      <c r="AA249" s="103" t="s">
        <v>1862</v>
      </c>
      <c r="AB249" s="103">
        <v>185</v>
      </c>
      <c r="AC249" s="103">
        <v>0</v>
      </c>
      <c r="AD249" s="103">
        <v>185</v>
      </c>
      <c r="AE249" s="103" t="s">
        <v>1634</v>
      </c>
      <c r="AF249" s="103" t="s">
        <v>5642</v>
      </c>
      <c r="AG249" s="99" t="s">
        <v>5648</v>
      </c>
      <c r="AH249" s="103" t="s">
        <v>1804</v>
      </c>
      <c r="AI249" s="103" t="s">
        <v>1804</v>
      </c>
      <c r="AJ249" s="103" t="s">
        <v>1804</v>
      </c>
      <c r="AK249" s="103" t="s">
        <v>1804</v>
      </c>
      <c r="AL249" s="103" t="s">
        <v>1862</v>
      </c>
      <c r="AM249" s="103" t="s">
        <v>1862</v>
      </c>
      <c r="AN249" s="99" t="s">
        <v>4584</v>
      </c>
      <c r="AO249" s="103" t="s">
        <v>1862</v>
      </c>
      <c r="AP249" s="103">
        <v>1000</v>
      </c>
      <c r="AQ249" s="103" t="s">
        <v>4500</v>
      </c>
      <c r="AR249" s="103">
        <v>4175000</v>
      </c>
      <c r="AS249" s="106">
        <v>100000</v>
      </c>
      <c r="AT249" s="103" t="s">
        <v>4594</v>
      </c>
      <c r="AU249" s="103" t="s">
        <v>1548</v>
      </c>
      <c r="AV249" s="99" t="s">
        <v>4671</v>
      </c>
      <c r="AW249" s="99" t="s">
        <v>4973</v>
      </c>
      <c r="AX249" s="99" t="s">
        <v>5493</v>
      </c>
      <c r="AY249" s="99" t="s">
        <v>4560</v>
      </c>
      <c r="AZ249" s="99" t="s">
        <v>4530</v>
      </c>
      <c r="BA249" s="103" t="s">
        <v>1634</v>
      </c>
      <c r="BB249" s="99">
        <v>3500</v>
      </c>
      <c r="BC249" s="99">
        <v>500</v>
      </c>
      <c r="BD249" s="99">
        <v>3500000</v>
      </c>
      <c r="BE249" s="99">
        <v>740000</v>
      </c>
      <c r="BF249" s="103" t="s">
        <v>4415</v>
      </c>
      <c r="BG249" s="103" t="s">
        <v>1862</v>
      </c>
      <c r="BH249" s="103" t="s">
        <v>1804</v>
      </c>
      <c r="BI249" s="103" t="s">
        <v>1804</v>
      </c>
      <c r="BJ249" s="103" t="s">
        <v>1804</v>
      </c>
      <c r="BK249" s="103" t="s">
        <v>4478</v>
      </c>
      <c r="BL249" s="103" t="s">
        <v>4472</v>
      </c>
      <c r="BM249" s="103" t="s">
        <v>4461</v>
      </c>
      <c r="BN249" s="103" t="s">
        <v>4545</v>
      </c>
      <c r="BO249" s="103">
        <v>500</v>
      </c>
      <c r="BP249" s="103" t="s">
        <v>4532</v>
      </c>
      <c r="BQ249" s="99" t="s">
        <v>4476</v>
      </c>
      <c r="BR249" s="99"/>
      <c r="BS249" s="99"/>
      <c r="BT249" s="103" t="s">
        <v>3186</v>
      </c>
      <c r="BU249" s="99" t="s">
        <v>4608</v>
      </c>
      <c r="BV249" s="103"/>
      <c r="BW249" s="103" t="s">
        <v>4476</v>
      </c>
      <c r="BX249" s="103" t="s">
        <v>1548</v>
      </c>
      <c r="BY249" s="103" t="s">
        <v>4535</v>
      </c>
      <c r="BZ249" s="103" t="s">
        <v>4478</v>
      </c>
      <c r="CA249" s="103" t="s">
        <v>4461</v>
      </c>
      <c r="CB249" s="103">
        <v>600</v>
      </c>
      <c r="CC249" s="103" t="s">
        <v>4502</v>
      </c>
      <c r="CD249" s="103" t="s">
        <v>4502</v>
      </c>
      <c r="CE249" s="103" t="s">
        <v>4502</v>
      </c>
      <c r="CF249" s="103"/>
      <c r="CG249" s="103" t="s">
        <v>565</v>
      </c>
      <c r="CH249" s="103" t="s">
        <v>5649</v>
      </c>
      <c r="CI249" s="103">
        <v>78714465</v>
      </c>
      <c r="CJ249" s="103"/>
      <c r="CK249" s="108">
        <v>43364.618564814817</v>
      </c>
      <c r="CL249" s="109">
        <v>43365.2809375</v>
      </c>
      <c r="CM249" s="95">
        <v>12.743024399999999</v>
      </c>
      <c r="CN249" s="95">
        <v>-3.8553506999999998</v>
      </c>
      <c r="CO249" s="99"/>
      <c r="CP249" s="99"/>
      <c r="CQ249" s="99"/>
      <c r="CR249" s="99"/>
      <c r="CS249" s="99"/>
      <c r="CT249" s="99"/>
      <c r="CU249" s="99"/>
      <c r="CV249" s="99"/>
      <c r="CW249" s="99"/>
      <c r="CX249" s="99"/>
      <c r="CY249" s="99"/>
      <c r="CZ249" s="99"/>
      <c r="DA249" s="99"/>
      <c r="DB249" s="99"/>
      <c r="DC249" s="99"/>
    </row>
    <row r="250" spans="1:107" ht="15.75" customHeight="1">
      <c r="A250" s="95">
        <v>253</v>
      </c>
      <c r="B250" s="99" t="s">
        <v>916</v>
      </c>
      <c r="C250" s="99" t="s">
        <v>917</v>
      </c>
      <c r="D250" s="99">
        <v>72047199</v>
      </c>
      <c r="E250" s="99" t="s">
        <v>374</v>
      </c>
      <c r="F250" s="95" t="s">
        <v>4654</v>
      </c>
      <c r="G250" s="95" t="s">
        <v>1057</v>
      </c>
      <c r="H250" s="95" t="s">
        <v>1060</v>
      </c>
      <c r="I250" s="95" t="s">
        <v>34</v>
      </c>
      <c r="J250" s="95"/>
      <c r="K250" s="99"/>
      <c r="L250" s="103" t="s">
        <v>4449</v>
      </c>
      <c r="M250" s="99" t="s">
        <v>4450</v>
      </c>
      <c r="N250" s="99" t="s">
        <v>4568</v>
      </c>
      <c r="O250" s="99" t="s">
        <v>4452</v>
      </c>
      <c r="P250" s="103">
        <v>2013</v>
      </c>
      <c r="Q250" s="103" t="s">
        <v>1862</v>
      </c>
      <c r="R250" s="99" t="s">
        <v>4521</v>
      </c>
      <c r="S250" s="103" t="s">
        <v>1541</v>
      </c>
      <c r="T250" s="103" t="s">
        <v>4522</v>
      </c>
      <c r="U250" s="99" t="s">
        <v>4655</v>
      </c>
      <c r="V250" s="95">
        <v>12.743024399999999</v>
      </c>
      <c r="W250" s="95">
        <v>-3.8553506999999998</v>
      </c>
      <c r="X250" s="104" t="s">
        <v>4656</v>
      </c>
      <c r="Y250" s="103" t="s">
        <v>1548</v>
      </c>
      <c r="Z250" s="103" t="s">
        <v>1548</v>
      </c>
      <c r="AA250" s="103" t="s">
        <v>1862</v>
      </c>
      <c r="AB250" s="103">
        <v>15</v>
      </c>
      <c r="AC250" s="103">
        <v>0</v>
      </c>
      <c r="AD250" s="103">
        <v>15</v>
      </c>
      <c r="AE250" s="103" t="s">
        <v>1634</v>
      </c>
      <c r="AF250" s="103" t="s">
        <v>4623</v>
      </c>
      <c r="AG250" s="99" t="s">
        <v>5199</v>
      </c>
      <c r="AH250" s="103" t="s">
        <v>1862</v>
      </c>
      <c r="AI250" s="103" t="s">
        <v>1862</v>
      </c>
      <c r="AJ250" s="103" t="s">
        <v>1804</v>
      </c>
      <c r="AK250" s="103" t="s">
        <v>1862</v>
      </c>
      <c r="AL250" s="103" t="s">
        <v>1804</v>
      </c>
      <c r="AM250" s="103" t="s">
        <v>1804</v>
      </c>
      <c r="AN250" s="99" t="s">
        <v>4735</v>
      </c>
      <c r="AO250" s="103" t="s">
        <v>1862</v>
      </c>
      <c r="AP250" s="103">
        <v>1500</v>
      </c>
      <c r="AQ250" s="103" t="s">
        <v>4461</v>
      </c>
      <c r="AR250" s="103">
        <v>0</v>
      </c>
      <c r="AS250" s="106">
        <v>1700000</v>
      </c>
      <c r="AT250" s="103" t="s">
        <v>4510</v>
      </c>
      <c r="AU250" s="103" t="s">
        <v>1548</v>
      </c>
      <c r="AV250" s="99" t="s">
        <v>4671</v>
      </c>
      <c r="AW250" s="99" t="s">
        <v>4973</v>
      </c>
      <c r="AX250" s="99" t="s">
        <v>5493</v>
      </c>
      <c r="AY250" s="99" t="s">
        <v>4560</v>
      </c>
      <c r="AZ250" s="99" t="s">
        <v>4467</v>
      </c>
      <c r="BA250" s="103" t="s">
        <v>1634</v>
      </c>
      <c r="BB250" s="99">
        <v>0</v>
      </c>
      <c r="BC250" s="99">
        <v>1000</v>
      </c>
      <c r="BD250" s="99">
        <v>0</v>
      </c>
      <c r="BE250" s="99">
        <v>1560000</v>
      </c>
      <c r="BF250" s="103" t="s">
        <v>4793</v>
      </c>
      <c r="BG250" s="103" t="s">
        <v>1804</v>
      </c>
      <c r="BH250" s="103" t="s">
        <v>1804</v>
      </c>
      <c r="BI250" s="103" t="s">
        <v>1862</v>
      </c>
      <c r="BJ250" s="103" t="s">
        <v>1804</v>
      </c>
      <c r="BK250" s="103" t="s">
        <v>4478</v>
      </c>
      <c r="BL250" s="103" t="s">
        <v>4472</v>
      </c>
      <c r="BM250" s="103" t="s">
        <v>4461</v>
      </c>
      <c r="BN250" s="103" t="s">
        <v>4643</v>
      </c>
      <c r="BO250" s="103">
        <v>200</v>
      </c>
      <c r="BP250" s="103" t="s">
        <v>4500</v>
      </c>
      <c r="BQ250" s="99" t="s">
        <v>4476</v>
      </c>
      <c r="BR250" s="99"/>
      <c r="BS250" s="99"/>
      <c r="BT250" s="103" t="s">
        <v>3186</v>
      </c>
      <c r="BU250" s="99" t="s">
        <v>4502</v>
      </c>
      <c r="BV250" s="103" t="s">
        <v>4476</v>
      </c>
      <c r="BW250" s="103" t="s">
        <v>4476</v>
      </c>
      <c r="BX250" s="103" t="s">
        <v>1548</v>
      </c>
      <c r="BY250" s="103" t="s">
        <v>4535</v>
      </c>
      <c r="BZ250" s="103" t="s">
        <v>4478</v>
      </c>
      <c r="CA250" s="103" t="s">
        <v>4461</v>
      </c>
      <c r="CB250" s="103">
        <v>120</v>
      </c>
      <c r="CC250" s="103" t="s">
        <v>4502</v>
      </c>
      <c r="CD250" s="103" t="s">
        <v>4502</v>
      </c>
      <c r="CE250" s="103" t="s">
        <v>4502</v>
      </c>
      <c r="CF250" s="103" t="s">
        <v>4482</v>
      </c>
      <c r="CG250" s="103" t="s">
        <v>5650</v>
      </c>
      <c r="CH250" s="103" t="s">
        <v>5651</v>
      </c>
      <c r="CI250" s="103">
        <v>72047199</v>
      </c>
      <c r="CJ250" s="103"/>
      <c r="CK250" s="108">
        <v>43364.42</v>
      </c>
      <c r="CL250" s="109">
        <v>43365.529039351852</v>
      </c>
      <c r="CM250" s="95">
        <v>12.743024399999999</v>
      </c>
      <c r="CN250" s="95">
        <v>-3.8553506999999998</v>
      </c>
      <c r="CO250" s="99"/>
      <c r="CP250" s="99"/>
      <c r="CQ250" s="99"/>
      <c r="CR250" s="99"/>
      <c r="CS250" s="99"/>
      <c r="CT250" s="99"/>
      <c r="CU250" s="99"/>
      <c r="CV250" s="99"/>
      <c r="CW250" s="99"/>
      <c r="CX250" s="99"/>
      <c r="CY250" s="99"/>
      <c r="CZ250" s="99"/>
      <c r="DA250" s="99"/>
      <c r="DB250" s="99"/>
      <c r="DC250" s="99"/>
    </row>
    <row r="251" spans="1:107" ht="15.75" customHeight="1">
      <c r="A251" s="95">
        <v>254</v>
      </c>
      <c r="B251" s="99" t="s">
        <v>918</v>
      </c>
      <c r="C251" s="99" t="s">
        <v>919</v>
      </c>
      <c r="D251" s="99">
        <v>71474279</v>
      </c>
      <c r="E251" s="99" t="s">
        <v>375</v>
      </c>
      <c r="F251" s="95" t="s">
        <v>4677</v>
      </c>
      <c r="G251" s="95" t="s">
        <v>1057</v>
      </c>
      <c r="H251" s="95" t="s">
        <v>1058</v>
      </c>
      <c r="I251" s="95" t="s">
        <v>40</v>
      </c>
      <c r="J251" s="95"/>
      <c r="K251" s="99"/>
      <c r="L251" s="103" t="s">
        <v>4449</v>
      </c>
      <c r="M251" s="99" t="s">
        <v>4567</v>
      </c>
      <c r="N251" s="99" t="s">
        <v>4520</v>
      </c>
      <c r="O251" s="99" t="s">
        <v>4488</v>
      </c>
      <c r="P251" s="103"/>
      <c r="Q251" s="103"/>
      <c r="R251" s="99"/>
      <c r="S251" s="103" t="s">
        <v>1541</v>
      </c>
      <c r="T251" s="103" t="s">
        <v>4822</v>
      </c>
      <c r="U251" s="99" t="s">
        <v>4678</v>
      </c>
      <c r="V251" s="95">
        <v>13.0695031</v>
      </c>
      <c r="W251" s="95">
        <v>-3.0626283999999999</v>
      </c>
      <c r="X251" s="104" t="s">
        <v>4650</v>
      </c>
      <c r="Y251" s="103"/>
      <c r="Z251" s="103"/>
      <c r="AA251" s="103"/>
      <c r="AB251" s="103"/>
      <c r="AC251" s="103"/>
      <c r="AD251" s="103"/>
      <c r="AE251" s="103"/>
      <c r="AF251" s="103"/>
      <c r="AG251" s="99"/>
      <c r="AH251" s="103"/>
      <c r="AI251" s="103"/>
      <c r="AJ251" s="103"/>
      <c r="AK251" s="103"/>
      <c r="AL251" s="103"/>
      <c r="AM251" s="103"/>
      <c r="AN251" s="99"/>
      <c r="AO251" s="103"/>
      <c r="AP251" s="103"/>
      <c r="AQ251" s="103"/>
      <c r="AR251" s="103"/>
      <c r="AS251" s="99"/>
      <c r="AT251" s="103"/>
      <c r="AU251" s="103"/>
      <c r="AV251" s="99"/>
      <c r="AW251" s="99"/>
      <c r="AX251" s="99"/>
      <c r="AY251" s="99"/>
      <c r="AZ251" s="99"/>
      <c r="BA251" s="103"/>
      <c r="BB251" s="99"/>
      <c r="BC251" s="99"/>
      <c r="BD251" s="99"/>
      <c r="BE251" s="99"/>
      <c r="BF251" s="103"/>
      <c r="BG251" s="103"/>
      <c r="BH251" s="103"/>
      <c r="BI251" s="103"/>
      <c r="BJ251" s="103"/>
      <c r="BK251" s="103" t="s">
        <v>4499</v>
      </c>
      <c r="BL251" s="103"/>
      <c r="BM251" s="103"/>
      <c r="BN251" s="103"/>
      <c r="BO251" s="103"/>
      <c r="BP251" s="103"/>
      <c r="BQ251" s="107"/>
      <c r="BR251" s="99"/>
      <c r="BS251" s="99"/>
      <c r="BT251" s="103" t="s">
        <v>3186</v>
      </c>
      <c r="BU251" s="99"/>
      <c r="BV251" s="103"/>
      <c r="BW251" s="103"/>
      <c r="BX251" s="103"/>
      <c r="BY251" s="103"/>
      <c r="BZ251" s="103"/>
      <c r="CA251" s="103"/>
      <c r="CB251" s="103"/>
      <c r="CC251" s="103"/>
      <c r="CD251" s="103"/>
      <c r="CE251" s="103"/>
      <c r="CF251" s="103"/>
      <c r="CG251" s="103" t="s">
        <v>918</v>
      </c>
      <c r="CH251" s="103" t="s">
        <v>919</v>
      </c>
      <c r="CI251" s="103">
        <v>71474279</v>
      </c>
      <c r="CJ251" s="103"/>
      <c r="CK251" s="108">
        <v>43365.365300925929</v>
      </c>
      <c r="CL251" s="109">
        <v>43369.787199074075</v>
      </c>
      <c r="CM251" s="95">
        <v>13.0695031</v>
      </c>
      <c r="CN251" s="95">
        <v>-3.0626283999999999</v>
      </c>
      <c r="CO251" s="99"/>
      <c r="CP251" s="99"/>
      <c r="CQ251" s="99"/>
      <c r="CR251" s="99"/>
      <c r="CS251" s="99"/>
      <c r="CT251" s="99"/>
      <c r="CU251" s="99"/>
      <c r="CV251" s="99"/>
      <c r="CW251" s="99"/>
      <c r="CX251" s="99"/>
      <c r="CY251" s="99"/>
      <c r="CZ251" s="99"/>
      <c r="DA251" s="99"/>
      <c r="DB251" s="99"/>
      <c r="DC251" s="99"/>
    </row>
    <row r="252" spans="1:107" ht="15.75" customHeight="1">
      <c r="A252" s="95">
        <v>255</v>
      </c>
      <c r="B252" s="99" t="s">
        <v>918</v>
      </c>
      <c r="C252" s="99" t="s">
        <v>919</v>
      </c>
      <c r="D252" s="99">
        <v>71474279</v>
      </c>
      <c r="E252" s="99" t="s">
        <v>376</v>
      </c>
      <c r="F252" s="95" t="s">
        <v>4677</v>
      </c>
      <c r="G252" s="95" t="s">
        <v>1057</v>
      </c>
      <c r="H252" s="95" t="s">
        <v>1058</v>
      </c>
      <c r="I252" s="95" t="s">
        <v>40</v>
      </c>
      <c r="J252" s="95"/>
      <c r="K252" s="99"/>
      <c r="L252" s="103" t="s">
        <v>4449</v>
      </c>
      <c r="M252" s="99" t="s">
        <v>4567</v>
      </c>
      <c r="N252" s="99" t="s">
        <v>4520</v>
      </c>
      <c r="O252" s="99" t="s">
        <v>4488</v>
      </c>
      <c r="P252" s="103"/>
      <c r="Q252" s="103"/>
      <c r="R252" s="99"/>
      <c r="S252" s="103" t="s">
        <v>1541</v>
      </c>
      <c r="T252" s="103" t="s">
        <v>4822</v>
      </c>
      <c r="U252" s="99" t="s">
        <v>4678</v>
      </c>
      <c r="V252" s="95">
        <v>13.0695031</v>
      </c>
      <c r="W252" s="95">
        <v>-3.0626283999999999</v>
      </c>
      <c r="X252" s="104" t="s">
        <v>4650</v>
      </c>
      <c r="Y252" s="103"/>
      <c r="Z252" s="103"/>
      <c r="AA252" s="103"/>
      <c r="AB252" s="103"/>
      <c r="AC252" s="103"/>
      <c r="AD252" s="103"/>
      <c r="AE252" s="103"/>
      <c r="AF252" s="103"/>
      <c r="AG252" s="99"/>
      <c r="AH252" s="103"/>
      <c r="AI252" s="103"/>
      <c r="AJ252" s="103"/>
      <c r="AK252" s="103"/>
      <c r="AL252" s="103"/>
      <c r="AM252" s="103"/>
      <c r="AN252" s="99"/>
      <c r="AO252" s="103"/>
      <c r="AP252" s="103"/>
      <c r="AQ252" s="103"/>
      <c r="AR252" s="103"/>
      <c r="AS252" s="99"/>
      <c r="AT252" s="103"/>
      <c r="AU252" s="103"/>
      <c r="AV252" s="99"/>
      <c r="AW252" s="99"/>
      <c r="AX252" s="99"/>
      <c r="AY252" s="99"/>
      <c r="AZ252" s="99"/>
      <c r="BA252" s="103"/>
      <c r="BB252" s="99"/>
      <c r="BC252" s="99"/>
      <c r="BD252" s="99"/>
      <c r="BE252" s="99"/>
      <c r="BF252" s="103"/>
      <c r="BG252" s="103"/>
      <c r="BH252" s="103"/>
      <c r="BI252" s="103"/>
      <c r="BJ252" s="103"/>
      <c r="BK252" s="103" t="s">
        <v>4499</v>
      </c>
      <c r="BL252" s="103"/>
      <c r="BM252" s="103"/>
      <c r="BN252" s="103"/>
      <c r="BO252" s="103"/>
      <c r="BP252" s="103"/>
      <c r="BQ252" s="107"/>
      <c r="BR252" s="99"/>
      <c r="BS252" s="99"/>
      <c r="BT252" s="103" t="s">
        <v>3186</v>
      </c>
      <c r="BU252" s="99"/>
      <c r="BV252" s="103"/>
      <c r="BW252" s="103"/>
      <c r="BX252" s="103"/>
      <c r="BY252" s="103"/>
      <c r="BZ252" s="103"/>
      <c r="CA252" s="103"/>
      <c r="CB252" s="103"/>
      <c r="CC252" s="103"/>
      <c r="CD252" s="103"/>
      <c r="CE252" s="103"/>
      <c r="CF252" s="103"/>
      <c r="CG252" s="103" t="s">
        <v>918</v>
      </c>
      <c r="CH252" s="103" t="s">
        <v>919</v>
      </c>
      <c r="CI252" s="103">
        <v>71474279</v>
      </c>
      <c r="CJ252" s="103"/>
      <c r="CK252" s="108">
        <v>43365.363865740743</v>
      </c>
      <c r="CL252" s="109">
        <v>43369.795601851853</v>
      </c>
      <c r="CM252" s="95">
        <v>13.0695031</v>
      </c>
      <c r="CN252" s="95">
        <v>-3.0626283999999999</v>
      </c>
      <c r="CO252" s="99"/>
      <c r="CP252" s="99"/>
      <c r="CQ252" s="99"/>
      <c r="CR252" s="99"/>
      <c r="CS252" s="99"/>
      <c r="CT252" s="99"/>
      <c r="CU252" s="99"/>
      <c r="CV252" s="99"/>
      <c r="CW252" s="99"/>
      <c r="CX252" s="99"/>
      <c r="CY252" s="99"/>
      <c r="CZ252" s="99"/>
      <c r="DA252" s="99"/>
      <c r="DB252" s="99"/>
      <c r="DC252" s="99"/>
    </row>
    <row r="253" spans="1:107" ht="15.75" customHeight="1">
      <c r="A253" s="95">
        <v>256</v>
      </c>
      <c r="B253" s="99" t="s">
        <v>651</v>
      </c>
      <c r="C253" s="99" t="s">
        <v>822</v>
      </c>
      <c r="D253" s="99">
        <v>78250712</v>
      </c>
      <c r="E253" s="99" t="s">
        <v>377</v>
      </c>
      <c r="F253" s="95" t="s">
        <v>5377</v>
      </c>
      <c r="G253" s="95" t="s">
        <v>1052</v>
      </c>
      <c r="H253" s="95" t="s">
        <v>1090</v>
      </c>
      <c r="I253" s="95" t="s">
        <v>119</v>
      </c>
      <c r="J253" s="95"/>
      <c r="K253" s="99"/>
      <c r="L253" s="103" t="s">
        <v>4449</v>
      </c>
      <c r="M253" s="99" t="s">
        <v>4567</v>
      </c>
      <c r="N253" s="99" t="s">
        <v>4451</v>
      </c>
      <c r="O253" s="99" t="s">
        <v>4818</v>
      </c>
      <c r="P253" s="103">
        <v>2002</v>
      </c>
      <c r="Q253" s="103" t="s">
        <v>1862</v>
      </c>
      <c r="R253" s="99" t="s">
        <v>4991</v>
      </c>
      <c r="S253" s="103" t="s">
        <v>1541</v>
      </c>
      <c r="T253" s="103" t="s">
        <v>4522</v>
      </c>
      <c r="U253" s="99" t="s">
        <v>5378</v>
      </c>
      <c r="V253" s="95">
        <v>12.908255199999999</v>
      </c>
      <c r="W253" s="95">
        <v>-1.0765746</v>
      </c>
      <c r="X253" s="104" t="s">
        <v>5379</v>
      </c>
      <c r="Y253" s="103" t="s">
        <v>1548</v>
      </c>
      <c r="Z253" s="103" t="s">
        <v>1548</v>
      </c>
      <c r="AA253" s="103" t="s">
        <v>1862</v>
      </c>
      <c r="AB253" s="103">
        <v>36</v>
      </c>
      <c r="AC253" s="103">
        <v>0</v>
      </c>
      <c r="AD253" s="103">
        <v>36</v>
      </c>
      <c r="AE253" s="103" t="s">
        <v>1634</v>
      </c>
      <c r="AF253" s="103" t="s">
        <v>4493</v>
      </c>
      <c r="AG253" s="99" t="s">
        <v>4790</v>
      </c>
      <c r="AH253" s="103" t="s">
        <v>1804</v>
      </c>
      <c r="AI253" s="103" t="s">
        <v>1862</v>
      </c>
      <c r="AJ253" s="103" t="s">
        <v>1862</v>
      </c>
      <c r="AK253" s="103" t="s">
        <v>1862</v>
      </c>
      <c r="AL253" s="103" t="s">
        <v>1804</v>
      </c>
      <c r="AM253" s="103" t="s">
        <v>1862</v>
      </c>
      <c r="AN253" s="99" t="s">
        <v>4584</v>
      </c>
      <c r="AO253" s="103" t="s">
        <v>1862</v>
      </c>
      <c r="AP253" s="103">
        <v>1500</v>
      </c>
      <c r="AQ253" s="112" t="s">
        <v>4461</v>
      </c>
      <c r="AR253" s="103"/>
      <c r="AS253" s="106">
        <v>250000</v>
      </c>
      <c r="AT253" s="103" t="s">
        <v>4496</v>
      </c>
      <c r="AU253" s="103" t="s">
        <v>1634</v>
      </c>
      <c r="AV253" s="99" t="s">
        <v>4463</v>
      </c>
      <c r="AW253" s="99" t="s">
        <v>4866</v>
      </c>
      <c r="AX253" s="99" t="s">
        <v>4930</v>
      </c>
      <c r="AY253" s="99" t="s">
        <v>4466</v>
      </c>
      <c r="AZ253" s="99" t="s">
        <v>4467</v>
      </c>
      <c r="BA253" s="103" t="s">
        <v>1634</v>
      </c>
      <c r="BB253" s="99"/>
      <c r="BC253" s="99">
        <v>1560</v>
      </c>
      <c r="BD253" s="99"/>
      <c r="BE253" s="99">
        <v>2340000</v>
      </c>
      <c r="BF253" s="103" t="s">
        <v>4511</v>
      </c>
      <c r="BG253" s="103" t="s">
        <v>1804</v>
      </c>
      <c r="BH253" s="103" t="s">
        <v>1862</v>
      </c>
      <c r="BI253" s="103" t="s">
        <v>1804</v>
      </c>
      <c r="BJ253" s="103" t="s">
        <v>1804</v>
      </c>
      <c r="BK253" s="103" t="s">
        <v>4499</v>
      </c>
      <c r="BL253" s="103" t="s">
        <v>4470</v>
      </c>
      <c r="BM253" s="103" t="s">
        <v>4470</v>
      </c>
      <c r="BN253" s="103" t="s">
        <v>4545</v>
      </c>
      <c r="BO253" s="103">
        <v>3400</v>
      </c>
      <c r="BP253" s="103" t="s">
        <v>4500</v>
      </c>
      <c r="BQ253" s="99" t="s">
        <v>4476</v>
      </c>
      <c r="BR253" s="99" t="s">
        <v>4476</v>
      </c>
      <c r="BS253" s="99" t="s">
        <v>4809</v>
      </c>
      <c r="BT253" s="103" t="s">
        <v>3186</v>
      </c>
      <c r="BU253" s="99" t="s">
        <v>4476</v>
      </c>
      <c r="BV253" s="103" t="s">
        <v>4476</v>
      </c>
      <c r="BW253" s="103" t="s">
        <v>1548</v>
      </c>
      <c r="BX253" s="103" t="s">
        <v>4535</v>
      </c>
      <c r="BY253" s="103" t="s">
        <v>4499</v>
      </c>
      <c r="BZ253" s="103" t="s">
        <v>4509</v>
      </c>
      <c r="CA253" s="103">
        <v>3</v>
      </c>
      <c r="CB253" s="103" t="s">
        <v>4475</v>
      </c>
      <c r="CC253" s="103" t="s">
        <v>4479</v>
      </c>
      <c r="CD253" s="103" t="s">
        <v>4475</v>
      </c>
      <c r="CE253" s="112" t="s">
        <v>4481</v>
      </c>
      <c r="CF253" s="103"/>
      <c r="CG253" s="103" t="s">
        <v>5652</v>
      </c>
      <c r="CH253" s="103" t="s">
        <v>849</v>
      </c>
      <c r="CI253" s="103">
        <v>78250712</v>
      </c>
      <c r="CJ253" s="99"/>
      <c r="CK253" s="108">
        <v>43365.525034722225</v>
      </c>
      <c r="CL253" s="108">
        <v>43366.372523148151</v>
      </c>
      <c r="CM253" s="95">
        <v>12.908255199999999</v>
      </c>
      <c r="CN253" s="95">
        <v>-1.0765746</v>
      </c>
      <c r="CO253" s="99"/>
      <c r="CP253" s="99"/>
      <c r="CQ253" s="99"/>
      <c r="CR253" s="99"/>
      <c r="CS253" s="99"/>
      <c r="CT253" s="99"/>
      <c r="CU253" s="99"/>
      <c r="CV253" s="99"/>
      <c r="CW253" s="99"/>
      <c r="CX253" s="99"/>
      <c r="CY253" s="99"/>
      <c r="CZ253" s="99"/>
      <c r="DA253" s="99"/>
      <c r="DB253" s="99"/>
      <c r="DC253" s="99"/>
    </row>
    <row r="254" spans="1:107" ht="15.75" customHeight="1">
      <c r="A254" s="95">
        <v>257</v>
      </c>
      <c r="B254" s="99" t="s">
        <v>537</v>
      </c>
      <c r="C254" s="99" t="s">
        <v>920</v>
      </c>
      <c r="D254" s="99">
        <v>61028698</v>
      </c>
      <c r="E254" s="99" t="s">
        <v>378</v>
      </c>
      <c r="F254" s="95" t="s">
        <v>5653</v>
      </c>
      <c r="G254" s="95" t="s">
        <v>1068</v>
      </c>
      <c r="H254" s="95" t="s">
        <v>1069</v>
      </c>
      <c r="I254" s="95" t="s">
        <v>379</v>
      </c>
      <c r="J254" s="95" t="s">
        <v>1136</v>
      </c>
      <c r="K254" s="99"/>
      <c r="L254" s="103" t="s">
        <v>4449</v>
      </c>
      <c r="M254" s="99" t="s">
        <v>4450</v>
      </c>
      <c r="N254" s="99" t="s">
        <v>4817</v>
      </c>
      <c r="O254" s="99" t="s">
        <v>4818</v>
      </c>
      <c r="P254" s="103">
        <v>2000</v>
      </c>
      <c r="Q254" s="103" t="s">
        <v>1862</v>
      </c>
      <c r="R254" s="99" t="s">
        <v>4633</v>
      </c>
      <c r="S254" s="103" t="s">
        <v>4803</v>
      </c>
      <c r="T254" s="103" t="s">
        <v>4634</v>
      </c>
      <c r="U254" s="99" t="s">
        <v>5654</v>
      </c>
      <c r="V254" s="95">
        <v>10.753133800000001</v>
      </c>
      <c r="W254" s="95">
        <v>-3.4007100000000001</v>
      </c>
      <c r="X254" s="104" t="s">
        <v>5655</v>
      </c>
      <c r="Y254" s="103" t="s">
        <v>1634</v>
      </c>
      <c r="Z254" s="103" t="s">
        <v>1634</v>
      </c>
      <c r="AA254" s="103" t="s">
        <v>1862</v>
      </c>
      <c r="AB254" s="103">
        <v>358</v>
      </c>
      <c r="AC254" s="103">
        <v>3</v>
      </c>
      <c r="AD254" s="103">
        <v>355</v>
      </c>
      <c r="AE254" s="103" t="s">
        <v>1634</v>
      </c>
      <c r="AF254" s="103" t="s">
        <v>4637</v>
      </c>
      <c r="AG254" s="99" t="s">
        <v>4554</v>
      </c>
      <c r="AH254" s="103" t="s">
        <v>1862</v>
      </c>
      <c r="AI254" s="103" t="s">
        <v>1862</v>
      </c>
      <c r="AJ254" s="103" t="s">
        <v>1862</v>
      </c>
      <c r="AK254" s="103" t="s">
        <v>1862</v>
      </c>
      <c r="AL254" s="103" t="s">
        <v>1804</v>
      </c>
      <c r="AM254" s="103" t="s">
        <v>1862</v>
      </c>
      <c r="AN254" s="99" t="s">
        <v>4638</v>
      </c>
      <c r="AO254" s="103" t="s">
        <v>1862</v>
      </c>
      <c r="AP254" s="103">
        <v>1600</v>
      </c>
      <c r="AQ254" s="112" t="s">
        <v>4461</v>
      </c>
      <c r="AR254" s="103"/>
      <c r="AS254" s="106">
        <v>50000000</v>
      </c>
      <c r="AT254" s="103" t="s">
        <v>4527</v>
      </c>
      <c r="AU254" s="103" t="s">
        <v>1634</v>
      </c>
      <c r="AV254" s="99" t="s">
        <v>4463</v>
      </c>
      <c r="AW254" s="99" t="s">
        <v>4639</v>
      </c>
      <c r="AX254" s="99" t="s">
        <v>4640</v>
      </c>
      <c r="AY254" s="99" t="s">
        <v>4641</v>
      </c>
      <c r="AZ254" s="99" t="s">
        <v>4530</v>
      </c>
      <c r="BA254" s="103" t="s">
        <v>1634</v>
      </c>
      <c r="BB254" s="99"/>
      <c r="BC254" s="99">
        <v>250</v>
      </c>
      <c r="BD254" s="99"/>
      <c r="BE254" s="99">
        <v>37500000</v>
      </c>
      <c r="BF254" s="103" t="s">
        <v>4642</v>
      </c>
      <c r="BG254" s="103" t="s">
        <v>1862</v>
      </c>
      <c r="BH254" s="103" t="s">
        <v>1862</v>
      </c>
      <c r="BI254" s="103" t="s">
        <v>1862</v>
      </c>
      <c r="BJ254" s="103" t="s">
        <v>1862</v>
      </c>
      <c r="BK254" s="103" t="s">
        <v>4469</v>
      </c>
      <c r="BL254" s="103" t="s">
        <v>4472</v>
      </c>
      <c r="BM254" s="103" t="s">
        <v>4461</v>
      </c>
      <c r="BN254" s="103" t="s">
        <v>4643</v>
      </c>
      <c r="BO254" s="103">
        <v>450</v>
      </c>
      <c r="BP254" s="103" t="s">
        <v>4532</v>
      </c>
      <c r="BQ254" s="99" t="s">
        <v>4644</v>
      </c>
      <c r="BR254" s="99" t="s">
        <v>4644</v>
      </c>
      <c r="BS254" s="99" t="s">
        <v>4564</v>
      </c>
      <c r="BT254" s="103" t="s">
        <v>3186</v>
      </c>
      <c r="BU254" s="99"/>
      <c r="BV254" s="103" t="s">
        <v>4644</v>
      </c>
      <c r="BW254" s="103" t="s">
        <v>4644</v>
      </c>
      <c r="BX254" s="103"/>
      <c r="BY254" s="103"/>
      <c r="BZ254" s="103"/>
      <c r="CA254" s="103"/>
      <c r="CB254" s="103"/>
      <c r="CC254" s="103" t="s">
        <v>4502</v>
      </c>
      <c r="CD254" s="103" t="s">
        <v>4475</v>
      </c>
      <c r="CE254" s="112" t="s">
        <v>4475</v>
      </c>
      <c r="CF254" s="103"/>
      <c r="CG254" s="103" t="s">
        <v>537</v>
      </c>
      <c r="CH254" s="103" t="s">
        <v>920</v>
      </c>
      <c r="CI254" s="103">
        <v>71866653</v>
      </c>
      <c r="CJ254" s="103"/>
      <c r="CK254" s="108">
        <v>43364.693287037036</v>
      </c>
      <c r="CL254" s="109">
        <v>43364.732754629629</v>
      </c>
      <c r="CM254" s="95">
        <v>10.753133800000001</v>
      </c>
      <c r="CN254" s="95">
        <v>-3.4007100000000001</v>
      </c>
      <c r="CO254" s="99"/>
      <c r="CP254" s="99"/>
      <c r="CQ254" s="99"/>
      <c r="CR254" s="99"/>
      <c r="CS254" s="99"/>
      <c r="CT254" s="99"/>
      <c r="CU254" s="99"/>
      <c r="CV254" s="99"/>
      <c r="CW254" s="99"/>
      <c r="CX254" s="99"/>
      <c r="CY254" s="99"/>
      <c r="CZ254" s="99"/>
      <c r="DA254" s="99"/>
      <c r="DB254" s="99"/>
      <c r="DC254" s="99"/>
    </row>
    <row r="255" spans="1:107" ht="15.75" customHeight="1">
      <c r="A255" s="95">
        <v>258</v>
      </c>
      <c r="B255" s="99" t="s">
        <v>921</v>
      </c>
      <c r="C255" s="99" t="s">
        <v>648</v>
      </c>
      <c r="D255" s="99">
        <v>75752232</v>
      </c>
      <c r="E255" s="99" t="s">
        <v>380</v>
      </c>
      <c r="F255" s="95" t="s">
        <v>5656</v>
      </c>
      <c r="G255" s="95" t="s">
        <v>1068</v>
      </c>
      <c r="H255" s="95" t="s">
        <v>1094</v>
      </c>
      <c r="I255" s="95" t="s">
        <v>381</v>
      </c>
      <c r="J255" s="95"/>
      <c r="K255" s="99"/>
      <c r="L255" s="103" t="s">
        <v>4449</v>
      </c>
      <c r="M255" s="99" t="s">
        <v>4487</v>
      </c>
      <c r="N255" s="99" t="s">
        <v>4520</v>
      </c>
      <c r="O255" s="99" t="s">
        <v>4754</v>
      </c>
      <c r="P255" s="103">
        <v>2005</v>
      </c>
      <c r="Q255" s="103" t="s">
        <v>1862</v>
      </c>
      <c r="R255" s="99" t="s">
        <v>4521</v>
      </c>
      <c r="S255" s="103" t="s">
        <v>2282</v>
      </c>
      <c r="T255" s="103" t="s">
        <v>4455</v>
      </c>
      <c r="U255" s="99" t="s">
        <v>5657</v>
      </c>
      <c r="V255" s="95">
        <v>9.8440946</v>
      </c>
      <c r="W255" s="95">
        <v>-2.9775558000000002</v>
      </c>
      <c r="X255" s="104" t="s">
        <v>5356</v>
      </c>
      <c r="Y255" s="103"/>
      <c r="Z255" s="103"/>
      <c r="AA255" s="103"/>
      <c r="AB255" s="103"/>
      <c r="AC255" s="103"/>
      <c r="AD255" s="103"/>
      <c r="AE255" s="103"/>
      <c r="AF255" s="103"/>
      <c r="AG255" s="99"/>
      <c r="AH255" s="103"/>
      <c r="AI255" s="103"/>
      <c r="AJ255" s="103"/>
      <c r="AK255" s="103"/>
      <c r="AL255" s="103"/>
      <c r="AM255" s="103"/>
      <c r="AN255" s="99"/>
      <c r="AO255" s="103"/>
      <c r="AP255" s="103"/>
      <c r="AQ255" s="103"/>
      <c r="AR255" s="103"/>
      <c r="AS255" s="99"/>
      <c r="AT255" s="103"/>
      <c r="AU255" s="103"/>
      <c r="AV255" s="99"/>
      <c r="AW255" s="99"/>
      <c r="AX255" s="99"/>
      <c r="AY255" s="99"/>
      <c r="AZ255" s="99"/>
      <c r="BA255" s="103"/>
      <c r="BB255" s="99"/>
      <c r="BC255" s="99"/>
      <c r="BD255" s="99"/>
      <c r="BE255" s="99"/>
      <c r="BF255" s="103"/>
      <c r="BG255" s="103"/>
      <c r="BH255" s="103"/>
      <c r="BI255" s="103"/>
      <c r="BJ255" s="103"/>
      <c r="BK255" s="103" t="s">
        <v>4499</v>
      </c>
      <c r="BL255" s="103"/>
      <c r="BM255" s="103"/>
      <c r="BN255" s="103"/>
      <c r="BO255" s="103"/>
      <c r="BP255" s="103"/>
      <c r="BQ255" s="107"/>
      <c r="BR255" s="99"/>
      <c r="BS255" s="99"/>
      <c r="BT255" s="103" t="s">
        <v>3186</v>
      </c>
      <c r="BU255" s="99"/>
      <c r="BV255" s="103"/>
      <c r="BW255" s="103"/>
      <c r="BX255" s="103"/>
      <c r="BY255" s="103"/>
      <c r="BZ255" s="103"/>
      <c r="CA255" s="103"/>
      <c r="CB255" s="103"/>
      <c r="CC255" s="103"/>
      <c r="CD255" s="103"/>
      <c r="CE255" s="103"/>
      <c r="CF255" s="103"/>
      <c r="CG255" s="103"/>
      <c r="CH255" s="103"/>
      <c r="CI255" s="103">
        <v>75752232</v>
      </c>
      <c r="CJ255" s="103" t="s">
        <v>5658</v>
      </c>
      <c r="CK255" s="108">
        <v>43364.676840277774</v>
      </c>
      <c r="CL255" s="109">
        <v>43370.3825462963</v>
      </c>
      <c r="CM255" s="95">
        <v>9.8440946</v>
      </c>
      <c r="CN255" s="95">
        <v>-2.9775558000000002</v>
      </c>
      <c r="CO255" s="99"/>
      <c r="CP255" s="99"/>
      <c r="CQ255" s="99"/>
      <c r="CR255" s="99"/>
      <c r="CS255" s="99"/>
      <c r="CT255" s="99"/>
      <c r="CU255" s="99"/>
      <c r="CV255" s="99"/>
      <c r="CW255" s="99"/>
      <c r="CX255" s="99"/>
      <c r="CY255" s="99"/>
      <c r="CZ255" s="99"/>
      <c r="DA255" s="99"/>
      <c r="DB255" s="99"/>
      <c r="DC255" s="99"/>
    </row>
    <row r="256" spans="1:107" ht="15.75" customHeight="1">
      <c r="A256" s="95">
        <v>259</v>
      </c>
      <c r="B256" s="99" t="s">
        <v>837</v>
      </c>
      <c r="C256" s="99" t="s">
        <v>922</v>
      </c>
      <c r="D256" s="99">
        <v>66264259</v>
      </c>
      <c r="E256" s="99" t="s">
        <v>382</v>
      </c>
      <c r="F256" s="95" t="s">
        <v>5659</v>
      </c>
      <c r="G256" s="95" t="s">
        <v>1085</v>
      </c>
      <c r="H256" s="95" t="s">
        <v>1074</v>
      </c>
      <c r="I256" s="95" t="s">
        <v>383</v>
      </c>
      <c r="J256" s="95" t="s">
        <v>1137</v>
      </c>
      <c r="K256" s="99"/>
      <c r="L256" s="103" t="s">
        <v>4449</v>
      </c>
      <c r="M256" s="99" t="s">
        <v>4487</v>
      </c>
      <c r="N256" s="99" t="s">
        <v>4568</v>
      </c>
      <c r="O256" s="99" t="s">
        <v>4754</v>
      </c>
      <c r="P256" s="103">
        <v>2010</v>
      </c>
      <c r="Q256" s="103" t="s">
        <v>1862</v>
      </c>
      <c r="R256" s="99" t="s">
        <v>4521</v>
      </c>
      <c r="S256" s="103" t="s">
        <v>1541</v>
      </c>
      <c r="T256" s="103" t="s">
        <v>4538</v>
      </c>
      <c r="U256" s="99" t="s">
        <v>5660</v>
      </c>
      <c r="V256" s="95">
        <v>10.879826599999999</v>
      </c>
      <c r="W256" s="95">
        <v>-3.9365372000000001</v>
      </c>
      <c r="X256" s="104" t="s">
        <v>5661</v>
      </c>
      <c r="Y256" s="103"/>
      <c r="Z256" s="103"/>
      <c r="AA256" s="103"/>
      <c r="AB256" s="103"/>
      <c r="AC256" s="103"/>
      <c r="AD256" s="103"/>
      <c r="AE256" s="103"/>
      <c r="AF256" s="103"/>
      <c r="AG256" s="99"/>
      <c r="AH256" s="103"/>
      <c r="AI256" s="103"/>
      <c r="AJ256" s="103"/>
      <c r="AK256" s="103"/>
      <c r="AL256" s="103"/>
      <c r="AM256" s="103"/>
      <c r="AN256" s="99"/>
      <c r="AO256" s="103"/>
      <c r="AP256" s="103"/>
      <c r="AQ256" s="103"/>
      <c r="AR256" s="103"/>
      <c r="AS256" s="99"/>
      <c r="AT256" s="103"/>
      <c r="AU256" s="103"/>
      <c r="AV256" s="99"/>
      <c r="AW256" s="99"/>
      <c r="AX256" s="99"/>
      <c r="AY256" s="99"/>
      <c r="AZ256" s="99"/>
      <c r="BA256" s="103"/>
      <c r="BB256" s="99"/>
      <c r="BC256" s="99"/>
      <c r="BD256" s="99"/>
      <c r="BE256" s="99"/>
      <c r="BF256" s="103"/>
      <c r="BG256" s="103"/>
      <c r="BH256" s="103"/>
      <c r="BI256" s="103"/>
      <c r="BJ256" s="103"/>
      <c r="BK256" s="103" t="s">
        <v>4499</v>
      </c>
      <c r="BL256" s="103"/>
      <c r="BM256" s="103"/>
      <c r="BN256" s="103"/>
      <c r="BO256" s="103"/>
      <c r="BP256" s="103"/>
      <c r="BQ256" s="107"/>
      <c r="BR256" s="99"/>
      <c r="BS256" s="99"/>
      <c r="BT256" s="103" t="s">
        <v>3186</v>
      </c>
      <c r="BU256" s="99"/>
      <c r="BV256" s="103"/>
      <c r="BW256" s="103"/>
      <c r="BX256" s="103"/>
      <c r="BY256" s="103"/>
      <c r="BZ256" s="103"/>
      <c r="CA256" s="103"/>
      <c r="CB256" s="103"/>
      <c r="CC256" s="103"/>
      <c r="CD256" s="103"/>
      <c r="CE256" s="103"/>
      <c r="CF256" s="103"/>
      <c r="CG256" s="103"/>
      <c r="CH256" s="103"/>
      <c r="CI256" s="103">
        <v>66264259</v>
      </c>
      <c r="CJ256" s="103" t="s">
        <v>5662</v>
      </c>
      <c r="CK256" s="108">
        <v>43364.873159722221</v>
      </c>
      <c r="CL256" s="109">
        <v>43370.383472222224</v>
      </c>
      <c r="CM256" s="95">
        <v>10.879826599999999</v>
      </c>
      <c r="CN256" s="95">
        <v>-3.9365372000000001</v>
      </c>
      <c r="CO256" s="99"/>
      <c r="CP256" s="99"/>
      <c r="CQ256" s="99"/>
      <c r="CR256" s="99"/>
      <c r="CS256" s="99"/>
      <c r="CT256" s="99"/>
      <c r="CU256" s="99"/>
      <c r="CV256" s="99"/>
      <c r="CW256" s="99"/>
      <c r="CX256" s="99"/>
      <c r="CY256" s="99"/>
      <c r="CZ256" s="99"/>
      <c r="DA256" s="99"/>
      <c r="DB256" s="99"/>
      <c r="DC256" s="99"/>
    </row>
    <row r="257" spans="1:107" ht="15.75" customHeight="1">
      <c r="A257" s="95">
        <v>260</v>
      </c>
      <c r="B257" s="99" t="s">
        <v>923</v>
      </c>
      <c r="C257" s="99" t="s">
        <v>924</v>
      </c>
      <c r="D257" s="99">
        <v>72070937</v>
      </c>
      <c r="E257" s="99" t="s">
        <v>5663</v>
      </c>
      <c r="F257" s="95" t="s">
        <v>4720</v>
      </c>
      <c r="G257" s="95" t="s">
        <v>1057</v>
      </c>
      <c r="H257" s="95" t="s">
        <v>1063</v>
      </c>
      <c r="I257" s="95" t="s">
        <v>50</v>
      </c>
      <c r="J257" s="95"/>
      <c r="K257" s="99"/>
      <c r="L257" s="103" t="s">
        <v>4449</v>
      </c>
      <c r="M257" s="99" t="s">
        <v>4450</v>
      </c>
      <c r="N257" s="99" t="s">
        <v>4451</v>
      </c>
      <c r="O257" s="99" t="s">
        <v>4754</v>
      </c>
      <c r="P257" s="103">
        <v>1999</v>
      </c>
      <c r="Q257" s="103" t="s">
        <v>1862</v>
      </c>
      <c r="R257" s="99" t="s">
        <v>4521</v>
      </c>
      <c r="S257" s="103" t="s">
        <v>1541</v>
      </c>
      <c r="T257" s="103" t="s">
        <v>4490</v>
      </c>
      <c r="U257" s="99" t="s">
        <v>4722</v>
      </c>
      <c r="V257" s="95">
        <v>12.765364099999999</v>
      </c>
      <c r="W257" s="95">
        <v>-2.9000651999999998</v>
      </c>
      <c r="X257" s="104" t="s">
        <v>4723</v>
      </c>
      <c r="Y257" s="103" t="s">
        <v>1634</v>
      </c>
      <c r="Z257" s="103" t="s">
        <v>1634</v>
      </c>
      <c r="AA257" s="103" t="s">
        <v>1862</v>
      </c>
      <c r="AB257" s="103">
        <v>46</v>
      </c>
      <c r="AC257" s="103">
        <v>10</v>
      </c>
      <c r="AD257" s="103">
        <v>36</v>
      </c>
      <c r="AE257" s="103" t="s">
        <v>1634</v>
      </c>
      <c r="AF257" s="103" t="s">
        <v>4679</v>
      </c>
      <c r="AG257" s="99" t="s">
        <v>4902</v>
      </c>
      <c r="AH257" s="103" t="s">
        <v>1862</v>
      </c>
      <c r="AI257" s="103" t="s">
        <v>1862</v>
      </c>
      <c r="AJ257" s="103" t="s">
        <v>1804</v>
      </c>
      <c r="AK257" s="103" t="s">
        <v>1804</v>
      </c>
      <c r="AL257" s="103" t="s">
        <v>1862</v>
      </c>
      <c r="AM257" s="103" t="s">
        <v>1862</v>
      </c>
      <c r="AN257" s="99" t="s">
        <v>4735</v>
      </c>
      <c r="AO257" s="103" t="s">
        <v>1862</v>
      </c>
      <c r="AP257" s="103">
        <v>800</v>
      </c>
      <c r="AQ257" s="103" t="s">
        <v>4461</v>
      </c>
      <c r="AR257" s="103">
        <v>410000</v>
      </c>
      <c r="AS257" s="106">
        <v>75000</v>
      </c>
      <c r="AT257" s="103" t="s">
        <v>4496</v>
      </c>
      <c r="AU257" s="103" t="s">
        <v>1634</v>
      </c>
      <c r="AV257" s="99" t="s">
        <v>4671</v>
      </c>
      <c r="AW257" s="99" t="s">
        <v>5664</v>
      </c>
      <c r="AX257" s="99" t="s">
        <v>5493</v>
      </c>
      <c r="AY257" s="99" t="s">
        <v>4466</v>
      </c>
      <c r="AZ257" s="99" t="s">
        <v>4530</v>
      </c>
      <c r="BA257" s="103" t="s">
        <v>1634</v>
      </c>
      <c r="BB257" s="99">
        <v>1500</v>
      </c>
      <c r="BC257" s="99">
        <v>108</v>
      </c>
      <c r="BD257" s="99">
        <v>175000</v>
      </c>
      <c r="BE257" s="99">
        <v>55000</v>
      </c>
      <c r="BF257" s="103" t="s">
        <v>4468</v>
      </c>
      <c r="BG257" s="103" t="s">
        <v>1862</v>
      </c>
      <c r="BH257" s="103" t="s">
        <v>1862</v>
      </c>
      <c r="BI257" s="103" t="s">
        <v>1804</v>
      </c>
      <c r="BJ257" s="103" t="s">
        <v>1804</v>
      </c>
      <c r="BK257" s="103" t="s">
        <v>4478</v>
      </c>
      <c r="BL257" s="103" t="s">
        <v>4500</v>
      </c>
      <c r="BM257" s="103" t="s">
        <v>4500</v>
      </c>
      <c r="BN257" s="103" t="s">
        <v>4545</v>
      </c>
      <c r="BO257" s="103">
        <v>200</v>
      </c>
      <c r="BP257" s="103" t="s">
        <v>4532</v>
      </c>
      <c r="BQ257" s="99" t="s">
        <v>4476</v>
      </c>
      <c r="BR257" s="99" t="s">
        <v>4476</v>
      </c>
      <c r="BS257" s="99" t="s">
        <v>4474</v>
      </c>
      <c r="BT257" s="103" t="s">
        <v>3186</v>
      </c>
      <c r="BU257" s="99" t="s">
        <v>4502</v>
      </c>
      <c r="BV257" s="103" t="s">
        <v>4514</v>
      </c>
      <c r="BW257" s="103"/>
      <c r="BX257" s="103" t="s">
        <v>1548</v>
      </c>
      <c r="BY257" s="103" t="s">
        <v>4595</v>
      </c>
      <c r="BZ257" s="103" t="s">
        <v>4478</v>
      </c>
      <c r="CA257" s="103" t="s">
        <v>4509</v>
      </c>
      <c r="CB257" s="103">
        <v>1</v>
      </c>
      <c r="CC257" s="103" t="s">
        <v>4479</v>
      </c>
      <c r="CD257" s="103" t="s">
        <v>4502</v>
      </c>
      <c r="CE257" s="103" t="s">
        <v>4502</v>
      </c>
      <c r="CF257" s="103" t="s">
        <v>4482</v>
      </c>
      <c r="CG257" s="103" t="s">
        <v>5665</v>
      </c>
      <c r="CH257" s="103" t="s">
        <v>5666</v>
      </c>
      <c r="CI257" s="103">
        <v>62288083</v>
      </c>
      <c r="CJ257" s="103"/>
      <c r="CK257" s="108">
        <v>43364.504965277774</v>
      </c>
      <c r="CL257" s="109">
        <v>43369.284398148149</v>
      </c>
      <c r="CM257" s="95">
        <v>12.765364099999999</v>
      </c>
      <c r="CN257" s="95">
        <v>-2.9000651999999998</v>
      </c>
      <c r="CO257" s="99"/>
      <c r="CP257" s="99"/>
      <c r="CQ257" s="99"/>
      <c r="CR257" s="99"/>
      <c r="CS257" s="99"/>
      <c r="CT257" s="99"/>
      <c r="CU257" s="99"/>
      <c r="CV257" s="99"/>
      <c r="CW257" s="99"/>
      <c r="CX257" s="99"/>
      <c r="CY257" s="99"/>
      <c r="CZ257" s="99"/>
      <c r="DA257" s="99"/>
      <c r="DB257" s="99"/>
      <c r="DC257" s="99"/>
    </row>
    <row r="258" spans="1:107" ht="15.75" customHeight="1">
      <c r="A258" s="95">
        <v>261</v>
      </c>
      <c r="B258" s="99" t="s">
        <v>925</v>
      </c>
      <c r="C258" s="99" t="s">
        <v>119</v>
      </c>
      <c r="D258" s="99">
        <v>71101922</v>
      </c>
      <c r="E258" s="99" t="s">
        <v>385</v>
      </c>
      <c r="F258" s="95" t="s">
        <v>4720</v>
      </c>
      <c r="G258" s="95" t="s">
        <v>1057</v>
      </c>
      <c r="H258" s="95" t="s">
        <v>1063</v>
      </c>
      <c r="I258" s="95" t="s">
        <v>50</v>
      </c>
      <c r="J258" s="95"/>
      <c r="K258" s="99"/>
      <c r="L258" s="103" t="s">
        <v>4449</v>
      </c>
      <c r="M258" s="99" t="s">
        <v>4450</v>
      </c>
      <c r="N258" s="99" t="s">
        <v>4718</v>
      </c>
      <c r="O258" s="99" t="s">
        <v>4818</v>
      </c>
      <c r="P258" s="103">
        <v>2004</v>
      </c>
      <c r="Q258" s="103" t="s">
        <v>1862</v>
      </c>
      <c r="R258" s="99" t="s">
        <v>4633</v>
      </c>
      <c r="S258" s="103" t="s">
        <v>1541</v>
      </c>
      <c r="T258" s="103" t="s">
        <v>4634</v>
      </c>
      <c r="U258" s="99" t="s">
        <v>4722</v>
      </c>
      <c r="V258" s="95">
        <v>12.765364099999999</v>
      </c>
      <c r="W258" s="95">
        <v>-2.9000651999999998</v>
      </c>
      <c r="X258" s="104" t="s">
        <v>4723</v>
      </c>
      <c r="Y258" s="103" t="s">
        <v>1634</v>
      </c>
      <c r="Z258" s="103" t="s">
        <v>1634</v>
      </c>
      <c r="AA258" s="103" t="s">
        <v>1862</v>
      </c>
      <c r="AB258" s="103">
        <v>255</v>
      </c>
      <c r="AC258" s="103">
        <v>1</v>
      </c>
      <c r="AD258" s="103">
        <v>254</v>
      </c>
      <c r="AE258" s="103" t="s">
        <v>1634</v>
      </c>
      <c r="AF258" s="103" t="s">
        <v>4493</v>
      </c>
      <c r="AG258" s="99" t="s">
        <v>4554</v>
      </c>
      <c r="AH258" s="103" t="s">
        <v>1862</v>
      </c>
      <c r="AI258" s="103" t="s">
        <v>1862</v>
      </c>
      <c r="AJ258" s="103" t="s">
        <v>1862</v>
      </c>
      <c r="AK258" s="103" t="s">
        <v>1862</v>
      </c>
      <c r="AL258" s="103" t="s">
        <v>1804</v>
      </c>
      <c r="AM258" s="103" t="s">
        <v>1862</v>
      </c>
      <c r="AN258" s="99" t="s">
        <v>4638</v>
      </c>
      <c r="AO258" s="103" t="s">
        <v>1862</v>
      </c>
      <c r="AP258" s="103">
        <v>1800</v>
      </c>
      <c r="AQ258" s="112" t="s">
        <v>4461</v>
      </c>
      <c r="AR258" s="103"/>
      <c r="AS258" s="106">
        <v>47500000</v>
      </c>
      <c r="AT258" s="103" t="s">
        <v>4527</v>
      </c>
      <c r="AU258" s="103" t="s">
        <v>1634</v>
      </c>
      <c r="AV258" s="99" t="s">
        <v>4463</v>
      </c>
      <c r="AW258" s="99" t="s">
        <v>4639</v>
      </c>
      <c r="AX258" s="99" t="s">
        <v>4640</v>
      </c>
      <c r="AY258" s="99" t="s">
        <v>4641</v>
      </c>
      <c r="AZ258" s="99" t="s">
        <v>4530</v>
      </c>
      <c r="BA258" s="103" t="s">
        <v>1634</v>
      </c>
      <c r="BB258" s="99"/>
      <c r="BC258" s="99">
        <v>21000</v>
      </c>
      <c r="BD258" s="99"/>
      <c r="BE258" s="99">
        <v>40000000</v>
      </c>
      <c r="BF258" s="103" t="s">
        <v>4642</v>
      </c>
      <c r="BG258" s="103" t="s">
        <v>1862</v>
      </c>
      <c r="BH258" s="103" t="s">
        <v>1862</v>
      </c>
      <c r="BI258" s="103" t="s">
        <v>1862</v>
      </c>
      <c r="BJ258" s="103" t="s">
        <v>1862</v>
      </c>
      <c r="BK258" s="103" t="s">
        <v>4469</v>
      </c>
      <c r="BL258" s="103" t="s">
        <v>4472</v>
      </c>
      <c r="BM258" s="103" t="s">
        <v>4461</v>
      </c>
      <c r="BN258" s="103" t="s">
        <v>4643</v>
      </c>
      <c r="BO258" s="103">
        <v>500</v>
      </c>
      <c r="BP258" s="103" t="s">
        <v>4532</v>
      </c>
      <c r="BQ258" s="99" t="s">
        <v>4644</v>
      </c>
      <c r="BR258" s="99" t="s">
        <v>4644</v>
      </c>
      <c r="BS258" s="99" t="s">
        <v>4564</v>
      </c>
      <c r="BT258" s="103" t="s">
        <v>3186</v>
      </c>
      <c r="BU258" s="99"/>
      <c r="BV258" s="103" t="s">
        <v>4644</v>
      </c>
      <c r="BW258" s="103" t="s">
        <v>4644</v>
      </c>
      <c r="BX258" s="103"/>
      <c r="BY258" s="103"/>
      <c r="BZ258" s="103"/>
      <c r="CA258" s="103"/>
      <c r="CB258" s="103"/>
      <c r="CC258" s="103" t="s">
        <v>4502</v>
      </c>
      <c r="CD258" s="103" t="s">
        <v>4475</v>
      </c>
      <c r="CE258" s="112" t="s">
        <v>4475</v>
      </c>
      <c r="CF258" s="103"/>
      <c r="CG258" s="103" t="s">
        <v>925</v>
      </c>
      <c r="CH258" s="103" t="s">
        <v>623</v>
      </c>
      <c r="CI258" s="103">
        <v>71101922</v>
      </c>
      <c r="CJ258" s="103"/>
      <c r="CK258" s="108">
        <v>43364.693287037036</v>
      </c>
      <c r="CL258" s="109">
        <v>43364.732754629629</v>
      </c>
      <c r="CM258" s="95">
        <v>12.765364099999999</v>
      </c>
      <c r="CN258" s="95">
        <v>-2.9000651999999998</v>
      </c>
      <c r="CO258" s="99"/>
      <c r="CP258" s="99"/>
      <c r="CQ258" s="99"/>
      <c r="CR258" s="99"/>
      <c r="CS258" s="99"/>
      <c r="CT258" s="99"/>
      <c r="CU258" s="99"/>
      <c r="CV258" s="99"/>
      <c r="CW258" s="99"/>
      <c r="CX258" s="99"/>
      <c r="CY258" s="99"/>
      <c r="CZ258" s="99"/>
      <c r="DA258" s="99"/>
      <c r="DB258" s="99"/>
      <c r="DC258" s="99"/>
    </row>
    <row r="259" spans="1:107" ht="15.75" customHeight="1">
      <c r="A259" s="95">
        <v>262</v>
      </c>
      <c r="B259" s="99" t="s">
        <v>653</v>
      </c>
      <c r="C259" s="99" t="s">
        <v>566</v>
      </c>
      <c r="D259" s="99">
        <v>71577276</v>
      </c>
      <c r="E259" s="99" t="s">
        <v>386</v>
      </c>
      <c r="F259" s="95" t="s">
        <v>5263</v>
      </c>
      <c r="G259" s="95" t="s">
        <v>1052</v>
      </c>
      <c r="H259" s="95" t="s">
        <v>1117</v>
      </c>
      <c r="I259" s="95" t="s">
        <v>213</v>
      </c>
      <c r="J259" s="95"/>
      <c r="K259" s="99"/>
      <c r="L259" s="103" t="s">
        <v>4449</v>
      </c>
      <c r="M259" s="99" t="s">
        <v>4450</v>
      </c>
      <c r="N259" s="99" t="s">
        <v>1565</v>
      </c>
      <c r="O259" s="99" t="s">
        <v>4452</v>
      </c>
      <c r="P259" s="103">
        <v>2015</v>
      </c>
      <c r="Q259" s="103" t="s">
        <v>1548</v>
      </c>
      <c r="R259" s="99" t="s">
        <v>4551</v>
      </c>
      <c r="S259" s="103" t="s">
        <v>1541</v>
      </c>
      <c r="T259" s="103" t="s">
        <v>4538</v>
      </c>
      <c r="U259" s="99" t="s">
        <v>5265</v>
      </c>
      <c r="V259" s="95">
        <v>12.1631813</v>
      </c>
      <c r="W259" s="95">
        <v>-0.2244662</v>
      </c>
      <c r="X259" s="104" t="s">
        <v>5266</v>
      </c>
      <c r="Y259" s="103" t="s">
        <v>1548</v>
      </c>
      <c r="Z259" s="103" t="s">
        <v>1548</v>
      </c>
      <c r="AA259" s="103" t="s">
        <v>1862</v>
      </c>
      <c r="AB259" s="103">
        <v>20</v>
      </c>
      <c r="AC259" s="103">
        <v>0</v>
      </c>
      <c r="AD259" s="103">
        <v>20</v>
      </c>
      <c r="AE259" s="103" t="s">
        <v>1634</v>
      </c>
      <c r="AF259" s="103" t="s">
        <v>4493</v>
      </c>
      <c r="AG259" s="99"/>
      <c r="AH259" s="103"/>
      <c r="AI259" s="103"/>
      <c r="AJ259" s="103"/>
      <c r="AK259" s="103"/>
      <c r="AL259" s="103"/>
      <c r="AM259" s="103"/>
      <c r="AN259" s="99"/>
      <c r="AO259" s="103"/>
      <c r="AP259" s="103"/>
      <c r="AQ259" s="103"/>
      <c r="AR259" s="103"/>
      <c r="AS259" s="99"/>
      <c r="AT259" s="103"/>
      <c r="AU259" s="103"/>
      <c r="AV259" s="99"/>
      <c r="AW259" s="99"/>
      <c r="AX259" s="99"/>
      <c r="AY259" s="99"/>
      <c r="AZ259" s="99"/>
      <c r="BA259" s="103"/>
      <c r="BB259" s="99"/>
      <c r="BC259" s="99"/>
      <c r="BD259" s="99"/>
      <c r="BE259" s="99"/>
      <c r="BF259" s="103"/>
      <c r="BG259" s="103"/>
      <c r="BH259" s="103"/>
      <c r="BI259" s="103"/>
      <c r="BJ259" s="103"/>
      <c r="BK259" s="103" t="s">
        <v>4499</v>
      </c>
      <c r="BL259" s="103"/>
      <c r="BM259" s="103"/>
      <c r="BN259" s="103"/>
      <c r="BO259" s="103"/>
      <c r="BP259" s="103"/>
      <c r="BQ259" s="107"/>
      <c r="BR259" s="99"/>
      <c r="BS259" s="99"/>
      <c r="BT259" s="103" t="s">
        <v>3186</v>
      </c>
      <c r="BU259" s="99"/>
      <c r="BV259" s="103"/>
      <c r="BW259" s="103"/>
      <c r="BX259" s="103"/>
      <c r="BY259" s="103"/>
      <c r="BZ259" s="103"/>
      <c r="CA259" s="103"/>
      <c r="CB259" s="103"/>
      <c r="CC259" s="103"/>
      <c r="CD259" s="103"/>
      <c r="CE259" s="103"/>
      <c r="CF259" s="103"/>
      <c r="CG259" s="103"/>
      <c r="CH259" s="103"/>
      <c r="CI259" s="103">
        <v>71577276</v>
      </c>
      <c r="CJ259" s="103" t="s">
        <v>5667</v>
      </c>
      <c r="CK259" s="108">
        <v>43364.482905092591</v>
      </c>
      <c r="CL259" s="109">
        <v>43369.811527777776</v>
      </c>
      <c r="CM259" s="95">
        <v>12.1631813</v>
      </c>
      <c r="CN259" s="95">
        <v>-0.2244662</v>
      </c>
      <c r="CO259" s="99"/>
      <c r="CP259" s="99"/>
      <c r="CQ259" s="99"/>
      <c r="CR259" s="99"/>
      <c r="CS259" s="99"/>
      <c r="CT259" s="99"/>
      <c r="CU259" s="99"/>
      <c r="CV259" s="99"/>
      <c r="CW259" s="99"/>
      <c r="CX259" s="99"/>
      <c r="CY259" s="99"/>
      <c r="CZ259" s="99"/>
      <c r="DA259" s="99"/>
      <c r="DB259" s="99"/>
      <c r="DC259" s="99"/>
    </row>
    <row r="260" spans="1:107" ht="15.75" customHeight="1">
      <c r="A260" s="95">
        <v>263</v>
      </c>
      <c r="B260" s="99" t="s">
        <v>653</v>
      </c>
      <c r="C260" s="99" t="s">
        <v>926</v>
      </c>
      <c r="D260" s="99">
        <v>71248931</v>
      </c>
      <c r="E260" s="99" t="s">
        <v>387</v>
      </c>
      <c r="F260" s="95" t="s">
        <v>5668</v>
      </c>
      <c r="G260" s="95" t="s">
        <v>1052</v>
      </c>
      <c r="H260" s="95" t="s">
        <v>1117</v>
      </c>
      <c r="I260" s="95" t="s">
        <v>361</v>
      </c>
      <c r="J260" s="95"/>
      <c r="K260" s="99"/>
      <c r="L260" s="103" t="s">
        <v>4449</v>
      </c>
      <c r="M260" s="99" t="s">
        <v>4487</v>
      </c>
      <c r="N260" s="99" t="s">
        <v>4568</v>
      </c>
      <c r="O260" s="99" t="s">
        <v>4452</v>
      </c>
      <c r="P260" s="103">
        <v>2010</v>
      </c>
      <c r="Q260" s="103" t="s">
        <v>1862</v>
      </c>
      <c r="R260" s="99"/>
      <c r="S260" s="103" t="s">
        <v>1541</v>
      </c>
      <c r="T260" s="103" t="s">
        <v>5227</v>
      </c>
      <c r="U260" s="99" t="s">
        <v>5669</v>
      </c>
      <c r="V260" s="95">
        <v>12.180204</v>
      </c>
      <c r="W260" s="95">
        <v>-0.35130210000000001</v>
      </c>
      <c r="X260" s="104" t="s">
        <v>5670</v>
      </c>
      <c r="Y260" s="103" t="s">
        <v>1548</v>
      </c>
      <c r="Z260" s="103" t="s">
        <v>1548</v>
      </c>
      <c r="AA260" s="103" t="s">
        <v>1548</v>
      </c>
      <c r="AB260" s="103">
        <v>30</v>
      </c>
      <c r="AC260" s="103">
        <v>0</v>
      </c>
      <c r="AD260" s="103">
        <v>30</v>
      </c>
      <c r="AE260" s="103" t="s">
        <v>1634</v>
      </c>
      <c r="AF260" s="103" t="s">
        <v>4493</v>
      </c>
      <c r="AG260" s="99"/>
      <c r="AH260" s="103"/>
      <c r="AI260" s="103"/>
      <c r="AJ260" s="103"/>
      <c r="AK260" s="103"/>
      <c r="AL260" s="103"/>
      <c r="AM260" s="103"/>
      <c r="AN260" s="99"/>
      <c r="AO260" s="103"/>
      <c r="AP260" s="103"/>
      <c r="AQ260" s="103"/>
      <c r="AR260" s="103"/>
      <c r="AS260" s="99"/>
      <c r="AT260" s="103"/>
      <c r="AU260" s="103"/>
      <c r="AV260" s="99"/>
      <c r="AW260" s="99"/>
      <c r="AX260" s="99"/>
      <c r="AY260" s="99"/>
      <c r="AZ260" s="99"/>
      <c r="BA260" s="103"/>
      <c r="BB260" s="99"/>
      <c r="BC260" s="99"/>
      <c r="BD260" s="99"/>
      <c r="BE260" s="99"/>
      <c r="BF260" s="103"/>
      <c r="BG260" s="103"/>
      <c r="BH260" s="103"/>
      <c r="BI260" s="103"/>
      <c r="BJ260" s="103"/>
      <c r="BK260" s="103" t="s">
        <v>4499</v>
      </c>
      <c r="BL260" s="103"/>
      <c r="BM260" s="103"/>
      <c r="BN260" s="103"/>
      <c r="BO260" s="103"/>
      <c r="BP260" s="103"/>
      <c r="BQ260" s="107"/>
      <c r="BR260" s="99"/>
      <c r="BS260" s="99"/>
      <c r="BT260" s="103" t="s">
        <v>3186</v>
      </c>
      <c r="BU260" s="99"/>
      <c r="BV260" s="103"/>
      <c r="BW260" s="103"/>
      <c r="BX260" s="103"/>
      <c r="BY260" s="103"/>
      <c r="BZ260" s="103"/>
      <c r="CA260" s="103"/>
      <c r="CB260" s="103"/>
      <c r="CC260" s="103"/>
      <c r="CD260" s="103"/>
      <c r="CE260" s="103"/>
      <c r="CF260" s="103"/>
      <c r="CG260" s="103"/>
      <c r="CH260" s="103"/>
      <c r="CI260" s="103">
        <v>71248931</v>
      </c>
      <c r="CJ260" s="103" t="s">
        <v>5602</v>
      </c>
      <c r="CK260" s="108">
        <v>43369.824733796297</v>
      </c>
      <c r="CL260" s="109">
        <v>43369.829479166663</v>
      </c>
      <c r="CM260" s="95">
        <v>12.180204</v>
      </c>
      <c r="CN260" s="95">
        <v>-0.35130210000000001</v>
      </c>
      <c r="CO260" s="99"/>
      <c r="CP260" s="99"/>
      <c r="CQ260" s="99"/>
      <c r="CR260" s="99"/>
      <c r="CS260" s="99"/>
      <c r="CT260" s="99"/>
      <c r="CU260" s="99"/>
      <c r="CV260" s="99"/>
      <c r="CW260" s="99"/>
      <c r="CX260" s="99"/>
      <c r="CY260" s="99"/>
      <c r="CZ260" s="99"/>
      <c r="DA260" s="99"/>
      <c r="DB260" s="99"/>
      <c r="DC260" s="99"/>
    </row>
    <row r="261" spans="1:107" ht="15.75" customHeight="1">
      <c r="A261" s="95">
        <v>264</v>
      </c>
      <c r="B261" s="99" t="s">
        <v>927</v>
      </c>
      <c r="C261" s="99" t="s">
        <v>609</v>
      </c>
      <c r="D261" s="99">
        <v>75631477</v>
      </c>
      <c r="E261" s="99" t="s">
        <v>388</v>
      </c>
      <c r="F261" s="95" t="s">
        <v>5671</v>
      </c>
      <c r="G261" s="95" t="s">
        <v>1086</v>
      </c>
      <c r="H261" s="95" t="s">
        <v>1079</v>
      </c>
      <c r="I261" s="95" t="s">
        <v>87</v>
      </c>
      <c r="J261" s="95"/>
      <c r="K261" s="99"/>
      <c r="L261" s="103" t="s">
        <v>4449</v>
      </c>
      <c r="M261" s="99" t="s">
        <v>4567</v>
      </c>
      <c r="N261" s="99" t="s">
        <v>1565</v>
      </c>
      <c r="O261" s="99"/>
      <c r="P261" s="103"/>
      <c r="Q261" s="103"/>
      <c r="R261" s="99"/>
      <c r="S261" s="103" t="s">
        <v>1541</v>
      </c>
      <c r="T261" s="103" t="s">
        <v>5227</v>
      </c>
      <c r="U261" s="99" t="s">
        <v>5672</v>
      </c>
      <c r="V261" s="95">
        <v>11.040326500000001</v>
      </c>
      <c r="W261" s="95">
        <v>-2.5020943</v>
      </c>
      <c r="X261" s="104" t="s">
        <v>4852</v>
      </c>
      <c r="Y261" s="103"/>
      <c r="Z261" s="103"/>
      <c r="AA261" s="103"/>
      <c r="AB261" s="103"/>
      <c r="AC261" s="103"/>
      <c r="AD261" s="103"/>
      <c r="AE261" s="103"/>
      <c r="AF261" s="103"/>
      <c r="AG261" s="99"/>
      <c r="AH261" s="103"/>
      <c r="AI261" s="103"/>
      <c r="AJ261" s="103"/>
      <c r="AK261" s="103"/>
      <c r="AL261" s="103"/>
      <c r="AM261" s="103"/>
      <c r="AN261" s="99"/>
      <c r="AO261" s="103"/>
      <c r="AP261" s="103"/>
      <c r="AQ261" s="103"/>
      <c r="AR261" s="103"/>
      <c r="AS261" s="99"/>
      <c r="AT261" s="103"/>
      <c r="AU261" s="103"/>
      <c r="AV261" s="99"/>
      <c r="AW261" s="99"/>
      <c r="AX261" s="99"/>
      <c r="AY261" s="99"/>
      <c r="AZ261" s="99"/>
      <c r="BA261" s="103"/>
      <c r="BB261" s="99"/>
      <c r="BC261" s="99"/>
      <c r="BD261" s="99"/>
      <c r="BE261" s="99"/>
      <c r="BF261" s="103"/>
      <c r="BG261" s="103"/>
      <c r="BH261" s="103"/>
      <c r="BI261" s="103"/>
      <c r="BJ261" s="103"/>
      <c r="BK261" s="103" t="s">
        <v>4499</v>
      </c>
      <c r="BL261" s="103"/>
      <c r="BM261" s="103"/>
      <c r="BN261" s="103"/>
      <c r="BO261" s="103"/>
      <c r="BP261" s="103"/>
      <c r="BQ261" s="107"/>
      <c r="BR261" s="99"/>
      <c r="BS261" s="99"/>
      <c r="BT261" s="103" t="s">
        <v>3186</v>
      </c>
      <c r="BU261" s="99"/>
      <c r="BV261" s="103"/>
      <c r="BW261" s="103"/>
      <c r="BX261" s="103"/>
      <c r="BY261" s="103"/>
      <c r="BZ261" s="103"/>
      <c r="CA261" s="103"/>
      <c r="CB261" s="103"/>
      <c r="CC261" s="103"/>
      <c r="CD261" s="103"/>
      <c r="CE261" s="103"/>
      <c r="CF261" s="103"/>
      <c r="CG261" s="103"/>
      <c r="CH261" s="103"/>
      <c r="CI261" s="103">
        <v>75631477</v>
      </c>
      <c r="CJ261" s="103" t="s">
        <v>5673</v>
      </c>
      <c r="CK261" s="108">
        <v>43370.560787037037</v>
      </c>
      <c r="CL261" s="109">
        <v>43370.562442129631</v>
      </c>
      <c r="CM261" s="95">
        <v>11.040326500000001</v>
      </c>
      <c r="CN261" s="95">
        <v>-2.5020943</v>
      </c>
      <c r="CO261" s="99"/>
      <c r="CP261" s="99"/>
      <c r="CQ261" s="99"/>
      <c r="CR261" s="99"/>
      <c r="CS261" s="99"/>
      <c r="CT261" s="99"/>
      <c r="CU261" s="99"/>
      <c r="CV261" s="99"/>
      <c r="CW261" s="99"/>
      <c r="CX261" s="99"/>
      <c r="CY261" s="99"/>
      <c r="CZ261" s="99"/>
      <c r="DA261" s="99"/>
      <c r="DB261" s="99"/>
      <c r="DC261" s="99"/>
    </row>
    <row r="262" spans="1:107" ht="15.75" customHeight="1">
      <c r="A262" s="95">
        <v>265</v>
      </c>
      <c r="B262" s="99" t="s">
        <v>565</v>
      </c>
      <c r="C262" s="99" t="s">
        <v>928</v>
      </c>
      <c r="D262" s="99">
        <v>60711823</v>
      </c>
      <c r="E262" s="99" t="s">
        <v>389</v>
      </c>
      <c r="F262" s="95" t="s">
        <v>5437</v>
      </c>
      <c r="G262" s="95" t="s">
        <v>1098</v>
      </c>
      <c r="H262" s="95" t="s">
        <v>1099</v>
      </c>
      <c r="I262" s="95" t="s">
        <v>293</v>
      </c>
      <c r="J262" s="95"/>
      <c r="K262" s="99"/>
      <c r="L262" s="103" t="s">
        <v>4449</v>
      </c>
      <c r="M262" s="99" t="s">
        <v>4632</v>
      </c>
      <c r="N262" s="99" t="s">
        <v>4451</v>
      </c>
      <c r="O262" s="99" t="s">
        <v>4452</v>
      </c>
      <c r="P262" s="103">
        <v>2001</v>
      </c>
      <c r="Q262" s="103" t="s">
        <v>1862</v>
      </c>
      <c r="R262" s="99" t="s">
        <v>4633</v>
      </c>
      <c r="S262" s="103" t="s">
        <v>1541</v>
      </c>
      <c r="T262" s="103" t="s">
        <v>4634</v>
      </c>
      <c r="U262" s="99" t="s">
        <v>5438</v>
      </c>
      <c r="V262" s="95">
        <v>10.650387800000001</v>
      </c>
      <c r="W262" s="95">
        <v>-5.1692752000000004</v>
      </c>
      <c r="X262" s="104" t="s">
        <v>5439</v>
      </c>
      <c r="Y262" s="103" t="s">
        <v>1634</v>
      </c>
      <c r="Z262" s="103" t="s">
        <v>1634</v>
      </c>
      <c r="AA262" s="103" t="s">
        <v>1862</v>
      </c>
      <c r="AB262" s="103">
        <v>300</v>
      </c>
      <c r="AC262" s="103">
        <v>4</v>
      </c>
      <c r="AD262" s="103">
        <v>296</v>
      </c>
      <c r="AE262" s="103" t="s">
        <v>1634</v>
      </c>
      <c r="AF262" s="103" t="s">
        <v>4637</v>
      </c>
      <c r="AG262" s="99" t="s">
        <v>4554</v>
      </c>
      <c r="AH262" s="103" t="s">
        <v>1862</v>
      </c>
      <c r="AI262" s="103" t="s">
        <v>1862</v>
      </c>
      <c r="AJ262" s="103" t="s">
        <v>1862</v>
      </c>
      <c r="AK262" s="103" t="s">
        <v>1862</v>
      </c>
      <c r="AL262" s="103" t="s">
        <v>1804</v>
      </c>
      <c r="AM262" s="103" t="s">
        <v>1862</v>
      </c>
      <c r="AN262" s="99" t="s">
        <v>4638</v>
      </c>
      <c r="AO262" s="103" t="s">
        <v>1862</v>
      </c>
      <c r="AP262" s="103">
        <v>1500</v>
      </c>
      <c r="AQ262" s="112" t="s">
        <v>4461</v>
      </c>
      <c r="AR262" s="103"/>
      <c r="AS262" s="106">
        <v>50000000</v>
      </c>
      <c r="AT262" s="103" t="s">
        <v>4527</v>
      </c>
      <c r="AU262" s="103" t="s">
        <v>1634</v>
      </c>
      <c r="AV262" s="99" t="s">
        <v>4463</v>
      </c>
      <c r="AW262" s="99" t="s">
        <v>4639</v>
      </c>
      <c r="AX262" s="99" t="s">
        <v>4640</v>
      </c>
      <c r="AY262" s="99" t="s">
        <v>4641</v>
      </c>
      <c r="AZ262" s="99" t="s">
        <v>4530</v>
      </c>
      <c r="BA262" s="103" t="s">
        <v>1634</v>
      </c>
      <c r="BB262" s="99"/>
      <c r="BC262" s="99">
        <v>22000</v>
      </c>
      <c r="BD262" s="99"/>
      <c r="BE262" s="99">
        <v>50000000</v>
      </c>
      <c r="BF262" s="103" t="s">
        <v>4642</v>
      </c>
      <c r="BG262" s="103" t="s">
        <v>1862</v>
      </c>
      <c r="BH262" s="103" t="s">
        <v>1862</v>
      </c>
      <c r="BI262" s="103" t="s">
        <v>1862</v>
      </c>
      <c r="BJ262" s="103" t="s">
        <v>1862</v>
      </c>
      <c r="BK262" s="103" t="s">
        <v>4469</v>
      </c>
      <c r="BL262" s="103" t="s">
        <v>4472</v>
      </c>
      <c r="BM262" s="103" t="s">
        <v>4461</v>
      </c>
      <c r="BN262" s="103" t="s">
        <v>4643</v>
      </c>
      <c r="BO262" s="103">
        <v>450</v>
      </c>
      <c r="BP262" s="103" t="s">
        <v>4532</v>
      </c>
      <c r="BQ262" s="99" t="s">
        <v>4644</v>
      </c>
      <c r="BR262" s="99" t="s">
        <v>4644</v>
      </c>
      <c r="BS262" s="99" t="s">
        <v>4564</v>
      </c>
      <c r="BT262" s="103" t="s">
        <v>3186</v>
      </c>
      <c r="BU262" s="99"/>
      <c r="BV262" s="103" t="s">
        <v>4644</v>
      </c>
      <c r="BW262" s="103" t="s">
        <v>4644</v>
      </c>
      <c r="BX262" s="103"/>
      <c r="BY262" s="103"/>
      <c r="BZ262" s="103"/>
      <c r="CA262" s="103"/>
      <c r="CB262" s="103"/>
      <c r="CC262" s="103" t="s">
        <v>4502</v>
      </c>
      <c r="CD262" s="103" t="s">
        <v>4475</v>
      </c>
      <c r="CE262" s="112" t="s">
        <v>4475</v>
      </c>
      <c r="CF262" s="103"/>
      <c r="CG262" s="103" t="s">
        <v>683</v>
      </c>
      <c r="CH262" s="103" t="s">
        <v>5674</v>
      </c>
      <c r="CI262" s="103">
        <v>60711823</v>
      </c>
      <c r="CJ262" s="103"/>
      <c r="CK262" s="108">
        <v>43364.693287037036</v>
      </c>
      <c r="CL262" s="109">
        <v>43364.732754629629</v>
      </c>
      <c r="CM262" s="95">
        <v>10.650387800000001</v>
      </c>
      <c r="CN262" s="95">
        <v>-5.1692752000000004</v>
      </c>
      <c r="CO262" s="99"/>
      <c r="CP262" s="99"/>
      <c r="CQ262" s="99"/>
      <c r="CR262" s="99"/>
      <c r="CS262" s="99"/>
      <c r="CT262" s="99"/>
      <c r="CU262" s="99"/>
      <c r="CV262" s="99"/>
      <c r="CW262" s="99"/>
      <c r="CX262" s="99"/>
      <c r="CY262" s="99"/>
      <c r="CZ262" s="99"/>
      <c r="DA262" s="99"/>
      <c r="DB262" s="99"/>
      <c r="DC262" s="99"/>
    </row>
    <row r="263" spans="1:107" ht="15.75" customHeight="1">
      <c r="A263" s="95">
        <v>266</v>
      </c>
      <c r="B263" s="99" t="s">
        <v>929</v>
      </c>
      <c r="C263" s="99" t="s">
        <v>930</v>
      </c>
      <c r="D263" s="99">
        <v>76850952</v>
      </c>
      <c r="E263" s="99" t="s">
        <v>5675</v>
      </c>
      <c r="F263" s="95" t="s">
        <v>4939</v>
      </c>
      <c r="G263" s="95" t="s">
        <v>1086</v>
      </c>
      <c r="H263" s="95" t="s">
        <v>1070</v>
      </c>
      <c r="I263" s="95" t="s">
        <v>89</v>
      </c>
      <c r="J263" s="95"/>
      <c r="K263" s="99"/>
      <c r="L263" s="103" t="s">
        <v>4549</v>
      </c>
      <c r="M263" s="99" t="s">
        <v>4450</v>
      </c>
      <c r="N263" s="99" t="s">
        <v>4520</v>
      </c>
      <c r="O263" s="99" t="s">
        <v>4550</v>
      </c>
      <c r="P263" s="103">
        <v>2000</v>
      </c>
      <c r="Q263" s="103" t="s">
        <v>1862</v>
      </c>
      <c r="R263" s="99" t="s">
        <v>4551</v>
      </c>
      <c r="S263" s="103" t="s">
        <v>1541</v>
      </c>
      <c r="T263" s="103" t="s">
        <v>4522</v>
      </c>
      <c r="U263" s="99" t="s">
        <v>4940</v>
      </c>
      <c r="V263" s="95">
        <v>12.2562183</v>
      </c>
      <c r="W263" s="95">
        <v>-2.3517526000000002</v>
      </c>
      <c r="X263" s="104" t="s">
        <v>4839</v>
      </c>
      <c r="Y263" s="103" t="s">
        <v>1634</v>
      </c>
      <c r="Z263" s="103" t="s">
        <v>1634</v>
      </c>
      <c r="AA263" s="103" t="s">
        <v>1862</v>
      </c>
      <c r="AB263" s="103">
        <v>750</v>
      </c>
      <c r="AC263" s="103">
        <v>238</v>
      </c>
      <c r="AD263" s="103">
        <v>512</v>
      </c>
      <c r="AE263" s="103" t="s">
        <v>1634</v>
      </c>
      <c r="AF263" s="103" t="s">
        <v>4651</v>
      </c>
      <c r="AG263" s="99" t="s">
        <v>4554</v>
      </c>
      <c r="AH263" s="103" t="s">
        <v>1862</v>
      </c>
      <c r="AI263" s="103" t="s">
        <v>1862</v>
      </c>
      <c r="AJ263" s="103" t="s">
        <v>1862</v>
      </c>
      <c r="AK263" s="103" t="s">
        <v>1862</v>
      </c>
      <c r="AL263" s="103" t="s">
        <v>1804</v>
      </c>
      <c r="AM263" s="103" t="s">
        <v>1862</v>
      </c>
      <c r="AN263" s="99" t="s">
        <v>4555</v>
      </c>
      <c r="AO263" s="103" t="s">
        <v>1862</v>
      </c>
      <c r="AP263" s="103">
        <v>1800</v>
      </c>
      <c r="AQ263" s="103" t="s">
        <v>4500</v>
      </c>
      <c r="AR263" s="103"/>
      <c r="AS263" s="106">
        <v>7000000</v>
      </c>
      <c r="AT263" s="103" t="s">
        <v>4556</v>
      </c>
      <c r="AU263" s="103" t="s">
        <v>1634</v>
      </c>
      <c r="AV263" s="99" t="s">
        <v>4557</v>
      </c>
      <c r="AW263" s="99" t="s">
        <v>4558</v>
      </c>
      <c r="AX263" s="99" t="s">
        <v>4559</v>
      </c>
      <c r="AY263" s="99" t="s">
        <v>4560</v>
      </c>
      <c r="AZ263" s="99" t="s">
        <v>4561</v>
      </c>
      <c r="BA263" s="103" t="s">
        <v>1634</v>
      </c>
      <c r="BB263" s="99">
        <v>10500</v>
      </c>
      <c r="BC263" s="99">
        <v>3500</v>
      </c>
      <c r="BD263" s="99">
        <v>7000000</v>
      </c>
      <c r="BE263" s="99"/>
      <c r="BF263" s="103" t="s">
        <v>4544</v>
      </c>
      <c r="BG263" s="103" t="s">
        <v>1862</v>
      </c>
      <c r="BH263" s="103" t="s">
        <v>1862</v>
      </c>
      <c r="BI263" s="103" t="s">
        <v>1804</v>
      </c>
      <c r="BJ263" s="103" t="s">
        <v>1804</v>
      </c>
      <c r="BK263" s="103" t="s">
        <v>4478</v>
      </c>
      <c r="BL263" s="103" t="s">
        <v>4472</v>
      </c>
      <c r="BM263" s="103" t="s">
        <v>4461</v>
      </c>
      <c r="BN263" s="103" t="s">
        <v>4562</v>
      </c>
      <c r="BO263" s="103">
        <v>400</v>
      </c>
      <c r="BP263" s="103" t="s">
        <v>4532</v>
      </c>
      <c r="BQ263" s="107" t="s">
        <v>4563</v>
      </c>
      <c r="BR263" s="99" t="s">
        <v>4564</v>
      </c>
      <c r="BS263" s="99" t="s">
        <v>4564</v>
      </c>
      <c r="BT263" s="103" t="s">
        <v>3186</v>
      </c>
      <c r="BU263" s="107" t="s">
        <v>4514</v>
      </c>
      <c r="BV263" s="103" t="s">
        <v>4514</v>
      </c>
      <c r="BW263" s="103" t="s">
        <v>1548</v>
      </c>
      <c r="BX263" s="103" t="s">
        <v>4535</v>
      </c>
      <c r="BY263" s="103" t="s">
        <v>4478</v>
      </c>
      <c r="BZ263" s="103" t="s">
        <v>4461</v>
      </c>
      <c r="CA263" s="103">
        <v>41</v>
      </c>
      <c r="CB263" s="103" t="s">
        <v>4475</v>
      </c>
      <c r="CC263" s="103" t="s">
        <v>4479</v>
      </c>
      <c r="CD263" s="103" t="s">
        <v>4475</v>
      </c>
      <c r="CE263" s="103" t="s">
        <v>4481</v>
      </c>
      <c r="CF263" s="103"/>
      <c r="CG263" s="103" t="s">
        <v>5676</v>
      </c>
      <c r="CH263" s="103" t="s">
        <v>930</v>
      </c>
      <c r="CI263" s="103">
        <v>76850952</v>
      </c>
      <c r="CJ263" s="99"/>
      <c r="CK263" s="108">
        <v>43364.397164351853</v>
      </c>
      <c r="CL263" s="108">
        <v>43364.42695601852</v>
      </c>
      <c r="CM263" s="95">
        <v>12.2562183</v>
      </c>
      <c r="CN263" s="95">
        <v>-2.3517526000000002</v>
      </c>
      <c r="CO263" s="99"/>
      <c r="CP263" s="99"/>
      <c r="CQ263" s="99"/>
      <c r="CR263" s="99"/>
      <c r="CS263" s="99"/>
      <c r="CT263" s="99"/>
      <c r="CU263" s="99"/>
      <c r="CV263" s="99"/>
      <c r="CW263" s="99"/>
      <c r="CX263" s="99"/>
      <c r="CY263" s="99"/>
      <c r="CZ263" s="99"/>
      <c r="DA263" s="99"/>
      <c r="DB263" s="99"/>
      <c r="DC263" s="99"/>
    </row>
    <row r="264" spans="1:107" ht="15.75" customHeight="1">
      <c r="A264" s="95">
        <v>267</v>
      </c>
      <c r="B264" s="99" t="s">
        <v>931</v>
      </c>
      <c r="C264" s="99" t="s">
        <v>932</v>
      </c>
      <c r="D264" s="99">
        <v>70528287</v>
      </c>
      <c r="E264" s="99" t="s">
        <v>391</v>
      </c>
      <c r="F264" s="95" t="s">
        <v>5511</v>
      </c>
      <c r="G264" s="95" t="s">
        <v>1057</v>
      </c>
      <c r="H264" s="95" t="s">
        <v>1095</v>
      </c>
      <c r="I264" s="95" t="s">
        <v>324</v>
      </c>
      <c r="J264" s="95"/>
      <c r="K264" s="99"/>
      <c r="L264" s="103" t="s">
        <v>4449</v>
      </c>
      <c r="M264" s="99" t="s">
        <v>4450</v>
      </c>
      <c r="N264" s="99" t="s">
        <v>4718</v>
      </c>
      <c r="O264" s="99" t="s">
        <v>4818</v>
      </c>
      <c r="P264" s="103">
        <v>1995</v>
      </c>
      <c r="Q264" s="103" t="s">
        <v>1862</v>
      </c>
      <c r="R264" s="99" t="s">
        <v>4633</v>
      </c>
      <c r="S264" s="103" t="s">
        <v>1541</v>
      </c>
      <c r="T264" s="103" t="s">
        <v>4634</v>
      </c>
      <c r="U264" s="99" t="s">
        <v>5512</v>
      </c>
      <c r="V264" s="95">
        <v>12.4503003</v>
      </c>
      <c r="W264" s="95">
        <v>-3.4700327</v>
      </c>
      <c r="X264" s="104" t="s">
        <v>5513</v>
      </c>
      <c r="Y264" s="103" t="s">
        <v>1634</v>
      </c>
      <c r="Z264" s="103" t="s">
        <v>1634</v>
      </c>
      <c r="AA264" s="103" t="s">
        <v>1862</v>
      </c>
      <c r="AB264" s="103">
        <v>400</v>
      </c>
      <c r="AC264" s="103">
        <v>10</v>
      </c>
      <c r="AD264" s="103">
        <v>380</v>
      </c>
      <c r="AE264" s="103" t="s">
        <v>1634</v>
      </c>
      <c r="AF264" s="103" t="s">
        <v>4637</v>
      </c>
      <c r="AG264" s="99" t="s">
        <v>4554</v>
      </c>
      <c r="AH264" s="103" t="s">
        <v>1862</v>
      </c>
      <c r="AI264" s="103" t="s">
        <v>1862</v>
      </c>
      <c r="AJ264" s="103" t="s">
        <v>1862</v>
      </c>
      <c r="AK264" s="103" t="s">
        <v>1862</v>
      </c>
      <c r="AL264" s="103" t="s">
        <v>1804</v>
      </c>
      <c r="AM264" s="103" t="s">
        <v>1862</v>
      </c>
      <c r="AN264" s="99" t="s">
        <v>4638</v>
      </c>
      <c r="AO264" s="103" t="s">
        <v>1862</v>
      </c>
      <c r="AP264" s="103">
        <v>1700</v>
      </c>
      <c r="AQ264" s="112" t="s">
        <v>4461</v>
      </c>
      <c r="AR264" s="103"/>
      <c r="AS264" s="106">
        <v>60000000</v>
      </c>
      <c r="AT264" s="103" t="s">
        <v>4527</v>
      </c>
      <c r="AU264" s="103" t="s">
        <v>1634</v>
      </c>
      <c r="AV264" s="99" t="s">
        <v>4463</v>
      </c>
      <c r="AW264" s="99" t="s">
        <v>4639</v>
      </c>
      <c r="AX264" s="99" t="s">
        <v>4640</v>
      </c>
      <c r="AY264" s="99" t="s">
        <v>4641</v>
      </c>
      <c r="AZ264" s="99" t="s">
        <v>4530</v>
      </c>
      <c r="BA264" s="103" t="s">
        <v>1634</v>
      </c>
      <c r="BB264" s="99"/>
      <c r="BC264" s="99">
        <v>25000</v>
      </c>
      <c r="BD264" s="99"/>
      <c r="BE264" s="99">
        <v>40000000</v>
      </c>
      <c r="BF264" s="103" t="s">
        <v>4642</v>
      </c>
      <c r="BG264" s="103" t="s">
        <v>1862</v>
      </c>
      <c r="BH264" s="103" t="s">
        <v>1862</v>
      </c>
      <c r="BI264" s="103" t="s">
        <v>1862</v>
      </c>
      <c r="BJ264" s="103" t="s">
        <v>1862</v>
      </c>
      <c r="BK264" s="103" t="s">
        <v>4469</v>
      </c>
      <c r="BL264" s="103" t="s">
        <v>4472</v>
      </c>
      <c r="BM264" s="103" t="s">
        <v>4461</v>
      </c>
      <c r="BN264" s="103" t="s">
        <v>4643</v>
      </c>
      <c r="BO264" s="103">
        <v>350</v>
      </c>
      <c r="BP264" s="103" t="s">
        <v>4532</v>
      </c>
      <c r="BQ264" s="99" t="s">
        <v>4644</v>
      </c>
      <c r="BR264" s="99" t="s">
        <v>4644</v>
      </c>
      <c r="BS264" s="99" t="s">
        <v>4564</v>
      </c>
      <c r="BT264" s="103" t="s">
        <v>3186</v>
      </c>
      <c r="BU264" s="99"/>
      <c r="BV264" s="103" t="s">
        <v>4644</v>
      </c>
      <c r="BW264" s="103" t="s">
        <v>4644</v>
      </c>
      <c r="BX264" s="103"/>
      <c r="BY264" s="103"/>
      <c r="BZ264" s="103"/>
      <c r="CA264" s="103"/>
      <c r="CB264" s="103"/>
      <c r="CC264" s="103" t="s">
        <v>4502</v>
      </c>
      <c r="CD264" s="103" t="s">
        <v>4475</v>
      </c>
      <c r="CE264" s="112" t="s">
        <v>4475</v>
      </c>
      <c r="CF264" s="103"/>
      <c r="CG264" s="103" t="s">
        <v>931</v>
      </c>
      <c r="CH264" s="103" t="s">
        <v>932</v>
      </c>
      <c r="CI264" s="103">
        <v>70528287</v>
      </c>
      <c r="CJ264" s="103"/>
      <c r="CK264" s="108">
        <v>43364.693287037036</v>
      </c>
      <c r="CL264" s="109">
        <v>43364.732754629629</v>
      </c>
      <c r="CM264" s="95">
        <v>12.4503003</v>
      </c>
      <c r="CN264" s="95">
        <v>-3.4700327</v>
      </c>
      <c r="CO264" s="99"/>
      <c r="CP264" s="99"/>
      <c r="CQ264" s="99"/>
      <c r="CR264" s="99"/>
      <c r="CS264" s="99"/>
      <c r="CT264" s="99"/>
      <c r="CU264" s="99"/>
      <c r="CV264" s="99"/>
      <c r="CW264" s="99"/>
      <c r="CX264" s="99"/>
      <c r="CY264" s="99"/>
      <c r="CZ264" s="99"/>
      <c r="DA264" s="99"/>
      <c r="DB264" s="99"/>
      <c r="DC264" s="99"/>
    </row>
    <row r="265" spans="1:107" ht="15.75" customHeight="1">
      <c r="A265" s="95">
        <v>268</v>
      </c>
      <c r="B265" s="99" t="s">
        <v>933</v>
      </c>
      <c r="C265" s="99" t="s">
        <v>642</v>
      </c>
      <c r="D265" s="110">
        <v>70811097</v>
      </c>
      <c r="E265" s="99" t="s">
        <v>5677</v>
      </c>
      <c r="F265" s="95" t="s">
        <v>5678</v>
      </c>
      <c r="G265" s="95" t="s">
        <v>1085</v>
      </c>
      <c r="H265" s="95" t="s">
        <v>1113</v>
      </c>
      <c r="I265" s="95" t="s">
        <v>281</v>
      </c>
      <c r="J265" s="95"/>
      <c r="K265" s="99"/>
      <c r="L265" s="103" t="s">
        <v>4449</v>
      </c>
      <c r="M265" s="99" t="s">
        <v>4450</v>
      </c>
      <c r="N265" s="99" t="s">
        <v>4718</v>
      </c>
      <c r="O265" s="99" t="s">
        <v>4684</v>
      </c>
      <c r="P265" s="103">
        <v>2001</v>
      </c>
      <c r="Q265" s="103" t="s">
        <v>1862</v>
      </c>
      <c r="R265" s="99" t="s">
        <v>4633</v>
      </c>
      <c r="S265" s="103" t="s">
        <v>1541</v>
      </c>
      <c r="T265" s="103" t="s">
        <v>4634</v>
      </c>
      <c r="U265" s="99" t="s">
        <v>5679</v>
      </c>
      <c r="V265" s="95">
        <v>10.9808313</v>
      </c>
      <c r="W265" s="95">
        <v>-4.9091329000000004</v>
      </c>
      <c r="X265" s="104" t="s">
        <v>5409</v>
      </c>
      <c r="Y265" s="103" t="s">
        <v>1634</v>
      </c>
      <c r="Z265" s="103" t="s">
        <v>1634</v>
      </c>
      <c r="AA265" s="103" t="s">
        <v>1862</v>
      </c>
      <c r="AB265" s="103">
        <v>300</v>
      </c>
      <c r="AC265" s="103">
        <v>4</v>
      </c>
      <c r="AD265" s="103">
        <v>296</v>
      </c>
      <c r="AE265" s="103" t="s">
        <v>1634</v>
      </c>
      <c r="AF265" s="103" t="s">
        <v>4637</v>
      </c>
      <c r="AG265" s="99" t="s">
        <v>4554</v>
      </c>
      <c r="AH265" s="103" t="s">
        <v>1862</v>
      </c>
      <c r="AI265" s="103" t="s">
        <v>1862</v>
      </c>
      <c r="AJ265" s="103" t="s">
        <v>1862</v>
      </c>
      <c r="AK265" s="103" t="s">
        <v>1862</v>
      </c>
      <c r="AL265" s="103" t="s">
        <v>1804</v>
      </c>
      <c r="AM265" s="103" t="s">
        <v>1862</v>
      </c>
      <c r="AN265" s="99" t="s">
        <v>4638</v>
      </c>
      <c r="AO265" s="103" t="s">
        <v>1862</v>
      </c>
      <c r="AP265" s="103">
        <v>1500</v>
      </c>
      <c r="AQ265" s="112" t="s">
        <v>4461</v>
      </c>
      <c r="AR265" s="103"/>
      <c r="AS265" s="106">
        <v>50000000</v>
      </c>
      <c r="AT265" s="103" t="s">
        <v>4527</v>
      </c>
      <c r="AU265" s="103" t="s">
        <v>1634</v>
      </c>
      <c r="AV265" s="99" t="s">
        <v>4463</v>
      </c>
      <c r="AW265" s="99" t="s">
        <v>4639</v>
      </c>
      <c r="AX265" s="99" t="s">
        <v>4640</v>
      </c>
      <c r="AY265" s="99" t="s">
        <v>4641</v>
      </c>
      <c r="AZ265" s="99" t="s">
        <v>4530</v>
      </c>
      <c r="BA265" s="103" t="s">
        <v>1634</v>
      </c>
      <c r="BB265" s="99"/>
      <c r="BC265" s="99">
        <v>22000</v>
      </c>
      <c r="BD265" s="99"/>
      <c r="BE265" s="99">
        <v>41000000</v>
      </c>
      <c r="BF265" s="103" t="s">
        <v>4642</v>
      </c>
      <c r="BG265" s="103" t="s">
        <v>1862</v>
      </c>
      <c r="BH265" s="103" t="s">
        <v>1862</v>
      </c>
      <c r="BI265" s="103" t="s">
        <v>1862</v>
      </c>
      <c r="BJ265" s="103" t="s">
        <v>1862</v>
      </c>
      <c r="BK265" s="103" t="s">
        <v>4469</v>
      </c>
      <c r="BL265" s="103" t="s">
        <v>4472</v>
      </c>
      <c r="BM265" s="103" t="s">
        <v>4461</v>
      </c>
      <c r="BN265" s="103" t="s">
        <v>4643</v>
      </c>
      <c r="BO265" s="103">
        <v>375</v>
      </c>
      <c r="BP265" s="103" t="s">
        <v>4532</v>
      </c>
      <c r="BQ265" s="99" t="s">
        <v>4644</v>
      </c>
      <c r="BR265" s="99" t="s">
        <v>4644</v>
      </c>
      <c r="BS265" s="99" t="s">
        <v>4564</v>
      </c>
      <c r="BT265" s="103" t="s">
        <v>3186</v>
      </c>
      <c r="BU265" s="99"/>
      <c r="BV265" s="103" t="s">
        <v>4644</v>
      </c>
      <c r="BW265" s="103" t="s">
        <v>4644</v>
      </c>
      <c r="BX265" s="103"/>
      <c r="BY265" s="103"/>
      <c r="BZ265" s="103"/>
      <c r="CA265" s="103"/>
      <c r="CB265" s="103"/>
      <c r="CC265" s="103" t="s">
        <v>4502</v>
      </c>
      <c r="CD265" s="103" t="s">
        <v>4475</v>
      </c>
      <c r="CE265" s="112" t="s">
        <v>4475</v>
      </c>
      <c r="CF265" s="103"/>
      <c r="CG265" s="103" t="s">
        <v>933</v>
      </c>
      <c r="CH265" s="103" t="s">
        <v>642</v>
      </c>
      <c r="CI265" s="111">
        <v>70811097</v>
      </c>
      <c r="CJ265" s="103"/>
      <c r="CK265" s="108">
        <v>43364.693287037036</v>
      </c>
      <c r="CL265" s="109">
        <v>43364.732754629629</v>
      </c>
      <c r="CM265" s="95">
        <v>10.9808313</v>
      </c>
      <c r="CN265" s="95">
        <v>-4.9091329000000004</v>
      </c>
      <c r="CO265" s="99"/>
      <c r="CP265" s="99"/>
      <c r="CQ265" s="99"/>
      <c r="CR265" s="99"/>
      <c r="CS265" s="99"/>
      <c r="CT265" s="99"/>
      <c r="CU265" s="99"/>
      <c r="CV265" s="99"/>
      <c r="CW265" s="99"/>
      <c r="CX265" s="99"/>
      <c r="CY265" s="99"/>
      <c r="CZ265" s="99"/>
      <c r="DA265" s="99"/>
      <c r="DB265" s="99"/>
      <c r="DC265" s="99"/>
    </row>
    <row r="266" spans="1:107" ht="15.75" customHeight="1">
      <c r="A266" s="95">
        <v>269</v>
      </c>
      <c r="B266" s="99" t="s">
        <v>934</v>
      </c>
      <c r="C266" s="99" t="s">
        <v>561</v>
      </c>
      <c r="D266" s="110">
        <v>70387018</v>
      </c>
      <c r="E266" s="99" t="s">
        <v>393</v>
      </c>
      <c r="F266" s="95" t="s">
        <v>5680</v>
      </c>
      <c r="G266" s="95" t="s">
        <v>1076</v>
      </c>
      <c r="H266" s="95" t="s">
        <v>1087</v>
      </c>
      <c r="I266" s="95" t="s">
        <v>394</v>
      </c>
      <c r="J266" s="95"/>
      <c r="K266" s="99"/>
      <c r="L266" s="103" t="s">
        <v>4449</v>
      </c>
      <c r="M266" s="99" t="s">
        <v>4450</v>
      </c>
      <c r="N266" s="99" t="s">
        <v>4520</v>
      </c>
      <c r="O266" s="99" t="s">
        <v>4694</v>
      </c>
      <c r="P266" s="103">
        <v>2005</v>
      </c>
      <c r="Q266" s="103" t="s">
        <v>1862</v>
      </c>
      <c r="R266" s="99" t="s">
        <v>4521</v>
      </c>
      <c r="S266" s="103" t="s">
        <v>4454</v>
      </c>
      <c r="T266" s="103" t="s">
        <v>4522</v>
      </c>
      <c r="U266" s="99" t="s">
        <v>5681</v>
      </c>
      <c r="V266" s="95">
        <v>12.1624473</v>
      </c>
      <c r="W266" s="95">
        <v>0.67730460000000003</v>
      </c>
      <c r="X266" s="104" t="s">
        <v>5682</v>
      </c>
      <c r="Y266" s="103" t="s">
        <v>1548</v>
      </c>
      <c r="Z266" s="103" t="s">
        <v>1548</v>
      </c>
      <c r="AA266" s="103" t="s">
        <v>1862</v>
      </c>
      <c r="AB266" s="103">
        <v>40</v>
      </c>
      <c r="AC266" s="103">
        <v>0</v>
      </c>
      <c r="AD266" s="103">
        <v>40</v>
      </c>
      <c r="AE266" s="103" t="s">
        <v>1634</v>
      </c>
      <c r="AF266" s="103" t="s">
        <v>4830</v>
      </c>
      <c r="AG266" s="99" t="s">
        <v>4695</v>
      </c>
      <c r="AH266" s="103" t="s">
        <v>1862</v>
      </c>
      <c r="AI266" s="103" t="s">
        <v>1862</v>
      </c>
      <c r="AJ266" s="103" t="s">
        <v>1804</v>
      </c>
      <c r="AK266" s="103" t="s">
        <v>1804</v>
      </c>
      <c r="AL266" s="103" t="s">
        <v>1804</v>
      </c>
      <c r="AM266" s="103" t="s">
        <v>1804</v>
      </c>
      <c r="AN266" s="99" t="s">
        <v>1646</v>
      </c>
      <c r="AO266" s="103" t="s">
        <v>1862</v>
      </c>
      <c r="AP266" s="103">
        <v>750</v>
      </c>
      <c r="AQ266" s="103" t="s">
        <v>4509</v>
      </c>
      <c r="AR266" s="103" t="s">
        <v>4831</v>
      </c>
      <c r="AS266" s="106">
        <v>350000</v>
      </c>
      <c r="AT266" s="103" t="s">
        <v>4625</v>
      </c>
      <c r="AU266" s="103" t="s">
        <v>1548</v>
      </c>
      <c r="AV266" s="99"/>
      <c r="AW266" s="99" t="s">
        <v>4680</v>
      </c>
      <c r="AX266" s="99" t="s">
        <v>4543</v>
      </c>
      <c r="AY266" s="99" t="s">
        <v>4466</v>
      </c>
      <c r="AZ266" s="99" t="s">
        <v>4467</v>
      </c>
      <c r="BA266" s="103" t="s">
        <v>1634</v>
      </c>
      <c r="BB266" s="99">
        <v>500</v>
      </c>
      <c r="BC266" s="99">
        <v>10000</v>
      </c>
      <c r="BD266" s="99">
        <v>0</v>
      </c>
      <c r="BE266" s="99"/>
      <c r="BF266" s="103" t="s">
        <v>4511</v>
      </c>
      <c r="BG266" s="103" t="s">
        <v>1804</v>
      </c>
      <c r="BH266" s="103" t="s">
        <v>1862</v>
      </c>
      <c r="BI266" s="103" t="s">
        <v>1804</v>
      </c>
      <c r="BJ266" s="103" t="s">
        <v>1804</v>
      </c>
      <c r="BK266" s="103" t="s">
        <v>4478</v>
      </c>
      <c r="BL266" s="103" t="s">
        <v>4470</v>
      </c>
      <c r="BM266" s="103" t="s">
        <v>4461</v>
      </c>
      <c r="BN266" s="103" t="s">
        <v>4512</v>
      </c>
      <c r="BO266" s="103">
        <v>50</v>
      </c>
      <c r="BP266" s="103" t="s">
        <v>4509</v>
      </c>
      <c r="BQ266" s="107" t="s">
        <v>4476</v>
      </c>
      <c r="BR266" s="99" t="s">
        <v>4476</v>
      </c>
      <c r="BS266" s="99"/>
      <c r="BT266" s="103" t="s">
        <v>3186</v>
      </c>
      <c r="BU266" s="107" t="s">
        <v>4514</v>
      </c>
      <c r="BV266" s="103" t="s">
        <v>4476</v>
      </c>
      <c r="BW266" s="103" t="s">
        <v>1548</v>
      </c>
      <c r="BX266" s="103" t="s">
        <v>4501</v>
      </c>
      <c r="BY266" s="103" t="s">
        <v>4478</v>
      </c>
      <c r="BZ266" s="103" t="s">
        <v>4509</v>
      </c>
      <c r="CA266" s="103">
        <v>15</v>
      </c>
      <c r="CB266" s="103" t="s">
        <v>4475</v>
      </c>
      <c r="CC266" s="103" t="s">
        <v>4502</v>
      </c>
      <c r="CD266" s="103" t="s">
        <v>4475</v>
      </c>
      <c r="CE266" s="103" t="s">
        <v>4475</v>
      </c>
      <c r="CF266" s="103" t="s">
        <v>4482</v>
      </c>
      <c r="CG266" s="103" t="s">
        <v>5683</v>
      </c>
      <c r="CH266" s="103" t="s">
        <v>5684</v>
      </c>
      <c r="CI266" s="111">
        <v>70387018</v>
      </c>
      <c r="CJ266" s="99"/>
      <c r="CK266" s="108">
        <v>43364.601354166669</v>
      </c>
      <c r="CL266" s="108">
        <v>43364.61478009259</v>
      </c>
      <c r="CM266" s="95">
        <v>12.1624473</v>
      </c>
      <c r="CN266" s="95">
        <v>0.67730460000000003</v>
      </c>
      <c r="CO266" s="99"/>
      <c r="CP266" s="99"/>
      <c r="CQ266" s="99"/>
      <c r="CR266" s="99"/>
      <c r="CS266" s="99"/>
      <c r="CT266" s="99"/>
      <c r="CU266" s="99"/>
      <c r="CV266" s="99"/>
      <c r="CW266" s="99"/>
      <c r="CX266" s="99"/>
      <c r="CY266" s="99"/>
      <c r="CZ266" s="99"/>
      <c r="DA266" s="99"/>
      <c r="DB266" s="99"/>
      <c r="DC266" s="99"/>
    </row>
    <row r="267" spans="1:107" ht="15.75" customHeight="1">
      <c r="A267" s="95">
        <v>270</v>
      </c>
      <c r="B267" s="99" t="s">
        <v>710</v>
      </c>
      <c r="C267" s="99" t="s">
        <v>935</v>
      </c>
      <c r="D267" s="99">
        <v>70738750</v>
      </c>
      <c r="E267" s="99" t="s">
        <v>395</v>
      </c>
      <c r="F267" s="95" t="s">
        <v>5685</v>
      </c>
      <c r="G267" s="95" t="s">
        <v>1086</v>
      </c>
      <c r="H267" s="95" t="s">
        <v>1070</v>
      </c>
      <c r="I267" s="95" t="s">
        <v>396</v>
      </c>
      <c r="J267" s="95"/>
      <c r="K267" s="99"/>
      <c r="L267" s="103"/>
      <c r="M267" s="99"/>
      <c r="N267" s="99"/>
      <c r="O267" s="99"/>
      <c r="P267" s="103">
        <v>2002</v>
      </c>
      <c r="Q267" s="103"/>
      <c r="R267" s="99"/>
      <c r="S267" s="103" t="s">
        <v>2282</v>
      </c>
      <c r="T267" s="103" t="s">
        <v>5686</v>
      </c>
      <c r="U267" s="99" t="s">
        <v>5687</v>
      </c>
      <c r="V267" s="95">
        <v>12.2562183</v>
      </c>
      <c r="W267" s="95">
        <v>-2.3517526000000002</v>
      </c>
      <c r="X267" s="104" t="s">
        <v>4839</v>
      </c>
      <c r="Y267" s="103"/>
      <c r="Z267" s="103"/>
      <c r="AA267" s="103"/>
      <c r="AB267" s="103"/>
      <c r="AC267" s="103"/>
      <c r="AD267" s="103"/>
      <c r="AE267" s="103"/>
      <c r="AF267" s="103"/>
      <c r="AG267" s="99"/>
      <c r="AH267" s="103"/>
      <c r="AI267" s="103"/>
      <c r="AJ267" s="103"/>
      <c r="AK267" s="103"/>
      <c r="AL267" s="103"/>
      <c r="AM267" s="103"/>
      <c r="AN267" s="99"/>
      <c r="AO267" s="103"/>
      <c r="AP267" s="103"/>
      <c r="AQ267" s="103"/>
      <c r="AR267" s="103"/>
      <c r="AS267" s="99"/>
      <c r="AT267" s="103"/>
      <c r="AU267" s="103"/>
      <c r="AV267" s="99"/>
      <c r="AW267" s="99"/>
      <c r="AX267" s="99"/>
      <c r="AY267" s="99"/>
      <c r="AZ267" s="99"/>
      <c r="BA267" s="103"/>
      <c r="BB267" s="99"/>
      <c r="BC267" s="99">
        <v>150000</v>
      </c>
      <c r="BD267" s="99"/>
      <c r="BE267" s="99"/>
      <c r="BF267" s="103"/>
      <c r="BG267" s="103"/>
      <c r="BH267" s="103"/>
      <c r="BI267" s="103"/>
      <c r="BJ267" s="103"/>
      <c r="BK267" s="103"/>
      <c r="BL267" s="103"/>
      <c r="BM267" s="103"/>
      <c r="BN267" s="103"/>
      <c r="BO267" s="103"/>
      <c r="BP267" s="103"/>
      <c r="BQ267" s="99"/>
      <c r="BR267" s="99"/>
      <c r="BS267" s="99"/>
      <c r="BT267" s="103"/>
      <c r="BU267" s="99"/>
      <c r="BV267" s="103"/>
      <c r="BW267" s="103"/>
      <c r="BX267" s="103"/>
      <c r="BY267" s="103"/>
      <c r="BZ267" s="103"/>
      <c r="CA267" s="103"/>
      <c r="CB267" s="103"/>
      <c r="CC267" s="103"/>
      <c r="CD267" s="103"/>
      <c r="CE267" s="103"/>
      <c r="CF267" s="103"/>
      <c r="CG267" s="103"/>
      <c r="CH267" s="103"/>
      <c r="CI267" s="103"/>
      <c r="CJ267" s="103"/>
      <c r="CK267" s="103"/>
      <c r="CL267" s="99"/>
      <c r="CM267" s="95">
        <v>12.2562183</v>
      </c>
      <c r="CN267" s="95">
        <v>-2.3517526000000002</v>
      </c>
      <c r="CO267" s="99"/>
      <c r="CP267" s="99"/>
      <c r="CQ267" s="99"/>
      <c r="CR267" s="99"/>
      <c r="CS267" s="99"/>
      <c r="CT267" s="99"/>
      <c r="CU267" s="99"/>
      <c r="CV267" s="99"/>
      <c r="CW267" s="99"/>
      <c r="CX267" s="99"/>
      <c r="CY267" s="99"/>
      <c r="CZ267" s="99"/>
      <c r="DA267" s="99"/>
      <c r="DB267" s="99"/>
      <c r="DC267" s="99"/>
    </row>
    <row r="268" spans="1:107" ht="15.75" customHeight="1">
      <c r="A268" s="95">
        <v>271</v>
      </c>
      <c r="B268" s="99" t="s">
        <v>936</v>
      </c>
      <c r="C268" s="99" t="s">
        <v>937</v>
      </c>
      <c r="D268" s="99" t="s">
        <v>938</v>
      </c>
      <c r="E268" s="99" t="s">
        <v>5688</v>
      </c>
      <c r="F268" s="95" t="s">
        <v>5689</v>
      </c>
      <c r="G268" s="95" t="s">
        <v>1049</v>
      </c>
      <c r="H268" s="95" t="s">
        <v>1065</v>
      </c>
      <c r="I268" s="95" t="s">
        <v>184</v>
      </c>
      <c r="J268" s="99" t="s">
        <v>1138</v>
      </c>
      <c r="K268" s="99"/>
      <c r="L268" s="103"/>
      <c r="M268" s="99"/>
      <c r="N268" s="99"/>
      <c r="O268" s="99"/>
      <c r="P268" s="103"/>
      <c r="Q268" s="103"/>
      <c r="R268" s="99"/>
      <c r="S268" s="103"/>
      <c r="T268" s="103" t="s">
        <v>5686</v>
      </c>
      <c r="U268" s="99" t="s">
        <v>5690</v>
      </c>
      <c r="V268" s="95">
        <v>12.5646792</v>
      </c>
      <c r="W268" s="95">
        <v>-2.5693451</v>
      </c>
      <c r="X268" s="104" t="s">
        <v>5691</v>
      </c>
      <c r="Y268" s="103"/>
      <c r="Z268" s="103"/>
      <c r="AA268" s="103"/>
      <c r="AB268" s="103"/>
      <c r="AC268" s="103"/>
      <c r="AD268" s="103">
        <v>110</v>
      </c>
      <c r="AE268" s="103"/>
      <c r="AF268" s="103"/>
      <c r="AG268" s="99"/>
      <c r="AH268" s="103"/>
      <c r="AI268" s="103"/>
      <c r="AJ268" s="103"/>
      <c r="AK268" s="103"/>
      <c r="AL268" s="103"/>
      <c r="AM268" s="103"/>
      <c r="AN268" s="99"/>
      <c r="AO268" s="103"/>
      <c r="AP268" s="103"/>
      <c r="AQ268" s="103"/>
      <c r="AR268" s="103"/>
      <c r="AS268" s="99"/>
      <c r="AT268" s="103"/>
      <c r="AU268" s="103"/>
      <c r="AV268" s="99"/>
      <c r="AW268" s="99"/>
      <c r="AX268" s="99"/>
      <c r="AY268" s="99"/>
      <c r="AZ268" s="99"/>
      <c r="BA268" s="103"/>
      <c r="BB268" s="99"/>
      <c r="BC268" s="99"/>
      <c r="BD268" s="99"/>
      <c r="BE268" s="99"/>
      <c r="BF268" s="103"/>
      <c r="BG268" s="103"/>
      <c r="BH268" s="103"/>
      <c r="BI268" s="103"/>
      <c r="BJ268" s="103"/>
      <c r="BK268" s="103"/>
      <c r="BL268" s="103"/>
      <c r="BM268" s="103"/>
      <c r="BN268" s="103"/>
      <c r="BO268" s="103"/>
      <c r="BP268" s="103"/>
      <c r="BQ268" s="107"/>
      <c r="BR268" s="99"/>
      <c r="BS268" s="99"/>
      <c r="BT268" s="103"/>
      <c r="BU268" s="99"/>
      <c r="BV268" s="103"/>
      <c r="BW268" s="103"/>
      <c r="BX268" s="103"/>
      <c r="BY268" s="103"/>
      <c r="BZ268" s="103"/>
      <c r="CA268" s="103"/>
      <c r="CB268" s="103"/>
      <c r="CC268" s="103"/>
      <c r="CD268" s="103"/>
      <c r="CE268" s="103"/>
      <c r="CF268" s="103"/>
      <c r="CG268" s="103"/>
      <c r="CH268" s="103"/>
      <c r="CI268" s="103"/>
      <c r="CJ268" s="103"/>
      <c r="CK268" s="103"/>
      <c r="CL268" s="99"/>
      <c r="CM268" s="95">
        <v>12.5646792</v>
      </c>
      <c r="CN268" s="95">
        <v>-2.5693451</v>
      </c>
      <c r="CO268" s="99"/>
      <c r="CP268" s="99"/>
      <c r="CQ268" s="99"/>
      <c r="CR268" s="99"/>
      <c r="CS268" s="99"/>
      <c r="CT268" s="99"/>
      <c r="CU268" s="99"/>
      <c r="CV268" s="99"/>
      <c r="CW268" s="99"/>
      <c r="CX268" s="99"/>
      <c r="CY268" s="99"/>
      <c r="CZ268" s="99"/>
      <c r="DA268" s="99"/>
      <c r="DB268" s="99"/>
      <c r="DC268" s="99"/>
    </row>
    <row r="269" spans="1:107" ht="15.75" customHeight="1">
      <c r="A269" s="95">
        <v>272</v>
      </c>
      <c r="B269" s="99" t="s">
        <v>731</v>
      </c>
      <c r="C269" s="99" t="s">
        <v>785</v>
      </c>
      <c r="D269" s="99">
        <v>68460106</v>
      </c>
      <c r="E269" s="99" t="s">
        <v>398</v>
      </c>
      <c r="F269" s="95" t="s">
        <v>5692</v>
      </c>
      <c r="G269" s="95" t="s">
        <v>1049</v>
      </c>
      <c r="H269" s="95" t="s">
        <v>1065</v>
      </c>
      <c r="I269" s="95" t="s">
        <v>184</v>
      </c>
      <c r="J269" s="95" t="s">
        <v>1139</v>
      </c>
      <c r="K269" s="99"/>
      <c r="L269" s="103"/>
      <c r="M269" s="99"/>
      <c r="N269" s="99"/>
      <c r="O269" s="99"/>
      <c r="P269" s="103"/>
      <c r="Q269" s="103"/>
      <c r="R269" s="99"/>
      <c r="S269" s="103"/>
      <c r="T269" s="103" t="s">
        <v>5686</v>
      </c>
      <c r="U269" s="99" t="s">
        <v>5693</v>
      </c>
      <c r="V269" s="95">
        <v>12.3802333</v>
      </c>
      <c r="W269" s="95">
        <v>-2.5492903</v>
      </c>
      <c r="X269" s="104" t="s">
        <v>5180</v>
      </c>
      <c r="Y269" s="103"/>
      <c r="Z269" s="103"/>
      <c r="AA269" s="103"/>
      <c r="AB269" s="103"/>
      <c r="AC269" s="103"/>
      <c r="AD269" s="103">
        <v>34</v>
      </c>
      <c r="AE269" s="103"/>
      <c r="AF269" s="103"/>
      <c r="AG269" s="99"/>
      <c r="AH269" s="103"/>
      <c r="AI269" s="103"/>
      <c r="AJ269" s="103"/>
      <c r="AK269" s="103"/>
      <c r="AL269" s="103"/>
      <c r="AM269" s="103"/>
      <c r="AN269" s="99"/>
      <c r="AO269" s="103"/>
      <c r="AP269" s="103"/>
      <c r="AQ269" s="103"/>
      <c r="AR269" s="103"/>
      <c r="AS269" s="99"/>
      <c r="AT269" s="103"/>
      <c r="AU269" s="103"/>
      <c r="AV269" s="99"/>
      <c r="AW269" s="99"/>
      <c r="AX269" s="99"/>
      <c r="AY269" s="99"/>
      <c r="AZ269" s="99"/>
      <c r="BA269" s="103"/>
      <c r="BB269" s="99"/>
      <c r="BC269" s="99"/>
      <c r="BD269" s="99"/>
      <c r="BE269" s="99"/>
      <c r="BF269" s="103"/>
      <c r="BG269" s="103"/>
      <c r="BH269" s="103"/>
      <c r="BI269" s="103"/>
      <c r="BJ269" s="103"/>
      <c r="BK269" s="103"/>
      <c r="BL269" s="103"/>
      <c r="BM269" s="103"/>
      <c r="BN269" s="103"/>
      <c r="BO269" s="103"/>
      <c r="BP269" s="103"/>
      <c r="BQ269" s="107"/>
      <c r="BR269" s="99"/>
      <c r="BS269" s="99"/>
      <c r="BT269" s="103"/>
      <c r="BU269" s="99"/>
      <c r="BV269" s="103"/>
      <c r="BW269" s="103"/>
      <c r="BX269" s="103"/>
      <c r="BY269" s="103"/>
      <c r="BZ269" s="103"/>
      <c r="CA269" s="103"/>
      <c r="CB269" s="103"/>
      <c r="CC269" s="103"/>
      <c r="CD269" s="103"/>
      <c r="CE269" s="103"/>
      <c r="CF269" s="103"/>
      <c r="CG269" s="103"/>
      <c r="CH269" s="103"/>
      <c r="CI269" s="103"/>
      <c r="CJ269" s="103"/>
      <c r="CK269" s="103"/>
      <c r="CL269" s="99"/>
      <c r="CM269" s="95">
        <v>12.3802333</v>
      </c>
      <c r="CN269" s="95">
        <v>-2.5492903</v>
      </c>
      <c r="CO269" s="99"/>
      <c r="CP269" s="99"/>
      <c r="CQ269" s="99"/>
      <c r="CR269" s="99"/>
      <c r="CS269" s="99"/>
      <c r="CT269" s="99"/>
      <c r="CU269" s="99"/>
      <c r="CV269" s="99"/>
      <c r="CW269" s="99"/>
      <c r="CX269" s="99"/>
      <c r="CY269" s="99"/>
      <c r="CZ269" s="99"/>
      <c r="DA269" s="99"/>
      <c r="DB269" s="99"/>
      <c r="DC269" s="99"/>
    </row>
    <row r="270" spans="1:107" ht="15.75" customHeight="1">
      <c r="A270" s="95">
        <v>273</v>
      </c>
      <c r="B270" s="99" t="s">
        <v>939</v>
      </c>
      <c r="C270" s="99" t="s">
        <v>940</v>
      </c>
      <c r="D270" s="99">
        <v>66192036</v>
      </c>
      <c r="E270" s="99" t="s">
        <v>399</v>
      </c>
      <c r="F270" s="95" t="s">
        <v>5694</v>
      </c>
      <c r="G270" s="95" t="s">
        <v>1049</v>
      </c>
      <c r="H270" s="95" t="s">
        <v>1065</v>
      </c>
      <c r="I270" s="95" t="s">
        <v>184</v>
      </c>
      <c r="J270" s="95" t="s">
        <v>1140</v>
      </c>
      <c r="K270" s="99"/>
      <c r="L270" s="103"/>
      <c r="M270" s="99"/>
      <c r="N270" s="99"/>
      <c r="O270" s="99"/>
      <c r="P270" s="103"/>
      <c r="Q270" s="103"/>
      <c r="R270" s="99"/>
      <c r="S270" s="103"/>
      <c r="T270" s="103" t="s">
        <v>5686</v>
      </c>
      <c r="U270" s="99" t="s">
        <v>5695</v>
      </c>
      <c r="V270" s="95">
        <v>12.3802333</v>
      </c>
      <c r="W270" s="95">
        <v>-2.5492903</v>
      </c>
      <c r="X270" s="104" t="s">
        <v>5180</v>
      </c>
      <c r="Y270" s="103"/>
      <c r="Z270" s="103"/>
      <c r="AA270" s="103"/>
      <c r="AB270" s="103"/>
      <c r="AC270" s="103"/>
      <c r="AD270" s="103">
        <v>27</v>
      </c>
      <c r="AE270" s="103"/>
      <c r="AF270" s="103"/>
      <c r="AG270" s="99"/>
      <c r="AH270" s="103"/>
      <c r="AI270" s="103"/>
      <c r="AJ270" s="103"/>
      <c r="AK270" s="103"/>
      <c r="AL270" s="103"/>
      <c r="AM270" s="103"/>
      <c r="AN270" s="99"/>
      <c r="AO270" s="103"/>
      <c r="AP270" s="103"/>
      <c r="AQ270" s="103"/>
      <c r="AR270" s="103"/>
      <c r="AS270" s="99"/>
      <c r="AT270" s="103"/>
      <c r="AU270" s="103"/>
      <c r="AV270" s="99"/>
      <c r="AW270" s="99"/>
      <c r="AX270" s="99"/>
      <c r="AY270" s="99"/>
      <c r="AZ270" s="99"/>
      <c r="BA270" s="103"/>
      <c r="BB270" s="99"/>
      <c r="BC270" s="99"/>
      <c r="BD270" s="99"/>
      <c r="BE270" s="99"/>
      <c r="BF270" s="103"/>
      <c r="BG270" s="103"/>
      <c r="BH270" s="103"/>
      <c r="BI270" s="103"/>
      <c r="BJ270" s="103"/>
      <c r="BK270" s="103"/>
      <c r="BL270" s="103"/>
      <c r="BM270" s="103"/>
      <c r="BN270" s="103"/>
      <c r="BO270" s="103"/>
      <c r="BP270" s="103"/>
      <c r="BQ270" s="107"/>
      <c r="BR270" s="99"/>
      <c r="BS270" s="99"/>
      <c r="BT270" s="103"/>
      <c r="BU270" s="99"/>
      <c r="BV270" s="103"/>
      <c r="BW270" s="103"/>
      <c r="BX270" s="103"/>
      <c r="BY270" s="103"/>
      <c r="BZ270" s="103"/>
      <c r="CA270" s="103"/>
      <c r="CB270" s="103"/>
      <c r="CC270" s="103"/>
      <c r="CD270" s="103"/>
      <c r="CE270" s="103"/>
      <c r="CF270" s="103"/>
      <c r="CG270" s="103"/>
      <c r="CH270" s="103"/>
      <c r="CI270" s="103"/>
      <c r="CJ270" s="103"/>
      <c r="CK270" s="103"/>
      <c r="CL270" s="99"/>
      <c r="CM270" s="95">
        <v>12.3802333</v>
      </c>
      <c r="CN270" s="95">
        <v>-2.5492903</v>
      </c>
      <c r="CO270" s="99"/>
      <c r="CP270" s="99"/>
      <c r="CQ270" s="99"/>
      <c r="CR270" s="99"/>
      <c r="CS270" s="99"/>
      <c r="CT270" s="99"/>
      <c r="CU270" s="99"/>
      <c r="CV270" s="99"/>
      <c r="CW270" s="99"/>
      <c r="CX270" s="99"/>
      <c r="CY270" s="99"/>
      <c r="CZ270" s="99"/>
      <c r="DA270" s="99"/>
      <c r="DB270" s="99"/>
      <c r="DC270" s="99"/>
    </row>
    <row r="271" spans="1:107" ht="15.75" customHeight="1">
      <c r="A271" s="95">
        <v>274</v>
      </c>
      <c r="B271" s="117" t="s">
        <v>941</v>
      </c>
      <c r="C271" s="117" t="s">
        <v>942</v>
      </c>
      <c r="D271" s="117">
        <v>54741615</v>
      </c>
      <c r="E271" s="99" t="s">
        <v>400</v>
      </c>
      <c r="F271" s="95" t="s">
        <v>5696</v>
      </c>
      <c r="G271" s="95" t="s">
        <v>1049</v>
      </c>
      <c r="H271" s="95" t="s">
        <v>1065</v>
      </c>
      <c r="I271" s="95" t="s">
        <v>184</v>
      </c>
      <c r="J271" s="95" t="s">
        <v>1141</v>
      </c>
      <c r="K271" s="99"/>
      <c r="L271" s="103"/>
      <c r="M271" s="99"/>
      <c r="N271" s="99"/>
      <c r="O271" s="99"/>
      <c r="P271" s="103"/>
      <c r="Q271" s="103"/>
      <c r="R271" s="99"/>
      <c r="S271" s="103"/>
      <c r="T271" s="103" t="s">
        <v>5686</v>
      </c>
      <c r="U271" s="99" t="s">
        <v>5697</v>
      </c>
      <c r="V271" s="95">
        <v>12.3802333</v>
      </c>
      <c r="W271" s="95">
        <v>-2.5492903</v>
      </c>
      <c r="X271" s="104" t="s">
        <v>5180</v>
      </c>
      <c r="Y271" s="103"/>
      <c r="Z271" s="103"/>
      <c r="AA271" s="103"/>
      <c r="AB271" s="103"/>
      <c r="AC271" s="103"/>
      <c r="AD271" s="103">
        <v>44</v>
      </c>
      <c r="AE271" s="103"/>
      <c r="AF271" s="103"/>
      <c r="AG271" s="99"/>
      <c r="AH271" s="103"/>
      <c r="AI271" s="103"/>
      <c r="AJ271" s="103"/>
      <c r="AK271" s="103"/>
      <c r="AL271" s="103"/>
      <c r="AM271" s="103"/>
      <c r="AN271" s="99"/>
      <c r="AO271" s="103"/>
      <c r="AP271" s="103"/>
      <c r="AQ271" s="103"/>
      <c r="AR271" s="103"/>
      <c r="AS271" s="99"/>
      <c r="AT271" s="103"/>
      <c r="AU271" s="103"/>
      <c r="AV271" s="99"/>
      <c r="AW271" s="99"/>
      <c r="AX271" s="99"/>
      <c r="AY271" s="99"/>
      <c r="AZ271" s="99"/>
      <c r="BA271" s="103"/>
      <c r="BB271" s="99"/>
      <c r="BC271" s="99"/>
      <c r="BD271" s="99"/>
      <c r="BE271" s="99"/>
      <c r="BF271" s="103"/>
      <c r="BG271" s="103"/>
      <c r="BH271" s="103"/>
      <c r="BI271" s="103"/>
      <c r="BJ271" s="103"/>
      <c r="BK271" s="103"/>
      <c r="BL271" s="103"/>
      <c r="BM271" s="103"/>
      <c r="BN271" s="103"/>
      <c r="BO271" s="103"/>
      <c r="BP271" s="103"/>
      <c r="BQ271" s="107"/>
      <c r="BR271" s="99"/>
      <c r="BS271" s="99"/>
      <c r="BT271" s="103"/>
      <c r="BU271" s="99"/>
      <c r="BV271" s="103"/>
      <c r="BW271" s="103"/>
      <c r="BX271" s="103"/>
      <c r="BY271" s="103"/>
      <c r="BZ271" s="103"/>
      <c r="CA271" s="103"/>
      <c r="CB271" s="103"/>
      <c r="CC271" s="103"/>
      <c r="CD271" s="103"/>
      <c r="CE271" s="103"/>
      <c r="CF271" s="103"/>
      <c r="CG271" s="103"/>
      <c r="CH271" s="103"/>
      <c r="CI271" s="103"/>
      <c r="CJ271" s="103"/>
      <c r="CK271" s="103"/>
      <c r="CL271" s="99"/>
      <c r="CM271" s="95">
        <v>12.3802333</v>
      </c>
      <c r="CN271" s="95">
        <v>-2.5492903</v>
      </c>
      <c r="CO271" s="99"/>
      <c r="CP271" s="99"/>
      <c r="CQ271" s="99"/>
      <c r="CR271" s="99"/>
      <c r="CS271" s="99"/>
      <c r="CT271" s="99"/>
      <c r="CU271" s="99"/>
      <c r="CV271" s="99"/>
      <c r="CW271" s="99"/>
      <c r="CX271" s="99"/>
      <c r="CY271" s="99"/>
      <c r="CZ271" s="99"/>
      <c r="DA271" s="99"/>
      <c r="DB271" s="99"/>
      <c r="DC271" s="99"/>
    </row>
    <row r="272" spans="1:107" ht="15.75" customHeight="1">
      <c r="A272" s="95">
        <v>275</v>
      </c>
      <c r="B272" s="99" t="s">
        <v>727</v>
      </c>
      <c r="C272" s="99" t="s">
        <v>943</v>
      </c>
      <c r="D272" s="99">
        <v>52146933</v>
      </c>
      <c r="E272" s="99" t="s">
        <v>7084</v>
      </c>
      <c r="F272" s="95" t="s">
        <v>7132</v>
      </c>
      <c r="G272" s="95" t="s">
        <v>1049</v>
      </c>
      <c r="H272" s="95" t="s">
        <v>1065</v>
      </c>
      <c r="I272" s="95" t="s">
        <v>184</v>
      </c>
      <c r="J272" s="95" t="s">
        <v>7133</v>
      </c>
      <c r="K272" s="99"/>
      <c r="L272" s="103" t="s">
        <v>4449</v>
      </c>
      <c r="M272" s="99"/>
      <c r="N272" s="99"/>
      <c r="O272" s="99"/>
      <c r="P272" s="103"/>
      <c r="Q272" s="103"/>
      <c r="R272" s="99"/>
      <c r="S272" s="103"/>
      <c r="T272" s="103" t="s">
        <v>5686</v>
      </c>
      <c r="U272" s="99" t="s">
        <v>7134</v>
      </c>
      <c r="V272" s="95">
        <v>12.44477</v>
      </c>
      <c r="W272" s="95">
        <v>-2.688158</v>
      </c>
      <c r="X272" s="104" t="s">
        <v>4743</v>
      </c>
      <c r="Y272" s="103"/>
      <c r="Z272" s="103"/>
      <c r="AA272" s="103"/>
      <c r="AB272" s="103"/>
      <c r="AC272" s="103"/>
      <c r="AD272" s="103">
        <v>32</v>
      </c>
      <c r="AE272" s="103"/>
      <c r="AF272" s="103"/>
      <c r="AG272" s="99"/>
      <c r="AH272" s="103"/>
      <c r="AI272" s="103"/>
      <c r="AJ272" s="103"/>
      <c r="AK272" s="103"/>
      <c r="AL272" s="103"/>
      <c r="AM272" s="103"/>
      <c r="AN272" s="99"/>
      <c r="AO272" s="103"/>
      <c r="AP272" s="103"/>
      <c r="AQ272" s="103"/>
      <c r="AR272" s="103"/>
      <c r="AS272" s="99"/>
      <c r="AT272" s="103"/>
      <c r="AU272" s="103"/>
      <c r="AV272" s="99"/>
      <c r="AW272" s="99"/>
      <c r="AX272" s="99"/>
      <c r="AY272" s="99"/>
      <c r="AZ272" s="99"/>
      <c r="BA272" s="103"/>
      <c r="BB272" s="99"/>
      <c r="BC272" s="99"/>
      <c r="BD272" s="99"/>
      <c r="BE272" s="99"/>
      <c r="BF272" s="103"/>
      <c r="BG272" s="103"/>
      <c r="BH272" s="103"/>
      <c r="BI272" s="103"/>
      <c r="BJ272" s="103"/>
      <c r="BK272" s="103"/>
      <c r="BL272" s="103"/>
      <c r="BM272" s="103"/>
      <c r="BN272" s="103"/>
      <c r="BO272" s="103"/>
      <c r="BP272" s="103"/>
      <c r="BQ272" s="107"/>
      <c r="BR272" s="99"/>
      <c r="BS272" s="99"/>
      <c r="BT272" s="103"/>
      <c r="BU272" s="99"/>
      <c r="BV272" s="103"/>
      <c r="BW272" s="103"/>
      <c r="BX272" s="103"/>
      <c r="BY272" s="103"/>
      <c r="BZ272" s="103"/>
      <c r="CA272" s="103"/>
      <c r="CB272" s="103"/>
      <c r="CC272" s="103"/>
      <c r="CD272" s="103"/>
      <c r="CE272" s="103"/>
      <c r="CF272" s="103"/>
      <c r="CG272" s="103"/>
      <c r="CH272" s="103"/>
      <c r="CI272" s="103"/>
      <c r="CJ272" s="103"/>
      <c r="CK272" s="103"/>
      <c r="CL272" s="99"/>
      <c r="CM272" s="95">
        <v>12.44477</v>
      </c>
      <c r="CN272" s="95">
        <v>-2.688158</v>
      </c>
      <c r="CO272" s="99"/>
      <c r="CP272" s="99"/>
      <c r="CQ272" s="99"/>
      <c r="CR272" s="99"/>
      <c r="CS272" s="99"/>
      <c r="CT272" s="99"/>
      <c r="CU272" s="99"/>
      <c r="CV272" s="99"/>
      <c r="CW272" s="99"/>
      <c r="CX272" s="99"/>
      <c r="CY272" s="99"/>
      <c r="CZ272" s="99"/>
      <c r="DA272" s="99"/>
      <c r="DB272" s="99"/>
      <c r="DC272" s="99"/>
    </row>
    <row r="273" spans="1:107" ht="15.75" customHeight="1">
      <c r="A273" s="95">
        <v>276</v>
      </c>
      <c r="B273" s="99" t="s">
        <v>944</v>
      </c>
      <c r="C273" s="99" t="s">
        <v>945</v>
      </c>
      <c r="D273" s="99" t="s">
        <v>946</v>
      </c>
      <c r="E273" s="99" t="s">
        <v>401</v>
      </c>
      <c r="F273" s="95" t="s">
        <v>5698</v>
      </c>
      <c r="G273" s="95" t="s">
        <v>1085</v>
      </c>
      <c r="H273" s="95" t="s">
        <v>1074</v>
      </c>
      <c r="I273" s="95" t="s">
        <v>402</v>
      </c>
      <c r="J273" s="99" t="s">
        <v>1142</v>
      </c>
      <c r="K273" s="99"/>
      <c r="L273" s="103" t="s">
        <v>4449</v>
      </c>
      <c r="M273" s="99"/>
      <c r="N273" s="99"/>
      <c r="O273" s="99"/>
      <c r="P273" s="103"/>
      <c r="Q273" s="103"/>
      <c r="R273" s="99"/>
      <c r="S273" s="103" t="s">
        <v>4861</v>
      </c>
      <c r="T273" s="103" t="s">
        <v>5686</v>
      </c>
      <c r="U273" s="99" t="s">
        <v>5699</v>
      </c>
      <c r="V273" s="95">
        <v>11.2013941</v>
      </c>
      <c r="W273" s="95">
        <v>-4.3231241000000002</v>
      </c>
      <c r="X273" s="104" t="s">
        <v>5700</v>
      </c>
      <c r="Y273" s="103"/>
      <c r="Z273" s="103"/>
      <c r="AA273" s="103"/>
      <c r="AB273" s="103"/>
      <c r="AC273" s="103"/>
      <c r="AD273" s="103"/>
      <c r="AE273" s="103"/>
      <c r="AF273" s="103"/>
      <c r="AG273" s="99"/>
      <c r="AH273" s="103"/>
      <c r="AI273" s="103"/>
      <c r="AJ273" s="103"/>
      <c r="AK273" s="103"/>
      <c r="AL273" s="103"/>
      <c r="AM273" s="103"/>
      <c r="AN273" s="99"/>
      <c r="AO273" s="103"/>
      <c r="AP273" s="103"/>
      <c r="AQ273" s="103"/>
      <c r="AR273" s="103"/>
      <c r="AS273" s="99"/>
      <c r="AT273" s="103"/>
      <c r="AU273" s="103"/>
      <c r="AV273" s="99"/>
      <c r="AW273" s="99"/>
      <c r="AX273" s="99"/>
      <c r="AY273" s="99"/>
      <c r="AZ273" s="99"/>
      <c r="BA273" s="103"/>
      <c r="BB273" s="99">
        <v>100000</v>
      </c>
      <c r="BC273" s="99">
        <v>22000</v>
      </c>
      <c r="BD273" s="99"/>
      <c r="BE273" s="99"/>
      <c r="BF273" s="103"/>
      <c r="BG273" s="103"/>
      <c r="BH273" s="103"/>
      <c r="BI273" s="103"/>
      <c r="BJ273" s="103"/>
      <c r="BK273" s="103"/>
      <c r="BL273" s="103"/>
      <c r="BM273" s="103"/>
      <c r="BN273" s="103"/>
      <c r="BO273" s="103"/>
      <c r="BP273" s="103"/>
      <c r="BQ273" s="107"/>
      <c r="BR273" s="99"/>
      <c r="BS273" s="99"/>
      <c r="BT273" s="103"/>
      <c r="BU273" s="99"/>
      <c r="BV273" s="103"/>
      <c r="BW273" s="103"/>
      <c r="BX273" s="103"/>
      <c r="BY273" s="103"/>
      <c r="BZ273" s="103"/>
      <c r="CA273" s="103"/>
      <c r="CB273" s="103"/>
      <c r="CC273" s="103"/>
      <c r="CD273" s="103"/>
      <c r="CE273" s="103"/>
      <c r="CF273" s="103"/>
      <c r="CG273" s="103"/>
      <c r="CH273" s="103"/>
      <c r="CI273" s="103"/>
      <c r="CJ273" s="103"/>
      <c r="CK273" s="103"/>
      <c r="CL273" s="99"/>
      <c r="CM273" s="95">
        <v>11.2013941</v>
      </c>
      <c r="CN273" s="95">
        <v>-4.3231241000000002</v>
      </c>
      <c r="CO273" s="99"/>
      <c r="CP273" s="99"/>
      <c r="CQ273" s="99"/>
      <c r="CR273" s="99"/>
      <c r="CS273" s="99"/>
      <c r="CT273" s="99"/>
      <c r="CU273" s="99"/>
      <c r="CV273" s="99"/>
      <c r="CW273" s="99"/>
      <c r="CX273" s="99"/>
      <c r="CY273" s="99"/>
      <c r="CZ273" s="99"/>
      <c r="DA273" s="99"/>
      <c r="DB273" s="99"/>
      <c r="DC273" s="99"/>
    </row>
    <row r="274" spans="1:107" ht="15.75" customHeight="1">
      <c r="A274" s="95">
        <v>277</v>
      </c>
      <c r="B274" s="99" t="s">
        <v>670</v>
      </c>
      <c r="C274" s="99" t="s">
        <v>757</v>
      </c>
      <c r="D274" s="99">
        <v>72822850</v>
      </c>
      <c r="E274" s="99" t="s">
        <v>403</v>
      </c>
      <c r="F274" s="95" t="s">
        <v>5698</v>
      </c>
      <c r="G274" s="95" t="s">
        <v>1085</v>
      </c>
      <c r="H274" s="95" t="s">
        <v>1074</v>
      </c>
      <c r="I274" s="95" t="s">
        <v>402</v>
      </c>
      <c r="J274" s="99" t="s">
        <v>1142</v>
      </c>
      <c r="K274" s="99"/>
      <c r="L274" s="103" t="s">
        <v>4449</v>
      </c>
      <c r="M274" s="99"/>
      <c r="N274" s="99"/>
      <c r="O274" s="99"/>
      <c r="P274" s="103"/>
      <c r="Q274" s="103"/>
      <c r="R274" s="99"/>
      <c r="S274" s="103" t="s">
        <v>4861</v>
      </c>
      <c r="T274" s="103" t="s">
        <v>5686</v>
      </c>
      <c r="U274" s="99" t="s">
        <v>5699</v>
      </c>
      <c r="V274" s="95">
        <v>11.2013941</v>
      </c>
      <c r="W274" s="95">
        <v>-4.3231241000000002</v>
      </c>
      <c r="X274" s="104" t="s">
        <v>5700</v>
      </c>
      <c r="Y274" s="103"/>
      <c r="Z274" s="103"/>
      <c r="AA274" s="103"/>
      <c r="AB274" s="103"/>
      <c r="AC274" s="103"/>
      <c r="AD274" s="103"/>
      <c r="AE274" s="103"/>
      <c r="AF274" s="103"/>
      <c r="AG274" s="99"/>
      <c r="AH274" s="103"/>
      <c r="AI274" s="103"/>
      <c r="AJ274" s="103"/>
      <c r="AK274" s="103"/>
      <c r="AL274" s="103"/>
      <c r="AM274" s="103"/>
      <c r="AN274" s="99"/>
      <c r="AO274" s="103"/>
      <c r="AP274" s="103"/>
      <c r="AQ274" s="103"/>
      <c r="AR274" s="103"/>
      <c r="AS274" s="99"/>
      <c r="AT274" s="103"/>
      <c r="AU274" s="103"/>
      <c r="AV274" s="99"/>
      <c r="AW274" s="99"/>
      <c r="AX274" s="99"/>
      <c r="AY274" s="99"/>
      <c r="AZ274" s="99"/>
      <c r="BA274" s="103"/>
      <c r="BB274" s="99">
        <v>100000</v>
      </c>
      <c r="BC274" s="99">
        <v>22000</v>
      </c>
      <c r="BD274" s="99"/>
      <c r="BE274" s="99"/>
      <c r="BF274" s="103"/>
      <c r="BG274" s="103"/>
      <c r="BH274" s="103"/>
      <c r="BI274" s="103"/>
      <c r="BJ274" s="103"/>
      <c r="BK274" s="103"/>
      <c r="BL274" s="103"/>
      <c r="BM274" s="103"/>
      <c r="BN274" s="103"/>
      <c r="BO274" s="103"/>
      <c r="BP274" s="103"/>
      <c r="BQ274" s="107"/>
      <c r="BR274" s="99"/>
      <c r="BS274" s="99"/>
      <c r="BT274" s="103"/>
      <c r="BU274" s="99"/>
      <c r="BV274" s="103"/>
      <c r="BW274" s="103"/>
      <c r="BX274" s="103"/>
      <c r="BY274" s="103"/>
      <c r="BZ274" s="103"/>
      <c r="CA274" s="103"/>
      <c r="CB274" s="103"/>
      <c r="CC274" s="103"/>
      <c r="CD274" s="103"/>
      <c r="CE274" s="103"/>
      <c r="CF274" s="103"/>
      <c r="CG274" s="103"/>
      <c r="CH274" s="103"/>
      <c r="CI274" s="103"/>
      <c r="CJ274" s="103"/>
      <c r="CK274" s="103"/>
      <c r="CL274" s="99"/>
      <c r="CM274" s="95">
        <v>11.2013941</v>
      </c>
      <c r="CN274" s="95">
        <v>-4.3231241000000002</v>
      </c>
      <c r="CO274" s="99"/>
      <c r="CP274" s="99"/>
      <c r="CQ274" s="99"/>
      <c r="CR274" s="99"/>
      <c r="CS274" s="99"/>
      <c r="CT274" s="99"/>
      <c r="CU274" s="99"/>
      <c r="CV274" s="99"/>
      <c r="CW274" s="99"/>
      <c r="CX274" s="99"/>
      <c r="CY274" s="99"/>
      <c r="CZ274" s="99"/>
      <c r="DA274" s="99"/>
      <c r="DB274" s="99"/>
      <c r="DC274" s="99"/>
    </row>
    <row r="275" spans="1:107" ht="15.75" customHeight="1">
      <c r="A275" s="95">
        <v>278</v>
      </c>
      <c r="B275" s="99" t="s">
        <v>947</v>
      </c>
      <c r="C275" s="99" t="s">
        <v>948</v>
      </c>
      <c r="D275" s="95">
        <v>70390212</v>
      </c>
      <c r="E275" s="99" t="s">
        <v>404</v>
      </c>
      <c r="F275" s="122" t="s">
        <v>5701</v>
      </c>
      <c r="G275" s="95" t="s">
        <v>1085</v>
      </c>
      <c r="H275" s="95" t="s">
        <v>1074</v>
      </c>
      <c r="I275" s="95" t="s">
        <v>71</v>
      </c>
      <c r="J275" s="99" t="s">
        <v>1143</v>
      </c>
      <c r="K275" s="99"/>
      <c r="L275" s="103" t="s">
        <v>4449</v>
      </c>
      <c r="M275" s="99"/>
      <c r="N275" s="99"/>
      <c r="O275" s="119" t="s">
        <v>5702</v>
      </c>
      <c r="P275" s="103"/>
      <c r="Q275" s="103"/>
      <c r="R275" s="99"/>
      <c r="S275" s="99" t="s">
        <v>5703</v>
      </c>
      <c r="T275" s="104" t="s">
        <v>5704</v>
      </c>
      <c r="U275" s="99" t="s">
        <v>5705</v>
      </c>
      <c r="V275" s="95">
        <v>11.1649219</v>
      </c>
      <c r="W275" s="95">
        <v>-4.3051541999999996</v>
      </c>
      <c r="X275" s="104" t="s">
        <v>5706</v>
      </c>
      <c r="Y275" s="103"/>
      <c r="Z275" s="103"/>
      <c r="AA275" s="103"/>
      <c r="AB275" s="103">
        <v>0</v>
      </c>
      <c r="AC275" s="103"/>
      <c r="AD275" s="103"/>
      <c r="AE275" s="103"/>
      <c r="AF275" s="103"/>
      <c r="AG275" s="99"/>
      <c r="AH275" s="103"/>
      <c r="AI275" s="103"/>
      <c r="AJ275" s="103"/>
      <c r="AK275" s="103"/>
      <c r="AL275" s="103"/>
      <c r="AM275" s="103"/>
      <c r="AN275" s="99"/>
      <c r="AO275" s="103"/>
      <c r="AP275" s="103"/>
      <c r="AQ275" s="103"/>
      <c r="AR275" s="103"/>
      <c r="AS275" s="99"/>
      <c r="AT275" s="103"/>
      <c r="AU275" s="103"/>
      <c r="AV275" s="99"/>
      <c r="AW275" s="99"/>
      <c r="AX275" s="99"/>
      <c r="AY275" s="99"/>
      <c r="AZ275" s="99"/>
      <c r="BA275" s="103"/>
      <c r="BB275" s="99"/>
      <c r="BC275" s="99">
        <v>140000</v>
      </c>
      <c r="BD275" s="99"/>
      <c r="BE275" s="99"/>
      <c r="BF275" s="103"/>
      <c r="BG275" s="103"/>
      <c r="BH275" s="103"/>
      <c r="BI275" s="103"/>
      <c r="BJ275" s="103"/>
      <c r="BK275" s="103"/>
      <c r="BL275" s="103"/>
      <c r="BM275" s="103"/>
      <c r="BN275" s="103"/>
      <c r="BO275" s="103"/>
      <c r="BP275" s="103"/>
      <c r="BQ275" s="107"/>
      <c r="BR275" s="99"/>
      <c r="BS275" s="99"/>
      <c r="BT275" s="103"/>
      <c r="BU275" s="99"/>
      <c r="BV275" s="103"/>
      <c r="BW275" s="103"/>
      <c r="BX275" s="103"/>
      <c r="BY275" s="103"/>
      <c r="BZ275" s="103"/>
      <c r="CA275" s="103"/>
      <c r="CB275" s="103"/>
      <c r="CC275" s="103"/>
      <c r="CD275" s="103"/>
      <c r="CE275" s="103"/>
      <c r="CF275" s="103"/>
      <c r="CG275" s="103"/>
      <c r="CH275" s="103"/>
      <c r="CI275" s="103"/>
      <c r="CJ275" s="103"/>
      <c r="CK275" s="103"/>
      <c r="CL275" s="99"/>
      <c r="CM275" s="95">
        <v>11.1649219</v>
      </c>
      <c r="CN275" s="95">
        <v>-4.3051541999999996</v>
      </c>
      <c r="CO275" s="99"/>
      <c r="CP275" s="99"/>
      <c r="CQ275" s="99"/>
      <c r="CR275" s="99"/>
      <c r="CS275" s="99"/>
      <c r="CT275" s="99"/>
      <c r="CU275" s="99"/>
      <c r="CV275" s="99"/>
      <c r="CW275" s="99"/>
      <c r="CX275" s="99"/>
      <c r="CY275" s="99"/>
      <c r="CZ275" s="99"/>
      <c r="DA275" s="99"/>
      <c r="DB275" s="99"/>
      <c r="DC275" s="99"/>
    </row>
    <row r="276" spans="1:107" ht="15.75" customHeight="1">
      <c r="A276" s="95">
        <v>279</v>
      </c>
      <c r="B276" s="99" t="s">
        <v>949</v>
      </c>
      <c r="C276" s="99" t="s">
        <v>522</v>
      </c>
      <c r="D276" s="99">
        <v>76212445</v>
      </c>
      <c r="E276" s="99" t="s">
        <v>405</v>
      </c>
      <c r="F276" s="122" t="s">
        <v>5707</v>
      </c>
      <c r="G276" s="95" t="s">
        <v>1085</v>
      </c>
      <c r="H276" s="95" t="s">
        <v>1074</v>
      </c>
      <c r="I276" s="95" t="s">
        <v>406</v>
      </c>
      <c r="J276" s="95" t="s">
        <v>1144</v>
      </c>
      <c r="K276" s="99"/>
      <c r="L276" s="103" t="s">
        <v>4449</v>
      </c>
      <c r="M276" s="99"/>
      <c r="N276" s="99"/>
      <c r="O276" s="99" t="s">
        <v>5708</v>
      </c>
      <c r="P276" s="103"/>
      <c r="Q276" s="103"/>
      <c r="R276" s="99"/>
      <c r="S276" s="103" t="s">
        <v>5709</v>
      </c>
      <c r="T276" s="103" t="s">
        <v>5710</v>
      </c>
      <c r="U276" s="99" t="s">
        <v>5711</v>
      </c>
      <c r="V276" s="95">
        <v>11.1320447</v>
      </c>
      <c r="W276" s="95">
        <v>-4.2333354999999999</v>
      </c>
      <c r="X276" s="104" t="s">
        <v>4805</v>
      </c>
      <c r="Y276" s="103"/>
      <c r="Z276" s="103"/>
      <c r="AA276" s="103"/>
      <c r="AB276" s="103"/>
      <c r="AC276" s="103"/>
      <c r="AD276" s="103"/>
      <c r="AE276" s="103"/>
      <c r="AF276" s="103"/>
      <c r="AG276" s="99"/>
      <c r="AH276" s="103"/>
      <c r="AI276" s="103"/>
      <c r="AJ276" s="103"/>
      <c r="AK276" s="103"/>
      <c r="AL276" s="103"/>
      <c r="AM276" s="103"/>
      <c r="AN276" s="99"/>
      <c r="AO276" s="103"/>
      <c r="AP276" s="103"/>
      <c r="AQ276" s="103"/>
      <c r="AR276" s="103"/>
      <c r="AS276" s="99"/>
      <c r="AT276" s="103"/>
      <c r="AU276" s="103"/>
      <c r="AV276" s="99"/>
      <c r="AW276" s="99"/>
      <c r="AX276" s="99"/>
      <c r="AY276" s="99"/>
      <c r="AZ276" s="99"/>
      <c r="BA276" s="103"/>
      <c r="BB276" s="99"/>
      <c r="BC276" s="99">
        <v>5000</v>
      </c>
      <c r="BD276" s="99"/>
      <c r="BE276" s="99"/>
      <c r="BF276" s="103"/>
      <c r="BG276" s="103"/>
      <c r="BH276" s="103"/>
      <c r="BI276" s="103"/>
      <c r="BJ276" s="103"/>
      <c r="BK276" s="103"/>
      <c r="BL276" s="103"/>
      <c r="BM276" s="103"/>
      <c r="BN276" s="103"/>
      <c r="BO276" s="103"/>
      <c r="BP276" s="103"/>
      <c r="BQ276" s="107"/>
      <c r="BR276" s="99"/>
      <c r="BS276" s="99"/>
      <c r="BT276" s="103"/>
      <c r="BU276" s="99"/>
      <c r="BV276" s="103"/>
      <c r="BW276" s="103"/>
      <c r="BX276" s="103"/>
      <c r="BY276" s="103"/>
      <c r="BZ276" s="103"/>
      <c r="CA276" s="103"/>
      <c r="CB276" s="103"/>
      <c r="CC276" s="103"/>
      <c r="CD276" s="103"/>
      <c r="CE276" s="103"/>
      <c r="CF276" s="103"/>
      <c r="CG276" s="103"/>
      <c r="CH276" s="103"/>
      <c r="CI276" s="103"/>
      <c r="CJ276" s="103"/>
      <c r="CK276" s="103"/>
      <c r="CL276" s="99"/>
      <c r="CM276" s="95">
        <v>11.1320447</v>
      </c>
      <c r="CN276" s="95">
        <v>-4.2333354999999999</v>
      </c>
      <c r="CO276" s="99"/>
      <c r="CP276" s="99"/>
      <c r="CQ276" s="99"/>
      <c r="CR276" s="99"/>
      <c r="CS276" s="99"/>
      <c r="CT276" s="99"/>
      <c r="CU276" s="99"/>
      <c r="CV276" s="99"/>
      <c r="CW276" s="99"/>
      <c r="CX276" s="99"/>
      <c r="CY276" s="99"/>
      <c r="CZ276" s="99"/>
      <c r="DA276" s="99"/>
      <c r="DB276" s="99"/>
      <c r="DC276" s="99"/>
    </row>
    <row r="277" spans="1:107" ht="15.75" customHeight="1">
      <c r="A277" s="95">
        <v>280</v>
      </c>
      <c r="B277" s="99" t="s">
        <v>837</v>
      </c>
      <c r="C277" s="99" t="s">
        <v>950</v>
      </c>
      <c r="D277" s="99">
        <v>76553667</v>
      </c>
      <c r="E277" s="99" t="s">
        <v>407</v>
      </c>
      <c r="F277" s="122" t="s">
        <v>5712</v>
      </c>
      <c r="G277" s="95" t="s">
        <v>1085</v>
      </c>
      <c r="H277" s="95" t="s">
        <v>1074</v>
      </c>
      <c r="I277" s="95" t="s">
        <v>408</v>
      </c>
      <c r="J277" s="95" t="s">
        <v>408</v>
      </c>
      <c r="K277" s="99"/>
      <c r="L277" s="103" t="s">
        <v>4449</v>
      </c>
      <c r="M277" s="99"/>
      <c r="N277" s="99"/>
      <c r="O277" s="99" t="s">
        <v>4452</v>
      </c>
      <c r="P277" s="103"/>
      <c r="Q277" s="103"/>
      <c r="R277" s="99"/>
      <c r="S277" s="103" t="s">
        <v>4454</v>
      </c>
      <c r="T277" s="103" t="s">
        <v>5710</v>
      </c>
      <c r="U277" s="99" t="s">
        <v>5713</v>
      </c>
      <c r="V277" s="95">
        <v>10.950893600000001</v>
      </c>
      <c r="W277" s="95">
        <v>-4.4722511999999996</v>
      </c>
      <c r="X277" s="104" t="s">
        <v>5714</v>
      </c>
      <c r="Y277" s="103"/>
      <c r="Z277" s="103"/>
      <c r="AA277" s="103"/>
      <c r="AB277" s="103"/>
      <c r="AC277" s="103"/>
      <c r="AD277" s="103"/>
      <c r="AE277" s="103"/>
      <c r="AF277" s="103"/>
      <c r="AG277" s="99"/>
      <c r="AH277" s="103"/>
      <c r="AI277" s="103"/>
      <c r="AJ277" s="103"/>
      <c r="AK277" s="103"/>
      <c r="AL277" s="103"/>
      <c r="AM277" s="103"/>
      <c r="AN277" s="99"/>
      <c r="AO277" s="103"/>
      <c r="AP277" s="103"/>
      <c r="AQ277" s="103"/>
      <c r="AR277" s="103"/>
      <c r="AS277" s="99"/>
      <c r="AT277" s="103"/>
      <c r="AU277" s="103"/>
      <c r="AV277" s="99"/>
      <c r="AW277" s="99"/>
      <c r="AX277" s="99"/>
      <c r="AY277" s="99"/>
      <c r="AZ277" s="99"/>
      <c r="BA277" s="103"/>
      <c r="BB277" s="99"/>
      <c r="BC277" s="99"/>
      <c r="BD277" s="99"/>
      <c r="BE277" s="99"/>
      <c r="BF277" s="103"/>
      <c r="BG277" s="103"/>
      <c r="BH277" s="103"/>
      <c r="BI277" s="103"/>
      <c r="BJ277" s="103"/>
      <c r="BK277" s="103"/>
      <c r="BL277" s="103"/>
      <c r="BM277" s="103"/>
      <c r="BN277" s="103"/>
      <c r="BO277" s="103"/>
      <c r="BP277" s="103"/>
      <c r="BQ277" s="107"/>
      <c r="BR277" s="99"/>
      <c r="BS277" s="99"/>
      <c r="BT277" s="103"/>
      <c r="BU277" s="99"/>
      <c r="BV277" s="103"/>
      <c r="BW277" s="103"/>
      <c r="BX277" s="103"/>
      <c r="BY277" s="103"/>
      <c r="BZ277" s="103"/>
      <c r="CA277" s="103"/>
      <c r="CB277" s="103"/>
      <c r="CC277" s="103"/>
      <c r="CD277" s="103"/>
      <c r="CE277" s="103"/>
      <c r="CF277" s="103"/>
      <c r="CG277" s="103"/>
      <c r="CH277" s="103"/>
      <c r="CI277" s="103"/>
      <c r="CJ277" s="103"/>
      <c r="CK277" s="103"/>
      <c r="CL277" s="99"/>
      <c r="CM277" s="95">
        <v>10.950893600000001</v>
      </c>
      <c r="CN277" s="95">
        <v>-4.4722511999999996</v>
      </c>
      <c r="CO277" s="99"/>
      <c r="CP277" s="99"/>
      <c r="CQ277" s="99"/>
      <c r="CR277" s="99"/>
      <c r="CS277" s="99"/>
      <c r="CT277" s="99"/>
      <c r="CU277" s="99"/>
      <c r="CV277" s="99"/>
      <c r="CW277" s="99"/>
      <c r="CX277" s="99"/>
      <c r="CY277" s="99"/>
      <c r="CZ277" s="99"/>
      <c r="DA277" s="99"/>
      <c r="DB277" s="99"/>
      <c r="DC277" s="99"/>
    </row>
    <row r="278" spans="1:107" ht="15.75" customHeight="1">
      <c r="A278" s="95">
        <v>281</v>
      </c>
      <c r="B278" s="99" t="s">
        <v>951</v>
      </c>
      <c r="C278" s="99" t="s">
        <v>887</v>
      </c>
      <c r="D278" s="99">
        <v>70277398</v>
      </c>
      <c r="E278" s="99" t="s">
        <v>409</v>
      </c>
      <c r="F278" s="122" t="s">
        <v>5715</v>
      </c>
      <c r="G278" s="95" t="s">
        <v>1098</v>
      </c>
      <c r="H278" s="95" t="s">
        <v>1145</v>
      </c>
      <c r="I278" s="95" t="s">
        <v>293</v>
      </c>
      <c r="J278" s="95" t="s">
        <v>1146</v>
      </c>
      <c r="K278" s="99"/>
      <c r="L278" s="103" t="s">
        <v>4449</v>
      </c>
      <c r="M278" s="99"/>
      <c r="N278" s="99"/>
      <c r="O278" s="99" t="s">
        <v>5716</v>
      </c>
      <c r="P278" s="103"/>
      <c r="Q278" s="103"/>
      <c r="R278" s="99"/>
      <c r="S278" s="103" t="s">
        <v>5717</v>
      </c>
      <c r="T278" s="103" t="s">
        <v>5710</v>
      </c>
      <c r="U278" s="99" t="s">
        <v>5718</v>
      </c>
      <c r="V278" s="115">
        <v>10.76667</v>
      </c>
      <c r="W278" s="115">
        <v>-5.15</v>
      </c>
      <c r="X278" s="104" t="s">
        <v>5719</v>
      </c>
      <c r="Y278" s="103"/>
      <c r="Z278" s="103"/>
      <c r="AA278" s="103"/>
      <c r="AB278" s="103"/>
      <c r="AC278" s="103"/>
      <c r="AD278" s="103"/>
      <c r="AE278" s="103"/>
      <c r="AF278" s="103"/>
      <c r="AG278" s="99"/>
      <c r="AH278" s="103"/>
      <c r="AI278" s="103"/>
      <c r="AJ278" s="103"/>
      <c r="AK278" s="103"/>
      <c r="AL278" s="103"/>
      <c r="AM278" s="103"/>
      <c r="AN278" s="99"/>
      <c r="AO278" s="103"/>
      <c r="AP278" s="103"/>
      <c r="AQ278" s="103"/>
      <c r="AR278" s="103"/>
      <c r="AS278" s="99"/>
      <c r="AT278" s="103"/>
      <c r="AU278" s="103"/>
      <c r="AV278" s="99"/>
      <c r="AW278" s="99"/>
      <c r="AX278" s="99"/>
      <c r="AY278" s="99"/>
      <c r="AZ278" s="99"/>
      <c r="BA278" s="103"/>
      <c r="BB278" s="99"/>
      <c r="BC278" s="99"/>
      <c r="BD278" s="99"/>
      <c r="BE278" s="99"/>
      <c r="BF278" s="103"/>
      <c r="BG278" s="103"/>
      <c r="BH278" s="103"/>
      <c r="BI278" s="103"/>
      <c r="BJ278" s="103"/>
      <c r="BK278" s="103"/>
      <c r="BL278" s="103"/>
      <c r="BM278" s="103"/>
      <c r="BN278" s="103"/>
      <c r="BO278" s="103"/>
      <c r="BP278" s="103"/>
      <c r="BQ278" s="107"/>
      <c r="BR278" s="99"/>
      <c r="BS278" s="99"/>
      <c r="BT278" s="103"/>
      <c r="BU278" s="99"/>
      <c r="BV278" s="103"/>
      <c r="BW278" s="103"/>
      <c r="BX278" s="103"/>
      <c r="BY278" s="103"/>
      <c r="BZ278" s="103"/>
      <c r="CA278" s="103"/>
      <c r="CB278" s="103"/>
      <c r="CC278" s="103"/>
      <c r="CD278" s="103"/>
      <c r="CE278" s="103"/>
      <c r="CF278" s="103"/>
      <c r="CG278" s="103"/>
      <c r="CH278" s="103"/>
      <c r="CI278" s="103"/>
      <c r="CJ278" s="103"/>
      <c r="CK278" s="103"/>
      <c r="CL278" s="99"/>
      <c r="CM278" s="95">
        <v>10.76667</v>
      </c>
      <c r="CN278" s="95">
        <v>-5.15</v>
      </c>
      <c r="CO278" s="99"/>
      <c r="CP278" s="99"/>
      <c r="CQ278" s="99"/>
      <c r="CR278" s="99"/>
      <c r="CS278" s="99"/>
      <c r="CT278" s="99"/>
      <c r="CU278" s="99"/>
      <c r="CV278" s="99"/>
      <c r="CW278" s="99"/>
      <c r="CX278" s="99"/>
      <c r="CY278" s="99"/>
      <c r="CZ278" s="99"/>
      <c r="DA278" s="99"/>
      <c r="DB278" s="99"/>
      <c r="DC278" s="99"/>
    </row>
    <row r="279" spans="1:107" ht="15.75" customHeight="1">
      <c r="A279" s="95">
        <v>282</v>
      </c>
      <c r="B279" s="99" t="s">
        <v>952</v>
      </c>
      <c r="C279" s="99" t="s">
        <v>953</v>
      </c>
      <c r="D279" s="99">
        <v>70743709</v>
      </c>
      <c r="E279" s="99" t="s">
        <v>410</v>
      </c>
      <c r="F279" s="122" t="s">
        <v>5720</v>
      </c>
      <c r="G279" s="95" t="s">
        <v>1068</v>
      </c>
      <c r="H279" s="95" t="s">
        <v>1081</v>
      </c>
      <c r="I279" s="95" t="s">
        <v>156</v>
      </c>
      <c r="J279" s="95" t="s">
        <v>156</v>
      </c>
      <c r="K279" s="99"/>
      <c r="L279" s="103" t="s">
        <v>4449</v>
      </c>
      <c r="M279" s="99"/>
      <c r="N279" s="99"/>
      <c r="O279" s="99" t="s">
        <v>4452</v>
      </c>
      <c r="P279" s="103"/>
      <c r="Q279" s="103"/>
      <c r="R279" s="99"/>
      <c r="S279" s="103" t="s">
        <v>4454</v>
      </c>
      <c r="T279" s="103" t="s">
        <v>5710</v>
      </c>
      <c r="U279" s="99" t="s">
        <v>5721</v>
      </c>
      <c r="V279" s="95">
        <v>10.3231036</v>
      </c>
      <c r="W279" s="95">
        <v>-3.1679257000000001</v>
      </c>
      <c r="X279" s="104" t="s">
        <v>5064</v>
      </c>
      <c r="Y279" s="103"/>
      <c r="Z279" s="103"/>
      <c r="AA279" s="103"/>
      <c r="AB279" s="103"/>
      <c r="AC279" s="103"/>
      <c r="AD279" s="103"/>
      <c r="AE279" s="103"/>
      <c r="AF279" s="103"/>
      <c r="AG279" s="99"/>
      <c r="AH279" s="103"/>
      <c r="AI279" s="103"/>
      <c r="AJ279" s="103"/>
      <c r="AK279" s="103"/>
      <c r="AL279" s="103"/>
      <c r="AM279" s="103"/>
      <c r="AN279" s="99"/>
      <c r="AO279" s="103"/>
      <c r="AP279" s="103"/>
      <c r="AQ279" s="103"/>
      <c r="AR279" s="103"/>
      <c r="AS279" s="99"/>
      <c r="AT279" s="103"/>
      <c r="AU279" s="103"/>
      <c r="AV279" s="99"/>
      <c r="AW279" s="99"/>
      <c r="AX279" s="99"/>
      <c r="AY279" s="99"/>
      <c r="AZ279" s="99"/>
      <c r="BA279" s="103"/>
      <c r="BB279" s="99"/>
      <c r="BC279" s="99">
        <v>120</v>
      </c>
      <c r="BD279" s="99"/>
      <c r="BE279" s="99"/>
      <c r="BF279" s="103"/>
      <c r="BG279" s="103"/>
      <c r="BH279" s="103"/>
      <c r="BI279" s="103"/>
      <c r="BJ279" s="103"/>
      <c r="BK279" s="103"/>
      <c r="BL279" s="103"/>
      <c r="BM279" s="103"/>
      <c r="BN279" s="103"/>
      <c r="BO279" s="103"/>
      <c r="BP279" s="103"/>
      <c r="BQ279" s="107"/>
      <c r="BR279" s="99"/>
      <c r="BS279" s="99"/>
      <c r="BT279" s="103"/>
      <c r="BU279" s="99"/>
      <c r="BV279" s="103"/>
      <c r="BW279" s="103"/>
      <c r="BX279" s="103"/>
      <c r="BY279" s="103"/>
      <c r="BZ279" s="103"/>
      <c r="CA279" s="103"/>
      <c r="CB279" s="103"/>
      <c r="CC279" s="103"/>
      <c r="CD279" s="103"/>
      <c r="CE279" s="103"/>
      <c r="CF279" s="103"/>
      <c r="CG279" s="103"/>
      <c r="CH279" s="103"/>
      <c r="CI279" s="103"/>
      <c r="CJ279" s="103"/>
      <c r="CK279" s="103"/>
      <c r="CL279" s="99"/>
      <c r="CM279" s="95">
        <v>10.3231036</v>
      </c>
      <c r="CN279" s="95">
        <v>-3.1679257000000001</v>
      </c>
      <c r="CO279" s="99"/>
      <c r="CP279" s="99"/>
      <c r="CQ279" s="99"/>
      <c r="CR279" s="99"/>
      <c r="CS279" s="99"/>
      <c r="CT279" s="99"/>
      <c r="CU279" s="99"/>
      <c r="CV279" s="99"/>
      <c r="CW279" s="99"/>
      <c r="CX279" s="99"/>
      <c r="CY279" s="99"/>
      <c r="CZ279" s="99"/>
      <c r="DA279" s="99"/>
      <c r="DB279" s="99"/>
      <c r="DC279" s="99"/>
    </row>
    <row r="280" spans="1:107" ht="15.75" customHeight="1">
      <c r="A280" s="95">
        <v>284</v>
      </c>
      <c r="B280" s="99" t="s">
        <v>694</v>
      </c>
      <c r="C280" s="99" t="s">
        <v>611</v>
      </c>
      <c r="D280" s="99">
        <v>64860801</v>
      </c>
      <c r="E280" s="99" t="s">
        <v>411</v>
      </c>
      <c r="F280" s="122" t="s">
        <v>5722</v>
      </c>
      <c r="G280" s="95" t="s">
        <v>1085</v>
      </c>
      <c r="H280" s="95" t="s">
        <v>1123</v>
      </c>
      <c r="I280" s="95" t="s">
        <v>412</v>
      </c>
      <c r="J280" s="95" t="s">
        <v>1147</v>
      </c>
      <c r="K280" s="99"/>
      <c r="L280" s="103" t="s">
        <v>4449</v>
      </c>
      <c r="M280" s="99"/>
      <c r="N280" s="99"/>
      <c r="O280" s="99" t="s">
        <v>4947</v>
      </c>
      <c r="P280" s="103"/>
      <c r="Q280" s="103"/>
      <c r="R280" s="99"/>
      <c r="S280" s="103" t="s">
        <v>5717</v>
      </c>
      <c r="T280" s="103" t="s">
        <v>5710</v>
      </c>
      <c r="U280" s="99" t="s">
        <v>5723</v>
      </c>
      <c r="V280" s="95">
        <v>11.438007000000001</v>
      </c>
      <c r="W280" s="115">
        <v>-3.0060479999999998</v>
      </c>
      <c r="X280" s="104" t="s">
        <v>5724</v>
      </c>
      <c r="Y280" s="101"/>
      <c r="Z280" s="103"/>
      <c r="AA280" s="103"/>
      <c r="AB280" s="103"/>
      <c r="AC280" s="103"/>
      <c r="AD280" s="103"/>
      <c r="AE280" s="103"/>
      <c r="AF280" s="103"/>
      <c r="AG280" s="99"/>
      <c r="AH280" s="103"/>
      <c r="AI280" s="103"/>
      <c r="AJ280" s="103"/>
      <c r="AK280" s="103"/>
      <c r="AL280" s="103"/>
      <c r="AM280" s="103"/>
      <c r="AN280" s="99"/>
      <c r="AO280" s="103"/>
      <c r="AP280" s="103"/>
      <c r="AQ280" s="103"/>
      <c r="AR280" s="103"/>
      <c r="AS280" s="99"/>
      <c r="AT280" s="103"/>
      <c r="AU280" s="103"/>
      <c r="AV280" s="99"/>
      <c r="AW280" s="99"/>
      <c r="AX280" s="99"/>
      <c r="AY280" s="99"/>
      <c r="AZ280" s="99"/>
      <c r="BA280" s="103"/>
      <c r="BB280" s="99"/>
      <c r="BC280" s="99"/>
      <c r="BD280" s="99"/>
      <c r="BE280" s="99"/>
      <c r="BF280" s="103"/>
      <c r="BG280" s="103"/>
      <c r="BH280" s="103"/>
      <c r="BI280" s="103"/>
      <c r="BJ280" s="103"/>
      <c r="BK280" s="103"/>
      <c r="BL280" s="103"/>
      <c r="BM280" s="103"/>
      <c r="BN280" s="103"/>
      <c r="BO280" s="103"/>
      <c r="BP280" s="103"/>
      <c r="BQ280" s="107"/>
      <c r="BR280" s="99"/>
      <c r="BS280" s="99"/>
      <c r="BT280" s="103"/>
      <c r="BU280" s="99"/>
      <c r="BV280" s="103"/>
      <c r="BW280" s="103"/>
      <c r="BX280" s="103"/>
      <c r="BY280" s="103"/>
      <c r="BZ280" s="103"/>
      <c r="CA280" s="103"/>
      <c r="CB280" s="103"/>
      <c r="CC280" s="103"/>
      <c r="CD280" s="103"/>
      <c r="CE280" s="103"/>
      <c r="CF280" s="103"/>
      <c r="CG280" s="103"/>
      <c r="CH280" s="103"/>
      <c r="CI280" s="103"/>
      <c r="CJ280" s="103"/>
      <c r="CK280" s="103"/>
      <c r="CL280" s="99"/>
      <c r="CM280" s="95">
        <v>11.438007000000001</v>
      </c>
      <c r="CN280" s="95">
        <v>-3.0060479999999998</v>
      </c>
      <c r="CO280" s="99"/>
      <c r="CP280" s="99"/>
      <c r="CQ280" s="99"/>
      <c r="CR280" s="99"/>
      <c r="CS280" s="99"/>
      <c r="CT280" s="99"/>
      <c r="CU280" s="99"/>
      <c r="CV280" s="99"/>
      <c r="CW280" s="99"/>
      <c r="CX280" s="99"/>
      <c r="CY280" s="99"/>
      <c r="CZ280" s="99"/>
      <c r="DA280" s="99"/>
      <c r="DB280" s="99"/>
      <c r="DC280" s="99"/>
    </row>
    <row r="281" spans="1:107" ht="15.75" customHeight="1">
      <c r="A281" s="95">
        <v>285</v>
      </c>
      <c r="B281" s="99" t="s">
        <v>856</v>
      </c>
      <c r="C281" s="99" t="s">
        <v>954</v>
      </c>
      <c r="D281" s="99">
        <v>57260562</v>
      </c>
      <c r="E281" s="99" t="s">
        <v>7079</v>
      </c>
      <c r="F281" s="95" t="s">
        <v>5725</v>
      </c>
      <c r="G281" s="95" t="s">
        <v>1049</v>
      </c>
      <c r="H281" s="95" t="s">
        <v>1066</v>
      </c>
      <c r="I281" s="95" t="s">
        <v>413</v>
      </c>
      <c r="J281" s="95" t="s">
        <v>413</v>
      </c>
      <c r="K281" s="99"/>
      <c r="L281" s="103" t="s">
        <v>4449</v>
      </c>
      <c r="M281" s="99"/>
      <c r="N281" s="99"/>
      <c r="O281" s="99" t="s">
        <v>4947</v>
      </c>
      <c r="P281" s="103"/>
      <c r="Q281" s="103"/>
      <c r="R281" s="99"/>
      <c r="S281" s="103" t="s">
        <v>4454</v>
      </c>
      <c r="T281" s="103" t="s">
        <v>5710</v>
      </c>
      <c r="U281" s="99" t="s">
        <v>5726</v>
      </c>
      <c r="V281" s="95">
        <v>12.1941174</v>
      </c>
      <c r="W281" s="95">
        <v>-1.8733017000000001</v>
      </c>
      <c r="X281" s="104" t="s">
        <v>5727</v>
      </c>
      <c r="Y281" s="101"/>
      <c r="Z281" s="103"/>
      <c r="AA281" s="103"/>
      <c r="AB281" s="103"/>
      <c r="AC281" s="103"/>
      <c r="AD281" s="103"/>
      <c r="AE281" s="103"/>
      <c r="AF281" s="103"/>
      <c r="AG281" s="99"/>
      <c r="AH281" s="103"/>
      <c r="AI281" s="103"/>
      <c r="AJ281" s="103"/>
      <c r="AK281" s="103"/>
      <c r="AL281" s="103"/>
      <c r="AM281" s="103"/>
      <c r="AN281" s="99"/>
      <c r="AO281" s="103"/>
      <c r="AP281" s="103"/>
      <c r="AQ281" s="103"/>
      <c r="AR281" s="103"/>
      <c r="AS281" s="99"/>
      <c r="AT281" s="103"/>
      <c r="AU281" s="103"/>
      <c r="AV281" s="99"/>
      <c r="AW281" s="99"/>
      <c r="AX281" s="99"/>
      <c r="AY281" s="99"/>
      <c r="AZ281" s="99"/>
      <c r="BA281" s="103"/>
      <c r="BB281" s="99"/>
      <c r="BC281" s="99">
        <v>200000</v>
      </c>
      <c r="BD281" s="99"/>
      <c r="BE281" s="99"/>
      <c r="BF281" s="103"/>
      <c r="BG281" s="103"/>
      <c r="BH281" s="103"/>
      <c r="BI281" s="103"/>
      <c r="BJ281" s="103"/>
      <c r="BK281" s="103"/>
      <c r="BL281" s="103"/>
      <c r="BM281" s="103"/>
      <c r="BN281" s="103"/>
      <c r="BO281" s="103"/>
      <c r="BP281" s="103"/>
      <c r="BQ281" s="107"/>
      <c r="BR281" s="99"/>
      <c r="BS281" s="99"/>
      <c r="BT281" s="103"/>
      <c r="BU281" s="99"/>
      <c r="BV281" s="103"/>
      <c r="BW281" s="103"/>
      <c r="BX281" s="103"/>
      <c r="BY281" s="103"/>
      <c r="BZ281" s="103"/>
      <c r="CA281" s="103"/>
      <c r="CB281" s="103"/>
      <c r="CC281" s="103"/>
      <c r="CD281" s="103"/>
      <c r="CE281" s="103"/>
      <c r="CF281" s="103"/>
      <c r="CG281" s="103"/>
      <c r="CH281" s="103"/>
      <c r="CI281" s="103"/>
      <c r="CJ281" s="103"/>
      <c r="CK281" s="103"/>
      <c r="CL281" s="99"/>
      <c r="CM281" s="95">
        <v>12.1941174</v>
      </c>
      <c r="CN281" s="95">
        <v>-1.8733017000000001</v>
      </c>
      <c r="CO281" s="99"/>
      <c r="CP281" s="99"/>
      <c r="CQ281" s="99"/>
      <c r="CR281" s="99"/>
      <c r="CS281" s="99"/>
      <c r="CT281" s="99"/>
      <c r="CU281" s="99"/>
      <c r="CV281" s="99"/>
      <c r="CW281" s="99"/>
      <c r="CX281" s="99"/>
      <c r="CY281" s="99"/>
      <c r="CZ281" s="99"/>
      <c r="DA281" s="99"/>
      <c r="DB281" s="99"/>
      <c r="DC281" s="99"/>
    </row>
    <row r="282" spans="1:107" ht="15.75" customHeight="1">
      <c r="A282" s="95">
        <v>286</v>
      </c>
      <c r="B282" s="99" t="s">
        <v>955</v>
      </c>
      <c r="C282" s="99" t="s">
        <v>566</v>
      </c>
      <c r="D282" s="99">
        <v>71634720</v>
      </c>
      <c r="E282" s="99" t="s">
        <v>414</v>
      </c>
      <c r="F282" s="95" t="s">
        <v>4990</v>
      </c>
      <c r="G282" s="95" t="s">
        <v>1068</v>
      </c>
      <c r="H282" s="95" t="s">
        <v>1081</v>
      </c>
      <c r="I282" s="95" t="s">
        <v>127</v>
      </c>
      <c r="J282" s="95"/>
      <c r="K282" s="99"/>
      <c r="L282" s="103" t="s">
        <v>4449</v>
      </c>
      <c r="M282" s="99"/>
      <c r="N282" s="99"/>
      <c r="O282" s="99" t="s">
        <v>4452</v>
      </c>
      <c r="P282" s="103"/>
      <c r="Q282" s="103"/>
      <c r="R282" s="99"/>
      <c r="S282" s="103" t="s">
        <v>4454</v>
      </c>
      <c r="T282" s="103" t="s">
        <v>5710</v>
      </c>
      <c r="U282" s="99" t="s">
        <v>4992</v>
      </c>
      <c r="V282" s="95">
        <v>10.2927366</v>
      </c>
      <c r="W282" s="95">
        <v>-3.5319406999999998</v>
      </c>
      <c r="X282" s="104" t="s">
        <v>4993</v>
      </c>
      <c r="Y282" s="101"/>
      <c r="Z282" s="103"/>
      <c r="AA282" s="103"/>
      <c r="AB282" s="103"/>
      <c r="AC282" s="103"/>
      <c r="AD282" s="103"/>
      <c r="AE282" s="103"/>
      <c r="AF282" s="103"/>
      <c r="AG282" s="99"/>
      <c r="AH282" s="103"/>
      <c r="AI282" s="103"/>
      <c r="AJ282" s="103"/>
      <c r="AK282" s="103"/>
      <c r="AL282" s="103"/>
      <c r="AM282" s="103"/>
      <c r="AN282" s="99"/>
      <c r="AO282" s="103"/>
      <c r="AP282" s="103"/>
      <c r="AQ282" s="103"/>
      <c r="AR282" s="103"/>
      <c r="AS282" s="99"/>
      <c r="AT282" s="103"/>
      <c r="AU282" s="103"/>
      <c r="AV282" s="99"/>
      <c r="AW282" s="99"/>
      <c r="AX282" s="99"/>
      <c r="AY282" s="99"/>
      <c r="AZ282" s="99"/>
      <c r="BA282" s="103"/>
      <c r="BB282" s="99"/>
      <c r="BC282" s="99">
        <v>5000</v>
      </c>
      <c r="BD282" s="99"/>
      <c r="BE282" s="99"/>
      <c r="BF282" s="103"/>
      <c r="BG282" s="103"/>
      <c r="BH282" s="103"/>
      <c r="BI282" s="103"/>
      <c r="BJ282" s="103"/>
      <c r="BK282" s="103"/>
      <c r="BL282" s="103"/>
      <c r="BM282" s="103"/>
      <c r="BN282" s="103"/>
      <c r="BO282" s="103"/>
      <c r="BP282" s="103"/>
      <c r="BQ282" s="107"/>
      <c r="BR282" s="99"/>
      <c r="BS282" s="99"/>
      <c r="BT282" s="103"/>
      <c r="BU282" s="99"/>
      <c r="BV282" s="103"/>
      <c r="BW282" s="103"/>
      <c r="BX282" s="103"/>
      <c r="BY282" s="103"/>
      <c r="BZ282" s="103"/>
      <c r="CA282" s="103"/>
      <c r="CB282" s="103"/>
      <c r="CC282" s="103"/>
      <c r="CD282" s="103"/>
      <c r="CE282" s="103"/>
      <c r="CF282" s="103"/>
      <c r="CG282" s="103"/>
      <c r="CH282" s="103"/>
      <c r="CI282" s="103"/>
      <c r="CJ282" s="103"/>
      <c r="CK282" s="103"/>
      <c r="CL282" s="99"/>
      <c r="CM282" s="95">
        <v>10.2927366</v>
      </c>
      <c r="CN282" s="95">
        <v>-3.5319406999999998</v>
      </c>
      <c r="CO282" s="99"/>
      <c r="CP282" s="99"/>
      <c r="CQ282" s="99"/>
      <c r="CR282" s="99"/>
      <c r="CS282" s="99"/>
      <c r="CT282" s="99"/>
      <c r="CU282" s="99"/>
      <c r="CV282" s="99"/>
      <c r="CW282" s="99"/>
      <c r="CX282" s="99"/>
      <c r="CY282" s="99"/>
      <c r="CZ282" s="99"/>
      <c r="DA282" s="99"/>
      <c r="DB282" s="99"/>
      <c r="DC282" s="99"/>
    </row>
    <row r="283" spans="1:107" ht="15.75" customHeight="1">
      <c r="A283" s="95">
        <v>287</v>
      </c>
      <c r="B283" s="99" t="s">
        <v>956</v>
      </c>
      <c r="C283" s="99" t="s">
        <v>957</v>
      </c>
      <c r="D283" s="99">
        <v>70490956</v>
      </c>
      <c r="E283" s="99" t="s">
        <v>415</v>
      </c>
      <c r="F283" s="122" t="s">
        <v>5728</v>
      </c>
      <c r="G283" s="95" t="s">
        <v>1148</v>
      </c>
      <c r="H283" s="95" t="s">
        <v>1074</v>
      </c>
      <c r="I283" s="95" t="s">
        <v>71</v>
      </c>
      <c r="J283" s="99" t="s">
        <v>1143</v>
      </c>
      <c r="K283" s="99"/>
      <c r="L283" s="103" t="s">
        <v>4449</v>
      </c>
      <c r="M283" s="99"/>
      <c r="N283" s="99"/>
      <c r="O283" s="99" t="s">
        <v>5729</v>
      </c>
      <c r="P283" s="103"/>
      <c r="Q283" s="103"/>
      <c r="R283" s="99"/>
      <c r="S283" s="103" t="s">
        <v>4454</v>
      </c>
      <c r="T283" s="103" t="s">
        <v>5710</v>
      </c>
      <c r="U283" s="99" t="s">
        <v>5730</v>
      </c>
      <c r="V283" s="95">
        <v>11.1649219</v>
      </c>
      <c r="W283" s="95">
        <v>-4.3051541999999996</v>
      </c>
      <c r="X283" s="104" t="s">
        <v>5706</v>
      </c>
      <c r="Y283" s="103"/>
      <c r="Z283" s="103"/>
      <c r="AA283" s="103"/>
      <c r="AB283" s="103"/>
      <c r="AC283" s="103"/>
      <c r="AD283" s="103"/>
      <c r="AE283" s="103"/>
      <c r="AF283" s="103"/>
      <c r="AG283" s="99"/>
      <c r="AH283" s="103"/>
      <c r="AI283" s="103"/>
      <c r="AJ283" s="103"/>
      <c r="AK283" s="103"/>
      <c r="AL283" s="103"/>
      <c r="AM283" s="103"/>
      <c r="AN283" s="99"/>
      <c r="AO283" s="103"/>
      <c r="AP283" s="103"/>
      <c r="AQ283" s="103"/>
      <c r="AR283" s="103"/>
      <c r="AS283" s="99"/>
      <c r="AT283" s="103"/>
      <c r="AU283" s="103"/>
      <c r="AV283" s="99"/>
      <c r="AW283" s="99"/>
      <c r="AX283" s="99"/>
      <c r="AY283" s="99"/>
      <c r="AZ283" s="99"/>
      <c r="BA283" s="103"/>
      <c r="BB283" s="99"/>
      <c r="BC283" s="99">
        <v>4500</v>
      </c>
      <c r="BD283" s="99"/>
      <c r="BE283" s="99"/>
      <c r="BF283" s="103"/>
      <c r="BG283" s="103"/>
      <c r="BH283" s="103"/>
      <c r="BI283" s="103"/>
      <c r="BJ283" s="103"/>
      <c r="BK283" s="103"/>
      <c r="BL283" s="103"/>
      <c r="BM283" s="103"/>
      <c r="BN283" s="103"/>
      <c r="BO283" s="103"/>
      <c r="BP283" s="103"/>
      <c r="BQ283" s="107"/>
      <c r="BR283" s="99"/>
      <c r="BS283" s="99"/>
      <c r="BT283" s="103"/>
      <c r="BU283" s="99"/>
      <c r="BV283" s="103"/>
      <c r="BW283" s="103"/>
      <c r="BX283" s="103"/>
      <c r="BY283" s="103"/>
      <c r="BZ283" s="103"/>
      <c r="CA283" s="103"/>
      <c r="CB283" s="103"/>
      <c r="CC283" s="103"/>
      <c r="CD283" s="103"/>
      <c r="CE283" s="103"/>
      <c r="CF283" s="103"/>
      <c r="CG283" s="103"/>
      <c r="CH283" s="103"/>
      <c r="CI283" s="103"/>
      <c r="CJ283" s="103"/>
      <c r="CK283" s="103"/>
      <c r="CL283" s="99"/>
      <c r="CM283" s="95">
        <v>11.1649219</v>
      </c>
      <c r="CN283" s="95">
        <v>-4.3051541999999996</v>
      </c>
      <c r="CO283" s="99"/>
      <c r="CP283" s="99"/>
      <c r="CQ283" s="99"/>
      <c r="CR283" s="99"/>
      <c r="CS283" s="99"/>
      <c r="CT283" s="99"/>
      <c r="CU283" s="99"/>
      <c r="CV283" s="99"/>
      <c r="CW283" s="99"/>
      <c r="CX283" s="99"/>
      <c r="CY283" s="99"/>
      <c r="CZ283" s="99"/>
      <c r="DA283" s="99"/>
      <c r="DB283" s="99"/>
      <c r="DC283" s="99"/>
    </row>
    <row r="284" spans="1:107" ht="15.75" customHeight="1">
      <c r="A284" s="95">
        <v>289</v>
      </c>
      <c r="B284" s="99" t="s">
        <v>958</v>
      </c>
      <c r="C284" s="99" t="s">
        <v>601</v>
      </c>
      <c r="D284" s="99">
        <v>70742520</v>
      </c>
      <c r="E284" s="99" t="s">
        <v>416</v>
      </c>
      <c r="F284" s="122" t="s">
        <v>5731</v>
      </c>
      <c r="G284" s="95" t="s">
        <v>1098</v>
      </c>
      <c r="H284" s="95" t="s">
        <v>1149</v>
      </c>
      <c r="I284" s="95" t="s">
        <v>417</v>
      </c>
      <c r="J284" s="95" t="s">
        <v>417</v>
      </c>
      <c r="K284" s="99"/>
      <c r="L284" s="103" t="s">
        <v>4449</v>
      </c>
      <c r="M284" s="99"/>
      <c r="N284" s="99"/>
      <c r="O284" s="99" t="s">
        <v>4452</v>
      </c>
      <c r="P284" s="103"/>
      <c r="Q284" s="103"/>
      <c r="R284" s="99"/>
      <c r="S284" s="103" t="s">
        <v>5709</v>
      </c>
      <c r="T284" s="103" t="s">
        <v>5710</v>
      </c>
      <c r="U284" s="99" t="s">
        <v>5732</v>
      </c>
      <c r="V284" s="95">
        <v>10.640016299999999</v>
      </c>
      <c r="W284" s="95">
        <v>-4.7588042000000002</v>
      </c>
      <c r="X284" s="104" t="s">
        <v>5733</v>
      </c>
      <c r="Y284" s="101"/>
      <c r="Z284" s="103"/>
      <c r="AA284" s="103"/>
      <c r="AB284" s="103"/>
      <c r="AC284" s="103"/>
      <c r="AD284" s="103"/>
      <c r="AE284" s="103"/>
      <c r="AF284" s="103"/>
      <c r="AG284" s="99"/>
      <c r="AH284" s="103"/>
      <c r="AI284" s="103"/>
      <c r="AJ284" s="103"/>
      <c r="AK284" s="103"/>
      <c r="AL284" s="103"/>
      <c r="AM284" s="103"/>
      <c r="AN284" s="99"/>
      <c r="AO284" s="103"/>
      <c r="AP284" s="103"/>
      <c r="AQ284" s="103"/>
      <c r="AR284" s="103"/>
      <c r="AS284" s="99"/>
      <c r="AT284" s="103"/>
      <c r="AU284" s="103"/>
      <c r="AV284" s="99"/>
      <c r="AW284" s="99"/>
      <c r="AX284" s="99"/>
      <c r="AY284" s="99"/>
      <c r="AZ284" s="99"/>
      <c r="BA284" s="103"/>
      <c r="BB284" s="99"/>
      <c r="BC284" s="99">
        <v>10000</v>
      </c>
      <c r="BD284" s="99"/>
      <c r="BE284" s="99"/>
      <c r="BF284" s="103"/>
      <c r="BG284" s="103"/>
      <c r="BH284" s="103"/>
      <c r="BI284" s="103"/>
      <c r="BJ284" s="103"/>
      <c r="BK284" s="103"/>
      <c r="BL284" s="103"/>
      <c r="BM284" s="103"/>
      <c r="BN284" s="103"/>
      <c r="BO284" s="103"/>
      <c r="BP284" s="103"/>
      <c r="BQ284" s="107"/>
      <c r="BR284" s="99"/>
      <c r="BS284" s="99"/>
      <c r="BT284" s="103"/>
      <c r="BU284" s="99"/>
      <c r="BV284" s="103"/>
      <c r="BW284" s="103"/>
      <c r="BX284" s="103"/>
      <c r="BY284" s="103"/>
      <c r="BZ284" s="103"/>
      <c r="CA284" s="103"/>
      <c r="CB284" s="103"/>
      <c r="CC284" s="103"/>
      <c r="CD284" s="103"/>
      <c r="CE284" s="103"/>
      <c r="CF284" s="103"/>
      <c r="CG284" s="103"/>
      <c r="CH284" s="103"/>
      <c r="CI284" s="103"/>
      <c r="CJ284" s="103"/>
      <c r="CK284" s="103"/>
      <c r="CL284" s="99"/>
      <c r="CM284" s="95">
        <v>10.640016299999999</v>
      </c>
      <c r="CN284" s="95">
        <v>-4.7588042000000002</v>
      </c>
      <c r="CO284" s="99"/>
      <c r="CP284" s="99"/>
      <c r="CQ284" s="99"/>
      <c r="CR284" s="99"/>
      <c r="CS284" s="99"/>
      <c r="CT284" s="99"/>
      <c r="CU284" s="99"/>
      <c r="CV284" s="99"/>
      <c r="CW284" s="99"/>
      <c r="CX284" s="99"/>
      <c r="CY284" s="99"/>
      <c r="CZ284" s="99"/>
      <c r="DA284" s="99"/>
      <c r="DB284" s="99"/>
      <c r="DC284" s="99"/>
    </row>
    <row r="285" spans="1:107" ht="15.75" customHeight="1">
      <c r="A285" s="95">
        <v>290</v>
      </c>
      <c r="B285" s="99" t="s">
        <v>7135</v>
      </c>
      <c r="C285" s="99" t="s">
        <v>732</v>
      </c>
      <c r="D285" s="99" t="s">
        <v>7136</v>
      </c>
      <c r="E285" s="99" t="s">
        <v>7083</v>
      </c>
      <c r="F285" s="122" t="s">
        <v>5734</v>
      </c>
      <c r="G285" s="95" t="s">
        <v>1049</v>
      </c>
      <c r="H285" s="95" t="s">
        <v>1065</v>
      </c>
      <c r="I285" s="95" t="s">
        <v>184</v>
      </c>
      <c r="J285" s="95" t="s">
        <v>184</v>
      </c>
      <c r="K285" s="99"/>
      <c r="L285" s="103" t="s">
        <v>4449</v>
      </c>
      <c r="M285" s="99"/>
      <c r="N285" s="99"/>
      <c r="O285" s="99" t="s">
        <v>4452</v>
      </c>
      <c r="P285" s="103"/>
      <c r="Q285" s="103"/>
      <c r="R285" s="99"/>
      <c r="S285" s="103" t="s">
        <v>4454</v>
      </c>
      <c r="T285" s="103" t="s">
        <v>5710</v>
      </c>
      <c r="U285" s="99" t="s">
        <v>5735</v>
      </c>
      <c r="V285" s="95">
        <v>12.3802333</v>
      </c>
      <c r="W285" s="95">
        <v>-2.5492903</v>
      </c>
      <c r="X285" s="104" t="s">
        <v>5180</v>
      </c>
      <c r="Y285" s="101"/>
      <c r="Z285" s="103"/>
      <c r="AA285" s="103"/>
      <c r="AB285" s="103"/>
      <c r="AC285" s="103"/>
      <c r="AD285" s="103"/>
      <c r="AE285" s="103"/>
      <c r="AF285" s="103"/>
      <c r="AG285" s="99"/>
      <c r="AH285" s="103"/>
      <c r="AI285" s="103"/>
      <c r="AJ285" s="103"/>
      <c r="AK285" s="103"/>
      <c r="AL285" s="103"/>
      <c r="AM285" s="103"/>
      <c r="AN285" s="99"/>
      <c r="AO285" s="103"/>
      <c r="AP285" s="103"/>
      <c r="AQ285" s="103"/>
      <c r="AR285" s="103"/>
      <c r="AS285" s="99"/>
      <c r="AT285" s="103"/>
      <c r="AU285" s="103"/>
      <c r="AV285" s="99"/>
      <c r="AW285" s="99"/>
      <c r="AX285" s="99"/>
      <c r="AY285" s="99"/>
      <c r="AZ285" s="99"/>
      <c r="BA285" s="103"/>
      <c r="BB285" s="99"/>
      <c r="BC285" s="99"/>
      <c r="BD285" s="99"/>
      <c r="BE285" s="99"/>
      <c r="BF285" s="103"/>
      <c r="BG285" s="103"/>
      <c r="BH285" s="103"/>
      <c r="BI285" s="103"/>
      <c r="BJ285" s="103"/>
      <c r="BK285" s="103"/>
      <c r="BL285" s="103"/>
      <c r="BM285" s="103"/>
      <c r="BN285" s="103"/>
      <c r="BO285" s="103"/>
      <c r="BP285" s="103"/>
      <c r="BQ285" s="107"/>
      <c r="BR285" s="99"/>
      <c r="BS285" s="99"/>
      <c r="BT285" s="103"/>
      <c r="BU285" s="99"/>
      <c r="BV285" s="103"/>
      <c r="BW285" s="103"/>
      <c r="BX285" s="103"/>
      <c r="BY285" s="103"/>
      <c r="BZ285" s="103"/>
      <c r="CA285" s="103"/>
      <c r="CB285" s="103"/>
      <c r="CC285" s="103"/>
      <c r="CD285" s="103"/>
      <c r="CE285" s="103"/>
      <c r="CF285" s="103"/>
      <c r="CG285" s="103"/>
      <c r="CH285" s="103"/>
      <c r="CI285" s="103"/>
      <c r="CJ285" s="103"/>
      <c r="CK285" s="103"/>
      <c r="CL285" s="99"/>
      <c r="CM285" s="95">
        <v>12.3802333</v>
      </c>
      <c r="CN285" s="95">
        <v>-2.5492903</v>
      </c>
      <c r="CO285" s="99"/>
      <c r="CP285" s="99"/>
      <c r="CQ285" s="99"/>
      <c r="CR285" s="99"/>
      <c r="CS285" s="99"/>
      <c r="CT285" s="99"/>
      <c r="CU285" s="99"/>
      <c r="CV285" s="99"/>
      <c r="CW285" s="99"/>
      <c r="CX285" s="99"/>
      <c r="CY285" s="99"/>
      <c r="CZ285" s="99"/>
      <c r="DA285" s="99"/>
      <c r="DB285" s="99"/>
      <c r="DC285" s="99"/>
    </row>
    <row r="286" spans="1:107" ht="15.75" customHeight="1">
      <c r="A286" s="95">
        <v>291</v>
      </c>
      <c r="B286" s="99" t="s">
        <v>944</v>
      </c>
      <c r="C286" s="99" t="s">
        <v>960</v>
      </c>
      <c r="D286" s="99">
        <v>70432140</v>
      </c>
      <c r="E286" s="99" t="s">
        <v>418</v>
      </c>
      <c r="F286" s="122" t="s">
        <v>5736</v>
      </c>
      <c r="G286" s="95" t="s">
        <v>1049</v>
      </c>
      <c r="H286" s="95" t="s">
        <v>1065</v>
      </c>
      <c r="I286" s="95" t="s">
        <v>419</v>
      </c>
      <c r="J286" s="95" t="s">
        <v>1150</v>
      </c>
      <c r="K286" s="99"/>
      <c r="L286" s="103" t="s">
        <v>4549</v>
      </c>
      <c r="M286" s="99"/>
      <c r="N286" s="99"/>
      <c r="O286" s="99" t="s">
        <v>5737</v>
      </c>
      <c r="P286" s="103"/>
      <c r="Q286" s="103"/>
      <c r="R286" s="99"/>
      <c r="S286" s="103" t="s">
        <v>5703</v>
      </c>
      <c r="T286" s="103" t="s">
        <v>5710</v>
      </c>
      <c r="U286" s="99" t="s">
        <v>5738</v>
      </c>
      <c r="V286" s="95">
        <v>12.3181444</v>
      </c>
      <c r="W286" s="95">
        <v>-2.4653597999999999</v>
      </c>
      <c r="X286" s="104" t="s">
        <v>5739</v>
      </c>
      <c r="Y286" s="101"/>
      <c r="Z286" s="103"/>
      <c r="AA286" s="103"/>
      <c r="AB286" s="103"/>
      <c r="AC286" s="103"/>
      <c r="AD286" s="103"/>
      <c r="AE286" s="103"/>
      <c r="AF286" s="103"/>
      <c r="AG286" s="99"/>
      <c r="AH286" s="103"/>
      <c r="AI286" s="103"/>
      <c r="AJ286" s="103"/>
      <c r="AK286" s="103"/>
      <c r="AL286" s="103"/>
      <c r="AM286" s="103"/>
      <c r="AN286" s="99"/>
      <c r="AO286" s="103"/>
      <c r="AP286" s="103"/>
      <c r="AQ286" s="103"/>
      <c r="AR286" s="103"/>
      <c r="AS286" s="99"/>
      <c r="AT286" s="103"/>
      <c r="AU286" s="103"/>
      <c r="AV286" s="99"/>
      <c r="AW286" s="99"/>
      <c r="AX286" s="99"/>
      <c r="AY286" s="99"/>
      <c r="AZ286" s="99"/>
      <c r="BA286" s="103"/>
      <c r="BB286" s="99"/>
      <c r="BC286" s="99">
        <v>150000</v>
      </c>
      <c r="BD286" s="99"/>
      <c r="BE286" s="99"/>
      <c r="BF286" s="103"/>
      <c r="BG286" s="103"/>
      <c r="BH286" s="103"/>
      <c r="BI286" s="103"/>
      <c r="BJ286" s="103"/>
      <c r="BK286" s="103"/>
      <c r="BL286" s="103"/>
      <c r="BM286" s="103"/>
      <c r="BN286" s="103"/>
      <c r="BO286" s="103"/>
      <c r="BP286" s="103"/>
      <c r="BQ286" s="107"/>
      <c r="BR286" s="99"/>
      <c r="BS286" s="99"/>
      <c r="BT286" s="103"/>
      <c r="BU286" s="99"/>
      <c r="BV286" s="103"/>
      <c r="BW286" s="103"/>
      <c r="BX286" s="103"/>
      <c r="BY286" s="103"/>
      <c r="BZ286" s="103"/>
      <c r="CA286" s="103"/>
      <c r="CB286" s="103"/>
      <c r="CC286" s="103"/>
      <c r="CD286" s="103"/>
      <c r="CE286" s="103"/>
      <c r="CF286" s="103"/>
      <c r="CG286" s="103"/>
      <c r="CH286" s="103"/>
      <c r="CI286" s="103"/>
      <c r="CJ286" s="103"/>
      <c r="CK286" s="103"/>
      <c r="CL286" s="99"/>
      <c r="CM286" s="95">
        <v>12.3181444</v>
      </c>
      <c r="CN286" s="95">
        <v>-2.4653597999999999</v>
      </c>
      <c r="CO286" s="99"/>
      <c r="CP286" s="99"/>
      <c r="CQ286" s="99"/>
      <c r="CR286" s="99"/>
      <c r="CS286" s="99"/>
      <c r="CT286" s="99"/>
      <c r="CU286" s="99"/>
      <c r="CV286" s="99"/>
      <c r="CW286" s="99"/>
      <c r="CX286" s="99"/>
      <c r="CY286" s="99"/>
      <c r="CZ286" s="99"/>
      <c r="DA286" s="99"/>
      <c r="DB286" s="99"/>
      <c r="DC286" s="99"/>
    </row>
    <row r="287" spans="1:107" ht="15.75" customHeight="1">
      <c r="A287" s="95">
        <v>292</v>
      </c>
      <c r="B287" s="99" t="s">
        <v>961</v>
      </c>
      <c r="C287" s="99" t="s">
        <v>962</v>
      </c>
      <c r="D287" s="99">
        <v>70738750</v>
      </c>
      <c r="E287" s="99" t="s">
        <v>7081</v>
      </c>
      <c r="F287" s="122" t="s">
        <v>5740</v>
      </c>
      <c r="G287" s="95" t="s">
        <v>1049</v>
      </c>
      <c r="H287" s="95" t="s">
        <v>1070</v>
      </c>
      <c r="I287" s="95" t="s">
        <v>89</v>
      </c>
      <c r="J287" s="95" t="s">
        <v>1151</v>
      </c>
      <c r="K287" s="99"/>
      <c r="L287" s="103" t="s">
        <v>4449</v>
      </c>
      <c r="M287" s="99"/>
      <c r="N287" s="99"/>
      <c r="O287" s="99" t="s">
        <v>5702</v>
      </c>
      <c r="P287" s="103"/>
      <c r="Q287" s="103"/>
      <c r="R287" s="99"/>
      <c r="S287" s="103" t="s">
        <v>4454</v>
      </c>
      <c r="T287" s="103" t="s">
        <v>5710</v>
      </c>
      <c r="U287" s="99" t="s">
        <v>5741</v>
      </c>
      <c r="V287" s="122">
        <v>12.2562183</v>
      </c>
      <c r="W287" s="122">
        <v>-2.3517526000000002</v>
      </c>
      <c r="X287" s="104" t="s">
        <v>4839</v>
      </c>
      <c r="Y287" s="101"/>
      <c r="Z287" s="103"/>
      <c r="AA287" s="103"/>
      <c r="AB287" s="103"/>
      <c r="AC287" s="103"/>
      <c r="AD287" s="103"/>
      <c r="AE287" s="103"/>
      <c r="AF287" s="103"/>
      <c r="AG287" s="99"/>
      <c r="AH287" s="103"/>
      <c r="AI287" s="103"/>
      <c r="AJ287" s="103"/>
      <c r="AK287" s="103"/>
      <c r="AL287" s="103"/>
      <c r="AM287" s="103"/>
      <c r="AN287" s="99"/>
      <c r="AO287" s="103"/>
      <c r="AP287" s="103"/>
      <c r="AQ287" s="103"/>
      <c r="AR287" s="103"/>
      <c r="AS287" s="99"/>
      <c r="AT287" s="103"/>
      <c r="AU287" s="103"/>
      <c r="AV287" s="99"/>
      <c r="AW287" s="99"/>
      <c r="AX287" s="99"/>
      <c r="AY287" s="99"/>
      <c r="AZ287" s="99"/>
      <c r="BA287" s="103"/>
      <c r="BB287" s="99"/>
      <c r="BC287" s="99">
        <v>40000</v>
      </c>
      <c r="BD287" s="99"/>
      <c r="BE287" s="99"/>
      <c r="BF287" s="103"/>
      <c r="BG287" s="103"/>
      <c r="BH287" s="103"/>
      <c r="BI287" s="103"/>
      <c r="BJ287" s="103"/>
      <c r="BK287" s="103"/>
      <c r="BL287" s="103"/>
      <c r="BM287" s="103"/>
      <c r="BN287" s="103"/>
      <c r="BO287" s="103"/>
      <c r="BP287" s="103"/>
      <c r="BQ287" s="107"/>
      <c r="BR287" s="99"/>
      <c r="BS287" s="99"/>
      <c r="BT287" s="103"/>
      <c r="BU287" s="99"/>
      <c r="BV287" s="103"/>
      <c r="BW287" s="103"/>
      <c r="BX287" s="103"/>
      <c r="BY287" s="103"/>
      <c r="BZ287" s="103"/>
      <c r="CA287" s="103"/>
      <c r="CB287" s="103"/>
      <c r="CC287" s="103"/>
      <c r="CD287" s="103"/>
      <c r="CE287" s="103"/>
      <c r="CF287" s="103"/>
      <c r="CG287" s="103"/>
      <c r="CH287" s="103"/>
      <c r="CI287" s="103"/>
      <c r="CJ287" s="103"/>
      <c r="CK287" s="103"/>
      <c r="CL287" s="99"/>
      <c r="CM287" s="95">
        <v>12.2562183</v>
      </c>
      <c r="CN287" s="95">
        <v>-2.3517526000000002</v>
      </c>
      <c r="CO287" s="99"/>
      <c r="CP287" s="99"/>
      <c r="CQ287" s="99"/>
      <c r="CR287" s="99"/>
      <c r="CS287" s="99"/>
      <c r="CT287" s="99"/>
      <c r="CU287" s="99"/>
      <c r="CV287" s="99"/>
      <c r="CW287" s="99"/>
      <c r="CX287" s="99"/>
      <c r="CY287" s="99"/>
      <c r="CZ287" s="99"/>
      <c r="DA287" s="99"/>
      <c r="DB287" s="99"/>
      <c r="DC287" s="99"/>
    </row>
    <row r="288" spans="1:107" ht="15.75" customHeight="1">
      <c r="A288" s="95">
        <v>293</v>
      </c>
      <c r="B288" s="99" t="s">
        <v>963</v>
      </c>
      <c r="C288" s="99" t="s">
        <v>964</v>
      </c>
      <c r="D288" s="99">
        <v>78913402</v>
      </c>
      <c r="E288" s="99" t="s">
        <v>420</v>
      </c>
      <c r="F288" s="122" t="s">
        <v>5742</v>
      </c>
      <c r="G288" s="95" t="s">
        <v>1049</v>
      </c>
      <c r="H288" s="95" t="s">
        <v>1050</v>
      </c>
      <c r="I288" s="95" t="s">
        <v>16</v>
      </c>
      <c r="J288" s="95" t="s">
        <v>16</v>
      </c>
      <c r="K288" s="99"/>
      <c r="L288" s="103" t="s">
        <v>4449</v>
      </c>
      <c r="M288" s="99"/>
      <c r="N288" s="99"/>
      <c r="O288" s="99" t="s">
        <v>4452</v>
      </c>
      <c r="P288" s="103"/>
      <c r="Q288" s="103"/>
      <c r="R288" s="99"/>
      <c r="S288" s="103" t="s">
        <v>4454</v>
      </c>
      <c r="T288" s="103" t="s">
        <v>5710</v>
      </c>
      <c r="U288" s="99" t="s">
        <v>5743</v>
      </c>
      <c r="V288" s="122">
        <v>11.547870400000001</v>
      </c>
      <c r="W288" s="122">
        <v>-1.7684869999999999</v>
      </c>
      <c r="X288" s="104" t="s">
        <v>4540</v>
      </c>
      <c r="Y288" s="103"/>
      <c r="Z288" s="103"/>
      <c r="AA288" s="103"/>
      <c r="AB288" s="103"/>
      <c r="AC288" s="103"/>
      <c r="AD288" s="103"/>
      <c r="AE288" s="103"/>
      <c r="AF288" s="103"/>
      <c r="AG288" s="99"/>
      <c r="AH288" s="103"/>
      <c r="AI288" s="103"/>
      <c r="AJ288" s="103"/>
      <c r="AK288" s="103"/>
      <c r="AL288" s="103"/>
      <c r="AM288" s="103"/>
      <c r="AN288" s="99"/>
      <c r="AO288" s="103"/>
      <c r="AP288" s="103"/>
      <c r="AQ288" s="103"/>
      <c r="AR288" s="103"/>
      <c r="AS288" s="99"/>
      <c r="AT288" s="103"/>
      <c r="AU288" s="103"/>
      <c r="AV288" s="99"/>
      <c r="AW288" s="99"/>
      <c r="AX288" s="99"/>
      <c r="AY288" s="99"/>
      <c r="AZ288" s="99"/>
      <c r="BA288" s="103"/>
      <c r="BB288" s="99"/>
      <c r="BC288" s="99"/>
      <c r="BD288" s="99"/>
      <c r="BE288" s="99"/>
      <c r="BF288" s="103"/>
      <c r="BG288" s="103"/>
      <c r="BH288" s="103"/>
      <c r="BI288" s="103"/>
      <c r="BJ288" s="103"/>
      <c r="BK288" s="103"/>
      <c r="BL288" s="103"/>
      <c r="BM288" s="103"/>
      <c r="BN288" s="103"/>
      <c r="BO288" s="103"/>
      <c r="BP288" s="103"/>
      <c r="BQ288" s="107"/>
      <c r="BR288" s="99"/>
      <c r="BS288" s="99"/>
      <c r="BT288" s="103"/>
      <c r="BU288" s="99"/>
      <c r="BV288" s="103"/>
      <c r="BW288" s="103"/>
      <c r="BX288" s="103"/>
      <c r="BY288" s="103"/>
      <c r="BZ288" s="103"/>
      <c r="CA288" s="103"/>
      <c r="CB288" s="103"/>
      <c r="CC288" s="103"/>
      <c r="CD288" s="103"/>
      <c r="CE288" s="103"/>
      <c r="CF288" s="103"/>
      <c r="CG288" s="103"/>
      <c r="CH288" s="103"/>
      <c r="CI288" s="103"/>
      <c r="CJ288" s="103"/>
      <c r="CK288" s="103"/>
      <c r="CL288" s="99"/>
      <c r="CM288" s="95">
        <v>11.547870400000001</v>
      </c>
      <c r="CN288" s="95">
        <v>-1.7684869999999999</v>
      </c>
      <c r="CO288" s="99"/>
      <c r="CP288" s="99"/>
      <c r="CQ288" s="99"/>
      <c r="CR288" s="99"/>
      <c r="CS288" s="99"/>
      <c r="CT288" s="99"/>
      <c r="CU288" s="99"/>
      <c r="CV288" s="99"/>
      <c r="CW288" s="99"/>
      <c r="CX288" s="99"/>
      <c r="CY288" s="99"/>
      <c r="CZ288" s="99"/>
      <c r="DA288" s="99"/>
      <c r="DB288" s="99"/>
      <c r="DC288" s="99"/>
    </row>
    <row r="289" spans="1:107" ht="15.75" customHeight="1">
      <c r="A289" s="95">
        <v>294</v>
      </c>
      <c r="B289" s="99" t="s">
        <v>965</v>
      </c>
      <c r="C289" s="99" t="s">
        <v>966</v>
      </c>
      <c r="D289" s="99">
        <v>76010693</v>
      </c>
      <c r="E289" s="99" t="s">
        <v>421</v>
      </c>
      <c r="F289" s="122" t="s">
        <v>5744</v>
      </c>
      <c r="G289" s="95" t="s">
        <v>1049</v>
      </c>
      <c r="H289" s="95" t="s">
        <v>1079</v>
      </c>
      <c r="I289" s="95" t="s">
        <v>422</v>
      </c>
      <c r="J289" s="95" t="s">
        <v>422</v>
      </c>
      <c r="K289" s="99"/>
      <c r="L289" s="103" t="s">
        <v>4449</v>
      </c>
      <c r="M289" s="99"/>
      <c r="N289" s="99"/>
      <c r="O289" s="99" t="s">
        <v>4452</v>
      </c>
      <c r="P289" s="103"/>
      <c r="Q289" s="103"/>
      <c r="R289" s="99"/>
      <c r="S289" s="103" t="s">
        <v>5703</v>
      </c>
      <c r="T289" s="103" t="s">
        <v>5710</v>
      </c>
      <c r="U289" s="99" t="s">
        <v>5745</v>
      </c>
      <c r="V289" s="122">
        <v>11.0978809</v>
      </c>
      <c r="W289" s="122">
        <v>-2.0959428999999998</v>
      </c>
      <c r="X289" s="104" t="s">
        <v>5415</v>
      </c>
      <c r="Y289" s="103"/>
      <c r="Z289" s="103"/>
      <c r="AA289" s="103"/>
      <c r="AB289" s="103"/>
      <c r="AC289" s="103"/>
      <c r="AD289" s="103"/>
      <c r="AE289" s="103"/>
      <c r="AF289" s="103"/>
      <c r="AG289" s="99"/>
      <c r="AH289" s="103"/>
      <c r="AI289" s="103"/>
      <c r="AJ289" s="103"/>
      <c r="AK289" s="103"/>
      <c r="AL289" s="103"/>
      <c r="AM289" s="103"/>
      <c r="AN289" s="99"/>
      <c r="AO289" s="103"/>
      <c r="AP289" s="103"/>
      <c r="AQ289" s="103"/>
      <c r="AR289" s="103"/>
      <c r="AS289" s="99"/>
      <c r="AT289" s="103"/>
      <c r="AU289" s="103"/>
      <c r="AV289" s="99"/>
      <c r="AW289" s="99"/>
      <c r="AX289" s="99"/>
      <c r="AY289" s="99"/>
      <c r="AZ289" s="99"/>
      <c r="BA289" s="103"/>
      <c r="BB289" s="99"/>
      <c r="BC289" s="99">
        <v>200000</v>
      </c>
      <c r="BD289" s="99"/>
      <c r="BE289" s="99"/>
      <c r="BF289" s="103"/>
      <c r="BG289" s="103"/>
      <c r="BH289" s="103"/>
      <c r="BI289" s="103"/>
      <c r="BJ289" s="103"/>
      <c r="BK289" s="103"/>
      <c r="BL289" s="103"/>
      <c r="BM289" s="103"/>
      <c r="BN289" s="103"/>
      <c r="BO289" s="103"/>
      <c r="BP289" s="103"/>
      <c r="BQ289" s="107"/>
      <c r="BR289" s="99"/>
      <c r="BS289" s="99"/>
      <c r="BT289" s="103"/>
      <c r="BU289" s="99"/>
      <c r="BV289" s="103"/>
      <c r="BW289" s="103"/>
      <c r="BX289" s="103"/>
      <c r="BY289" s="103"/>
      <c r="BZ289" s="103"/>
      <c r="CA289" s="103"/>
      <c r="CB289" s="103"/>
      <c r="CC289" s="103"/>
      <c r="CD289" s="103"/>
      <c r="CE289" s="103"/>
      <c r="CF289" s="103"/>
      <c r="CG289" s="103"/>
      <c r="CH289" s="103"/>
      <c r="CI289" s="103"/>
      <c r="CJ289" s="103"/>
      <c r="CK289" s="103"/>
      <c r="CL289" s="99"/>
      <c r="CM289" s="95">
        <v>11.0978809</v>
      </c>
      <c r="CN289" s="95">
        <v>-2.0959428999999998</v>
      </c>
      <c r="CO289" s="99"/>
      <c r="CP289" s="99"/>
      <c r="CQ289" s="99"/>
      <c r="CR289" s="99"/>
      <c r="CS289" s="99"/>
      <c r="CT289" s="99"/>
      <c r="CU289" s="99"/>
      <c r="CV289" s="99"/>
      <c r="CW289" s="99"/>
      <c r="CX289" s="99"/>
      <c r="CY289" s="99"/>
      <c r="CZ289" s="99"/>
      <c r="DA289" s="99"/>
      <c r="DB289" s="99"/>
      <c r="DC289" s="99"/>
    </row>
    <row r="290" spans="1:107" ht="15.75" customHeight="1">
      <c r="A290" s="95">
        <v>295</v>
      </c>
      <c r="B290" s="99" t="s">
        <v>710</v>
      </c>
      <c r="C290" s="99" t="s">
        <v>967</v>
      </c>
      <c r="D290" s="99">
        <v>70267008</v>
      </c>
      <c r="E290" s="99" t="s">
        <v>5746</v>
      </c>
      <c r="F290" s="122" t="s">
        <v>5747</v>
      </c>
      <c r="G290" s="95" t="s">
        <v>1047</v>
      </c>
      <c r="H290" s="95" t="s">
        <v>1048</v>
      </c>
      <c r="I290" s="95" t="s">
        <v>14</v>
      </c>
      <c r="J290" s="95" t="s">
        <v>1152</v>
      </c>
      <c r="K290" s="99"/>
      <c r="L290" s="103" t="s">
        <v>4449</v>
      </c>
      <c r="M290" s="99"/>
      <c r="N290" s="99"/>
      <c r="O290" s="99" t="s">
        <v>4947</v>
      </c>
      <c r="P290" s="103"/>
      <c r="Q290" s="103"/>
      <c r="R290" s="99"/>
      <c r="S290" s="103" t="s">
        <v>5703</v>
      </c>
      <c r="T290" s="103" t="s">
        <v>5710</v>
      </c>
      <c r="U290" s="99" t="s">
        <v>5748</v>
      </c>
      <c r="V290" s="95">
        <v>12.5930608</v>
      </c>
      <c r="W290" s="95">
        <v>-1.3009307000000001</v>
      </c>
      <c r="X290" s="104" t="s">
        <v>5749</v>
      </c>
      <c r="Y290" s="103"/>
      <c r="Z290" s="103"/>
      <c r="AA290" s="103"/>
      <c r="AB290" s="103"/>
      <c r="AC290" s="103"/>
      <c r="AD290" s="103"/>
      <c r="AE290" s="103"/>
      <c r="AF290" s="103"/>
      <c r="AG290" s="99"/>
      <c r="AH290" s="103"/>
      <c r="AI290" s="103"/>
      <c r="AJ290" s="103"/>
      <c r="AK290" s="103"/>
      <c r="AL290" s="103"/>
      <c r="AM290" s="103"/>
      <c r="AN290" s="99"/>
      <c r="AO290" s="103"/>
      <c r="AP290" s="103"/>
      <c r="AQ290" s="103"/>
      <c r="AR290" s="103"/>
      <c r="AS290" s="99"/>
      <c r="AT290" s="103"/>
      <c r="AU290" s="103"/>
      <c r="AV290" s="99"/>
      <c r="AW290" s="99"/>
      <c r="AX290" s="99"/>
      <c r="AY290" s="99"/>
      <c r="AZ290" s="99"/>
      <c r="BA290" s="103"/>
      <c r="BB290" s="99"/>
      <c r="BC290" s="99">
        <v>1500</v>
      </c>
      <c r="BD290" s="99"/>
      <c r="BE290" s="99"/>
      <c r="BF290" s="103"/>
      <c r="BG290" s="103"/>
      <c r="BH290" s="103"/>
      <c r="BI290" s="103"/>
      <c r="BJ290" s="103"/>
      <c r="BK290" s="103"/>
      <c r="BL290" s="103"/>
      <c r="BM290" s="103"/>
      <c r="BN290" s="103"/>
      <c r="BO290" s="103"/>
      <c r="BP290" s="103"/>
      <c r="BQ290" s="107"/>
      <c r="BR290" s="99"/>
      <c r="BS290" s="99"/>
      <c r="BT290" s="103"/>
      <c r="BU290" s="99"/>
      <c r="BV290" s="103"/>
      <c r="BW290" s="103"/>
      <c r="BX290" s="103"/>
      <c r="BY290" s="103"/>
      <c r="BZ290" s="103"/>
      <c r="CA290" s="103"/>
      <c r="CB290" s="103"/>
      <c r="CC290" s="103"/>
      <c r="CD290" s="103"/>
      <c r="CE290" s="103"/>
      <c r="CF290" s="103"/>
      <c r="CG290" s="103"/>
      <c r="CH290" s="103"/>
      <c r="CI290" s="103"/>
      <c r="CJ290" s="103"/>
      <c r="CK290" s="103"/>
      <c r="CL290" s="99"/>
      <c r="CM290" s="95">
        <v>12.5930608</v>
      </c>
      <c r="CN290" s="95">
        <v>-1.3009307000000001</v>
      </c>
      <c r="CO290" s="99"/>
      <c r="CP290" s="99"/>
      <c r="CQ290" s="99"/>
      <c r="CR290" s="99"/>
      <c r="CS290" s="99"/>
      <c r="CT290" s="99"/>
      <c r="CU290" s="99"/>
      <c r="CV290" s="99"/>
      <c r="CW290" s="99"/>
      <c r="CX290" s="99"/>
      <c r="CY290" s="99"/>
      <c r="CZ290" s="99"/>
      <c r="DA290" s="99"/>
      <c r="DB290" s="99"/>
      <c r="DC290" s="99"/>
    </row>
    <row r="291" spans="1:107" ht="15.75" customHeight="1">
      <c r="A291" s="95">
        <v>296</v>
      </c>
      <c r="B291" s="99" t="s">
        <v>968</v>
      </c>
      <c r="C291" s="99" t="s">
        <v>969</v>
      </c>
      <c r="D291" s="99">
        <v>71930547</v>
      </c>
      <c r="E291" s="99" t="s">
        <v>425</v>
      </c>
      <c r="F291" s="122" t="s">
        <v>5750</v>
      </c>
      <c r="G291" s="95" t="s">
        <v>1153</v>
      </c>
      <c r="H291" s="95" t="s">
        <v>1043</v>
      </c>
      <c r="I291" s="95" t="s">
        <v>426</v>
      </c>
      <c r="J291" s="95"/>
      <c r="K291" s="99"/>
      <c r="L291" s="103" t="s">
        <v>4449</v>
      </c>
      <c r="M291" s="99"/>
      <c r="N291" s="99"/>
      <c r="O291" s="99" t="s">
        <v>4947</v>
      </c>
      <c r="P291" s="103"/>
      <c r="Q291" s="103"/>
      <c r="R291" s="99"/>
      <c r="S291" s="103" t="s">
        <v>5709</v>
      </c>
      <c r="T291" s="103" t="s">
        <v>5710</v>
      </c>
      <c r="U291" s="99" t="s">
        <v>5751</v>
      </c>
      <c r="V291" s="95">
        <v>11.0966798</v>
      </c>
      <c r="W291" s="95">
        <v>-0.96496879999999996</v>
      </c>
      <c r="X291" s="104" t="s">
        <v>4820</v>
      </c>
      <c r="Y291" s="101"/>
      <c r="Z291" s="103"/>
      <c r="AA291" s="103"/>
      <c r="AB291" s="103"/>
      <c r="AC291" s="103"/>
      <c r="AD291" s="103"/>
      <c r="AE291" s="103"/>
      <c r="AF291" s="103"/>
      <c r="AG291" s="99"/>
      <c r="AH291" s="103"/>
      <c r="AI291" s="103"/>
      <c r="AJ291" s="103"/>
      <c r="AK291" s="103"/>
      <c r="AL291" s="103"/>
      <c r="AM291" s="103"/>
      <c r="AN291" s="99"/>
      <c r="AO291" s="103"/>
      <c r="AP291" s="103"/>
      <c r="AQ291" s="103"/>
      <c r="AR291" s="103"/>
      <c r="AS291" s="99"/>
      <c r="AT291" s="103"/>
      <c r="AU291" s="103"/>
      <c r="AV291" s="99"/>
      <c r="AW291" s="99"/>
      <c r="AX291" s="99"/>
      <c r="AY291" s="99"/>
      <c r="AZ291" s="99"/>
      <c r="BA291" s="103"/>
      <c r="BB291" s="99"/>
      <c r="BC291" s="99">
        <v>10000</v>
      </c>
      <c r="BD291" s="99"/>
      <c r="BE291" s="99"/>
      <c r="BF291" s="103"/>
      <c r="BG291" s="103"/>
      <c r="BH291" s="103"/>
      <c r="BI291" s="103"/>
      <c r="BJ291" s="103"/>
      <c r="BK291" s="103"/>
      <c r="BL291" s="103"/>
      <c r="BM291" s="103"/>
      <c r="BN291" s="103"/>
      <c r="BO291" s="103"/>
      <c r="BP291" s="103"/>
      <c r="BQ291" s="107"/>
      <c r="BR291" s="99"/>
      <c r="BS291" s="99"/>
      <c r="BT291" s="103"/>
      <c r="BU291" s="99"/>
      <c r="BV291" s="103"/>
      <c r="BW291" s="103"/>
      <c r="BX291" s="103"/>
      <c r="BY291" s="103"/>
      <c r="BZ291" s="103"/>
      <c r="CA291" s="103"/>
      <c r="CB291" s="103"/>
      <c r="CC291" s="103"/>
      <c r="CD291" s="103"/>
      <c r="CE291" s="103"/>
      <c r="CF291" s="103"/>
      <c r="CG291" s="103"/>
      <c r="CH291" s="103"/>
      <c r="CI291" s="103"/>
      <c r="CJ291" s="103"/>
      <c r="CK291" s="103"/>
      <c r="CL291" s="99"/>
      <c r="CM291" s="95">
        <v>11.0966798</v>
      </c>
      <c r="CN291" s="95">
        <v>-0.96496879999999996</v>
      </c>
      <c r="CO291" s="99"/>
      <c r="CP291" s="99"/>
      <c r="CQ291" s="99"/>
      <c r="CR291" s="99"/>
      <c r="CS291" s="99"/>
      <c r="CT291" s="99"/>
      <c r="CU291" s="99"/>
      <c r="CV291" s="99"/>
      <c r="CW291" s="99"/>
      <c r="CX291" s="99"/>
      <c r="CY291" s="99"/>
      <c r="CZ291" s="99"/>
      <c r="DA291" s="99"/>
      <c r="DB291" s="99"/>
      <c r="DC291" s="99"/>
    </row>
    <row r="292" spans="1:107" ht="15.75" customHeight="1">
      <c r="A292" s="95">
        <v>297</v>
      </c>
      <c r="B292" s="99" t="s">
        <v>970</v>
      </c>
      <c r="C292" s="99" t="s">
        <v>971</v>
      </c>
      <c r="D292" s="99">
        <v>78628840</v>
      </c>
      <c r="E292" s="99" t="s">
        <v>427</v>
      </c>
      <c r="F292" s="122" t="s">
        <v>5752</v>
      </c>
      <c r="G292" s="95" t="s">
        <v>1062</v>
      </c>
      <c r="H292" s="95" t="s">
        <v>1064</v>
      </c>
      <c r="I292" s="95" t="s">
        <v>428</v>
      </c>
      <c r="J292" s="99" t="s">
        <v>1154</v>
      </c>
      <c r="K292" s="99"/>
      <c r="L292" s="103" t="s">
        <v>4449</v>
      </c>
      <c r="M292" s="99"/>
      <c r="N292" s="99"/>
      <c r="O292" s="99" t="s">
        <v>4452</v>
      </c>
      <c r="P292" s="103"/>
      <c r="Q292" s="103"/>
      <c r="R292" s="99"/>
      <c r="S292" s="103" t="s">
        <v>5753</v>
      </c>
      <c r="T292" s="103" t="s">
        <v>5710</v>
      </c>
      <c r="U292" s="99" t="s">
        <v>5754</v>
      </c>
      <c r="V292" s="95">
        <v>12.514587000000001</v>
      </c>
      <c r="W292" s="95">
        <v>-1.5778209999999999</v>
      </c>
      <c r="X292" s="104" t="s">
        <v>5755</v>
      </c>
      <c r="Y292" s="101"/>
      <c r="Z292" s="103"/>
      <c r="AA292" s="103"/>
      <c r="AB292" s="103"/>
      <c r="AC292" s="103"/>
      <c r="AD292" s="103"/>
      <c r="AE292" s="103"/>
      <c r="AF292" s="103"/>
      <c r="AG292" s="99"/>
      <c r="AH292" s="103"/>
      <c r="AI292" s="103"/>
      <c r="AJ292" s="103"/>
      <c r="AK292" s="103"/>
      <c r="AL292" s="103"/>
      <c r="AM292" s="103"/>
      <c r="AN292" s="99"/>
      <c r="AO292" s="103"/>
      <c r="AP292" s="103"/>
      <c r="AQ292" s="103"/>
      <c r="AR292" s="103"/>
      <c r="AS292" s="99"/>
      <c r="AT292" s="103"/>
      <c r="AU292" s="103"/>
      <c r="AV292" s="99"/>
      <c r="AW292" s="99"/>
      <c r="AX292" s="99"/>
      <c r="AY292" s="99"/>
      <c r="AZ292" s="99"/>
      <c r="BA292" s="103"/>
      <c r="BB292" s="99"/>
      <c r="BC292" s="99">
        <v>34000</v>
      </c>
      <c r="BD292" s="99"/>
      <c r="BE292" s="99"/>
      <c r="BF292" s="103"/>
      <c r="BG292" s="103"/>
      <c r="BH292" s="103"/>
      <c r="BI292" s="103"/>
      <c r="BJ292" s="103"/>
      <c r="BK292" s="103"/>
      <c r="BL292" s="103"/>
      <c r="BM292" s="103"/>
      <c r="BN292" s="103"/>
      <c r="BO292" s="103"/>
      <c r="BP292" s="103"/>
      <c r="BQ292" s="107"/>
      <c r="BR292" s="99"/>
      <c r="BS292" s="99"/>
      <c r="BT292" s="103"/>
      <c r="BU292" s="99"/>
      <c r="BV292" s="103"/>
      <c r="BW292" s="103"/>
      <c r="BX292" s="103"/>
      <c r="BY292" s="103"/>
      <c r="BZ292" s="103"/>
      <c r="CA292" s="103"/>
      <c r="CB292" s="103"/>
      <c r="CC292" s="103"/>
      <c r="CD292" s="103"/>
      <c r="CE292" s="103"/>
      <c r="CF292" s="103"/>
      <c r="CG292" s="103"/>
      <c r="CH292" s="103"/>
      <c r="CI292" s="103"/>
      <c r="CJ292" s="103"/>
      <c r="CK292" s="103"/>
      <c r="CL292" s="99"/>
      <c r="CM292" s="95">
        <v>12.514587000000001</v>
      </c>
      <c r="CN292" s="95">
        <v>-1.5778209999999999</v>
      </c>
      <c r="CO292" s="99"/>
      <c r="CP292" s="99"/>
      <c r="CQ292" s="99"/>
      <c r="CR292" s="99"/>
      <c r="CS292" s="99"/>
      <c r="CT292" s="99"/>
      <c r="CU292" s="99"/>
      <c r="CV292" s="99"/>
      <c r="CW292" s="99"/>
      <c r="CX292" s="99"/>
      <c r="CY292" s="99"/>
      <c r="CZ292" s="99"/>
      <c r="DA292" s="99"/>
      <c r="DB292" s="99"/>
      <c r="DC292" s="99"/>
    </row>
    <row r="293" spans="1:107" ht="15.75" customHeight="1">
      <c r="A293" s="95">
        <v>298</v>
      </c>
      <c r="B293" s="99" t="s">
        <v>592</v>
      </c>
      <c r="C293" s="99" t="s">
        <v>972</v>
      </c>
      <c r="D293" s="99" t="s">
        <v>973</v>
      </c>
      <c r="E293" s="99" t="s">
        <v>5756</v>
      </c>
      <c r="F293" s="122" t="s">
        <v>5757</v>
      </c>
      <c r="G293" s="95" t="s">
        <v>1047</v>
      </c>
      <c r="H293" s="95" t="s">
        <v>1048</v>
      </c>
      <c r="I293" s="95" t="s">
        <v>430</v>
      </c>
      <c r="J293" s="95" t="s">
        <v>1155</v>
      </c>
      <c r="K293" s="99"/>
      <c r="L293" s="103" t="s">
        <v>4449</v>
      </c>
      <c r="M293" s="99"/>
      <c r="N293" s="99"/>
      <c r="O293" s="99" t="s">
        <v>4452</v>
      </c>
      <c r="P293" s="103"/>
      <c r="Q293" s="103"/>
      <c r="R293" s="99"/>
      <c r="S293" s="103" t="s">
        <v>5703</v>
      </c>
      <c r="T293" s="103" t="s">
        <v>5710</v>
      </c>
      <c r="U293" s="99" t="s">
        <v>5758</v>
      </c>
      <c r="V293" s="95">
        <v>12.584050100000001</v>
      </c>
      <c r="W293" s="95">
        <v>-1.2987348999999999</v>
      </c>
      <c r="X293" s="104" t="s">
        <v>4524</v>
      </c>
      <c r="Y293" s="99"/>
      <c r="Z293" s="103"/>
      <c r="AA293" s="103"/>
      <c r="AB293" s="103"/>
      <c r="AC293" s="103"/>
      <c r="AD293" s="103"/>
      <c r="AE293" s="103"/>
      <c r="AF293" s="103"/>
      <c r="AG293" s="99"/>
      <c r="AH293" s="103"/>
      <c r="AI293" s="103"/>
      <c r="AJ293" s="103"/>
      <c r="AK293" s="103"/>
      <c r="AL293" s="103"/>
      <c r="AM293" s="103"/>
      <c r="AN293" s="99"/>
      <c r="AO293" s="103"/>
      <c r="AP293" s="103"/>
      <c r="AQ293" s="103"/>
      <c r="AR293" s="103"/>
      <c r="AS293" s="99"/>
      <c r="AT293" s="103"/>
      <c r="AU293" s="103"/>
      <c r="AV293" s="99"/>
      <c r="AW293" s="99"/>
      <c r="AX293" s="99"/>
      <c r="AY293" s="99"/>
      <c r="AZ293" s="99"/>
      <c r="BA293" s="103"/>
      <c r="BB293" s="99"/>
      <c r="BC293" s="99">
        <v>2000</v>
      </c>
      <c r="BD293" s="99"/>
      <c r="BE293" s="99"/>
      <c r="BF293" s="103"/>
      <c r="BG293" s="103"/>
      <c r="BH293" s="103"/>
      <c r="BI293" s="103"/>
      <c r="BJ293" s="103"/>
      <c r="BK293" s="103"/>
      <c r="BL293" s="103"/>
      <c r="BM293" s="103"/>
      <c r="BN293" s="103"/>
      <c r="BO293" s="103"/>
      <c r="BP293" s="103"/>
      <c r="BQ293" s="107"/>
      <c r="BR293" s="99"/>
      <c r="BS293" s="99"/>
      <c r="BT293" s="103"/>
      <c r="BU293" s="99"/>
      <c r="BV293" s="103"/>
      <c r="BW293" s="103"/>
      <c r="BX293" s="103"/>
      <c r="BY293" s="103"/>
      <c r="BZ293" s="103"/>
      <c r="CA293" s="103"/>
      <c r="CB293" s="103"/>
      <c r="CC293" s="103"/>
      <c r="CD293" s="103"/>
      <c r="CE293" s="103"/>
      <c r="CF293" s="103"/>
      <c r="CG293" s="103"/>
      <c r="CH293" s="103"/>
      <c r="CI293" s="103"/>
      <c r="CJ293" s="103"/>
      <c r="CK293" s="103"/>
      <c r="CL293" s="99"/>
      <c r="CM293" s="95">
        <v>12.584050100000001</v>
      </c>
      <c r="CN293" s="95">
        <v>-1.2987348999999999</v>
      </c>
      <c r="CO293" s="99"/>
      <c r="CP293" s="99"/>
      <c r="CQ293" s="99"/>
      <c r="CR293" s="99"/>
      <c r="CS293" s="99"/>
      <c r="CT293" s="99"/>
      <c r="CU293" s="99"/>
      <c r="CV293" s="99"/>
      <c r="CW293" s="99"/>
      <c r="CX293" s="99"/>
      <c r="CY293" s="99"/>
      <c r="CZ293" s="99"/>
      <c r="DA293" s="99"/>
      <c r="DB293" s="99"/>
      <c r="DC293" s="99"/>
    </row>
    <row r="294" spans="1:107" ht="15.75" customHeight="1">
      <c r="A294" s="95">
        <v>299</v>
      </c>
      <c r="B294" s="99" t="s">
        <v>592</v>
      </c>
      <c r="C294" s="99" t="s">
        <v>974</v>
      </c>
      <c r="D294" s="99">
        <v>76656592</v>
      </c>
      <c r="E294" s="99" t="s">
        <v>431</v>
      </c>
      <c r="F294" s="122" t="s">
        <v>5759</v>
      </c>
      <c r="G294" s="95" t="s">
        <v>1042</v>
      </c>
      <c r="H294" s="95" t="s">
        <v>1156</v>
      </c>
      <c r="I294" s="95" t="s">
        <v>125</v>
      </c>
      <c r="J294" s="95" t="s">
        <v>125</v>
      </c>
      <c r="K294" s="99"/>
      <c r="L294" s="103" t="s">
        <v>4449</v>
      </c>
      <c r="M294" s="99"/>
      <c r="N294" s="99"/>
      <c r="O294" s="99" t="s">
        <v>4452</v>
      </c>
      <c r="P294" s="103"/>
      <c r="Q294" s="103"/>
      <c r="R294" s="99"/>
      <c r="S294" s="103" t="s">
        <v>4454</v>
      </c>
      <c r="T294" s="103" t="s">
        <v>5710</v>
      </c>
      <c r="U294" s="99" t="s">
        <v>5760</v>
      </c>
      <c r="V294" s="95">
        <v>12.074325</v>
      </c>
      <c r="W294" s="95">
        <v>-1.3421031999999999</v>
      </c>
      <c r="X294" s="104" t="s">
        <v>4984</v>
      </c>
      <c r="Y294" s="101"/>
      <c r="Z294" s="103"/>
      <c r="AA294" s="103"/>
      <c r="AB294" s="103"/>
      <c r="AC294" s="103"/>
      <c r="AD294" s="103"/>
      <c r="AE294" s="103"/>
      <c r="AF294" s="103"/>
      <c r="AG294" s="99"/>
      <c r="AH294" s="103"/>
      <c r="AI294" s="103"/>
      <c r="AJ294" s="103"/>
      <c r="AK294" s="103"/>
      <c r="AL294" s="103"/>
      <c r="AM294" s="103"/>
      <c r="AN294" s="99"/>
      <c r="AO294" s="103"/>
      <c r="AP294" s="103"/>
      <c r="AQ294" s="103"/>
      <c r="AR294" s="103"/>
      <c r="AS294" s="99"/>
      <c r="AT294" s="103"/>
      <c r="AU294" s="103"/>
      <c r="AV294" s="99"/>
      <c r="AW294" s="99"/>
      <c r="AX294" s="99"/>
      <c r="AY294" s="99"/>
      <c r="AZ294" s="99"/>
      <c r="BA294" s="103"/>
      <c r="BB294" s="99"/>
      <c r="BC294" s="99">
        <v>8500</v>
      </c>
      <c r="BD294" s="99"/>
      <c r="BE294" s="99"/>
      <c r="BF294" s="103"/>
      <c r="BG294" s="103"/>
      <c r="BH294" s="103"/>
      <c r="BI294" s="103"/>
      <c r="BJ294" s="103"/>
      <c r="BK294" s="103"/>
      <c r="BL294" s="103"/>
      <c r="BM294" s="103"/>
      <c r="BN294" s="103"/>
      <c r="BO294" s="103"/>
      <c r="BP294" s="103"/>
      <c r="BQ294" s="107"/>
      <c r="BR294" s="99"/>
      <c r="BS294" s="99"/>
      <c r="BT294" s="103"/>
      <c r="BU294" s="99"/>
      <c r="BV294" s="103"/>
      <c r="BW294" s="103"/>
      <c r="BX294" s="103"/>
      <c r="BY294" s="103"/>
      <c r="BZ294" s="103"/>
      <c r="CA294" s="103"/>
      <c r="CB294" s="103"/>
      <c r="CC294" s="103"/>
      <c r="CD294" s="103"/>
      <c r="CE294" s="103"/>
      <c r="CF294" s="103"/>
      <c r="CG294" s="103"/>
      <c r="CH294" s="103"/>
      <c r="CI294" s="103"/>
      <c r="CJ294" s="103"/>
      <c r="CK294" s="103"/>
      <c r="CL294" s="99"/>
      <c r="CM294" s="95">
        <v>12.074325</v>
      </c>
      <c r="CN294" s="95">
        <v>-1.3421031999999999</v>
      </c>
      <c r="CO294" s="99"/>
      <c r="CP294" s="99"/>
      <c r="CQ294" s="99"/>
      <c r="CR294" s="99"/>
      <c r="CS294" s="99"/>
      <c r="CT294" s="99"/>
      <c r="CU294" s="99"/>
      <c r="CV294" s="99"/>
      <c r="CW294" s="99"/>
      <c r="CX294" s="99"/>
      <c r="CY294" s="99"/>
      <c r="CZ294" s="99"/>
      <c r="DA294" s="99"/>
      <c r="DB294" s="99"/>
      <c r="DC294" s="99"/>
    </row>
    <row r="295" spans="1:107" ht="15.75" customHeight="1">
      <c r="A295" s="95">
        <v>300</v>
      </c>
      <c r="B295" s="99" t="s">
        <v>975</v>
      </c>
      <c r="C295" s="99" t="s">
        <v>976</v>
      </c>
      <c r="D295" s="99">
        <v>78019260</v>
      </c>
      <c r="E295" s="99" t="s">
        <v>432</v>
      </c>
      <c r="F295" s="122" t="s">
        <v>5761</v>
      </c>
      <c r="G295" s="95" t="s">
        <v>1062</v>
      </c>
      <c r="H295" s="95" t="s">
        <v>1064</v>
      </c>
      <c r="I295" s="95" t="s">
        <v>433</v>
      </c>
      <c r="J295" s="95" t="s">
        <v>1157</v>
      </c>
      <c r="K295" s="99"/>
      <c r="L295" s="103" t="s">
        <v>4449</v>
      </c>
      <c r="M295" s="99"/>
      <c r="N295" s="99"/>
      <c r="O295" s="99" t="s">
        <v>4452</v>
      </c>
      <c r="P295" s="103"/>
      <c r="Q295" s="103"/>
      <c r="R295" s="99"/>
      <c r="S295" s="103" t="s">
        <v>4454</v>
      </c>
      <c r="T295" s="103" t="s">
        <v>5710</v>
      </c>
      <c r="U295" s="99" t="s">
        <v>5762</v>
      </c>
      <c r="V295" s="95">
        <v>12.402262199999999</v>
      </c>
      <c r="W295" s="95">
        <v>-1.5281252999999999</v>
      </c>
      <c r="X295" s="104" t="s">
        <v>5763</v>
      </c>
      <c r="Y295" s="101"/>
      <c r="Z295" s="103"/>
      <c r="AA295" s="103"/>
      <c r="AB295" s="103"/>
      <c r="AC295" s="103"/>
      <c r="AD295" s="103"/>
      <c r="AE295" s="103"/>
      <c r="AF295" s="103"/>
      <c r="AG295" s="99"/>
      <c r="AH295" s="103"/>
      <c r="AI295" s="103"/>
      <c r="AJ295" s="103"/>
      <c r="AK295" s="103"/>
      <c r="AL295" s="103"/>
      <c r="AM295" s="103"/>
      <c r="AN295" s="99"/>
      <c r="AO295" s="103"/>
      <c r="AP295" s="103"/>
      <c r="AQ295" s="103"/>
      <c r="AR295" s="103"/>
      <c r="AS295" s="99"/>
      <c r="AT295" s="103"/>
      <c r="AU295" s="103"/>
      <c r="AV295" s="99"/>
      <c r="AW295" s="99"/>
      <c r="AX295" s="99"/>
      <c r="AY295" s="99"/>
      <c r="AZ295" s="99"/>
      <c r="BA295" s="103"/>
      <c r="BB295" s="99"/>
      <c r="BC295" s="99">
        <v>45000</v>
      </c>
      <c r="BD295" s="99"/>
      <c r="BE295" s="99"/>
      <c r="BF295" s="103"/>
      <c r="BG295" s="103"/>
      <c r="BH295" s="103"/>
      <c r="BI295" s="103"/>
      <c r="BJ295" s="103"/>
      <c r="BK295" s="103"/>
      <c r="BL295" s="103"/>
      <c r="BM295" s="103"/>
      <c r="BN295" s="103"/>
      <c r="BO295" s="103"/>
      <c r="BP295" s="103"/>
      <c r="BQ295" s="107"/>
      <c r="BR295" s="99"/>
      <c r="BS295" s="99"/>
      <c r="BT295" s="103"/>
      <c r="BU295" s="99"/>
      <c r="BV295" s="103"/>
      <c r="BW295" s="103"/>
      <c r="BX295" s="103"/>
      <c r="BY295" s="103"/>
      <c r="BZ295" s="103"/>
      <c r="CA295" s="103"/>
      <c r="CB295" s="103"/>
      <c r="CC295" s="103"/>
      <c r="CD295" s="103"/>
      <c r="CE295" s="103"/>
      <c r="CF295" s="103"/>
      <c r="CG295" s="103"/>
      <c r="CH295" s="103"/>
      <c r="CI295" s="103"/>
      <c r="CJ295" s="103"/>
      <c r="CK295" s="103"/>
      <c r="CL295" s="99"/>
      <c r="CM295" s="95">
        <v>12.402262199999999</v>
      </c>
      <c r="CN295" s="95">
        <v>-1.5281252999999999</v>
      </c>
      <c r="CO295" s="99"/>
      <c r="CP295" s="99"/>
      <c r="CQ295" s="99"/>
      <c r="CR295" s="99"/>
      <c r="CS295" s="99"/>
      <c r="CT295" s="99"/>
      <c r="CU295" s="99"/>
      <c r="CV295" s="99"/>
      <c r="CW295" s="99"/>
      <c r="CX295" s="99"/>
      <c r="CY295" s="99"/>
      <c r="CZ295" s="99"/>
      <c r="DA295" s="99"/>
      <c r="DB295" s="99"/>
      <c r="DC295" s="99"/>
    </row>
    <row r="296" spans="1:107" ht="15.75" customHeight="1">
      <c r="A296" s="95">
        <v>301</v>
      </c>
      <c r="B296" s="99" t="s">
        <v>527</v>
      </c>
      <c r="C296" s="99" t="s">
        <v>785</v>
      </c>
      <c r="D296" s="99">
        <v>58156523</v>
      </c>
      <c r="E296" s="99" t="s">
        <v>434</v>
      </c>
      <c r="F296" s="122" t="s">
        <v>5764</v>
      </c>
      <c r="G296" s="95" t="s">
        <v>1062</v>
      </c>
      <c r="H296" s="95" t="s">
        <v>1064</v>
      </c>
      <c r="I296" s="95" t="s">
        <v>96</v>
      </c>
      <c r="J296" s="95" t="s">
        <v>1158</v>
      </c>
      <c r="K296" s="99"/>
      <c r="L296" s="103" t="s">
        <v>4449</v>
      </c>
      <c r="M296" s="99"/>
      <c r="N296" s="99"/>
      <c r="O296" s="99" t="s">
        <v>4452</v>
      </c>
      <c r="P296" s="103"/>
      <c r="Q296" s="103"/>
      <c r="R296" s="99"/>
      <c r="S296" s="103" t="s">
        <v>4454</v>
      </c>
      <c r="T296" s="103" t="s">
        <v>5710</v>
      </c>
      <c r="U296" s="99" t="s">
        <v>5765</v>
      </c>
      <c r="V296" s="95">
        <v>12.3714277</v>
      </c>
      <c r="W296" s="95">
        <v>-1.5196603</v>
      </c>
      <c r="X296" s="104" t="s">
        <v>4701</v>
      </c>
      <c r="Y296" s="103"/>
      <c r="Z296" s="103"/>
      <c r="AA296" s="103"/>
      <c r="AB296" s="103"/>
      <c r="AC296" s="103"/>
      <c r="AD296" s="103"/>
      <c r="AE296" s="103"/>
      <c r="AF296" s="103"/>
      <c r="AG296" s="99"/>
      <c r="AH296" s="103"/>
      <c r="AI296" s="103"/>
      <c r="AJ296" s="103"/>
      <c r="AK296" s="103"/>
      <c r="AL296" s="103"/>
      <c r="AM296" s="103"/>
      <c r="AN296" s="99"/>
      <c r="AO296" s="103"/>
      <c r="AP296" s="103"/>
      <c r="AQ296" s="103"/>
      <c r="AR296" s="103"/>
      <c r="AS296" s="99"/>
      <c r="AT296" s="103"/>
      <c r="AU296" s="103"/>
      <c r="AV296" s="99"/>
      <c r="AW296" s="99"/>
      <c r="AX296" s="99"/>
      <c r="AY296" s="99"/>
      <c r="AZ296" s="99"/>
      <c r="BA296" s="103"/>
      <c r="BB296" s="99"/>
      <c r="BC296" s="99">
        <v>160000</v>
      </c>
      <c r="BD296" s="99"/>
      <c r="BE296" s="99"/>
      <c r="BF296" s="103"/>
      <c r="BG296" s="103"/>
      <c r="BH296" s="103"/>
      <c r="BI296" s="103"/>
      <c r="BJ296" s="103"/>
      <c r="BK296" s="103"/>
      <c r="BL296" s="103"/>
      <c r="BM296" s="103"/>
      <c r="BN296" s="103"/>
      <c r="BO296" s="103"/>
      <c r="BP296" s="103"/>
      <c r="BQ296" s="107"/>
      <c r="BR296" s="99"/>
      <c r="BS296" s="99"/>
      <c r="BT296" s="103"/>
      <c r="BU296" s="99"/>
      <c r="BV296" s="103"/>
      <c r="BW296" s="103"/>
      <c r="BX296" s="103"/>
      <c r="BY296" s="103"/>
      <c r="BZ296" s="103"/>
      <c r="CA296" s="103"/>
      <c r="CB296" s="103"/>
      <c r="CC296" s="103"/>
      <c r="CD296" s="103"/>
      <c r="CE296" s="103"/>
      <c r="CF296" s="103"/>
      <c r="CG296" s="103"/>
      <c r="CH296" s="103"/>
      <c r="CI296" s="103"/>
      <c r="CJ296" s="103"/>
      <c r="CK296" s="103"/>
      <c r="CL296" s="99"/>
      <c r="CM296" s="95">
        <v>12.3714277</v>
      </c>
      <c r="CN296" s="95">
        <v>-1.5196603</v>
      </c>
      <c r="CO296" s="99"/>
      <c r="CP296" s="99"/>
      <c r="CQ296" s="99"/>
      <c r="CR296" s="99"/>
      <c r="CS296" s="99"/>
      <c r="CT296" s="99"/>
      <c r="CU296" s="99"/>
      <c r="CV296" s="99"/>
      <c r="CW296" s="99"/>
      <c r="CX296" s="99"/>
      <c r="CY296" s="99"/>
      <c r="CZ296" s="99"/>
      <c r="DA296" s="99"/>
      <c r="DB296" s="99"/>
      <c r="DC296" s="99"/>
    </row>
    <row r="297" spans="1:107" ht="15.75" customHeight="1">
      <c r="A297" s="95">
        <v>302</v>
      </c>
      <c r="B297" s="99" t="s">
        <v>767</v>
      </c>
      <c r="C297" s="99" t="s">
        <v>977</v>
      </c>
      <c r="D297" s="99" t="s">
        <v>978</v>
      </c>
      <c r="E297" s="99" t="s">
        <v>435</v>
      </c>
      <c r="F297" s="122" t="s">
        <v>5766</v>
      </c>
      <c r="G297" s="95" t="s">
        <v>1089</v>
      </c>
      <c r="H297" s="95" t="s">
        <v>1159</v>
      </c>
      <c r="I297" s="95" t="s">
        <v>119</v>
      </c>
      <c r="J297" s="95" t="s">
        <v>1160</v>
      </c>
      <c r="K297" s="99"/>
      <c r="L297" s="103" t="s">
        <v>4449</v>
      </c>
      <c r="M297" s="99"/>
      <c r="N297" s="99"/>
      <c r="O297" s="99" t="s">
        <v>4452</v>
      </c>
      <c r="P297" s="103"/>
      <c r="Q297" s="103"/>
      <c r="R297" s="99"/>
      <c r="S297" s="103" t="s">
        <v>5767</v>
      </c>
      <c r="T297" s="103" t="s">
        <v>5710</v>
      </c>
      <c r="U297" s="99" t="s">
        <v>5768</v>
      </c>
      <c r="V297" s="95">
        <v>13.083895999999999</v>
      </c>
      <c r="W297" s="95">
        <v>-1.1165669</v>
      </c>
      <c r="X297" s="104" t="s">
        <v>5769</v>
      </c>
      <c r="Y297" s="103"/>
      <c r="Z297" s="103"/>
      <c r="AA297" s="103"/>
      <c r="AB297" s="103"/>
      <c r="AC297" s="103"/>
      <c r="AD297" s="103"/>
      <c r="AE297" s="103"/>
      <c r="AF297" s="103"/>
      <c r="AG297" s="99"/>
      <c r="AH297" s="103"/>
      <c r="AI297" s="103"/>
      <c r="AJ297" s="103"/>
      <c r="AK297" s="103"/>
      <c r="AL297" s="103"/>
      <c r="AM297" s="103"/>
      <c r="AN297" s="99"/>
      <c r="AO297" s="103"/>
      <c r="AP297" s="103"/>
      <c r="AQ297" s="103"/>
      <c r="AR297" s="103"/>
      <c r="AS297" s="99"/>
      <c r="AT297" s="103"/>
      <c r="AU297" s="103"/>
      <c r="AV297" s="99"/>
      <c r="AW297" s="99"/>
      <c r="AX297" s="99"/>
      <c r="AY297" s="99"/>
      <c r="AZ297" s="99"/>
      <c r="BA297" s="103"/>
      <c r="BB297" s="99"/>
      <c r="BC297" s="99"/>
      <c r="BD297" s="99"/>
      <c r="BE297" s="99"/>
      <c r="BF297" s="103"/>
      <c r="BG297" s="103"/>
      <c r="BH297" s="103"/>
      <c r="BI297" s="103"/>
      <c r="BJ297" s="103"/>
      <c r="BK297" s="103"/>
      <c r="BL297" s="103"/>
      <c r="BM297" s="103"/>
      <c r="BN297" s="103"/>
      <c r="BO297" s="103"/>
      <c r="BP297" s="103"/>
      <c r="BQ297" s="107"/>
      <c r="BR297" s="99"/>
      <c r="BS297" s="99"/>
      <c r="BT297" s="103"/>
      <c r="BU297" s="99"/>
      <c r="BV297" s="103"/>
      <c r="BW297" s="103"/>
      <c r="BX297" s="103"/>
      <c r="BY297" s="103"/>
      <c r="BZ297" s="103"/>
      <c r="CA297" s="103"/>
      <c r="CB297" s="103"/>
      <c r="CC297" s="103"/>
      <c r="CD297" s="103"/>
      <c r="CE297" s="103"/>
      <c r="CF297" s="103"/>
      <c r="CG297" s="103"/>
      <c r="CH297" s="103"/>
      <c r="CI297" s="103"/>
      <c r="CJ297" s="103"/>
      <c r="CK297" s="103"/>
      <c r="CL297" s="99"/>
      <c r="CM297" s="95">
        <v>13.083895999999999</v>
      </c>
      <c r="CN297" s="95">
        <v>-1.1165669</v>
      </c>
      <c r="CO297" s="99"/>
      <c r="CP297" s="99"/>
      <c r="CQ297" s="99"/>
      <c r="CR297" s="99"/>
      <c r="CS297" s="99"/>
      <c r="CT297" s="99"/>
      <c r="CU297" s="99"/>
      <c r="CV297" s="99"/>
      <c r="CW297" s="99"/>
      <c r="CX297" s="99"/>
      <c r="CY297" s="99"/>
      <c r="CZ297" s="99"/>
      <c r="DA297" s="99"/>
      <c r="DB297" s="99"/>
      <c r="DC297" s="99"/>
    </row>
    <row r="298" spans="1:107" ht="15.75" customHeight="1">
      <c r="A298" s="95">
        <v>303</v>
      </c>
      <c r="B298" s="99" t="s">
        <v>592</v>
      </c>
      <c r="C298" s="99" t="s">
        <v>979</v>
      </c>
      <c r="D298" s="99">
        <v>78956726</v>
      </c>
      <c r="E298" s="99" t="s">
        <v>7082</v>
      </c>
      <c r="F298" s="122" t="s">
        <v>5770</v>
      </c>
      <c r="G298" s="95" t="s">
        <v>1062</v>
      </c>
      <c r="H298" s="95" t="s">
        <v>1064</v>
      </c>
      <c r="I298" s="95" t="s">
        <v>436</v>
      </c>
      <c r="J298" s="95" t="s">
        <v>436</v>
      </c>
      <c r="K298" s="99"/>
      <c r="L298" s="103" t="s">
        <v>4449</v>
      </c>
      <c r="M298" s="99"/>
      <c r="N298" s="99"/>
      <c r="O298" s="99" t="s">
        <v>4452</v>
      </c>
      <c r="P298" s="103"/>
      <c r="Q298" s="103"/>
      <c r="R298" s="99"/>
      <c r="S298" s="103" t="s">
        <v>5703</v>
      </c>
      <c r="T298" s="103" t="s">
        <v>5710</v>
      </c>
      <c r="U298" s="99" t="s">
        <v>5771</v>
      </c>
      <c r="V298" s="95">
        <v>12.466666999999999</v>
      </c>
      <c r="W298" s="95">
        <v>-1.516667</v>
      </c>
      <c r="X298" s="104" t="s">
        <v>5772</v>
      </c>
      <c r="Y298" s="103"/>
      <c r="Z298" s="103"/>
      <c r="AA298" s="103"/>
      <c r="AB298" s="103"/>
      <c r="AC298" s="103"/>
      <c r="AD298" s="103"/>
      <c r="AE298" s="103"/>
      <c r="AF298" s="103"/>
      <c r="AG298" s="99"/>
      <c r="AH298" s="103"/>
      <c r="AI298" s="103"/>
      <c r="AJ298" s="103"/>
      <c r="AK298" s="103"/>
      <c r="AL298" s="103"/>
      <c r="AM298" s="103"/>
      <c r="AN298" s="99"/>
      <c r="AO298" s="103"/>
      <c r="AP298" s="103"/>
      <c r="AQ298" s="103"/>
      <c r="AR298" s="103"/>
      <c r="AS298" s="99"/>
      <c r="AT298" s="103"/>
      <c r="AU298" s="103"/>
      <c r="AV298" s="99"/>
      <c r="AW298" s="99"/>
      <c r="AX298" s="99"/>
      <c r="AY298" s="99"/>
      <c r="AZ298" s="99"/>
      <c r="BA298" s="103"/>
      <c r="BB298" s="99"/>
      <c r="BC298" s="99">
        <v>140000</v>
      </c>
      <c r="BD298" s="99"/>
      <c r="BE298" s="99"/>
      <c r="BF298" s="103"/>
      <c r="BG298" s="103"/>
      <c r="BH298" s="103"/>
      <c r="BI298" s="103"/>
      <c r="BJ298" s="103"/>
      <c r="BK298" s="103"/>
      <c r="BL298" s="103"/>
      <c r="BM298" s="103"/>
      <c r="BN298" s="103"/>
      <c r="BO298" s="103"/>
      <c r="BP298" s="103"/>
      <c r="BQ298" s="107"/>
      <c r="BR298" s="99"/>
      <c r="BS298" s="99"/>
      <c r="BT298" s="103"/>
      <c r="BU298" s="99"/>
      <c r="BV298" s="103"/>
      <c r="BW298" s="103"/>
      <c r="BX298" s="103"/>
      <c r="BY298" s="103"/>
      <c r="BZ298" s="103"/>
      <c r="CA298" s="103"/>
      <c r="CB298" s="103"/>
      <c r="CC298" s="103"/>
      <c r="CD298" s="103"/>
      <c r="CE298" s="103"/>
      <c r="CF298" s="103"/>
      <c r="CG298" s="103"/>
      <c r="CH298" s="103"/>
      <c r="CI298" s="103"/>
      <c r="CJ298" s="103"/>
      <c r="CK298" s="103"/>
      <c r="CL298" s="99"/>
      <c r="CM298" s="95">
        <v>12.466666999999999</v>
      </c>
      <c r="CN298" s="95">
        <v>-1.516667</v>
      </c>
      <c r="CO298" s="99"/>
      <c r="CP298" s="99"/>
      <c r="CQ298" s="99"/>
      <c r="CR298" s="99"/>
      <c r="CS298" s="99"/>
      <c r="CT298" s="99"/>
      <c r="CU298" s="99"/>
      <c r="CV298" s="99"/>
      <c r="CW298" s="99"/>
      <c r="CX298" s="99"/>
      <c r="CY298" s="99"/>
      <c r="CZ298" s="99"/>
      <c r="DA298" s="99"/>
      <c r="DB298" s="99"/>
      <c r="DC298" s="99"/>
    </row>
    <row r="299" spans="1:107" ht="15.75" customHeight="1">
      <c r="A299" s="95">
        <v>304</v>
      </c>
      <c r="B299" s="99" t="s">
        <v>980</v>
      </c>
      <c r="C299" s="99" t="s">
        <v>981</v>
      </c>
      <c r="D299" s="99">
        <v>76532509</v>
      </c>
      <c r="E299" s="99" t="s">
        <v>437</v>
      </c>
      <c r="F299" s="95" t="s">
        <v>5773</v>
      </c>
      <c r="G299" s="95" t="s">
        <v>1086</v>
      </c>
      <c r="H299" s="95" t="s">
        <v>1066</v>
      </c>
      <c r="I299" s="95" t="s">
        <v>89</v>
      </c>
      <c r="J299" s="95" t="s">
        <v>1161</v>
      </c>
      <c r="K299" s="99"/>
      <c r="L299" s="103" t="s">
        <v>4449</v>
      </c>
      <c r="M299" s="99"/>
      <c r="N299" s="99"/>
      <c r="O299" s="99" t="s">
        <v>5774</v>
      </c>
      <c r="P299" s="103"/>
      <c r="Q299" s="103"/>
      <c r="R299" s="99"/>
      <c r="S299" s="103" t="s">
        <v>5703</v>
      </c>
      <c r="T299" s="103" t="s">
        <v>5710</v>
      </c>
      <c r="U299" s="99" t="s">
        <v>5775</v>
      </c>
      <c r="V299" s="95">
        <v>11.58333</v>
      </c>
      <c r="W299" s="95">
        <v>-3.3833299999999999</v>
      </c>
      <c r="X299" s="104" t="s">
        <v>5776</v>
      </c>
      <c r="Y299" s="103"/>
      <c r="Z299" s="103"/>
      <c r="AA299" s="103"/>
      <c r="AB299" s="103"/>
      <c r="AC299" s="103"/>
      <c r="AD299" s="103"/>
      <c r="AE299" s="103"/>
      <c r="AF299" s="103"/>
      <c r="AG299" s="99"/>
      <c r="AH299" s="103"/>
      <c r="AI299" s="103"/>
      <c r="AJ299" s="103"/>
      <c r="AK299" s="103"/>
      <c r="AL299" s="103"/>
      <c r="AM299" s="103"/>
      <c r="AN299" s="99"/>
      <c r="AO299" s="103"/>
      <c r="AP299" s="103"/>
      <c r="AQ299" s="103"/>
      <c r="AR299" s="103"/>
      <c r="AS299" s="99"/>
      <c r="AT299" s="103"/>
      <c r="AU299" s="103"/>
      <c r="AV299" s="99"/>
      <c r="AW299" s="99"/>
      <c r="AX299" s="99"/>
      <c r="AY299" s="99"/>
      <c r="AZ299" s="99"/>
      <c r="BA299" s="103"/>
      <c r="BB299" s="99"/>
      <c r="BC299" s="99"/>
      <c r="BD299" s="99"/>
      <c r="BE299" s="99"/>
      <c r="BF299" s="103"/>
      <c r="BG299" s="103"/>
      <c r="BH299" s="103"/>
      <c r="BI299" s="103"/>
      <c r="BJ299" s="103"/>
      <c r="BK299" s="103"/>
      <c r="BL299" s="103"/>
      <c r="BM299" s="103"/>
      <c r="BN299" s="103"/>
      <c r="BO299" s="103"/>
      <c r="BP299" s="103"/>
      <c r="BQ299" s="107"/>
      <c r="BR299" s="99"/>
      <c r="BS299" s="99"/>
      <c r="BT299" s="103"/>
      <c r="BU299" s="99"/>
      <c r="BV299" s="103"/>
      <c r="BW299" s="103"/>
      <c r="BX299" s="103"/>
      <c r="BY299" s="103"/>
      <c r="BZ299" s="103"/>
      <c r="CA299" s="103"/>
      <c r="CB299" s="103"/>
      <c r="CC299" s="103"/>
      <c r="CD299" s="103"/>
      <c r="CE299" s="103"/>
      <c r="CF299" s="103"/>
      <c r="CG299" s="103"/>
      <c r="CH299" s="103"/>
      <c r="CI299" s="103"/>
      <c r="CJ299" s="103"/>
      <c r="CK299" s="103"/>
      <c r="CL299" s="99"/>
      <c r="CM299" s="95">
        <v>11.58333</v>
      </c>
      <c r="CN299" s="95">
        <v>-3.3833299999999999</v>
      </c>
      <c r="CO299" s="99"/>
      <c r="CP299" s="99"/>
      <c r="CQ299" s="99"/>
      <c r="CR299" s="99"/>
      <c r="CS299" s="99"/>
      <c r="CT299" s="99"/>
      <c r="CU299" s="99"/>
      <c r="CV299" s="99"/>
      <c r="CW299" s="99"/>
      <c r="CX299" s="99"/>
      <c r="CY299" s="99"/>
      <c r="CZ299" s="99"/>
      <c r="DA299" s="99"/>
      <c r="DB299" s="99"/>
      <c r="DC299" s="99"/>
    </row>
    <row r="300" spans="1:107" ht="15.75" customHeight="1">
      <c r="A300" s="95">
        <v>305</v>
      </c>
      <c r="B300" s="99" t="s">
        <v>982</v>
      </c>
      <c r="C300" s="99" t="s">
        <v>983</v>
      </c>
      <c r="D300" s="99">
        <v>70417505</v>
      </c>
      <c r="E300" s="99" t="s">
        <v>438</v>
      </c>
      <c r="F300" s="95" t="s">
        <v>5777</v>
      </c>
      <c r="G300" s="95" t="s">
        <v>1057</v>
      </c>
      <c r="H300" s="95" t="s">
        <v>1058</v>
      </c>
      <c r="I300" s="95" t="s">
        <v>40</v>
      </c>
      <c r="J300" s="95" t="s">
        <v>40</v>
      </c>
      <c r="K300" s="99"/>
      <c r="L300" s="103" t="s">
        <v>4449</v>
      </c>
      <c r="M300" s="99"/>
      <c r="N300" s="99"/>
      <c r="O300" s="99" t="s">
        <v>4452</v>
      </c>
      <c r="P300" s="103"/>
      <c r="Q300" s="103"/>
      <c r="R300" s="99"/>
      <c r="S300" s="103" t="s">
        <v>4454</v>
      </c>
      <c r="T300" s="103" t="s">
        <v>5710</v>
      </c>
      <c r="U300" s="99" t="s">
        <v>5778</v>
      </c>
      <c r="V300" s="95">
        <v>13.0695031</v>
      </c>
      <c r="W300" s="95">
        <v>-3.0626283999999999</v>
      </c>
      <c r="X300" s="104" t="s">
        <v>4650</v>
      </c>
      <c r="Y300" s="103"/>
      <c r="Z300" s="103"/>
      <c r="AA300" s="103"/>
      <c r="AB300" s="103"/>
      <c r="AC300" s="103"/>
      <c r="AD300" s="103"/>
      <c r="AE300" s="103"/>
      <c r="AF300" s="103"/>
      <c r="AG300" s="99"/>
      <c r="AH300" s="103"/>
      <c r="AI300" s="103"/>
      <c r="AJ300" s="103"/>
      <c r="AK300" s="103"/>
      <c r="AL300" s="103"/>
      <c r="AM300" s="103"/>
      <c r="AN300" s="99"/>
      <c r="AO300" s="103"/>
      <c r="AP300" s="103"/>
      <c r="AQ300" s="103"/>
      <c r="AR300" s="103"/>
      <c r="AS300" s="99"/>
      <c r="AT300" s="103"/>
      <c r="AU300" s="103"/>
      <c r="AV300" s="99"/>
      <c r="AW300" s="99"/>
      <c r="AX300" s="99"/>
      <c r="AY300" s="99"/>
      <c r="AZ300" s="99"/>
      <c r="BA300" s="103"/>
      <c r="BB300" s="99"/>
      <c r="BC300" s="99">
        <v>300</v>
      </c>
      <c r="BD300" s="99"/>
      <c r="BE300" s="99"/>
      <c r="BF300" s="103"/>
      <c r="BG300" s="103"/>
      <c r="BH300" s="103"/>
      <c r="BI300" s="103"/>
      <c r="BJ300" s="103"/>
      <c r="BK300" s="103"/>
      <c r="BL300" s="103"/>
      <c r="BM300" s="103"/>
      <c r="BN300" s="103"/>
      <c r="BO300" s="103"/>
      <c r="BP300" s="103"/>
      <c r="BQ300" s="107"/>
      <c r="BR300" s="99"/>
      <c r="BS300" s="99"/>
      <c r="BT300" s="103"/>
      <c r="BU300" s="99"/>
      <c r="BV300" s="103"/>
      <c r="BW300" s="103"/>
      <c r="BX300" s="103"/>
      <c r="BY300" s="103"/>
      <c r="BZ300" s="103"/>
      <c r="CA300" s="103"/>
      <c r="CB300" s="103"/>
      <c r="CC300" s="103"/>
      <c r="CD300" s="103"/>
      <c r="CE300" s="103"/>
      <c r="CF300" s="103"/>
      <c r="CG300" s="103"/>
      <c r="CH300" s="103"/>
      <c r="CI300" s="103"/>
      <c r="CJ300" s="103"/>
      <c r="CK300" s="103"/>
      <c r="CL300" s="99"/>
      <c r="CM300" s="95">
        <v>13.0695031</v>
      </c>
      <c r="CN300" s="95">
        <v>-3.0626283999999999</v>
      </c>
      <c r="CO300" s="99"/>
      <c r="CP300" s="99"/>
      <c r="CQ300" s="99"/>
      <c r="CR300" s="99"/>
      <c r="CS300" s="99"/>
      <c r="CT300" s="99"/>
      <c r="CU300" s="99"/>
      <c r="CV300" s="99"/>
      <c r="CW300" s="99"/>
      <c r="CX300" s="99"/>
      <c r="CY300" s="99"/>
      <c r="CZ300" s="99"/>
      <c r="DA300" s="99"/>
      <c r="DB300" s="99"/>
      <c r="DC300" s="99"/>
    </row>
    <row r="301" spans="1:107" ht="15.75" customHeight="1">
      <c r="A301" s="95">
        <v>306</v>
      </c>
      <c r="B301" s="99" t="s">
        <v>963</v>
      </c>
      <c r="C301" s="99" t="s">
        <v>984</v>
      </c>
      <c r="D301" s="99" t="s">
        <v>985</v>
      </c>
      <c r="E301" s="99" t="s">
        <v>345</v>
      </c>
      <c r="F301" s="95" t="s">
        <v>5779</v>
      </c>
      <c r="G301" s="95" t="s">
        <v>1049</v>
      </c>
      <c r="H301" s="95" t="s">
        <v>1070</v>
      </c>
      <c r="I301" s="95" t="s">
        <v>89</v>
      </c>
      <c r="J301" s="99" t="s">
        <v>1162</v>
      </c>
      <c r="K301" s="99"/>
      <c r="L301" s="103" t="s">
        <v>4449</v>
      </c>
      <c r="M301" s="99"/>
      <c r="N301" s="99"/>
      <c r="O301" s="99" t="s">
        <v>4452</v>
      </c>
      <c r="P301" s="103"/>
      <c r="Q301" s="103"/>
      <c r="R301" s="99"/>
      <c r="S301" s="103" t="s">
        <v>5717</v>
      </c>
      <c r="T301" s="103" t="s">
        <v>5710</v>
      </c>
      <c r="U301" s="99" t="s">
        <v>5780</v>
      </c>
      <c r="V301" s="115">
        <v>12.033329999999999</v>
      </c>
      <c r="W301" s="115">
        <v>-2.1833300000000002</v>
      </c>
      <c r="X301" s="104" t="s">
        <v>5781</v>
      </c>
      <c r="Y301" s="101"/>
      <c r="Z301" s="103"/>
      <c r="AA301" s="103"/>
      <c r="AB301" s="103"/>
      <c r="AC301" s="103"/>
      <c r="AD301" s="103"/>
      <c r="AE301" s="103"/>
      <c r="AF301" s="103"/>
      <c r="AG301" s="99"/>
      <c r="AH301" s="103"/>
      <c r="AI301" s="103"/>
      <c r="AJ301" s="103"/>
      <c r="AK301" s="103"/>
      <c r="AL301" s="103"/>
      <c r="AM301" s="103"/>
      <c r="AN301" s="99"/>
      <c r="AO301" s="103"/>
      <c r="AP301" s="103"/>
      <c r="AQ301" s="103"/>
      <c r="AR301" s="103"/>
      <c r="AS301" s="99"/>
      <c r="AT301" s="103"/>
      <c r="AU301" s="103"/>
      <c r="AV301" s="99"/>
      <c r="AW301" s="99"/>
      <c r="AX301" s="99"/>
      <c r="AY301" s="99"/>
      <c r="AZ301" s="99"/>
      <c r="BA301" s="103"/>
      <c r="BB301" s="99"/>
      <c r="BC301" s="99">
        <v>12000</v>
      </c>
      <c r="BD301" s="99"/>
      <c r="BE301" s="99"/>
      <c r="BF301" s="103"/>
      <c r="BG301" s="103"/>
      <c r="BH301" s="103"/>
      <c r="BI301" s="103"/>
      <c r="BJ301" s="103"/>
      <c r="BK301" s="103"/>
      <c r="BL301" s="103"/>
      <c r="BM301" s="103"/>
      <c r="BN301" s="103"/>
      <c r="BO301" s="103"/>
      <c r="BP301" s="103"/>
      <c r="BQ301" s="107"/>
      <c r="BR301" s="99"/>
      <c r="BS301" s="99"/>
      <c r="BT301" s="103"/>
      <c r="BU301" s="99"/>
      <c r="BV301" s="103"/>
      <c r="BW301" s="103"/>
      <c r="BX301" s="103"/>
      <c r="BY301" s="103"/>
      <c r="BZ301" s="103"/>
      <c r="CA301" s="103"/>
      <c r="CB301" s="103"/>
      <c r="CC301" s="103"/>
      <c r="CD301" s="103"/>
      <c r="CE301" s="103"/>
      <c r="CF301" s="103"/>
      <c r="CG301" s="103"/>
      <c r="CH301" s="103"/>
      <c r="CI301" s="103"/>
      <c r="CJ301" s="103"/>
      <c r="CK301" s="103"/>
      <c r="CL301" s="99"/>
      <c r="CM301" s="95">
        <v>12.033329999999999</v>
      </c>
      <c r="CN301" s="95">
        <v>-2.1833300000000002</v>
      </c>
      <c r="CO301" s="99"/>
      <c r="CP301" s="99"/>
      <c r="CQ301" s="99"/>
      <c r="CR301" s="99"/>
      <c r="CS301" s="99"/>
      <c r="CT301" s="99"/>
      <c r="CU301" s="99"/>
      <c r="CV301" s="99"/>
      <c r="CW301" s="99"/>
      <c r="CX301" s="99"/>
      <c r="CY301" s="99"/>
      <c r="CZ301" s="99"/>
      <c r="DA301" s="99"/>
      <c r="DB301" s="99"/>
      <c r="DC301" s="99"/>
    </row>
    <row r="302" spans="1:107" ht="15.75" customHeight="1">
      <c r="A302" s="95">
        <v>307</v>
      </c>
      <c r="B302" s="99" t="s">
        <v>837</v>
      </c>
      <c r="C302" s="99" t="s">
        <v>558</v>
      </c>
      <c r="D302" s="99">
        <v>72106471</v>
      </c>
      <c r="E302" s="99" t="s">
        <v>440</v>
      </c>
      <c r="F302" s="95" t="s">
        <v>5782</v>
      </c>
      <c r="G302" s="95" t="s">
        <v>1068</v>
      </c>
      <c r="H302" s="95" t="s">
        <v>1069</v>
      </c>
      <c r="I302" s="95" t="s">
        <v>441</v>
      </c>
      <c r="J302" s="95" t="s">
        <v>441</v>
      </c>
      <c r="K302" s="99"/>
      <c r="L302" s="103" t="s">
        <v>4449</v>
      </c>
      <c r="M302" s="99"/>
      <c r="N302" s="99"/>
      <c r="O302" s="99" t="s">
        <v>4452</v>
      </c>
      <c r="P302" s="103"/>
      <c r="Q302" s="103"/>
      <c r="R302" s="99"/>
      <c r="S302" s="103" t="s">
        <v>5703</v>
      </c>
      <c r="T302" s="103" t="s">
        <v>5710</v>
      </c>
      <c r="U302" s="99" t="s">
        <v>5783</v>
      </c>
      <c r="V302" s="95">
        <v>10.9578957</v>
      </c>
      <c r="W302" s="95">
        <v>-3.2432780999999999</v>
      </c>
      <c r="X302" s="104" t="s">
        <v>5005</v>
      </c>
      <c r="Y302" s="101"/>
      <c r="Z302" s="103"/>
      <c r="AA302" s="103"/>
      <c r="AB302" s="103"/>
      <c r="AC302" s="103"/>
      <c r="AD302" s="103"/>
      <c r="AE302" s="103"/>
      <c r="AF302" s="103"/>
      <c r="AG302" s="99"/>
      <c r="AH302" s="103"/>
      <c r="AI302" s="103"/>
      <c r="AJ302" s="103"/>
      <c r="AK302" s="103"/>
      <c r="AL302" s="103"/>
      <c r="AM302" s="103"/>
      <c r="AN302" s="99"/>
      <c r="AO302" s="103"/>
      <c r="AP302" s="103"/>
      <c r="AQ302" s="103"/>
      <c r="AR302" s="103"/>
      <c r="AS302" s="99"/>
      <c r="AT302" s="103"/>
      <c r="AU302" s="103"/>
      <c r="AV302" s="99"/>
      <c r="AW302" s="99"/>
      <c r="AX302" s="99"/>
      <c r="AY302" s="99"/>
      <c r="AZ302" s="99"/>
      <c r="BA302" s="103"/>
      <c r="BB302" s="99"/>
      <c r="BC302" s="99"/>
      <c r="BD302" s="99"/>
      <c r="BE302" s="99"/>
      <c r="BF302" s="103"/>
      <c r="BG302" s="103"/>
      <c r="BH302" s="103"/>
      <c r="BI302" s="103"/>
      <c r="BJ302" s="103"/>
      <c r="BK302" s="103"/>
      <c r="BL302" s="103"/>
      <c r="BM302" s="103"/>
      <c r="BN302" s="103"/>
      <c r="BO302" s="103"/>
      <c r="BP302" s="103"/>
      <c r="BQ302" s="107"/>
      <c r="BR302" s="99"/>
      <c r="BS302" s="99"/>
      <c r="BT302" s="103"/>
      <c r="BU302" s="99"/>
      <c r="BV302" s="103"/>
      <c r="BW302" s="103"/>
      <c r="BX302" s="103"/>
      <c r="BY302" s="103"/>
      <c r="BZ302" s="103"/>
      <c r="CA302" s="103"/>
      <c r="CB302" s="103"/>
      <c r="CC302" s="103"/>
      <c r="CD302" s="103"/>
      <c r="CE302" s="103"/>
      <c r="CF302" s="103"/>
      <c r="CG302" s="103"/>
      <c r="CH302" s="103"/>
      <c r="CI302" s="103"/>
      <c r="CJ302" s="103"/>
      <c r="CK302" s="103"/>
      <c r="CL302" s="99"/>
      <c r="CM302" s="95">
        <v>10.9578957</v>
      </c>
      <c r="CN302" s="95">
        <v>-3.2432780999999999</v>
      </c>
      <c r="CO302" s="99"/>
      <c r="CP302" s="99"/>
      <c r="CQ302" s="99"/>
      <c r="CR302" s="99"/>
      <c r="CS302" s="99"/>
      <c r="CT302" s="99"/>
      <c r="CU302" s="99"/>
      <c r="CV302" s="99"/>
      <c r="CW302" s="99"/>
      <c r="CX302" s="99"/>
      <c r="CY302" s="99"/>
      <c r="CZ302" s="99"/>
      <c r="DA302" s="99"/>
      <c r="DB302" s="99"/>
      <c r="DC302" s="99"/>
    </row>
    <row r="303" spans="1:107" ht="15.75" customHeight="1">
      <c r="A303" s="95">
        <v>308</v>
      </c>
      <c r="B303" s="99" t="s">
        <v>986</v>
      </c>
      <c r="C303" s="99" t="s">
        <v>987</v>
      </c>
      <c r="D303" s="99">
        <v>76514094</v>
      </c>
      <c r="E303" s="99" t="s">
        <v>442</v>
      </c>
      <c r="F303" s="122" t="s">
        <v>5784</v>
      </c>
      <c r="G303" s="95" t="s">
        <v>1057</v>
      </c>
      <c r="H303" s="95" t="s">
        <v>1163</v>
      </c>
      <c r="I303" s="95" t="s">
        <v>37</v>
      </c>
      <c r="J303" s="95" t="s">
        <v>37</v>
      </c>
      <c r="K303" s="99"/>
      <c r="L303" s="103" t="s">
        <v>4449</v>
      </c>
      <c r="M303" s="99"/>
      <c r="N303" s="99"/>
      <c r="O303" s="99" t="s">
        <v>4452</v>
      </c>
      <c r="P303" s="103"/>
      <c r="Q303" s="103"/>
      <c r="R303" s="99"/>
      <c r="S303" s="103" t="s">
        <v>4454</v>
      </c>
      <c r="T303" s="103" t="s">
        <v>5710</v>
      </c>
      <c r="U303" s="99" t="s">
        <v>5785</v>
      </c>
      <c r="V303" s="95">
        <v>12.184640699999999</v>
      </c>
      <c r="W303" s="95">
        <v>-4.0848788999999996</v>
      </c>
      <c r="X303" s="104" t="s">
        <v>4668</v>
      </c>
      <c r="Y303" s="103"/>
      <c r="Z303" s="103"/>
      <c r="AA303" s="103"/>
      <c r="AB303" s="103"/>
      <c r="AC303" s="103"/>
      <c r="AD303" s="103"/>
      <c r="AE303" s="103"/>
      <c r="AF303" s="103"/>
      <c r="AG303" s="99"/>
      <c r="AH303" s="103"/>
      <c r="AI303" s="103"/>
      <c r="AJ303" s="103"/>
      <c r="AK303" s="103"/>
      <c r="AL303" s="103"/>
      <c r="AM303" s="103"/>
      <c r="AN303" s="99"/>
      <c r="AO303" s="103"/>
      <c r="AP303" s="103"/>
      <c r="AQ303" s="103"/>
      <c r="AR303" s="103"/>
      <c r="AS303" s="99"/>
      <c r="AT303" s="103"/>
      <c r="AU303" s="103"/>
      <c r="AV303" s="99"/>
      <c r="AW303" s="99"/>
      <c r="AX303" s="99"/>
      <c r="AY303" s="99"/>
      <c r="AZ303" s="99"/>
      <c r="BA303" s="103"/>
      <c r="BB303" s="99"/>
      <c r="BC303" s="99"/>
      <c r="BD303" s="99"/>
      <c r="BE303" s="99"/>
      <c r="BF303" s="103"/>
      <c r="BG303" s="103"/>
      <c r="BH303" s="103"/>
      <c r="BI303" s="103"/>
      <c r="BJ303" s="103"/>
      <c r="BK303" s="103"/>
      <c r="BL303" s="103"/>
      <c r="BM303" s="103"/>
      <c r="BN303" s="103"/>
      <c r="BO303" s="103"/>
      <c r="BP303" s="103"/>
      <c r="BQ303" s="107"/>
      <c r="BR303" s="99"/>
      <c r="BS303" s="99"/>
      <c r="BT303" s="103"/>
      <c r="BU303" s="99"/>
      <c r="BV303" s="103"/>
      <c r="BW303" s="103"/>
      <c r="BX303" s="103"/>
      <c r="BY303" s="103"/>
      <c r="BZ303" s="103"/>
      <c r="CA303" s="103"/>
      <c r="CB303" s="103"/>
      <c r="CC303" s="103"/>
      <c r="CD303" s="103"/>
      <c r="CE303" s="103"/>
      <c r="CF303" s="103"/>
      <c r="CG303" s="103"/>
      <c r="CH303" s="103"/>
      <c r="CI303" s="103"/>
      <c r="CJ303" s="103"/>
      <c r="CK303" s="103"/>
      <c r="CL303" s="99"/>
      <c r="CM303" s="95">
        <v>12.184640699999999</v>
      </c>
      <c r="CN303" s="95">
        <v>-4.0848788999999996</v>
      </c>
      <c r="CO303" s="99"/>
      <c r="CP303" s="99"/>
      <c r="CQ303" s="99"/>
      <c r="CR303" s="99"/>
      <c r="CS303" s="99"/>
      <c r="CT303" s="99"/>
      <c r="CU303" s="99"/>
      <c r="CV303" s="99"/>
      <c r="CW303" s="99"/>
      <c r="CX303" s="99"/>
      <c r="CY303" s="99"/>
      <c r="CZ303" s="99"/>
      <c r="DA303" s="99"/>
      <c r="DB303" s="99"/>
      <c r="DC303" s="99"/>
    </row>
    <row r="304" spans="1:107" ht="15.75" customHeight="1">
      <c r="A304" s="95">
        <v>309</v>
      </c>
      <c r="B304" s="99" t="s">
        <v>683</v>
      </c>
      <c r="C304" s="99" t="s">
        <v>924</v>
      </c>
      <c r="D304" s="99">
        <v>76941027</v>
      </c>
      <c r="E304" s="99" t="s">
        <v>443</v>
      </c>
      <c r="F304" s="122" t="s">
        <v>5786</v>
      </c>
      <c r="G304" s="95" t="s">
        <v>1057</v>
      </c>
      <c r="H304" s="95" t="s">
        <v>1163</v>
      </c>
      <c r="I304" s="95" t="s">
        <v>200</v>
      </c>
      <c r="J304" s="95" t="s">
        <v>200</v>
      </c>
      <c r="K304" s="99"/>
      <c r="L304" s="103" t="s">
        <v>4449</v>
      </c>
      <c r="M304" s="99"/>
      <c r="N304" s="99"/>
      <c r="O304" s="99" t="s">
        <v>4452</v>
      </c>
      <c r="P304" s="103"/>
      <c r="Q304" s="103"/>
      <c r="R304" s="99"/>
      <c r="S304" s="103" t="s">
        <v>4454</v>
      </c>
      <c r="T304" s="103" t="s">
        <v>5710</v>
      </c>
      <c r="U304" s="99" t="s">
        <v>5787</v>
      </c>
      <c r="V304" s="95">
        <v>11.8992612</v>
      </c>
      <c r="W304" s="95">
        <v>-4.3385828999999996</v>
      </c>
      <c r="X304" s="104" t="s">
        <v>5229</v>
      </c>
      <c r="Y304" s="103"/>
      <c r="Z304" s="103"/>
      <c r="AA304" s="103"/>
      <c r="AB304" s="103"/>
      <c r="AC304" s="103"/>
      <c r="AD304" s="103"/>
      <c r="AE304" s="103"/>
      <c r="AF304" s="103"/>
      <c r="AG304" s="99"/>
      <c r="AH304" s="103"/>
      <c r="AI304" s="103"/>
      <c r="AJ304" s="103"/>
      <c r="AK304" s="103"/>
      <c r="AL304" s="103"/>
      <c r="AM304" s="103"/>
      <c r="AN304" s="99"/>
      <c r="AO304" s="103"/>
      <c r="AP304" s="103"/>
      <c r="AQ304" s="103"/>
      <c r="AR304" s="103"/>
      <c r="AS304" s="99"/>
      <c r="AT304" s="103"/>
      <c r="AU304" s="103"/>
      <c r="AV304" s="99"/>
      <c r="AW304" s="99"/>
      <c r="AX304" s="99"/>
      <c r="AY304" s="99"/>
      <c r="AZ304" s="99"/>
      <c r="BA304" s="103"/>
      <c r="BB304" s="99"/>
      <c r="BC304" s="99"/>
      <c r="BD304" s="99"/>
      <c r="BE304" s="99"/>
      <c r="BF304" s="103"/>
      <c r="BG304" s="103"/>
      <c r="BH304" s="103"/>
      <c r="BI304" s="103"/>
      <c r="BJ304" s="103"/>
      <c r="BK304" s="103"/>
      <c r="BL304" s="103"/>
      <c r="BM304" s="103"/>
      <c r="BN304" s="103"/>
      <c r="BO304" s="103"/>
      <c r="BP304" s="103"/>
      <c r="BQ304" s="107"/>
      <c r="BR304" s="99"/>
      <c r="BS304" s="99"/>
      <c r="BT304" s="103"/>
      <c r="BU304" s="99"/>
      <c r="BV304" s="103"/>
      <c r="BW304" s="103"/>
      <c r="BX304" s="103"/>
      <c r="BY304" s="103"/>
      <c r="BZ304" s="103"/>
      <c r="CA304" s="103"/>
      <c r="CB304" s="103"/>
      <c r="CC304" s="103"/>
      <c r="CD304" s="103"/>
      <c r="CE304" s="103"/>
      <c r="CF304" s="103"/>
      <c r="CG304" s="103"/>
      <c r="CH304" s="103"/>
      <c r="CI304" s="103"/>
      <c r="CJ304" s="103"/>
      <c r="CK304" s="103"/>
      <c r="CL304" s="99"/>
      <c r="CM304" s="95">
        <v>11.8992612</v>
      </c>
      <c r="CN304" s="95">
        <v>-4.3385828999999996</v>
      </c>
      <c r="CO304" s="99"/>
      <c r="CP304" s="99"/>
      <c r="CQ304" s="99"/>
      <c r="CR304" s="99"/>
      <c r="CS304" s="99"/>
      <c r="CT304" s="99"/>
      <c r="CU304" s="99"/>
      <c r="CV304" s="99"/>
      <c r="CW304" s="99"/>
      <c r="CX304" s="99"/>
      <c r="CY304" s="99"/>
      <c r="CZ304" s="99"/>
      <c r="DA304" s="99"/>
      <c r="DB304" s="99"/>
      <c r="DC304" s="99"/>
    </row>
    <row r="305" spans="1:107" ht="15.75" customHeight="1">
      <c r="A305" s="95">
        <v>311</v>
      </c>
      <c r="B305" s="99" t="s">
        <v>670</v>
      </c>
      <c r="C305" s="99" t="s">
        <v>988</v>
      </c>
      <c r="D305" s="99">
        <v>70650860</v>
      </c>
      <c r="E305" s="99" t="s">
        <v>444</v>
      </c>
      <c r="F305" s="122" t="s">
        <v>5788</v>
      </c>
      <c r="G305" s="95" t="s">
        <v>1042</v>
      </c>
      <c r="H305" s="95" t="s">
        <v>1078</v>
      </c>
      <c r="I305" s="95" t="s">
        <v>165</v>
      </c>
      <c r="J305" s="95" t="s">
        <v>165</v>
      </c>
      <c r="K305" s="99"/>
      <c r="L305" s="103" t="s">
        <v>4549</v>
      </c>
      <c r="M305" s="99"/>
      <c r="N305" s="99"/>
      <c r="O305" s="99" t="s">
        <v>4452</v>
      </c>
      <c r="P305" s="103"/>
      <c r="Q305" s="103"/>
      <c r="R305" s="99"/>
      <c r="S305" s="103" t="s">
        <v>4454</v>
      </c>
      <c r="T305" s="103" t="s">
        <v>5710</v>
      </c>
      <c r="U305" s="99" t="s">
        <v>5789</v>
      </c>
      <c r="V305" s="95">
        <v>11.66503</v>
      </c>
      <c r="W305" s="95">
        <v>-1.0634024</v>
      </c>
      <c r="X305" s="104" t="s">
        <v>5114</v>
      </c>
      <c r="Y305" s="103"/>
      <c r="Z305" s="103"/>
      <c r="AA305" s="103"/>
      <c r="AB305" s="103"/>
      <c r="AC305" s="103"/>
      <c r="AD305" s="103"/>
      <c r="AE305" s="103"/>
      <c r="AF305" s="103"/>
      <c r="AG305" s="99"/>
      <c r="AH305" s="103"/>
      <c r="AI305" s="103"/>
      <c r="AJ305" s="103"/>
      <c r="AK305" s="103"/>
      <c r="AL305" s="103"/>
      <c r="AM305" s="103"/>
      <c r="AN305" s="99"/>
      <c r="AO305" s="103"/>
      <c r="AP305" s="103"/>
      <c r="AQ305" s="103"/>
      <c r="AR305" s="103"/>
      <c r="AS305" s="99"/>
      <c r="AT305" s="103"/>
      <c r="AU305" s="103"/>
      <c r="AV305" s="99"/>
      <c r="AW305" s="99"/>
      <c r="AX305" s="99"/>
      <c r="AY305" s="99"/>
      <c r="AZ305" s="99"/>
      <c r="BA305" s="103"/>
      <c r="BB305" s="99"/>
      <c r="BC305" s="99">
        <v>10400</v>
      </c>
      <c r="BD305" s="99"/>
      <c r="BE305" s="99"/>
      <c r="BF305" s="103"/>
      <c r="BG305" s="103"/>
      <c r="BH305" s="103"/>
      <c r="BI305" s="103"/>
      <c r="BJ305" s="103"/>
      <c r="BK305" s="103"/>
      <c r="BL305" s="103"/>
      <c r="BM305" s="103"/>
      <c r="BN305" s="103"/>
      <c r="BO305" s="103"/>
      <c r="BP305" s="103"/>
      <c r="BQ305" s="107"/>
      <c r="BR305" s="99"/>
      <c r="BS305" s="99"/>
      <c r="BT305" s="103"/>
      <c r="BU305" s="99"/>
      <c r="BV305" s="103"/>
      <c r="BW305" s="103"/>
      <c r="BX305" s="103"/>
      <c r="BY305" s="103"/>
      <c r="BZ305" s="103"/>
      <c r="CA305" s="103"/>
      <c r="CB305" s="103"/>
      <c r="CC305" s="103"/>
      <c r="CD305" s="103"/>
      <c r="CE305" s="103"/>
      <c r="CF305" s="103"/>
      <c r="CG305" s="103"/>
      <c r="CH305" s="103"/>
      <c r="CI305" s="103"/>
      <c r="CJ305" s="103"/>
      <c r="CK305" s="103"/>
      <c r="CL305" s="99"/>
      <c r="CM305" s="95">
        <v>11.66503</v>
      </c>
      <c r="CN305" s="95">
        <v>-1.0634024</v>
      </c>
      <c r="CO305" s="99"/>
      <c r="CP305" s="99"/>
      <c r="CQ305" s="99"/>
      <c r="CR305" s="99"/>
      <c r="CS305" s="99"/>
      <c r="CT305" s="99"/>
      <c r="CU305" s="99"/>
      <c r="CV305" s="99"/>
      <c r="CW305" s="99"/>
      <c r="CX305" s="99"/>
      <c r="CY305" s="99"/>
      <c r="CZ305" s="99"/>
      <c r="DA305" s="99"/>
      <c r="DB305" s="99"/>
      <c r="DC305" s="99"/>
    </row>
    <row r="306" spans="1:107" ht="15.75" customHeight="1">
      <c r="A306" s="95">
        <v>312</v>
      </c>
      <c r="B306" s="99" t="s">
        <v>991</v>
      </c>
      <c r="C306" s="99" t="s">
        <v>992</v>
      </c>
      <c r="D306" s="99">
        <v>72390794</v>
      </c>
      <c r="E306" s="99" t="s">
        <v>360</v>
      </c>
      <c r="F306" s="95" t="s">
        <v>5668</v>
      </c>
      <c r="G306" s="95" t="s">
        <v>1052</v>
      </c>
      <c r="H306" s="95" t="s">
        <v>1117</v>
      </c>
      <c r="I306" s="95" t="s">
        <v>361</v>
      </c>
      <c r="J306" s="95"/>
      <c r="K306" s="99"/>
      <c r="L306" s="103" t="s">
        <v>4449</v>
      </c>
      <c r="M306" s="99" t="s">
        <v>4450</v>
      </c>
      <c r="N306" s="99" t="s">
        <v>4451</v>
      </c>
      <c r="O306" s="99" t="s">
        <v>4579</v>
      </c>
      <c r="P306" s="103">
        <v>1993</v>
      </c>
      <c r="Q306" s="103" t="s">
        <v>1862</v>
      </c>
      <c r="R306" s="99" t="s">
        <v>4755</v>
      </c>
      <c r="S306" s="103" t="s">
        <v>2282</v>
      </c>
      <c r="T306" s="103" t="s">
        <v>4505</v>
      </c>
      <c r="U306" s="99" t="s">
        <v>5669</v>
      </c>
      <c r="V306" s="95">
        <v>12.180204</v>
      </c>
      <c r="W306" s="95">
        <v>-0.35130210000000001</v>
      </c>
      <c r="X306" s="104" t="s">
        <v>5670</v>
      </c>
      <c r="Y306" s="103" t="s">
        <v>1634</v>
      </c>
      <c r="Z306" s="103" t="s">
        <v>1634</v>
      </c>
      <c r="AA306" s="103" t="s">
        <v>1862</v>
      </c>
      <c r="AB306" s="103">
        <v>42</v>
      </c>
      <c r="AC306" s="103">
        <v>0</v>
      </c>
      <c r="AD306" s="103">
        <v>42</v>
      </c>
      <c r="AE306" s="103" t="s">
        <v>1634</v>
      </c>
      <c r="AF306" s="103" t="s">
        <v>4493</v>
      </c>
      <c r="AG306" s="99" t="s">
        <v>5613</v>
      </c>
      <c r="AH306" s="103" t="s">
        <v>1804</v>
      </c>
      <c r="AI306" s="103" t="s">
        <v>1862</v>
      </c>
      <c r="AJ306" s="103" t="s">
        <v>1862</v>
      </c>
      <c r="AK306" s="103" t="s">
        <v>1862</v>
      </c>
      <c r="AL306" s="103" t="s">
        <v>1862</v>
      </c>
      <c r="AM306" s="103" t="s">
        <v>1862</v>
      </c>
      <c r="AN306" s="99" t="s">
        <v>4735</v>
      </c>
      <c r="AO306" s="103" t="s">
        <v>1862</v>
      </c>
      <c r="AP306" s="103">
        <v>1000</v>
      </c>
      <c r="AQ306" s="103" t="s">
        <v>4509</v>
      </c>
      <c r="AR306" s="103">
        <v>50000</v>
      </c>
      <c r="AS306" s="106">
        <v>150000</v>
      </c>
      <c r="AT306" s="103" t="s">
        <v>4625</v>
      </c>
      <c r="AU306" s="103" t="s">
        <v>1634</v>
      </c>
      <c r="AV306" s="99" t="s">
        <v>4463</v>
      </c>
      <c r="AW306" s="99" t="s">
        <v>5790</v>
      </c>
      <c r="AX306" s="99" t="s">
        <v>5791</v>
      </c>
      <c r="AY306" s="99" t="s">
        <v>4560</v>
      </c>
      <c r="AZ306" s="99" t="s">
        <v>4561</v>
      </c>
      <c r="BA306" s="103" t="s">
        <v>1634</v>
      </c>
      <c r="BB306" s="99">
        <v>200</v>
      </c>
      <c r="BC306" s="99">
        <v>600</v>
      </c>
      <c r="BD306" s="99">
        <v>80000</v>
      </c>
      <c r="BE306" s="99">
        <v>200000</v>
      </c>
      <c r="BF306" s="103" t="s">
        <v>4842</v>
      </c>
      <c r="BG306" s="103" t="s">
        <v>1804</v>
      </c>
      <c r="BH306" s="103" t="s">
        <v>1862</v>
      </c>
      <c r="BI306" s="103" t="s">
        <v>1862</v>
      </c>
      <c r="BJ306" s="103" t="s">
        <v>1862</v>
      </c>
      <c r="BK306" s="103" t="s">
        <v>4478</v>
      </c>
      <c r="BL306" s="103" t="s">
        <v>4470</v>
      </c>
      <c r="BM306" s="103" t="s">
        <v>4461</v>
      </c>
      <c r="BN306" s="103" t="s">
        <v>5792</v>
      </c>
      <c r="BO306" s="103">
        <v>300</v>
      </c>
      <c r="BP306" s="103" t="s">
        <v>4461</v>
      </c>
      <c r="BQ306" s="107" t="s">
        <v>4476</v>
      </c>
      <c r="BR306" s="99" t="s">
        <v>4564</v>
      </c>
      <c r="BS306" s="99"/>
      <c r="BT306" s="103" t="s">
        <v>3186</v>
      </c>
      <c r="BU306" s="99" t="s">
        <v>4475</v>
      </c>
      <c r="BV306" s="103" t="s">
        <v>4476</v>
      </c>
      <c r="BW306" s="103" t="s">
        <v>4476</v>
      </c>
      <c r="BX306" s="103" t="s">
        <v>1634</v>
      </c>
      <c r="BY306" s="103" t="s">
        <v>4546</v>
      </c>
      <c r="BZ306" s="103" t="s">
        <v>4515</v>
      </c>
      <c r="CA306" s="103" t="s">
        <v>4500</v>
      </c>
      <c r="CB306" s="103">
        <v>400</v>
      </c>
      <c r="CC306" s="103" t="s">
        <v>4730</v>
      </c>
      <c r="CD306" s="103" t="s">
        <v>4475</v>
      </c>
      <c r="CE306" s="103" t="s">
        <v>4475</v>
      </c>
      <c r="CF306" s="103" t="s">
        <v>4482</v>
      </c>
      <c r="CG306" s="103" t="s">
        <v>989</v>
      </c>
      <c r="CH306" s="103" t="s">
        <v>990</v>
      </c>
      <c r="CI306" s="103">
        <v>72390794</v>
      </c>
      <c r="CJ306" s="103" t="s">
        <v>5602</v>
      </c>
      <c r="CK306" s="108">
        <v>43365.517442129632</v>
      </c>
      <c r="CL306" s="109">
        <v>43368.376331018517</v>
      </c>
      <c r="CM306" s="95">
        <v>12.180204</v>
      </c>
      <c r="CN306" s="95">
        <v>-0.35130210000000001</v>
      </c>
      <c r="CO306" s="99"/>
      <c r="CP306" s="99"/>
      <c r="CQ306" s="99"/>
      <c r="CR306" s="99"/>
      <c r="CS306" s="99"/>
      <c r="CT306" s="99"/>
      <c r="CU306" s="99"/>
      <c r="CV306" s="99"/>
      <c r="CW306" s="99"/>
      <c r="CX306" s="99"/>
      <c r="CY306" s="99"/>
      <c r="CZ306" s="99"/>
      <c r="DA306" s="99"/>
      <c r="DB306" s="99"/>
      <c r="DC306" s="99"/>
    </row>
    <row r="307" spans="1:107" ht="15.75" customHeight="1">
      <c r="A307" s="95">
        <v>313</v>
      </c>
      <c r="B307" s="99" t="s">
        <v>541</v>
      </c>
      <c r="C307" s="99" t="s">
        <v>615</v>
      </c>
      <c r="D307" s="99"/>
      <c r="E307" s="99" t="s">
        <v>446</v>
      </c>
      <c r="F307" s="95" t="s">
        <v>5793</v>
      </c>
      <c r="G307" s="95" t="s">
        <v>1047</v>
      </c>
      <c r="H307" s="95" t="s">
        <v>1056</v>
      </c>
      <c r="I307" s="95" t="s">
        <v>26</v>
      </c>
      <c r="J307" s="95" t="s">
        <v>26</v>
      </c>
      <c r="K307" s="99"/>
      <c r="L307" s="103" t="s">
        <v>4449</v>
      </c>
      <c r="M307" s="99"/>
      <c r="N307" s="99"/>
      <c r="O307" s="99" t="s">
        <v>4452</v>
      </c>
      <c r="P307" s="103"/>
      <c r="Q307" s="103"/>
      <c r="R307" s="99"/>
      <c r="S307" s="103" t="s">
        <v>5709</v>
      </c>
      <c r="T307" s="103" t="s">
        <v>5710</v>
      </c>
      <c r="U307" s="99" t="s">
        <v>5794</v>
      </c>
      <c r="V307" s="95">
        <v>12.2483626</v>
      </c>
      <c r="W307" s="95">
        <v>-0.62515410000000005</v>
      </c>
      <c r="X307" s="104" t="s">
        <v>4618</v>
      </c>
      <c r="Y307" s="103"/>
      <c r="Z307" s="103"/>
      <c r="AA307" s="103"/>
      <c r="AB307" s="103"/>
      <c r="AC307" s="103"/>
      <c r="AD307" s="103"/>
      <c r="AE307" s="103"/>
      <c r="AF307" s="103"/>
      <c r="AG307" s="99"/>
      <c r="AH307" s="103"/>
      <c r="AI307" s="103"/>
      <c r="AJ307" s="103"/>
      <c r="AK307" s="103"/>
      <c r="AL307" s="103"/>
      <c r="AM307" s="103"/>
      <c r="AN307" s="99"/>
      <c r="AO307" s="103"/>
      <c r="AP307" s="103"/>
      <c r="AQ307" s="103"/>
      <c r="AR307" s="103"/>
      <c r="AS307" s="99"/>
      <c r="AT307" s="103"/>
      <c r="AU307" s="103"/>
      <c r="AV307" s="99"/>
      <c r="AW307" s="99"/>
      <c r="AX307" s="99"/>
      <c r="AY307" s="99"/>
      <c r="AZ307" s="99"/>
      <c r="BA307" s="103"/>
      <c r="BB307" s="99"/>
      <c r="BC307" s="99"/>
      <c r="BD307" s="99"/>
      <c r="BE307" s="99"/>
      <c r="BF307" s="103"/>
      <c r="BG307" s="103"/>
      <c r="BH307" s="103"/>
      <c r="BI307" s="103"/>
      <c r="BJ307" s="103"/>
      <c r="BK307" s="103"/>
      <c r="BL307" s="103"/>
      <c r="BM307" s="103"/>
      <c r="BN307" s="103"/>
      <c r="BO307" s="103"/>
      <c r="BP307" s="103"/>
      <c r="BQ307" s="107"/>
      <c r="BR307" s="99"/>
      <c r="BS307" s="99"/>
      <c r="BT307" s="103"/>
      <c r="BU307" s="99"/>
      <c r="BV307" s="103"/>
      <c r="BW307" s="103"/>
      <c r="BX307" s="103"/>
      <c r="BY307" s="103"/>
      <c r="BZ307" s="103"/>
      <c r="CA307" s="103"/>
      <c r="CB307" s="103"/>
      <c r="CC307" s="103"/>
      <c r="CD307" s="103"/>
      <c r="CE307" s="103"/>
      <c r="CF307" s="103"/>
      <c r="CG307" s="103"/>
      <c r="CH307" s="103"/>
      <c r="CI307" s="103"/>
      <c r="CJ307" s="103"/>
      <c r="CK307" s="103"/>
      <c r="CL307" s="99"/>
      <c r="CM307" s="95">
        <v>12.2483626</v>
      </c>
      <c r="CN307" s="95">
        <v>-0.62515410000000005</v>
      </c>
      <c r="CO307" s="99"/>
      <c r="CP307" s="99"/>
      <c r="CQ307" s="99"/>
      <c r="CR307" s="99"/>
      <c r="CS307" s="99"/>
      <c r="CT307" s="99"/>
      <c r="CU307" s="99"/>
      <c r="CV307" s="99"/>
      <c r="CW307" s="99"/>
      <c r="CX307" s="99"/>
      <c r="CY307" s="99"/>
      <c r="CZ307" s="99"/>
      <c r="DA307" s="99"/>
      <c r="DB307" s="99"/>
      <c r="DC307" s="99"/>
    </row>
    <row r="308" spans="1:107" ht="15.75" customHeight="1">
      <c r="A308" s="95">
        <v>314</v>
      </c>
      <c r="B308" s="99" t="s">
        <v>993</v>
      </c>
      <c r="C308" s="99" t="s">
        <v>832</v>
      </c>
      <c r="D308" s="99">
        <v>70054472</v>
      </c>
      <c r="E308" s="99" t="s">
        <v>447</v>
      </c>
      <c r="F308" s="95" t="s">
        <v>5795</v>
      </c>
      <c r="G308" s="95" t="s">
        <v>1076</v>
      </c>
      <c r="H308" s="95" t="s">
        <v>1116</v>
      </c>
      <c r="I308" s="95" t="s">
        <v>210</v>
      </c>
      <c r="J308" s="95" t="s">
        <v>210</v>
      </c>
      <c r="K308" s="99"/>
      <c r="L308" s="103" t="s">
        <v>4449</v>
      </c>
      <c r="M308" s="99"/>
      <c r="N308" s="99"/>
      <c r="O308" s="99" t="s">
        <v>4452</v>
      </c>
      <c r="P308" s="103"/>
      <c r="Q308" s="103"/>
      <c r="R308" s="99"/>
      <c r="S308" s="103" t="s">
        <v>5709</v>
      </c>
      <c r="T308" s="103" t="s">
        <v>5710</v>
      </c>
      <c r="U308" s="99" t="s">
        <v>5796</v>
      </c>
      <c r="V308" s="95">
        <v>11.248952299999999</v>
      </c>
      <c r="W308" s="95">
        <v>0.70499250000000002</v>
      </c>
      <c r="X308" s="104" t="s">
        <v>5261</v>
      </c>
      <c r="Y308" s="103"/>
      <c r="Z308" s="103"/>
      <c r="AA308" s="103"/>
      <c r="AB308" s="103"/>
      <c r="AC308" s="103"/>
      <c r="AD308" s="103"/>
      <c r="AE308" s="103"/>
      <c r="AF308" s="103"/>
      <c r="AG308" s="99"/>
      <c r="AH308" s="103"/>
      <c r="AI308" s="103"/>
      <c r="AJ308" s="103"/>
      <c r="AK308" s="103"/>
      <c r="AL308" s="103"/>
      <c r="AM308" s="103"/>
      <c r="AN308" s="99"/>
      <c r="AO308" s="103"/>
      <c r="AP308" s="103"/>
      <c r="AQ308" s="103"/>
      <c r="AR308" s="103"/>
      <c r="AS308" s="99"/>
      <c r="AT308" s="103"/>
      <c r="AU308" s="103"/>
      <c r="AV308" s="99"/>
      <c r="AW308" s="99"/>
      <c r="AX308" s="99"/>
      <c r="AY308" s="99"/>
      <c r="AZ308" s="99"/>
      <c r="BA308" s="103"/>
      <c r="BB308" s="99"/>
      <c r="BC308" s="99">
        <v>400</v>
      </c>
      <c r="BD308" s="99"/>
      <c r="BE308" s="99"/>
      <c r="BF308" s="103"/>
      <c r="BG308" s="103"/>
      <c r="BH308" s="103"/>
      <c r="BI308" s="103"/>
      <c r="BJ308" s="103"/>
      <c r="BK308" s="103"/>
      <c r="BL308" s="103"/>
      <c r="BM308" s="103"/>
      <c r="BN308" s="103"/>
      <c r="BO308" s="103"/>
      <c r="BP308" s="103"/>
      <c r="BQ308" s="107"/>
      <c r="BR308" s="99"/>
      <c r="BS308" s="99"/>
      <c r="BT308" s="103"/>
      <c r="BU308" s="99"/>
      <c r="BV308" s="103"/>
      <c r="BW308" s="103"/>
      <c r="BX308" s="103"/>
      <c r="BY308" s="103"/>
      <c r="BZ308" s="103"/>
      <c r="CA308" s="103"/>
      <c r="CB308" s="103"/>
      <c r="CC308" s="103"/>
      <c r="CD308" s="103"/>
      <c r="CE308" s="103"/>
      <c r="CF308" s="103"/>
      <c r="CG308" s="103"/>
      <c r="CH308" s="103"/>
      <c r="CI308" s="103"/>
      <c r="CJ308" s="103"/>
      <c r="CK308" s="103"/>
      <c r="CL308" s="99"/>
      <c r="CM308" s="95">
        <v>11.248952299999999</v>
      </c>
      <c r="CN308" s="95">
        <v>0.70499250000000002</v>
      </c>
      <c r="CO308" s="99"/>
      <c r="CP308" s="99"/>
      <c r="CQ308" s="99"/>
      <c r="CR308" s="99"/>
      <c r="CS308" s="99"/>
      <c r="CT308" s="99"/>
      <c r="CU308" s="99"/>
      <c r="CV308" s="99"/>
      <c r="CW308" s="99"/>
      <c r="CX308" s="99"/>
      <c r="CY308" s="99"/>
      <c r="CZ308" s="99"/>
      <c r="DA308" s="99"/>
      <c r="DB308" s="99"/>
      <c r="DC308" s="99"/>
    </row>
    <row r="309" spans="1:107" ht="15.75" customHeight="1">
      <c r="A309" s="95">
        <v>315</v>
      </c>
      <c r="B309" s="99" t="s">
        <v>994</v>
      </c>
      <c r="C309" s="99" t="s">
        <v>995</v>
      </c>
      <c r="D309" s="99">
        <v>71001410</v>
      </c>
      <c r="E309" s="99" t="s">
        <v>448</v>
      </c>
      <c r="F309" s="95" t="s">
        <v>4944</v>
      </c>
      <c r="G309" s="95" t="s">
        <v>1076</v>
      </c>
      <c r="H309" s="95" t="s">
        <v>1087</v>
      </c>
      <c r="I309" s="95" t="s">
        <v>111</v>
      </c>
      <c r="J309" s="95"/>
      <c r="K309" s="99"/>
      <c r="L309" s="103" t="s">
        <v>4449</v>
      </c>
      <c r="M309" s="99"/>
      <c r="N309" s="99"/>
      <c r="O309" s="99" t="s">
        <v>4452</v>
      </c>
      <c r="P309" s="103"/>
      <c r="Q309" s="103"/>
      <c r="R309" s="99"/>
      <c r="S309" s="103" t="s">
        <v>5767</v>
      </c>
      <c r="T309" s="103" t="s">
        <v>5710</v>
      </c>
      <c r="U309" s="99" t="s">
        <v>4945</v>
      </c>
      <c r="V309" s="95">
        <v>12.0601649</v>
      </c>
      <c r="W309" s="95">
        <v>0.36542039999999998</v>
      </c>
      <c r="X309" s="104" t="s">
        <v>4946</v>
      </c>
      <c r="Y309" s="103"/>
      <c r="Z309" s="103"/>
      <c r="AA309" s="103"/>
      <c r="AB309" s="103"/>
      <c r="AC309" s="103"/>
      <c r="AD309" s="103"/>
      <c r="AE309" s="103"/>
      <c r="AF309" s="103"/>
      <c r="AG309" s="99"/>
      <c r="AH309" s="103"/>
      <c r="AI309" s="103"/>
      <c r="AJ309" s="103"/>
      <c r="AK309" s="103"/>
      <c r="AL309" s="103"/>
      <c r="AM309" s="103"/>
      <c r="AN309" s="99"/>
      <c r="AO309" s="103"/>
      <c r="AP309" s="103"/>
      <c r="AQ309" s="103"/>
      <c r="AR309" s="103"/>
      <c r="AS309" s="99"/>
      <c r="AT309" s="103"/>
      <c r="AU309" s="103"/>
      <c r="AV309" s="99"/>
      <c r="AW309" s="99"/>
      <c r="AX309" s="99"/>
      <c r="AY309" s="99"/>
      <c r="AZ309" s="99"/>
      <c r="BA309" s="103"/>
      <c r="BB309" s="99"/>
      <c r="BC309" s="99"/>
      <c r="BD309" s="99"/>
      <c r="BE309" s="99"/>
      <c r="BF309" s="103"/>
      <c r="BG309" s="103"/>
      <c r="BH309" s="103"/>
      <c r="BI309" s="103"/>
      <c r="BJ309" s="103"/>
      <c r="BK309" s="103"/>
      <c r="BL309" s="103"/>
      <c r="BM309" s="103"/>
      <c r="BN309" s="103"/>
      <c r="BO309" s="103"/>
      <c r="BP309" s="103"/>
      <c r="BQ309" s="107"/>
      <c r="BR309" s="99"/>
      <c r="BS309" s="99"/>
      <c r="BT309" s="103"/>
      <c r="BU309" s="99"/>
      <c r="BV309" s="103"/>
      <c r="BW309" s="103"/>
      <c r="BX309" s="103"/>
      <c r="BY309" s="103"/>
      <c r="BZ309" s="103"/>
      <c r="CA309" s="103"/>
      <c r="CB309" s="103"/>
      <c r="CC309" s="103"/>
      <c r="CD309" s="103"/>
      <c r="CE309" s="103"/>
      <c r="CF309" s="103"/>
      <c r="CG309" s="103"/>
      <c r="CH309" s="103"/>
      <c r="CI309" s="103"/>
      <c r="CJ309" s="103"/>
      <c r="CK309" s="103"/>
      <c r="CL309" s="99"/>
      <c r="CM309" s="95">
        <v>12.0601649</v>
      </c>
      <c r="CN309" s="95">
        <v>0.36542039999999998</v>
      </c>
      <c r="CO309" s="99"/>
      <c r="CP309" s="99"/>
      <c r="CQ309" s="99"/>
      <c r="CR309" s="99"/>
      <c r="CS309" s="99"/>
      <c r="CT309" s="99"/>
      <c r="CU309" s="99"/>
      <c r="CV309" s="99"/>
      <c r="CW309" s="99"/>
      <c r="CX309" s="99"/>
      <c r="CY309" s="99"/>
      <c r="CZ309" s="99"/>
      <c r="DA309" s="99"/>
      <c r="DB309" s="99"/>
      <c r="DC309" s="99"/>
    </row>
    <row r="310" spans="1:107" ht="15.75" customHeight="1">
      <c r="A310" s="95">
        <v>317</v>
      </c>
      <c r="B310" s="117" t="s">
        <v>860</v>
      </c>
      <c r="C310" s="117" t="s">
        <v>996</v>
      </c>
      <c r="D310" s="117">
        <v>78353320</v>
      </c>
      <c r="E310" s="99" t="s">
        <v>449</v>
      </c>
      <c r="F310" s="95" t="s">
        <v>5797</v>
      </c>
      <c r="G310" s="95" t="s">
        <v>1049</v>
      </c>
      <c r="H310" s="95" t="s">
        <v>1066</v>
      </c>
      <c r="I310" s="95" t="s">
        <v>89</v>
      </c>
      <c r="J310" s="95" t="s">
        <v>1164</v>
      </c>
      <c r="K310" s="99"/>
      <c r="L310" s="103" t="s">
        <v>4449</v>
      </c>
      <c r="M310" s="99"/>
      <c r="N310" s="99"/>
      <c r="O310" s="99" t="s">
        <v>5264</v>
      </c>
      <c r="P310" s="103"/>
      <c r="Q310" s="103"/>
      <c r="R310" s="99"/>
      <c r="S310" s="103" t="s">
        <v>5703</v>
      </c>
      <c r="T310" s="103" t="s">
        <v>5710</v>
      </c>
      <c r="U310" s="99" t="s">
        <v>5798</v>
      </c>
      <c r="V310" s="95">
        <v>12.2562183</v>
      </c>
      <c r="W310" s="95">
        <v>-2.3517526000000002</v>
      </c>
      <c r="X310" s="104" t="s">
        <v>4839</v>
      </c>
      <c r="Y310" s="103"/>
      <c r="Z310" s="103"/>
      <c r="AA310" s="103"/>
      <c r="AB310" s="103"/>
      <c r="AC310" s="103"/>
      <c r="AD310" s="103"/>
      <c r="AE310" s="103"/>
      <c r="AF310" s="103"/>
      <c r="AG310" s="99"/>
      <c r="AH310" s="103"/>
      <c r="AI310" s="103"/>
      <c r="AJ310" s="103"/>
      <c r="AK310" s="103"/>
      <c r="AL310" s="103"/>
      <c r="AM310" s="103"/>
      <c r="AN310" s="99"/>
      <c r="AO310" s="103"/>
      <c r="AP310" s="103"/>
      <c r="AQ310" s="103"/>
      <c r="AR310" s="103"/>
      <c r="AS310" s="99"/>
      <c r="AT310" s="103"/>
      <c r="AU310" s="103"/>
      <c r="AV310" s="99"/>
      <c r="AW310" s="99"/>
      <c r="AX310" s="99"/>
      <c r="AY310" s="99"/>
      <c r="AZ310" s="99"/>
      <c r="BA310" s="103"/>
      <c r="BB310" s="99"/>
      <c r="BC310" s="99">
        <v>2000</v>
      </c>
      <c r="BD310" s="99"/>
      <c r="BE310" s="99"/>
      <c r="BF310" s="103"/>
      <c r="BG310" s="103"/>
      <c r="BH310" s="103"/>
      <c r="BI310" s="103"/>
      <c r="BJ310" s="103"/>
      <c r="BK310" s="103"/>
      <c r="BL310" s="103"/>
      <c r="BM310" s="103"/>
      <c r="BN310" s="103"/>
      <c r="BO310" s="103"/>
      <c r="BP310" s="103"/>
      <c r="BQ310" s="107"/>
      <c r="BR310" s="99"/>
      <c r="BS310" s="99"/>
      <c r="BT310" s="103"/>
      <c r="BU310" s="99"/>
      <c r="BV310" s="103"/>
      <c r="BW310" s="103"/>
      <c r="BX310" s="103"/>
      <c r="BY310" s="103"/>
      <c r="BZ310" s="103"/>
      <c r="CA310" s="103"/>
      <c r="CB310" s="103"/>
      <c r="CC310" s="103"/>
      <c r="CD310" s="103"/>
      <c r="CE310" s="103"/>
      <c r="CF310" s="103"/>
      <c r="CG310" s="103"/>
      <c r="CH310" s="103"/>
      <c r="CI310" s="103"/>
      <c r="CJ310" s="103"/>
      <c r="CK310" s="103"/>
      <c r="CL310" s="99"/>
      <c r="CM310" s="95">
        <v>12.2562183</v>
      </c>
      <c r="CN310" s="95">
        <v>-2.3517526000000002</v>
      </c>
      <c r="CO310" s="99"/>
      <c r="CP310" s="99"/>
      <c r="CQ310" s="99"/>
      <c r="CR310" s="99"/>
      <c r="CS310" s="99"/>
      <c r="CT310" s="99"/>
      <c r="CU310" s="99"/>
      <c r="CV310" s="99"/>
      <c r="CW310" s="99"/>
      <c r="CX310" s="99"/>
      <c r="CY310" s="99"/>
      <c r="CZ310" s="99"/>
      <c r="DA310" s="99"/>
      <c r="DB310" s="99"/>
      <c r="DC310" s="99"/>
    </row>
    <row r="311" spans="1:107" ht="15.75" customHeight="1">
      <c r="A311" s="95">
        <v>318</v>
      </c>
      <c r="B311" s="123" t="s">
        <v>997</v>
      </c>
      <c r="C311" s="123" t="s">
        <v>998</v>
      </c>
      <c r="D311" s="123" t="s">
        <v>999</v>
      </c>
      <c r="E311" s="123" t="s">
        <v>5799</v>
      </c>
      <c r="F311" s="95" t="s">
        <v>5800</v>
      </c>
      <c r="G311" s="95" t="s">
        <v>1068</v>
      </c>
      <c r="H311" s="95" t="s">
        <v>1093</v>
      </c>
      <c r="I311" s="95" t="s">
        <v>451</v>
      </c>
      <c r="J311" s="95" t="s">
        <v>1165</v>
      </c>
      <c r="K311" s="99" t="s">
        <v>1062</v>
      </c>
      <c r="L311" s="103"/>
      <c r="M311" s="99"/>
      <c r="N311" s="99"/>
      <c r="O311" s="123" t="s">
        <v>4615</v>
      </c>
      <c r="P311" s="103"/>
      <c r="Q311" s="103"/>
      <c r="R311" s="99"/>
      <c r="S311" s="123" t="s">
        <v>5801</v>
      </c>
      <c r="T311" s="103" t="s">
        <v>5686</v>
      </c>
      <c r="U311" s="99" t="s">
        <v>5802</v>
      </c>
      <c r="V311" s="95">
        <v>10.940716</v>
      </c>
      <c r="W311" s="95">
        <v>-3.1315471000000001</v>
      </c>
      <c r="X311" s="104" t="s">
        <v>5803</v>
      </c>
      <c r="Y311" s="103"/>
      <c r="Z311" s="103"/>
      <c r="AA311" s="103"/>
      <c r="AB311" s="103">
        <v>8</v>
      </c>
      <c r="AC311" s="103"/>
      <c r="AD311" s="103">
        <v>8</v>
      </c>
      <c r="AE311" s="103"/>
      <c r="AF311" s="103"/>
      <c r="AG311" s="99"/>
      <c r="AH311" s="103"/>
      <c r="AI311" s="103"/>
      <c r="AJ311" s="103"/>
      <c r="AK311" s="103"/>
      <c r="AL311" s="103"/>
      <c r="AM311" s="103"/>
      <c r="AN311" s="99"/>
      <c r="AO311" s="103"/>
      <c r="AP311" s="103"/>
      <c r="AQ311" s="103"/>
      <c r="AR311" s="103"/>
      <c r="AS311" s="99"/>
      <c r="AT311" s="103"/>
      <c r="AU311" s="103"/>
      <c r="AV311" s="99"/>
      <c r="AW311" s="99"/>
      <c r="AX311" s="99" t="s">
        <v>5804</v>
      </c>
      <c r="AY311" s="99"/>
      <c r="AZ311" s="99"/>
      <c r="BA311" s="103"/>
      <c r="BB311" s="99"/>
      <c r="BC311" s="99">
        <v>4541</v>
      </c>
      <c r="BD311" s="99"/>
      <c r="BE311" s="99"/>
      <c r="BF311" s="103"/>
      <c r="BG311" s="103"/>
      <c r="BH311" s="103"/>
      <c r="BI311" s="103"/>
      <c r="BJ311" s="103"/>
      <c r="BK311" s="103"/>
      <c r="BL311" s="103"/>
      <c r="BM311" s="103"/>
      <c r="BN311" s="103"/>
      <c r="BO311" s="103"/>
      <c r="BP311" s="103"/>
      <c r="BQ311" s="107"/>
      <c r="BR311" s="99"/>
      <c r="BS311" s="99"/>
      <c r="BT311" s="103"/>
      <c r="BU311" s="99"/>
      <c r="BV311" s="103"/>
      <c r="BW311" s="103"/>
      <c r="BX311" s="103"/>
      <c r="BY311" s="103"/>
      <c r="BZ311" s="103"/>
      <c r="CA311" s="103"/>
      <c r="CB311" s="103"/>
      <c r="CC311" s="103"/>
      <c r="CD311" s="103"/>
      <c r="CE311" s="103"/>
      <c r="CF311" s="103"/>
      <c r="CG311" s="103"/>
      <c r="CH311" s="103"/>
      <c r="CI311" s="103"/>
      <c r="CJ311" s="103"/>
      <c r="CK311" s="103"/>
      <c r="CL311" s="99"/>
      <c r="CM311" s="95">
        <v>10.940716</v>
      </c>
      <c r="CN311" s="95">
        <v>-3.1315471000000001</v>
      </c>
      <c r="CO311" s="99"/>
      <c r="CP311" s="99"/>
      <c r="CQ311" s="99"/>
      <c r="CR311" s="99"/>
      <c r="CS311" s="99"/>
      <c r="CT311" s="99"/>
      <c r="CU311" s="99"/>
      <c r="CV311" s="99"/>
      <c r="CW311" s="99"/>
      <c r="CX311" s="99"/>
      <c r="CY311" s="99"/>
      <c r="CZ311" s="99"/>
      <c r="DA311" s="99"/>
      <c r="DB311" s="99"/>
      <c r="DC311" s="99"/>
    </row>
    <row r="312" spans="1:107" ht="15.75" customHeight="1">
      <c r="A312" s="95">
        <v>319</v>
      </c>
      <c r="B312" s="123" t="s">
        <v>1000</v>
      </c>
      <c r="C312" s="123" t="s">
        <v>1001</v>
      </c>
      <c r="D312" s="123" t="s">
        <v>1002</v>
      </c>
      <c r="E312" s="123" t="s">
        <v>5805</v>
      </c>
      <c r="F312" s="95" t="s">
        <v>5800</v>
      </c>
      <c r="G312" s="95" t="s">
        <v>1068</v>
      </c>
      <c r="H312" s="95" t="s">
        <v>1093</v>
      </c>
      <c r="I312" s="95" t="s">
        <v>451</v>
      </c>
      <c r="J312" s="95" t="s">
        <v>1165</v>
      </c>
      <c r="K312" s="99" t="s">
        <v>1062</v>
      </c>
      <c r="L312" s="103"/>
      <c r="M312" s="99"/>
      <c r="N312" s="99"/>
      <c r="O312" s="123" t="s">
        <v>4615</v>
      </c>
      <c r="P312" s="103"/>
      <c r="Q312" s="103"/>
      <c r="R312" s="99"/>
      <c r="S312" s="123" t="s">
        <v>5801</v>
      </c>
      <c r="T312" s="103" t="s">
        <v>5686</v>
      </c>
      <c r="U312" s="99" t="s">
        <v>5802</v>
      </c>
      <c r="V312" s="95">
        <v>10.940716</v>
      </c>
      <c r="W312" s="95">
        <v>-3.1315471000000001</v>
      </c>
      <c r="X312" s="104" t="s">
        <v>5803</v>
      </c>
      <c r="Y312" s="103"/>
      <c r="Z312" s="103"/>
      <c r="AA312" s="103"/>
      <c r="AB312" s="103">
        <v>15</v>
      </c>
      <c r="AC312" s="103"/>
      <c r="AD312" s="103">
        <v>15</v>
      </c>
      <c r="AE312" s="103"/>
      <c r="AF312" s="103"/>
      <c r="AG312" s="99"/>
      <c r="AH312" s="103"/>
      <c r="AI312" s="103"/>
      <c r="AJ312" s="103"/>
      <c r="AK312" s="103"/>
      <c r="AL312" s="103"/>
      <c r="AM312" s="103"/>
      <c r="AN312" s="99"/>
      <c r="AO312" s="103"/>
      <c r="AP312" s="103"/>
      <c r="AQ312" s="103"/>
      <c r="AR312" s="103"/>
      <c r="AS312" s="99"/>
      <c r="AT312" s="103"/>
      <c r="AU312" s="103"/>
      <c r="AV312" s="99"/>
      <c r="AW312" s="99"/>
      <c r="AX312" s="99" t="s">
        <v>5806</v>
      </c>
      <c r="AY312" s="99"/>
      <c r="AZ312" s="99"/>
      <c r="BA312" s="103"/>
      <c r="BB312" s="99"/>
      <c r="BC312" s="99">
        <v>14184</v>
      </c>
      <c r="BD312" s="99"/>
      <c r="BE312" s="99"/>
      <c r="BF312" s="103"/>
      <c r="BG312" s="103"/>
      <c r="BH312" s="103"/>
      <c r="BI312" s="103"/>
      <c r="BJ312" s="103"/>
      <c r="BK312" s="103"/>
      <c r="BL312" s="103"/>
      <c r="BM312" s="103"/>
      <c r="BN312" s="103"/>
      <c r="BO312" s="103"/>
      <c r="BP312" s="103"/>
      <c r="BQ312" s="107"/>
      <c r="BR312" s="99"/>
      <c r="BS312" s="99"/>
      <c r="BT312" s="103"/>
      <c r="BU312" s="99"/>
      <c r="BV312" s="103"/>
      <c r="BW312" s="103"/>
      <c r="BX312" s="103"/>
      <c r="BY312" s="103"/>
      <c r="BZ312" s="103"/>
      <c r="CA312" s="103"/>
      <c r="CB312" s="103"/>
      <c r="CC312" s="103"/>
      <c r="CD312" s="103"/>
      <c r="CE312" s="103"/>
      <c r="CF312" s="103"/>
      <c r="CG312" s="103"/>
      <c r="CH312" s="103"/>
      <c r="CI312" s="103"/>
      <c r="CJ312" s="103"/>
      <c r="CK312" s="103"/>
      <c r="CL312" s="99"/>
      <c r="CM312" s="95">
        <v>10.940716</v>
      </c>
      <c r="CN312" s="95">
        <v>-3.1315471000000001</v>
      </c>
      <c r="CO312" s="99"/>
      <c r="CP312" s="99"/>
      <c r="CQ312" s="99"/>
      <c r="CR312" s="99"/>
      <c r="CS312" s="99"/>
      <c r="CT312" s="99"/>
      <c r="CU312" s="99"/>
      <c r="CV312" s="99"/>
      <c r="CW312" s="99"/>
      <c r="CX312" s="99"/>
      <c r="CY312" s="99"/>
      <c r="CZ312" s="99"/>
      <c r="DA312" s="99"/>
      <c r="DB312" s="99"/>
      <c r="DC312" s="99"/>
    </row>
    <row r="313" spans="1:107" ht="15.75" customHeight="1">
      <c r="A313" s="95">
        <v>320</v>
      </c>
      <c r="B313" s="123" t="s">
        <v>656</v>
      </c>
      <c r="C313" s="123" t="s">
        <v>1003</v>
      </c>
      <c r="D313" s="123" t="s">
        <v>1004</v>
      </c>
      <c r="E313" s="123" t="s">
        <v>5807</v>
      </c>
      <c r="F313" s="95" t="s">
        <v>5800</v>
      </c>
      <c r="G313" s="95" t="s">
        <v>1068</v>
      </c>
      <c r="H313" s="95" t="s">
        <v>1093</v>
      </c>
      <c r="I313" s="95" t="s">
        <v>451</v>
      </c>
      <c r="J313" s="95" t="s">
        <v>1165</v>
      </c>
      <c r="K313" s="99" t="s">
        <v>1062</v>
      </c>
      <c r="L313" s="103"/>
      <c r="M313" s="99"/>
      <c r="N313" s="99"/>
      <c r="O313" s="123" t="s">
        <v>4615</v>
      </c>
      <c r="P313" s="103"/>
      <c r="Q313" s="103"/>
      <c r="R313" s="99"/>
      <c r="S313" s="123" t="s">
        <v>5801</v>
      </c>
      <c r="T313" s="103" t="s">
        <v>5686</v>
      </c>
      <c r="U313" s="99" t="s">
        <v>5802</v>
      </c>
      <c r="V313" s="95">
        <v>10.940716</v>
      </c>
      <c r="W313" s="95">
        <v>-3.1315471000000001</v>
      </c>
      <c r="X313" s="104" t="s">
        <v>5803</v>
      </c>
      <c r="Y313" s="103"/>
      <c r="Z313" s="103"/>
      <c r="AA313" s="103"/>
      <c r="AB313" s="103">
        <v>6</v>
      </c>
      <c r="AC313" s="103"/>
      <c r="AD313" s="103">
        <v>6</v>
      </c>
      <c r="AE313" s="103"/>
      <c r="AF313" s="103"/>
      <c r="AG313" s="99"/>
      <c r="AH313" s="103"/>
      <c r="AI313" s="103"/>
      <c r="AJ313" s="103"/>
      <c r="AK313" s="103"/>
      <c r="AL313" s="103"/>
      <c r="AM313" s="103"/>
      <c r="AN313" s="99"/>
      <c r="AO313" s="103"/>
      <c r="AP313" s="103"/>
      <c r="AQ313" s="103"/>
      <c r="AR313" s="103"/>
      <c r="AS313" s="99"/>
      <c r="AT313" s="103"/>
      <c r="AU313" s="103"/>
      <c r="AV313" s="99"/>
      <c r="AW313" s="99"/>
      <c r="AX313" s="99" t="s">
        <v>5804</v>
      </c>
      <c r="AY313" s="99"/>
      <c r="AZ313" s="99"/>
      <c r="BA313" s="103"/>
      <c r="BB313" s="99"/>
      <c r="BC313" s="99">
        <v>3405</v>
      </c>
      <c r="BD313" s="99"/>
      <c r="BE313" s="99"/>
      <c r="BF313" s="103"/>
      <c r="BG313" s="103"/>
      <c r="BH313" s="103"/>
      <c r="BI313" s="103"/>
      <c r="BJ313" s="103"/>
      <c r="BK313" s="103"/>
      <c r="BL313" s="103"/>
      <c r="BM313" s="103"/>
      <c r="BN313" s="103"/>
      <c r="BO313" s="103"/>
      <c r="BP313" s="103"/>
      <c r="BQ313" s="107"/>
      <c r="BR313" s="99"/>
      <c r="BS313" s="99"/>
      <c r="BT313" s="103"/>
      <c r="BU313" s="99"/>
      <c r="BV313" s="103"/>
      <c r="BW313" s="103"/>
      <c r="BX313" s="103"/>
      <c r="BY313" s="103"/>
      <c r="BZ313" s="103"/>
      <c r="CA313" s="103"/>
      <c r="CB313" s="103"/>
      <c r="CC313" s="103"/>
      <c r="CD313" s="103"/>
      <c r="CE313" s="103"/>
      <c r="CF313" s="103"/>
      <c r="CG313" s="103"/>
      <c r="CH313" s="103"/>
      <c r="CI313" s="103"/>
      <c r="CJ313" s="103"/>
      <c r="CK313" s="103"/>
      <c r="CL313" s="99"/>
      <c r="CM313" s="95">
        <v>10.940716</v>
      </c>
      <c r="CN313" s="95">
        <v>-3.1315471000000001</v>
      </c>
      <c r="CO313" s="99"/>
      <c r="CP313" s="99"/>
      <c r="CQ313" s="99"/>
      <c r="CR313" s="99"/>
      <c r="CS313" s="99"/>
      <c r="CT313" s="99"/>
      <c r="CU313" s="99"/>
      <c r="CV313" s="99"/>
      <c r="CW313" s="99"/>
      <c r="CX313" s="99"/>
      <c r="CY313" s="99"/>
      <c r="CZ313" s="99"/>
      <c r="DA313" s="99"/>
      <c r="DB313" s="99"/>
      <c r="DC313" s="99"/>
    </row>
    <row r="314" spans="1:107" ht="15.75" customHeight="1">
      <c r="A314" s="95">
        <v>321</v>
      </c>
      <c r="B314" s="123" t="s">
        <v>1005</v>
      </c>
      <c r="C314" s="123" t="s">
        <v>1006</v>
      </c>
      <c r="D314" s="123" t="s">
        <v>1007</v>
      </c>
      <c r="E314" s="123" t="s">
        <v>454</v>
      </c>
      <c r="F314" s="95" t="s">
        <v>5808</v>
      </c>
      <c r="G314" s="95" t="s">
        <v>1068</v>
      </c>
      <c r="H314" s="95" t="s">
        <v>1093</v>
      </c>
      <c r="I314" s="95" t="s">
        <v>451</v>
      </c>
      <c r="J314" s="95" t="s">
        <v>1165</v>
      </c>
      <c r="K314" s="99" t="s">
        <v>1166</v>
      </c>
      <c r="L314" s="103"/>
      <c r="M314" s="99"/>
      <c r="N314" s="99"/>
      <c r="O314" s="123" t="s">
        <v>4615</v>
      </c>
      <c r="P314" s="103"/>
      <c r="Q314" s="103"/>
      <c r="R314" s="99"/>
      <c r="S314" s="123" t="s">
        <v>5801</v>
      </c>
      <c r="T314" s="103" t="s">
        <v>5686</v>
      </c>
      <c r="U314" s="99" t="s">
        <v>5802</v>
      </c>
      <c r="V314" s="95">
        <v>10.940716</v>
      </c>
      <c r="W314" s="95">
        <v>-3.1315471000000001</v>
      </c>
      <c r="X314" s="104" t="s">
        <v>5803</v>
      </c>
      <c r="Y314" s="103"/>
      <c r="Z314" s="103"/>
      <c r="AA314" s="103"/>
      <c r="AB314" s="103">
        <v>18</v>
      </c>
      <c r="AC314" s="103"/>
      <c r="AD314" s="103">
        <v>18</v>
      </c>
      <c r="AE314" s="103"/>
      <c r="AF314" s="103"/>
      <c r="AG314" s="99"/>
      <c r="AH314" s="103"/>
      <c r="AI314" s="103"/>
      <c r="AJ314" s="103"/>
      <c r="AK314" s="103"/>
      <c r="AL314" s="103"/>
      <c r="AM314" s="103"/>
      <c r="AN314" s="99"/>
      <c r="AO314" s="103"/>
      <c r="AP314" s="103"/>
      <c r="AQ314" s="103"/>
      <c r="AR314" s="103"/>
      <c r="AS314" s="99"/>
      <c r="AT314" s="103"/>
      <c r="AU314" s="103"/>
      <c r="AV314" s="99"/>
      <c r="AW314" s="99"/>
      <c r="AX314" s="99" t="s">
        <v>5804</v>
      </c>
      <c r="AY314" s="99"/>
      <c r="AZ314" s="99"/>
      <c r="BA314" s="103"/>
      <c r="BB314" s="99"/>
      <c r="BC314" s="99">
        <v>10217</v>
      </c>
      <c r="BD314" s="99"/>
      <c r="BE314" s="99"/>
      <c r="BF314" s="103"/>
      <c r="BG314" s="103"/>
      <c r="BH314" s="103"/>
      <c r="BI314" s="103"/>
      <c r="BJ314" s="103"/>
      <c r="BK314" s="103"/>
      <c r="BL314" s="103"/>
      <c r="BM314" s="103"/>
      <c r="BN314" s="103"/>
      <c r="BO314" s="103"/>
      <c r="BP314" s="103"/>
      <c r="BQ314" s="107"/>
      <c r="BR314" s="99"/>
      <c r="BS314" s="99"/>
      <c r="BT314" s="103"/>
      <c r="BU314" s="99"/>
      <c r="BV314" s="103"/>
      <c r="BW314" s="103"/>
      <c r="BX314" s="103"/>
      <c r="BY314" s="103"/>
      <c r="BZ314" s="103"/>
      <c r="CA314" s="103"/>
      <c r="CB314" s="103"/>
      <c r="CC314" s="103"/>
      <c r="CD314" s="103"/>
      <c r="CE314" s="103"/>
      <c r="CF314" s="103"/>
      <c r="CG314" s="103"/>
      <c r="CH314" s="103"/>
      <c r="CI314" s="103"/>
      <c r="CJ314" s="103"/>
      <c r="CK314" s="103"/>
      <c r="CL314" s="99"/>
      <c r="CM314" s="95">
        <v>10.940716</v>
      </c>
      <c r="CN314" s="95">
        <v>-3.1315471000000001</v>
      </c>
      <c r="CO314" s="99"/>
      <c r="CP314" s="99"/>
      <c r="CQ314" s="99"/>
      <c r="CR314" s="99"/>
      <c r="CS314" s="99"/>
      <c r="CT314" s="99"/>
      <c r="CU314" s="99"/>
      <c r="CV314" s="99"/>
      <c r="CW314" s="99"/>
      <c r="CX314" s="99"/>
      <c r="CY314" s="99"/>
      <c r="CZ314" s="99"/>
      <c r="DA314" s="99"/>
      <c r="DB314" s="99"/>
      <c r="DC314" s="99"/>
    </row>
    <row r="315" spans="1:107" ht="15.75" customHeight="1">
      <c r="A315" s="95">
        <v>322</v>
      </c>
      <c r="B315" s="123" t="s">
        <v>656</v>
      </c>
      <c r="C315" s="123" t="s">
        <v>1008</v>
      </c>
      <c r="D315" s="123" t="s">
        <v>1009</v>
      </c>
      <c r="E315" s="123" t="s">
        <v>5809</v>
      </c>
      <c r="F315" s="95" t="s">
        <v>5810</v>
      </c>
      <c r="G315" s="95" t="s">
        <v>1068</v>
      </c>
      <c r="H315" s="95" t="s">
        <v>1093</v>
      </c>
      <c r="I315" s="95" t="s">
        <v>451</v>
      </c>
      <c r="J315" s="95" t="s">
        <v>1165</v>
      </c>
      <c r="K315" s="99" t="s">
        <v>1167</v>
      </c>
      <c r="L315" s="103"/>
      <c r="M315" s="99"/>
      <c r="N315" s="99"/>
      <c r="O315" s="123" t="s">
        <v>4615</v>
      </c>
      <c r="P315" s="103"/>
      <c r="Q315" s="103"/>
      <c r="R315" s="99"/>
      <c r="S315" s="123" t="s">
        <v>5801</v>
      </c>
      <c r="T315" s="103" t="s">
        <v>5686</v>
      </c>
      <c r="U315" s="99" t="s">
        <v>5802</v>
      </c>
      <c r="V315" s="95">
        <v>10.940716</v>
      </c>
      <c r="W315" s="95">
        <v>-3.1315471000000001</v>
      </c>
      <c r="X315" s="104" t="s">
        <v>5803</v>
      </c>
      <c r="Y315" s="103"/>
      <c r="Z315" s="103"/>
      <c r="AA315" s="103"/>
      <c r="AB315" s="103">
        <v>35</v>
      </c>
      <c r="AC315" s="103"/>
      <c r="AD315" s="103">
        <v>35</v>
      </c>
      <c r="AE315" s="103"/>
      <c r="AF315" s="103"/>
      <c r="AG315" s="99"/>
      <c r="AH315" s="103"/>
      <c r="AI315" s="103"/>
      <c r="AJ315" s="103"/>
      <c r="AK315" s="103"/>
      <c r="AL315" s="103"/>
      <c r="AM315" s="103"/>
      <c r="AN315" s="99"/>
      <c r="AO315" s="103"/>
      <c r="AP315" s="103"/>
      <c r="AQ315" s="103"/>
      <c r="AR315" s="103"/>
      <c r="AS315" s="99"/>
      <c r="AT315" s="103"/>
      <c r="AU315" s="103"/>
      <c r="AV315" s="99"/>
      <c r="AW315" s="99"/>
      <c r="AX315" s="99" t="s">
        <v>5804</v>
      </c>
      <c r="AY315" s="99"/>
      <c r="AZ315" s="99"/>
      <c r="BA315" s="103"/>
      <c r="BB315" s="99"/>
      <c r="BC315" s="99">
        <v>19866</v>
      </c>
      <c r="BD315" s="99"/>
      <c r="BE315" s="99"/>
      <c r="BF315" s="103"/>
      <c r="BG315" s="103"/>
      <c r="BH315" s="103"/>
      <c r="BI315" s="103"/>
      <c r="BJ315" s="103"/>
      <c r="BK315" s="103"/>
      <c r="BL315" s="103"/>
      <c r="BM315" s="103"/>
      <c r="BN315" s="103"/>
      <c r="BO315" s="103"/>
      <c r="BP315" s="103"/>
      <c r="BQ315" s="107"/>
      <c r="BR315" s="99"/>
      <c r="BS315" s="99"/>
      <c r="BT315" s="103"/>
      <c r="BU315" s="99"/>
      <c r="BV315" s="103"/>
      <c r="BW315" s="103"/>
      <c r="BX315" s="103"/>
      <c r="BY315" s="103"/>
      <c r="BZ315" s="103"/>
      <c r="CA315" s="103"/>
      <c r="CB315" s="103"/>
      <c r="CC315" s="103"/>
      <c r="CD315" s="103"/>
      <c r="CE315" s="103"/>
      <c r="CF315" s="103"/>
      <c r="CG315" s="103"/>
      <c r="CH315" s="103"/>
      <c r="CI315" s="103"/>
      <c r="CJ315" s="103"/>
      <c r="CK315" s="103"/>
      <c r="CL315" s="99"/>
      <c r="CM315" s="95">
        <v>10.940716</v>
      </c>
      <c r="CN315" s="95">
        <v>-3.1315471000000001</v>
      </c>
      <c r="CO315" s="99"/>
      <c r="CP315" s="99"/>
      <c r="CQ315" s="99"/>
      <c r="CR315" s="99"/>
      <c r="CS315" s="99"/>
      <c r="CT315" s="99"/>
      <c r="CU315" s="99"/>
      <c r="CV315" s="99"/>
      <c r="CW315" s="99"/>
      <c r="CX315" s="99"/>
      <c r="CY315" s="99"/>
      <c r="CZ315" s="99"/>
      <c r="DA315" s="99"/>
      <c r="DB315" s="99"/>
      <c r="DC315" s="99"/>
    </row>
    <row r="316" spans="1:107" ht="15.75" customHeight="1">
      <c r="A316" s="95">
        <v>323</v>
      </c>
      <c r="B316" s="123" t="s">
        <v>1005</v>
      </c>
      <c r="C316" s="123" t="s">
        <v>1010</v>
      </c>
      <c r="D316" s="123" t="s">
        <v>1011</v>
      </c>
      <c r="E316" s="123" t="s">
        <v>5811</v>
      </c>
      <c r="F316" s="95" t="s">
        <v>5812</v>
      </c>
      <c r="G316" s="95" t="s">
        <v>1068</v>
      </c>
      <c r="H316" s="95" t="s">
        <v>1093</v>
      </c>
      <c r="I316" s="95" t="s">
        <v>451</v>
      </c>
      <c r="J316" s="95" t="s">
        <v>1165</v>
      </c>
      <c r="K316" s="99" t="s">
        <v>1168</v>
      </c>
      <c r="L316" s="103"/>
      <c r="M316" s="99"/>
      <c r="N316" s="99"/>
      <c r="O316" s="123" t="s">
        <v>5813</v>
      </c>
      <c r="P316" s="103"/>
      <c r="Q316" s="103"/>
      <c r="R316" s="99"/>
      <c r="S316" s="123" t="s">
        <v>5801</v>
      </c>
      <c r="T316" s="103" t="s">
        <v>5686</v>
      </c>
      <c r="U316" s="99" t="s">
        <v>5802</v>
      </c>
      <c r="V316" s="95">
        <v>10.940716</v>
      </c>
      <c r="W316" s="95">
        <v>-3.1315471000000001</v>
      </c>
      <c r="X316" s="104" t="s">
        <v>5803</v>
      </c>
      <c r="Y316" s="103"/>
      <c r="Z316" s="103"/>
      <c r="AA316" s="103"/>
      <c r="AB316" s="103">
        <v>13</v>
      </c>
      <c r="AC316" s="103"/>
      <c r="AD316" s="103">
        <v>13</v>
      </c>
      <c r="AE316" s="103"/>
      <c r="AF316" s="103"/>
      <c r="AG316" s="99"/>
      <c r="AH316" s="103"/>
      <c r="AI316" s="103"/>
      <c r="AJ316" s="103"/>
      <c r="AK316" s="103"/>
      <c r="AL316" s="103"/>
      <c r="AM316" s="103"/>
      <c r="AN316" s="99"/>
      <c r="AO316" s="103"/>
      <c r="AP316" s="103"/>
      <c r="AQ316" s="103"/>
      <c r="AR316" s="103"/>
      <c r="AS316" s="99"/>
      <c r="AT316" s="103"/>
      <c r="AU316" s="103"/>
      <c r="AV316" s="99"/>
      <c r="AW316" s="99"/>
      <c r="AX316" s="99" t="s">
        <v>5804</v>
      </c>
      <c r="AY316" s="99"/>
      <c r="AZ316" s="99"/>
      <c r="BA316" s="103"/>
      <c r="BB316" s="99"/>
      <c r="BC316" s="99">
        <v>7379</v>
      </c>
      <c r="BD316" s="99"/>
      <c r="BE316" s="99"/>
      <c r="BF316" s="103"/>
      <c r="BG316" s="103"/>
      <c r="BH316" s="103"/>
      <c r="BI316" s="103"/>
      <c r="BJ316" s="103"/>
      <c r="BK316" s="103"/>
      <c r="BL316" s="103"/>
      <c r="BM316" s="103"/>
      <c r="BN316" s="103"/>
      <c r="BO316" s="103"/>
      <c r="BP316" s="103"/>
      <c r="BQ316" s="107"/>
      <c r="BR316" s="99"/>
      <c r="BS316" s="99"/>
      <c r="BT316" s="103"/>
      <c r="BU316" s="99"/>
      <c r="BV316" s="103"/>
      <c r="BW316" s="103"/>
      <c r="BX316" s="103"/>
      <c r="BY316" s="103"/>
      <c r="BZ316" s="103"/>
      <c r="CA316" s="103"/>
      <c r="CB316" s="103"/>
      <c r="CC316" s="103"/>
      <c r="CD316" s="103"/>
      <c r="CE316" s="103"/>
      <c r="CF316" s="103"/>
      <c r="CG316" s="103"/>
      <c r="CH316" s="103"/>
      <c r="CI316" s="103"/>
      <c r="CJ316" s="103"/>
      <c r="CK316" s="103"/>
      <c r="CL316" s="99"/>
      <c r="CM316" s="95">
        <v>10.940716</v>
      </c>
      <c r="CN316" s="95">
        <v>-3.1315471000000001</v>
      </c>
      <c r="CO316" s="99"/>
      <c r="CP316" s="99"/>
      <c r="CQ316" s="99"/>
      <c r="CR316" s="99"/>
      <c r="CS316" s="99"/>
      <c r="CT316" s="99"/>
      <c r="CU316" s="99"/>
      <c r="CV316" s="99"/>
      <c r="CW316" s="99"/>
      <c r="CX316" s="99"/>
      <c r="CY316" s="99"/>
      <c r="CZ316" s="99"/>
      <c r="DA316" s="99"/>
      <c r="DB316" s="99"/>
      <c r="DC316" s="99"/>
    </row>
    <row r="317" spans="1:107" ht="15.75" customHeight="1">
      <c r="A317" s="95">
        <v>324</v>
      </c>
      <c r="B317" s="123" t="s">
        <v>656</v>
      </c>
      <c r="C317" s="123" t="s">
        <v>1012</v>
      </c>
      <c r="D317" s="123" t="s">
        <v>1013</v>
      </c>
      <c r="E317" s="123" t="s">
        <v>5814</v>
      </c>
      <c r="F317" s="95" t="s">
        <v>5815</v>
      </c>
      <c r="G317" s="95" t="s">
        <v>1068</v>
      </c>
      <c r="H317" s="95" t="s">
        <v>1093</v>
      </c>
      <c r="I317" s="95" t="s">
        <v>451</v>
      </c>
      <c r="J317" s="95" t="s">
        <v>1165</v>
      </c>
      <c r="K317" s="99" t="s">
        <v>1169</v>
      </c>
      <c r="L317" s="103"/>
      <c r="M317" s="99"/>
      <c r="N317" s="99"/>
      <c r="O317" s="123" t="s">
        <v>4615</v>
      </c>
      <c r="P317" s="103"/>
      <c r="Q317" s="103"/>
      <c r="R317" s="99"/>
      <c r="S317" s="123" t="s">
        <v>5801</v>
      </c>
      <c r="T317" s="103" t="s">
        <v>5686</v>
      </c>
      <c r="U317" s="99" t="s">
        <v>5802</v>
      </c>
      <c r="V317" s="95">
        <v>10.940716</v>
      </c>
      <c r="W317" s="95">
        <v>-3.1315471000000001</v>
      </c>
      <c r="X317" s="104" t="s">
        <v>5803</v>
      </c>
      <c r="Y317" s="103"/>
      <c r="Z317" s="103"/>
      <c r="AA317" s="103"/>
      <c r="AB317" s="103">
        <v>11</v>
      </c>
      <c r="AC317" s="103"/>
      <c r="AD317" s="103">
        <v>11</v>
      </c>
      <c r="AE317" s="103"/>
      <c r="AF317" s="103"/>
      <c r="AG317" s="99"/>
      <c r="AH317" s="103"/>
      <c r="AI317" s="103"/>
      <c r="AJ317" s="103"/>
      <c r="AK317" s="103"/>
      <c r="AL317" s="103"/>
      <c r="AM317" s="103"/>
      <c r="AN317" s="99"/>
      <c r="AO317" s="103"/>
      <c r="AP317" s="103"/>
      <c r="AQ317" s="103"/>
      <c r="AR317" s="103"/>
      <c r="AS317" s="99"/>
      <c r="AT317" s="103"/>
      <c r="AU317" s="103"/>
      <c r="AV317" s="99"/>
      <c r="AW317" s="99"/>
      <c r="AX317" s="99" t="s">
        <v>5804</v>
      </c>
      <c r="AY317" s="99"/>
      <c r="AZ317" s="99"/>
      <c r="BA317" s="103"/>
      <c r="BB317" s="99"/>
      <c r="BC317" s="99">
        <v>6244</v>
      </c>
      <c r="BD317" s="99"/>
      <c r="BE317" s="99"/>
      <c r="BF317" s="103"/>
      <c r="BG317" s="103"/>
      <c r="BH317" s="103"/>
      <c r="BI317" s="103"/>
      <c r="BJ317" s="103"/>
      <c r="BK317" s="103"/>
      <c r="BL317" s="103"/>
      <c r="BM317" s="103"/>
      <c r="BN317" s="103"/>
      <c r="BO317" s="103"/>
      <c r="BP317" s="103"/>
      <c r="BQ317" s="107"/>
      <c r="BR317" s="99"/>
      <c r="BS317" s="99"/>
      <c r="BT317" s="103"/>
      <c r="BU317" s="99"/>
      <c r="BV317" s="103"/>
      <c r="BW317" s="103"/>
      <c r="BX317" s="103"/>
      <c r="BY317" s="103"/>
      <c r="BZ317" s="103"/>
      <c r="CA317" s="103"/>
      <c r="CB317" s="103"/>
      <c r="CC317" s="103"/>
      <c r="CD317" s="103"/>
      <c r="CE317" s="103"/>
      <c r="CF317" s="103"/>
      <c r="CG317" s="103"/>
      <c r="CH317" s="103"/>
      <c r="CI317" s="103"/>
      <c r="CJ317" s="103"/>
      <c r="CK317" s="103"/>
      <c r="CL317" s="99"/>
      <c r="CM317" s="95">
        <v>10.940716</v>
      </c>
      <c r="CN317" s="95">
        <v>-3.1315471000000001</v>
      </c>
      <c r="CO317" s="99"/>
      <c r="CP317" s="99"/>
      <c r="CQ317" s="99"/>
      <c r="CR317" s="99"/>
      <c r="CS317" s="99"/>
      <c r="CT317" s="99"/>
      <c r="CU317" s="99"/>
      <c r="CV317" s="99"/>
      <c r="CW317" s="99"/>
      <c r="CX317" s="99"/>
      <c r="CY317" s="99"/>
      <c r="CZ317" s="99"/>
      <c r="DA317" s="99"/>
      <c r="DB317" s="99"/>
      <c r="DC317" s="99"/>
    </row>
    <row r="318" spans="1:107" ht="15.75" customHeight="1">
      <c r="A318" s="95">
        <v>326</v>
      </c>
      <c r="B318" s="123" t="s">
        <v>800</v>
      </c>
      <c r="C318" s="123" t="s">
        <v>1014</v>
      </c>
      <c r="D318" s="123" t="s">
        <v>1015</v>
      </c>
      <c r="E318" s="123" t="s">
        <v>458</v>
      </c>
      <c r="F318" s="95" t="s">
        <v>5782</v>
      </c>
      <c r="G318" s="95" t="s">
        <v>1068</v>
      </c>
      <c r="H318" s="95" t="s">
        <v>1069</v>
      </c>
      <c r="I318" s="95" t="s">
        <v>441</v>
      </c>
      <c r="J318" s="95" t="s">
        <v>441</v>
      </c>
      <c r="K318" s="99"/>
      <c r="L318" s="103"/>
      <c r="M318" s="99"/>
      <c r="N318" s="99"/>
      <c r="O318" s="123" t="s">
        <v>4615</v>
      </c>
      <c r="P318" s="103"/>
      <c r="Q318" s="103"/>
      <c r="R318" s="99"/>
      <c r="S318" s="123" t="s">
        <v>5801</v>
      </c>
      <c r="T318" s="103" t="s">
        <v>5686</v>
      </c>
      <c r="U318" s="99" t="s">
        <v>5783</v>
      </c>
      <c r="V318" s="95">
        <v>10.9578957</v>
      </c>
      <c r="W318" s="95">
        <v>-3.2432780999999999</v>
      </c>
      <c r="X318" s="104" t="s">
        <v>5005</v>
      </c>
      <c r="Y318" s="103"/>
      <c r="Z318" s="103"/>
      <c r="AA318" s="103"/>
      <c r="AB318" s="103">
        <v>24</v>
      </c>
      <c r="AC318" s="103"/>
      <c r="AD318" s="103">
        <v>24</v>
      </c>
      <c r="AE318" s="103"/>
      <c r="AF318" s="103"/>
      <c r="AG318" s="99"/>
      <c r="AH318" s="103"/>
      <c r="AI318" s="103"/>
      <c r="AJ318" s="103"/>
      <c r="AK318" s="103"/>
      <c r="AL318" s="103"/>
      <c r="AM318" s="103"/>
      <c r="AN318" s="99"/>
      <c r="AO318" s="103"/>
      <c r="AP318" s="103"/>
      <c r="AQ318" s="103"/>
      <c r="AR318" s="103"/>
      <c r="AS318" s="99"/>
      <c r="AT318" s="103"/>
      <c r="AU318" s="103"/>
      <c r="AV318" s="99"/>
      <c r="AW318" s="99"/>
      <c r="AX318" s="99" t="s">
        <v>5804</v>
      </c>
      <c r="AY318" s="99"/>
      <c r="AZ318" s="99"/>
      <c r="BA318" s="103"/>
      <c r="BB318" s="99"/>
      <c r="BC318" s="99">
        <v>13622</v>
      </c>
      <c r="BD318" s="99"/>
      <c r="BE318" s="99"/>
      <c r="BF318" s="103"/>
      <c r="BG318" s="103"/>
      <c r="BH318" s="103"/>
      <c r="BI318" s="103"/>
      <c r="BJ318" s="103"/>
      <c r="BK318" s="103"/>
      <c r="BL318" s="103"/>
      <c r="BM318" s="103"/>
      <c r="BN318" s="103"/>
      <c r="BO318" s="103"/>
      <c r="BP318" s="103"/>
      <c r="BQ318" s="107"/>
      <c r="BR318" s="99"/>
      <c r="BS318" s="99"/>
      <c r="BT318" s="103"/>
      <c r="BU318" s="99"/>
      <c r="BV318" s="103"/>
      <c r="BW318" s="103"/>
      <c r="BX318" s="103"/>
      <c r="BY318" s="103"/>
      <c r="BZ318" s="103"/>
      <c r="CA318" s="103"/>
      <c r="CB318" s="103"/>
      <c r="CC318" s="103"/>
      <c r="CD318" s="103"/>
      <c r="CE318" s="103"/>
      <c r="CF318" s="103"/>
      <c r="CG318" s="103"/>
      <c r="CH318" s="103"/>
      <c r="CI318" s="103"/>
      <c r="CJ318" s="103"/>
      <c r="CK318" s="103"/>
      <c r="CL318" s="99"/>
      <c r="CM318" s="95">
        <v>10.9578957</v>
      </c>
      <c r="CN318" s="95">
        <v>-3.2432780999999999</v>
      </c>
      <c r="CO318" s="99"/>
      <c r="CP318" s="99"/>
      <c r="CQ318" s="99"/>
      <c r="CR318" s="99"/>
      <c r="CS318" s="99"/>
      <c r="CT318" s="99"/>
      <c r="CU318" s="99"/>
      <c r="CV318" s="99"/>
      <c r="CW318" s="99"/>
      <c r="CX318" s="99"/>
      <c r="CY318" s="99"/>
      <c r="CZ318" s="99"/>
      <c r="DA318" s="99"/>
      <c r="DB318" s="99"/>
      <c r="DC318" s="99"/>
    </row>
    <row r="319" spans="1:107" ht="15.75" customHeight="1">
      <c r="A319" s="95">
        <v>327</v>
      </c>
      <c r="B319" s="123" t="s">
        <v>1005</v>
      </c>
      <c r="C319" s="123" t="s">
        <v>1016</v>
      </c>
      <c r="D319" s="123" t="s">
        <v>1017</v>
      </c>
      <c r="E319" s="123" t="s">
        <v>5816</v>
      </c>
      <c r="F319" s="95" t="s">
        <v>5817</v>
      </c>
      <c r="G319" s="95" t="s">
        <v>1068</v>
      </c>
      <c r="H319" s="95" t="s">
        <v>1093</v>
      </c>
      <c r="I319" s="95" t="s">
        <v>451</v>
      </c>
      <c r="J319" s="95" t="s">
        <v>1165</v>
      </c>
      <c r="K319" s="99" t="s">
        <v>1170</v>
      </c>
      <c r="L319" s="103"/>
      <c r="M319" s="99"/>
      <c r="N319" s="99"/>
      <c r="O319" s="123" t="s">
        <v>4615</v>
      </c>
      <c r="P319" s="103"/>
      <c r="Q319" s="103"/>
      <c r="R319" s="99"/>
      <c r="S319" s="123" t="s">
        <v>5801</v>
      </c>
      <c r="T319" s="103" t="s">
        <v>5686</v>
      </c>
      <c r="U319" s="99" t="s">
        <v>5802</v>
      </c>
      <c r="V319" s="95">
        <v>10.940716</v>
      </c>
      <c r="W319" s="95">
        <v>-3.1315471000000001</v>
      </c>
      <c r="X319" s="104" t="s">
        <v>5803</v>
      </c>
      <c r="Y319" s="103"/>
      <c r="Z319" s="103"/>
      <c r="AA319" s="103"/>
      <c r="AB319" s="103">
        <v>15</v>
      </c>
      <c r="AC319" s="103"/>
      <c r="AD319" s="103">
        <v>15</v>
      </c>
      <c r="AE319" s="103"/>
      <c r="AF319" s="103"/>
      <c r="AG319" s="99"/>
      <c r="AH319" s="103"/>
      <c r="AI319" s="103"/>
      <c r="AJ319" s="103"/>
      <c r="AK319" s="103"/>
      <c r="AL319" s="103"/>
      <c r="AM319" s="103"/>
      <c r="AN319" s="99"/>
      <c r="AO319" s="103"/>
      <c r="AP319" s="103"/>
      <c r="AQ319" s="103"/>
      <c r="AR319" s="103"/>
      <c r="AS319" s="99"/>
      <c r="AT319" s="103"/>
      <c r="AU319" s="103"/>
      <c r="AV319" s="99"/>
      <c r="AW319" s="99"/>
      <c r="AX319" s="99" t="s">
        <v>5804</v>
      </c>
      <c r="AY319" s="99"/>
      <c r="AZ319" s="99"/>
      <c r="BA319" s="103"/>
      <c r="BB319" s="99"/>
      <c r="BC319" s="99">
        <v>8514</v>
      </c>
      <c r="BD319" s="99"/>
      <c r="BE319" s="99"/>
      <c r="BF319" s="103"/>
      <c r="BG319" s="103"/>
      <c r="BH319" s="103"/>
      <c r="BI319" s="103"/>
      <c r="BJ319" s="103"/>
      <c r="BK319" s="103"/>
      <c r="BL319" s="103"/>
      <c r="BM319" s="103"/>
      <c r="BN319" s="103"/>
      <c r="BO319" s="103"/>
      <c r="BP319" s="103"/>
      <c r="BQ319" s="107"/>
      <c r="BR319" s="99"/>
      <c r="BS319" s="99"/>
      <c r="BT319" s="103"/>
      <c r="BU319" s="99"/>
      <c r="BV319" s="103"/>
      <c r="BW319" s="103"/>
      <c r="BX319" s="103"/>
      <c r="BY319" s="103"/>
      <c r="BZ319" s="103"/>
      <c r="CA319" s="103"/>
      <c r="CB319" s="103"/>
      <c r="CC319" s="103"/>
      <c r="CD319" s="103"/>
      <c r="CE319" s="103"/>
      <c r="CF319" s="103"/>
      <c r="CG319" s="103"/>
      <c r="CH319" s="103"/>
      <c r="CI319" s="103"/>
      <c r="CJ319" s="103"/>
      <c r="CK319" s="103"/>
      <c r="CL319" s="99"/>
      <c r="CM319" s="95">
        <v>10.940716</v>
      </c>
      <c r="CN319" s="95">
        <v>-3.1315471000000001</v>
      </c>
      <c r="CO319" s="99"/>
      <c r="CP319" s="99"/>
      <c r="CQ319" s="99"/>
      <c r="CR319" s="99"/>
      <c r="CS319" s="99"/>
      <c r="CT319" s="99"/>
      <c r="CU319" s="99"/>
      <c r="CV319" s="99"/>
      <c r="CW319" s="99"/>
      <c r="CX319" s="99"/>
      <c r="CY319" s="99"/>
      <c r="CZ319" s="99"/>
      <c r="DA319" s="99"/>
      <c r="DB319" s="99"/>
      <c r="DC319" s="99"/>
    </row>
    <row r="320" spans="1:107" ht="15.75" customHeight="1">
      <c r="A320" s="95">
        <v>328</v>
      </c>
      <c r="B320" s="99" t="s">
        <v>710</v>
      </c>
      <c r="C320" s="99" t="s">
        <v>1018</v>
      </c>
      <c r="D320" s="99">
        <v>70232777</v>
      </c>
      <c r="E320" s="99" t="s">
        <v>7080</v>
      </c>
      <c r="F320" s="95" t="s">
        <v>5764</v>
      </c>
      <c r="G320" s="95" t="s">
        <v>1062</v>
      </c>
      <c r="H320" s="95" t="s">
        <v>1064</v>
      </c>
      <c r="I320" s="95" t="s">
        <v>96</v>
      </c>
      <c r="J320" s="95" t="s">
        <v>1158</v>
      </c>
      <c r="K320" s="99"/>
      <c r="L320" s="103"/>
      <c r="M320" s="99"/>
      <c r="N320" s="99"/>
      <c r="O320" s="99"/>
      <c r="P320" s="103"/>
      <c r="Q320" s="103"/>
      <c r="R320" s="99"/>
      <c r="S320" s="103" t="s">
        <v>4892</v>
      </c>
      <c r="T320" s="103" t="s">
        <v>5686</v>
      </c>
      <c r="U320" s="99" t="s">
        <v>5765</v>
      </c>
      <c r="V320" s="99">
        <v>12.3714277</v>
      </c>
      <c r="W320" s="99">
        <v>-1.5196603</v>
      </c>
      <c r="X320" s="104" t="s">
        <v>4701</v>
      </c>
      <c r="Y320" s="103"/>
      <c r="Z320" s="103"/>
      <c r="AA320" s="103"/>
      <c r="AB320" s="103"/>
      <c r="AC320" s="103"/>
      <c r="AD320" s="103">
        <v>12</v>
      </c>
      <c r="AE320" s="103"/>
      <c r="AF320" s="103"/>
      <c r="AG320" s="99"/>
      <c r="AH320" s="103"/>
      <c r="AI320" s="103"/>
      <c r="AJ320" s="103"/>
      <c r="AK320" s="103"/>
      <c r="AL320" s="103"/>
      <c r="AM320" s="103"/>
      <c r="AN320" s="99"/>
      <c r="AO320" s="103"/>
      <c r="AP320" s="103"/>
      <c r="AQ320" s="103"/>
      <c r="AR320" s="103"/>
      <c r="AS320" s="99"/>
      <c r="AT320" s="103"/>
      <c r="AU320" s="103"/>
      <c r="AV320" s="99"/>
      <c r="AW320" s="99"/>
      <c r="AX320" s="99"/>
      <c r="AY320" s="99"/>
      <c r="AZ320" s="99"/>
      <c r="BA320" s="103"/>
      <c r="BB320" s="99"/>
      <c r="BC320" s="99">
        <v>250000</v>
      </c>
      <c r="BD320" s="99"/>
      <c r="BE320" s="99"/>
      <c r="BF320" s="103"/>
      <c r="BG320" s="103"/>
      <c r="BH320" s="103"/>
      <c r="BI320" s="103"/>
      <c r="BJ320" s="103"/>
      <c r="BK320" s="103"/>
      <c r="BL320" s="103"/>
      <c r="BM320" s="103"/>
      <c r="BN320" s="103"/>
      <c r="BO320" s="103"/>
      <c r="BP320" s="103"/>
      <c r="BQ320" s="99"/>
      <c r="BR320" s="99"/>
      <c r="BS320" s="99"/>
      <c r="BT320" s="103"/>
      <c r="BU320" s="99"/>
      <c r="BV320" s="103"/>
      <c r="BW320" s="103"/>
      <c r="BX320" s="103"/>
      <c r="BY320" s="103"/>
      <c r="BZ320" s="103"/>
      <c r="CA320" s="103"/>
      <c r="CB320" s="103"/>
      <c r="CC320" s="103"/>
      <c r="CD320" s="103"/>
      <c r="CE320" s="103"/>
      <c r="CF320" s="103"/>
      <c r="CG320" s="103"/>
      <c r="CH320" s="103"/>
      <c r="CI320" s="103"/>
      <c r="CJ320" s="103"/>
      <c r="CK320" s="103"/>
      <c r="CL320" s="99"/>
      <c r="CM320" s="95">
        <v>12.3714277</v>
      </c>
      <c r="CN320" s="95">
        <v>-1.5196603</v>
      </c>
      <c r="CO320" s="99"/>
      <c r="CP320" s="99"/>
      <c r="CQ320" s="99"/>
      <c r="CR320" s="99"/>
      <c r="CS320" s="99"/>
      <c r="CT320" s="99"/>
      <c r="CU320" s="99"/>
      <c r="CV320" s="99"/>
      <c r="CW320" s="99"/>
      <c r="CX320" s="99"/>
      <c r="CY320" s="99"/>
      <c r="CZ320" s="99"/>
      <c r="DA320" s="99"/>
      <c r="DB320" s="99"/>
      <c r="DC320" s="99"/>
    </row>
    <row r="321" spans="1:107" ht="15.75" customHeight="1">
      <c r="A321" s="95">
        <v>329</v>
      </c>
      <c r="B321" s="99" t="s">
        <v>856</v>
      </c>
      <c r="C321" s="99" t="s">
        <v>1019</v>
      </c>
      <c r="D321" s="99">
        <v>65553487</v>
      </c>
      <c r="E321" s="99" t="s">
        <v>460</v>
      </c>
      <c r="F321" s="95" t="s">
        <v>5818</v>
      </c>
      <c r="G321" s="95" t="s">
        <v>1049</v>
      </c>
      <c r="H321" s="95" t="s">
        <v>1066</v>
      </c>
      <c r="I321" s="95" t="s">
        <v>413</v>
      </c>
      <c r="J321" s="95" t="s">
        <v>1171</v>
      </c>
      <c r="K321" s="99"/>
      <c r="L321" s="103" t="s">
        <v>4449</v>
      </c>
      <c r="M321" s="99"/>
      <c r="N321" s="99"/>
      <c r="O321" s="99"/>
      <c r="P321" s="103"/>
      <c r="Q321" s="103"/>
      <c r="R321" s="99"/>
      <c r="S321" s="103" t="s">
        <v>1541</v>
      </c>
      <c r="T321" s="103" t="s">
        <v>5686</v>
      </c>
      <c r="U321" s="99" t="s">
        <v>5819</v>
      </c>
      <c r="V321" s="95">
        <v>12.1941174</v>
      </c>
      <c r="W321" s="95">
        <v>-1.8733017000000001</v>
      </c>
      <c r="X321" s="104" t="s">
        <v>5727</v>
      </c>
      <c r="Y321" s="103"/>
      <c r="Z321" s="103"/>
      <c r="AA321" s="103"/>
      <c r="AB321" s="103"/>
      <c r="AC321" s="103"/>
      <c r="AD321" s="103"/>
      <c r="AE321" s="103"/>
      <c r="AF321" s="103"/>
      <c r="AG321" s="99"/>
      <c r="AH321" s="103"/>
      <c r="AI321" s="103"/>
      <c r="AJ321" s="103"/>
      <c r="AK321" s="103"/>
      <c r="AL321" s="103"/>
      <c r="AM321" s="103"/>
      <c r="AN321" s="99"/>
      <c r="AO321" s="103"/>
      <c r="AP321" s="103"/>
      <c r="AQ321" s="103"/>
      <c r="AR321" s="103"/>
      <c r="AS321" s="99"/>
      <c r="AT321" s="103"/>
      <c r="AU321" s="103"/>
      <c r="AV321" s="99"/>
      <c r="AW321" s="99"/>
      <c r="AX321" s="99"/>
      <c r="AY321" s="99"/>
      <c r="AZ321" s="99"/>
      <c r="BA321" s="103"/>
      <c r="BB321" s="99"/>
      <c r="BC321" s="99">
        <v>100000</v>
      </c>
      <c r="BD321" s="99"/>
      <c r="BE321" s="99"/>
      <c r="BF321" s="103"/>
      <c r="BG321" s="103"/>
      <c r="BH321" s="103"/>
      <c r="BI321" s="103"/>
      <c r="BJ321" s="103"/>
      <c r="BK321" s="103"/>
      <c r="BL321" s="103"/>
      <c r="BM321" s="103"/>
      <c r="BN321" s="103"/>
      <c r="BO321" s="103"/>
      <c r="BP321" s="103"/>
      <c r="BQ321" s="107"/>
      <c r="BR321" s="99"/>
      <c r="BS321" s="99"/>
      <c r="BT321" s="103"/>
      <c r="BU321" s="99"/>
      <c r="BV321" s="103"/>
      <c r="BW321" s="103"/>
      <c r="BX321" s="103"/>
      <c r="BY321" s="103"/>
      <c r="BZ321" s="103"/>
      <c r="CA321" s="103"/>
      <c r="CB321" s="103"/>
      <c r="CC321" s="103"/>
      <c r="CD321" s="103"/>
      <c r="CE321" s="103"/>
      <c r="CF321" s="103"/>
      <c r="CG321" s="103"/>
      <c r="CH321" s="103"/>
      <c r="CI321" s="103"/>
      <c r="CJ321" s="103"/>
      <c r="CK321" s="103"/>
      <c r="CL321" s="99"/>
      <c r="CM321" s="95">
        <v>12.1941174</v>
      </c>
      <c r="CN321" s="95">
        <v>-1.8733017000000001</v>
      </c>
      <c r="CO321" s="99"/>
      <c r="CP321" s="99"/>
      <c r="CQ321" s="99"/>
      <c r="CR321" s="99"/>
      <c r="CS321" s="99"/>
      <c r="CT321" s="99"/>
      <c r="CU321" s="99"/>
      <c r="CV321" s="99"/>
      <c r="CW321" s="99"/>
      <c r="CX321" s="99"/>
      <c r="CY321" s="99"/>
      <c r="CZ321" s="99"/>
      <c r="DA321" s="99"/>
      <c r="DB321" s="99"/>
      <c r="DC321" s="99"/>
    </row>
    <row r="322" spans="1:107" ht="15.75" customHeight="1">
      <c r="A322" s="95">
        <v>330</v>
      </c>
      <c r="B322" s="123" t="s">
        <v>1005</v>
      </c>
      <c r="C322" s="123" t="s">
        <v>1020</v>
      </c>
      <c r="D322" s="123" t="s">
        <v>1021</v>
      </c>
      <c r="E322" s="123" t="s">
        <v>5820</v>
      </c>
      <c r="F322" s="95" t="s">
        <v>5821</v>
      </c>
      <c r="G322" s="95" t="s">
        <v>1068</v>
      </c>
      <c r="H322" s="95" t="s">
        <v>1093</v>
      </c>
      <c r="I322" s="95" t="s">
        <v>451</v>
      </c>
      <c r="J322" s="95" t="s">
        <v>1165</v>
      </c>
      <c r="K322" s="99" t="s">
        <v>1172</v>
      </c>
      <c r="L322" s="103"/>
      <c r="M322" s="99"/>
      <c r="N322" s="99"/>
      <c r="O322" s="123" t="s">
        <v>4615</v>
      </c>
      <c r="P322" s="103"/>
      <c r="Q322" s="103"/>
      <c r="R322" s="99"/>
      <c r="S322" s="123" t="s">
        <v>5801</v>
      </c>
      <c r="T322" s="103" t="s">
        <v>5686</v>
      </c>
      <c r="U322" s="99" t="s">
        <v>5802</v>
      </c>
      <c r="V322" s="95">
        <v>10.940716</v>
      </c>
      <c r="W322" s="95">
        <v>-3.1315471000000001</v>
      </c>
      <c r="X322" s="104" t="s">
        <v>5803</v>
      </c>
      <c r="Y322" s="103"/>
      <c r="Z322" s="103"/>
      <c r="AA322" s="103"/>
      <c r="AB322" s="103">
        <v>22</v>
      </c>
      <c r="AC322" s="103"/>
      <c r="AD322" s="103">
        <v>22</v>
      </c>
      <c r="AE322" s="103"/>
      <c r="AF322" s="103"/>
      <c r="AG322" s="99"/>
      <c r="AH322" s="103"/>
      <c r="AI322" s="103"/>
      <c r="AJ322" s="103"/>
      <c r="AK322" s="103"/>
      <c r="AL322" s="103"/>
      <c r="AM322" s="103"/>
      <c r="AN322" s="99"/>
      <c r="AO322" s="103"/>
      <c r="AP322" s="103"/>
      <c r="AQ322" s="103"/>
      <c r="AR322" s="103"/>
      <c r="AS322" s="99"/>
      <c r="AT322" s="103"/>
      <c r="AU322" s="103"/>
      <c r="AV322" s="99"/>
      <c r="AW322" s="99"/>
      <c r="AX322" s="99" t="s">
        <v>5804</v>
      </c>
      <c r="AY322" s="99"/>
      <c r="AZ322" s="99"/>
      <c r="BA322" s="103"/>
      <c r="BB322" s="99"/>
      <c r="BC322" s="99">
        <v>12487</v>
      </c>
      <c r="BD322" s="99"/>
      <c r="BE322" s="99"/>
      <c r="BF322" s="103"/>
      <c r="BG322" s="103"/>
      <c r="BH322" s="103"/>
      <c r="BI322" s="103"/>
      <c r="BJ322" s="103"/>
      <c r="BK322" s="103"/>
      <c r="BL322" s="103"/>
      <c r="BM322" s="103"/>
      <c r="BN322" s="103"/>
      <c r="BO322" s="103"/>
      <c r="BP322" s="103"/>
      <c r="BQ322" s="107"/>
      <c r="BR322" s="99"/>
      <c r="BS322" s="99"/>
      <c r="BT322" s="103"/>
      <c r="BU322" s="99"/>
      <c r="BV322" s="103"/>
      <c r="BW322" s="103"/>
      <c r="BX322" s="103"/>
      <c r="BY322" s="103"/>
      <c r="BZ322" s="103"/>
      <c r="CA322" s="103"/>
      <c r="CB322" s="103"/>
      <c r="CC322" s="103"/>
      <c r="CD322" s="103"/>
      <c r="CE322" s="103"/>
      <c r="CF322" s="103"/>
      <c r="CG322" s="103"/>
      <c r="CH322" s="103"/>
      <c r="CI322" s="103"/>
      <c r="CJ322" s="103"/>
      <c r="CK322" s="103"/>
      <c r="CL322" s="99"/>
      <c r="CM322" s="95">
        <v>10.940716</v>
      </c>
      <c r="CN322" s="95">
        <v>-3.1315471000000001</v>
      </c>
      <c r="CO322" s="99"/>
      <c r="CP322" s="99"/>
      <c r="CQ322" s="99"/>
      <c r="CR322" s="99"/>
      <c r="CS322" s="99"/>
      <c r="CT322" s="99"/>
      <c r="CU322" s="99"/>
      <c r="CV322" s="99"/>
      <c r="CW322" s="99"/>
      <c r="CX322" s="99"/>
      <c r="CY322" s="99"/>
      <c r="CZ322" s="99"/>
      <c r="DA322" s="99"/>
      <c r="DB322" s="99"/>
      <c r="DC322" s="99"/>
    </row>
    <row r="323" spans="1:107" ht="15.75" customHeight="1">
      <c r="A323" s="95">
        <v>331</v>
      </c>
      <c r="B323" s="123" t="s">
        <v>1022</v>
      </c>
      <c r="C323" s="123" t="s">
        <v>1023</v>
      </c>
      <c r="D323" s="123" t="s">
        <v>1024</v>
      </c>
      <c r="E323" s="123" t="s">
        <v>463</v>
      </c>
      <c r="F323" s="95" t="s">
        <v>5821</v>
      </c>
      <c r="G323" s="95" t="s">
        <v>1068</v>
      </c>
      <c r="H323" s="95" t="s">
        <v>1093</v>
      </c>
      <c r="I323" s="95" t="s">
        <v>451</v>
      </c>
      <c r="J323" s="95" t="s">
        <v>1165</v>
      </c>
      <c r="K323" s="99" t="s">
        <v>1172</v>
      </c>
      <c r="L323" s="103"/>
      <c r="M323" s="99"/>
      <c r="N323" s="99"/>
      <c r="O323" s="123" t="s">
        <v>4615</v>
      </c>
      <c r="P323" s="103"/>
      <c r="Q323" s="103"/>
      <c r="R323" s="99"/>
      <c r="S323" s="123" t="s">
        <v>5801</v>
      </c>
      <c r="T323" s="103" t="s">
        <v>5686</v>
      </c>
      <c r="U323" s="99" t="s">
        <v>5802</v>
      </c>
      <c r="V323" s="95">
        <v>10.940716</v>
      </c>
      <c r="W323" s="95">
        <v>-3.1315471000000001</v>
      </c>
      <c r="X323" s="104" t="s">
        <v>5803</v>
      </c>
      <c r="Y323" s="103"/>
      <c r="Z323" s="103"/>
      <c r="AA323" s="103"/>
      <c r="AB323" s="103">
        <v>21</v>
      </c>
      <c r="AC323" s="103"/>
      <c r="AD323" s="103">
        <v>21</v>
      </c>
      <c r="AE323" s="103"/>
      <c r="AF323" s="103"/>
      <c r="AG323" s="99"/>
      <c r="AH323" s="103"/>
      <c r="AI323" s="103"/>
      <c r="AJ323" s="103"/>
      <c r="AK323" s="103"/>
      <c r="AL323" s="103"/>
      <c r="AM323" s="103"/>
      <c r="AN323" s="99"/>
      <c r="AO323" s="103"/>
      <c r="AP323" s="103"/>
      <c r="AQ323" s="103"/>
      <c r="AR323" s="103"/>
      <c r="AS323" s="99"/>
      <c r="AT323" s="103"/>
      <c r="AU323" s="103"/>
      <c r="AV323" s="99"/>
      <c r="AW323" s="99"/>
      <c r="AX323" s="99" t="s">
        <v>5804</v>
      </c>
      <c r="AY323" s="99"/>
      <c r="AZ323" s="99"/>
      <c r="BA323" s="103"/>
      <c r="BB323" s="99"/>
      <c r="BC323" s="99">
        <v>11919</v>
      </c>
      <c r="BD323" s="99"/>
      <c r="BE323" s="99"/>
      <c r="BF323" s="103"/>
      <c r="BG323" s="103"/>
      <c r="BH323" s="103"/>
      <c r="BI323" s="103"/>
      <c r="BJ323" s="103"/>
      <c r="BK323" s="103"/>
      <c r="BL323" s="103"/>
      <c r="BM323" s="103"/>
      <c r="BN323" s="103"/>
      <c r="BO323" s="103"/>
      <c r="BP323" s="103"/>
      <c r="BQ323" s="107"/>
      <c r="BR323" s="99"/>
      <c r="BS323" s="99"/>
      <c r="BT323" s="103"/>
      <c r="BU323" s="99"/>
      <c r="BV323" s="103"/>
      <c r="BW323" s="103"/>
      <c r="BX323" s="103"/>
      <c r="BY323" s="103"/>
      <c r="BZ323" s="103"/>
      <c r="CA323" s="103"/>
      <c r="CB323" s="103"/>
      <c r="CC323" s="103"/>
      <c r="CD323" s="103"/>
      <c r="CE323" s="103"/>
      <c r="CF323" s="103"/>
      <c r="CG323" s="103"/>
      <c r="CH323" s="103"/>
      <c r="CI323" s="103"/>
      <c r="CJ323" s="103"/>
      <c r="CK323" s="103"/>
      <c r="CL323" s="99"/>
      <c r="CM323" s="95">
        <v>10.940716</v>
      </c>
      <c r="CN323" s="95">
        <v>-3.1315471000000001</v>
      </c>
      <c r="CO323" s="99"/>
      <c r="CP323" s="99"/>
      <c r="CQ323" s="99"/>
      <c r="CR323" s="99"/>
      <c r="CS323" s="99"/>
      <c r="CT323" s="99"/>
      <c r="CU323" s="99"/>
      <c r="CV323" s="99"/>
      <c r="CW323" s="99"/>
      <c r="CX323" s="99"/>
      <c r="CY323" s="99"/>
      <c r="CZ323" s="99"/>
      <c r="DA323" s="99"/>
      <c r="DB323" s="99"/>
      <c r="DC323" s="99"/>
    </row>
    <row r="324" spans="1:107" ht="15.75" customHeight="1">
      <c r="A324" s="95">
        <v>332</v>
      </c>
      <c r="B324" s="99" t="s">
        <v>702</v>
      </c>
      <c r="C324" s="99" t="s">
        <v>703</v>
      </c>
      <c r="D324" s="99">
        <v>61610507</v>
      </c>
      <c r="E324" s="99" t="s">
        <v>464</v>
      </c>
      <c r="F324" s="95" t="s">
        <v>5822</v>
      </c>
      <c r="G324" s="95" t="s">
        <v>1049</v>
      </c>
      <c r="H324" s="95" t="s">
        <v>1066</v>
      </c>
      <c r="I324" s="95" t="s">
        <v>465</v>
      </c>
      <c r="J324" s="95" t="s">
        <v>1173</v>
      </c>
      <c r="K324" s="99"/>
      <c r="L324" s="103"/>
      <c r="M324" s="99"/>
      <c r="N324" s="99"/>
      <c r="O324" s="99"/>
      <c r="P324" s="103"/>
      <c r="Q324" s="103"/>
      <c r="R324" s="99"/>
      <c r="S324" s="103"/>
      <c r="T324" s="103" t="s">
        <v>5686</v>
      </c>
      <c r="U324" s="99" t="s">
        <v>5823</v>
      </c>
      <c r="V324" s="115">
        <v>12.26667</v>
      </c>
      <c r="W324" s="115">
        <v>-2.2000000000000002</v>
      </c>
      <c r="X324" s="104" t="s">
        <v>5824</v>
      </c>
      <c r="Y324" s="103"/>
      <c r="Z324" s="103"/>
      <c r="AA324" s="103"/>
      <c r="AB324" s="103"/>
      <c r="AC324" s="103"/>
      <c r="AD324" s="103"/>
      <c r="AE324" s="103"/>
      <c r="AF324" s="103"/>
      <c r="AG324" s="99"/>
      <c r="AH324" s="103"/>
      <c r="AI324" s="103"/>
      <c r="AJ324" s="103"/>
      <c r="AK324" s="103"/>
      <c r="AL324" s="103"/>
      <c r="AM324" s="103"/>
      <c r="AN324" s="99"/>
      <c r="AO324" s="103"/>
      <c r="AP324" s="103"/>
      <c r="AQ324" s="103"/>
      <c r="AR324" s="103"/>
      <c r="AS324" s="99"/>
      <c r="AT324" s="103"/>
      <c r="AU324" s="103"/>
      <c r="AV324" s="99"/>
      <c r="AW324" s="99"/>
      <c r="AX324" s="99"/>
      <c r="AY324" s="99"/>
      <c r="AZ324" s="99"/>
      <c r="BA324" s="103"/>
      <c r="BB324" s="99"/>
      <c r="BC324" s="99">
        <v>20000</v>
      </c>
      <c r="BD324" s="99"/>
      <c r="BE324" s="99"/>
      <c r="BF324" s="103"/>
      <c r="BG324" s="103"/>
      <c r="BH324" s="103"/>
      <c r="BI324" s="103"/>
      <c r="BJ324" s="103"/>
      <c r="BK324" s="103"/>
      <c r="BL324" s="103"/>
      <c r="BM324" s="103"/>
      <c r="BN324" s="103"/>
      <c r="BO324" s="103"/>
      <c r="BP324" s="103"/>
      <c r="BQ324" s="107"/>
      <c r="BR324" s="99"/>
      <c r="BS324" s="99"/>
      <c r="BT324" s="103"/>
      <c r="BU324" s="99"/>
      <c r="BV324" s="103"/>
      <c r="BW324" s="103"/>
      <c r="BX324" s="103"/>
      <c r="BY324" s="103"/>
      <c r="BZ324" s="103"/>
      <c r="CA324" s="103"/>
      <c r="CB324" s="103"/>
      <c r="CC324" s="103"/>
      <c r="CD324" s="103"/>
      <c r="CE324" s="103"/>
      <c r="CF324" s="103"/>
      <c r="CG324" s="103"/>
      <c r="CH324" s="103"/>
      <c r="CI324" s="103"/>
      <c r="CJ324" s="103"/>
      <c r="CK324" s="103"/>
      <c r="CL324" s="99"/>
      <c r="CM324" s="95">
        <v>12.26667</v>
      </c>
      <c r="CN324" s="95">
        <v>-2.2000000000000002</v>
      </c>
      <c r="CO324" s="99"/>
      <c r="CP324" s="99"/>
      <c r="CQ324" s="99"/>
      <c r="CR324" s="99"/>
      <c r="CS324" s="99"/>
      <c r="CT324" s="99"/>
      <c r="CU324" s="99"/>
      <c r="CV324" s="99"/>
      <c r="CW324" s="99"/>
      <c r="CX324" s="99"/>
      <c r="CY324" s="99"/>
      <c r="CZ324" s="99"/>
      <c r="DA324" s="99"/>
      <c r="DB324" s="99"/>
      <c r="DC324" s="99"/>
    </row>
    <row r="325" spans="1:107" ht="15.75" customHeight="1">
      <c r="A325" s="95">
        <v>333</v>
      </c>
      <c r="B325" s="99" t="s">
        <v>1025</v>
      </c>
      <c r="C325" s="99" t="s">
        <v>712</v>
      </c>
      <c r="D325" s="99">
        <v>70417032</v>
      </c>
      <c r="E325" s="99" t="s">
        <v>517</v>
      </c>
      <c r="F325" s="95" t="s">
        <v>5825</v>
      </c>
      <c r="G325" s="95" t="s">
        <v>1049</v>
      </c>
      <c r="H325" s="95" t="s">
        <v>1066</v>
      </c>
      <c r="I325" s="95" t="s">
        <v>89</v>
      </c>
      <c r="J325" s="95" t="s">
        <v>1096</v>
      </c>
      <c r="K325" s="99"/>
      <c r="L325" s="103"/>
      <c r="M325" s="99"/>
      <c r="N325" s="99"/>
      <c r="O325" s="99"/>
      <c r="P325" s="103"/>
      <c r="Q325" s="103"/>
      <c r="R325" s="99"/>
      <c r="S325" s="103" t="s">
        <v>1541</v>
      </c>
      <c r="T325" s="103" t="s">
        <v>5686</v>
      </c>
      <c r="U325" s="99" t="s">
        <v>4862</v>
      </c>
      <c r="V325" s="95">
        <v>12.178797400000001</v>
      </c>
      <c r="W325" s="95">
        <v>-2.6934165999999999</v>
      </c>
      <c r="X325" s="104" t="s">
        <v>4863</v>
      </c>
      <c r="Y325" s="103"/>
      <c r="Z325" s="103"/>
      <c r="AA325" s="103"/>
      <c r="AB325" s="103"/>
      <c r="AC325" s="103"/>
      <c r="AD325" s="103"/>
      <c r="AE325" s="103"/>
      <c r="AF325" s="103"/>
      <c r="AG325" s="99"/>
      <c r="AH325" s="103"/>
      <c r="AI325" s="103"/>
      <c r="AJ325" s="103"/>
      <c r="AK325" s="103"/>
      <c r="AL325" s="103"/>
      <c r="AM325" s="103"/>
      <c r="AN325" s="99"/>
      <c r="AO325" s="103"/>
      <c r="AP325" s="103"/>
      <c r="AQ325" s="103"/>
      <c r="AR325" s="103"/>
      <c r="AS325" s="99"/>
      <c r="AT325" s="103"/>
      <c r="AU325" s="103"/>
      <c r="AV325" s="99"/>
      <c r="AW325" s="99"/>
      <c r="AX325" s="99"/>
      <c r="AY325" s="99"/>
      <c r="AZ325" s="99"/>
      <c r="BA325" s="103"/>
      <c r="BB325" s="99"/>
      <c r="BC325" s="99">
        <v>5000</v>
      </c>
      <c r="BD325" s="99"/>
      <c r="BE325" s="99"/>
      <c r="BF325" s="103"/>
      <c r="BG325" s="103"/>
      <c r="BH325" s="103"/>
      <c r="BI325" s="103"/>
      <c r="BJ325" s="103"/>
      <c r="BK325" s="103"/>
      <c r="BL325" s="103"/>
      <c r="BM325" s="103"/>
      <c r="BN325" s="103"/>
      <c r="BO325" s="103"/>
      <c r="BP325" s="103"/>
      <c r="BQ325" s="99"/>
      <c r="BR325" s="99"/>
      <c r="BS325" s="99"/>
      <c r="BT325" s="103"/>
      <c r="BU325" s="99"/>
      <c r="BV325" s="103"/>
      <c r="BW325" s="103"/>
      <c r="BX325" s="103"/>
      <c r="BY325" s="103"/>
      <c r="BZ325" s="103"/>
      <c r="CA325" s="103"/>
      <c r="CB325" s="103"/>
      <c r="CC325" s="103"/>
      <c r="CD325" s="103"/>
      <c r="CE325" s="103"/>
      <c r="CF325" s="103"/>
      <c r="CG325" s="103"/>
      <c r="CH325" s="103"/>
      <c r="CI325" s="103"/>
      <c r="CJ325" s="103"/>
      <c r="CK325" s="103"/>
      <c r="CL325" s="99"/>
      <c r="CM325" s="95">
        <v>12.178797400000001</v>
      </c>
      <c r="CN325" s="95">
        <v>-2.6934165999999999</v>
      </c>
      <c r="CO325" s="99"/>
      <c r="CP325" s="99"/>
      <c r="CQ325" s="99"/>
      <c r="CR325" s="99"/>
      <c r="CS325" s="99"/>
      <c r="CT325" s="99"/>
      <c r="CU325" s="99"/>
      <c r="CV325" s="99"/>
      <c r="CW325" s="99"/>
      <c r="CX325" s="99"/>
      <c r="CY325" s="99"/>
      <c r="CZ325" s="99"/>
      <c r="DA325" s="99"/>
      <c r="DB325" s="99"/>
      <c r="DC325" s="99"/>
    </row>
    <row r="326" spans="1:107" ht="15.75" customHeight="1">
      <c r="A326" s="95">
        <v>334</v>
      </c>
      <c r="B326" s="123" t="s">
        <v>656</v>
      </c>
      <c r="C326" s="123" t="s">
        <v>1026</v>
      </c>
      <c r="D326" s="123" t="s">
        <v>1027</v>
      </c>
      <c r="E326" s="123" t="s">
        <v>5826</v>
      </c>
      <c r="F326" s="95" t="s">
        <v>5815</v>
      </c>
      <c r="G326" s="95" t="s">
        <v>1068</v>
      </c>
      <c r="H326" s="95" t="s">
        <v>1093</v>
      </c>
      <c r="I326" s="95" t="s">
        <v>451</v>
      </c>
      <c r="J326" s="95" t="s">
        <v>1165</v>
      </c>
      <c r="K326" s="99" t="s">
        <v>1169</v>
      </c>
      <c r="L326" s="103"/>
      <c r="M326" s="99"/>
      <c r="N326" s="99"/>
      <c r="O326" s="123" t="s">
        <v>4615</v>
      </c>
      <c r="P326" s="103"/>
      <c r="Q326" s="103"/>
      <c r="R326" s="99"/>
      <c r="S326" s="123" t="s">
        <v>5801</v>
      </c>
      <c r="T326" s="103" t="s">
        <v>5686</v>
      </c>
      <c r="U326" s="99" t="s">
        <v>5802</v>
      </c>
      <c r="V326" s="95">
        <v>10.940716</v>
      </c>
      <c r="W326" s="95">
        <v>-3.1315471000000001</v>
      </c>
      <c r="X326" s="104" t="s">
        <v>5803</v>
      </c>
      <c r="Y326" s="99"/>
      <c r="Z326" s="103"/>
      <c r="AA326" s="103"/>
      <c r="AB326" s="103">
        <v>25</v>
      </c>
      <c r="AC326" s="103"/>
      <c r="AD326" s="103">
        <v>25</v>
      </c>
      <c r="AE326" s="103"/>
      <c r="AF326" s="103"/>
      <c r="AG326" s="99"/>
      <c r="AH326" s="103"/>
      <c r="AI326" s="103"/>
      <c r="AJ326" s="103"/>
      <c r="AK326" s="103"/>
      <c r="AL326" s="103"/>
      <c r="AM326" s="103"/>
      <c r="AN326" s="99"/>
      <c r="AO326" s="103"/>
      <c r="AP326" s="103"/>
      <c r="AQ326" s="103"/>
      <c r="AR326" s="103"/>
      <c r="AS326" s="99"/>
      <c r="AT326" s="103"/>
      <c r="AU326" s="103"/>
      <c r="AV326" s="99"/>
      <c r="AW326" s="99"/>
      <c r="AX326" s="99" t="s">
        <v>5804</v>
      </c>
      <c r="AY326" s="99"/>
      <c r="AZ326" s="99"/>
      <c r="BA326" s="103"/>
      <c r="BB326" s="99"/>
      <c r="BC326" s="99">
        <v>14190</v>
      </c>
      <c r="BD326" s="99"/>
      <c r="BE326" s="99"/>
      <c r="BF326" s="103"/>
      <c r="BG326" s="103"/>
      <c r="BH326" s="103"/>
      <c r="BI326" s="103"/>
      <c r="BJ326" s="103"/>
      <c r="BK326" s="103"/>
      <c r="BL326" s="103"/>
      <c r="BM326" s="103"/>
      <c r="BN326" s="103"/>
      <c r="BO326" s="103"/>
      <c r="BP326" s="103"/>
      <c r="BQ326" s="107"/>
      <c r="BR326" s="99"/>
      <c r="BS326" s="99"/>
      <c r="BT326" s="103"/>
      <c r="BU326" s="99"/>
      <c r="BV326" s="103"/>
      <c r="BW326" s="103"/>
      <c r="BX326" s="103"/>
      <c r="BY326" s="103"/>
      <c r="BZ326" s="103"/>
      <c r="CA326" s="103"/>
      <c r="CB326" s="103"/>
      <c r="CC326" s="103"/>
      <c r="CD326" s="103"/>
      <c r="CE326" s="103"/>
      <c r="CF326" s="103"/>
      <c r="CG326" s="103"/>
      <c r="CH326" s="103"/>
      <c r="CI326" s="103"/>
      <c r="CJ326" s="103"/>
      <c r="CK326" s="103"/>
      <c r="CL326" s="99"/>
      <c r="CM326" s="95">
        <v>10.940716</v>
      </c>
      <c r="CN326" s="95">
        <v>-3.1315471000000001</v>
      </c>
      <c r="CO326" s="99"/>
      <c r="CP326" s="99"/>
      <c r="CQ326" s="99"/>
      <c r="CR326" s="99"/>
      <c r="CS326" s="99"/>
      <c r="CT326" s="99"/>
      <c r="CU326" s="99"/>
      <c r="CV326" s="99"/>
      <c r="CW326" s="99"/>
      <c r="CX326" s="99"/>
      <c r="CY326" s="99"/>
      <c r="CZ326" s="99"/>
      <c r="DA326" s="99"/>
      <c r="DB326" s="99"/>
      <c r="DC326" s="99"/>
    </row>
    <row r="327" spans="1:107" ht="15.75" customHeight="1">
      <c r="A327" s="95">
        <v>335</v>
      </c>
      <c r="B327" s="123" t="s">
        <v>656</v>
      </c>
      <c r="C327" s="123" t="s">
        <v>1028</v>
      </c>
      <c r="D327" s="123" t="s">
        <v>1029</v>
      </c>
      <c r="E327" s="123" t="s">
        <v>5827</v>
      </c>
      <c r="F327" s="95" t="s">
        <v>5808</v>
      </c>
      <c r="G327" s="95" t="s">
        <v>1068</v>
      </c>
      <c r="H327" s="95" t="s">
        <v>1093</v>
      </c>
      <c r="I327" s="95" t="s">
        <v>451</v>
      </c>
      <c r="J327" s="95" t="s">
        <v>1165</v>
      </c>
      <c r="K327" s="99" t="s">
        <v>1166</v>
      </c>
      <c r="L327" s="103"/>
      <c r="M327" s="99"/>
      <c r="N327" s="99"/>
      <c r="O327" s="123" t="s">
        <v>4615</v>
      </c>
      <c r="P327" s="103"/>
      <c r="Q327" s="103"/>
      <c r="R327" s="99"/>
      <c r="S327" s="123" t="s">
        <v>5801</v>
      </c>
      <c r="T327" s="103" t="s">
        <v>5686</v>
      </c>
      <c r="U327" s="99" t="s">
        <v>5802</v>
      </c>
      <c r="V327" s="95">
        <v>10.940716</v>
      </c>
      <c r="W327" s="95">
        <v>-3.1315471000000001</v>
      </c>
      <c r="X327" s="104" t="s">
        <v>5803</v>
      </c>
      <c r="Y327" s="103"/>
      <c r="Z327" s="103"/>
      <c r="AA327" s="103"/>
      <c r="AB327" s="103">
        <v>11</v>
      </c>
      <c r="AC327" s="103"/>
      <c r="AD327" s="103">
        <v>11</v>
      </c>
      <c r="AE327" s="103"/>
      <c r="AF327" s="103"/>
      <c r="AG327" s="99"/>
      <c r="AH327" s="103"/>
      <c r="AI327" s="103"/>
      <c r="AJ327" s="103"/>
      <c r="AK327" s="103"/>
      <c r="AL327" s="103"/>
      <c r="AM327" s="103"/>
      <c r="AN327" s="99"/>
      <c r="AO327" s="103"/>
      <c r="AP327" s="103"/>
      <c r="AQ327" s="103"/>
      <c r="AR327" s="103"/>
      <c r="AS327" s="99"/>
      <c r="AT327" s="103"/>
      <c r="AU327" s="103"/>
      <c r="AV327" s="99"/>
      <c r="AW327" s="99"/>
      <c r="AX327" s="99" t="s">
        <v>5804</v>
      </c>
      <c r="AY327" s="99"/>
      <c r="AZ327" s="99"/>
      <c r="BA327" s="103"/>
      <c r="BB327" s="99"/>
      <c r="BC327" s="99">
        <v>6243</v>
      </c>
      <c r="BD327" s="99"/>
      <c r="BE327" s="99"/>
      <c r="BF327" s="103"/>
      <c r="BG327" s="103"/>
      <c r="BH327" s="103"/>
      <c r="BI327" s="103"/>
      <c r="BJ327" s="103"/>
      <c r="BK327" s="103"/>
      <c r="BL327" s="103"/>
      <c r="BM327" s="103"/>
      <c r="BN327" s="103"/>
      <c r="BO327" s="103"/>
      <c r="BP327" s="103"/>
      <c r="BQ327" s="107"/>
      <c r="BR327" s="99"/>
      <c r="BS327" s="99"/>
      <c r="BT327" s="103"/>
      <c r="BU327" s="99"/>
      <c r="BV327" s="103"/>
      <c r="BW327" s="103"/>
      <c r="BX327" s="103"/>
      <c r="BY327" s="103"/>
      <c r="BZ327" s="103"/>
      <c r="CA327" s="103"/>
      <c r="CB327" s="103"/>
      <c r="CC327" s="103"/>
      <c r="CD327" s="103"/>
      <c r="CE327" s="103"/>
      <c r="CF327" s="103"/>
      <c r="CG327" s="103"/>
      <c r="CH327" s="103"/>
      <c r="CI327" s="103"/>
      <c r="CJ327" s="103"/>
      <c r="CK327" s="103"/>
      <c r="CL327" s="99"/>
      <c r="CM327" s="95">
        <v>10.940716</v>
      </c>
      <c r="CN327" s="95">
        <v>-3.1315471000000001</v>
      </c>
      <c r="CO327" s="99"/>
      <c r="CP327" s="99"/>
      <c r="CQ327" s="99"/>
      <c r="CR327" s="99"/>
      <c r="CS327" s="99"/>
      <c r="CT327" s="99"/>
      <c r="CU327" s="99"/>
      <c r="CV327" s="99"/>
      <c r="CW327" s="99"/>
      <c r="CX327" s="99"/>
      <c r="CY327" s="99"/>
      <c r="CZ327" s="99"/>
      <c r="DA327" s="99"/>
      <c r="DB327" s="99"/>
      <c r="DC327" s="99"/>
    </row>
    <row r="328" spans="1:107" ht="15.75" customHeight="1">
      <c r="A328" s="95">
        <v>336</v>
      </c>
      <c r="B328" s="99" t="s">
        <v>1030</v>
      </c>
      <c r="C328" s="99" t="s">
        <v>785</v>
      </c>
      <c r="D328" s="99">
        <v>70683444</v>
      </c>
      <c r="E328" s="99" t="s">
        <v>469</v>
      </c>
      <c r="F328" s="95" t="s">
        <v>5828</v>
      </c>
      <c r="G328" s="95" t="s">
        <v>1076</v>
      </c>
      <c r="H328" s="95" t="s">
        <v>1087</v>
      </c>
      <c r="I328" s="95" t="s">
        <v>470</v>
      </c>
      <c r="J328" s="95"/>
      <c r="K328" s="99"/>
      <c r="L328" s="103" t="s">
        <v>4449</v>
      </c>
      <c r="M328" s="99"/>
      <c r="N328" s="99"/>
      <c r="O328" s="99"/>
      <c r="P328" s="103"/>
      <c r="Q328" s="103"/>
      <c r="R328" s="99"/>
      <c r="S328" s="103" t="s">
        <v>2282</v>
      </c>
      <c r="T328" s="103" t="s">
        <v>5686</v>
      </c>
      <c r="U328" s="99" t="s">
        <v>5829</v>
      </c>
      <c r="V328" s="95">
        <v>12.1624473</v>
      </c>
      <c r="W328" s="95">
        <v>0.67730460000000003</v>
      </c>
      <c r="X328" s="104" t="s">
        <v>5682</v>
      </c>
      <c r="Y328" s="103"/>
      <c r="Z328" s="103"/>
      <c r="AA328" s="103"/>
      <c r="AB328" s="103"/>
      <c r="AC328" s="103"/>
      <c r="AD328" s="103"/>
      <c r="AE328" s="103"/>
      <c r="AF328" s="103"/>
      <c r="AG328" s="99"/>
      <c r="AH328" s="103"/>
      <c r="AI328" s="103"/>
      <c r="AJ328" s="103"/>
      <c r="AK328" s="103"/>
      <c r="AL328" s="103"/>
      <c r="AM328" s="103"/>
      <c r="AN328" s="99"/>
      <c r="AO328" s="103"/>
      <c r="AP328" s="103"/>
      <c r="AQ328" s="103"/>
      <c r="AR328" s="103"/>
      <c r="AS328" s="99"/>
      <c r="AT328" s="103"/>
      <c r="AU328" s="103"/>
      <c r="AV328" s="99"/>
      <c r="AW328" s="99"/>
      <c r="AX328" s="99"/>
      <c r="AY328" s="99"/>
      <c r="AZ328" s="99"/>
      <c r="BA328" s="103"/>
      <c r="BB328" s="99"/>
      <c r="BC328" s="99">
        <v>20000</v>
      </c>
      <c r="BD328" s="99"/>
      <c r="BE328" s="99"/>
      <c r="BF328" s="103"/>
      <c r="BG328" s="103"/>
      <c r="BH328" s="103"/>
      <c r="BI328" s="103"/>
      <c r="BJ328" s="103"/>
      <c r="BK328" s="103"/>
      <c r="BL328" s="103"/>
      <c r="BM328" s="103"/>
      <c r="BN328" s="103"/>
      <c r="BO328" s="103"/>
      <c r="BP328" s="103"/>
      <c r="BQ328" s="107"/>
      <c r="BR328" s="99"/>
      <c r="BS328" s="99"/>
      <c r="BT328" s="103"/>
      <c r="BU328" s="99"/>
      <c r="BV328" s="103"/>
      <c r="BW328" s="103"/>
      <c r="BX328" s="103"/>
      <c r="BY328" s="103"/>
      <c r="BZ328" s="103"/>
      <c r="CA328" s="103"/>
      <c r="CB328" s="103"/>
      <c r="CC328" s="103"/>
      <c r="CD328" s="103"/>
      <c r="CE328" s="103"/>
      <c r="CF328" s="103"/>
      <c r="CG328" s="103"/>
      <c r="CH328" s="103"/>
      <c r="CI328" s="103"/>
      <c r="CJ328" s="103"/>
      <c r="CK328" s="103"/>
      <c r="CL328" s="99"/>
      <c r="CM328" s="95">
        <v>12.1624473</v>
      </c>
      <c r="CN328" s="95">
        <v>0.67730460000000003</v>
      </c>
      <c r="CO328" s="99"/>
      <c r="CP328" s="99"/>
      <c r="CQ328" s="99"/>
      <c r="CR328" s="99"/>
      <c r="CS328" s="99"/>
      <c r="CT328" s="99"/>
      <c r="CU328" s="99"/>
      <c r="CV328" s="99"/>
      <c r="CW328" s="99"/>
      <c r="CX328" s="99"/>
      <c r="CY328" s="99"/>
      <c r="CZ328" s="99"/>
      <c r="DA328" s="99"/>
      <c r="DB328" s="99"/>
      <c r="DC328" s="99"/>
    </row>
    <row r="329" spans="1:107" ht="15.75" customHeight="1">
      <c r="A329" s="95">
        <v>337</v>
      </c>
      <c r="B329" s="123" t="s">
        <v>955</v>
      </c>
      <c r="C329" s="123" t="s">
        <v>1031</v>
      </c>
      <c r="D329" s="123" t="s">
        <v>1032</v>
      </c>
      <c r="E329" s="123" t="s">
        <v>471</v>
      </c>
      <c r="F329" s="95" t="s">
        <v>5830</v>
      </c>
      <c r="G329" s="95" t="s">
        <v>1068</v>
      </c>
      <c r="H329" s="95" t="s">
        <v>1093</v>
      </c>
      <c r="I329" s="95" t="s">
        <v>472</v>
      </c>
      <c r="J329" s="95" t="s">
        <v>472</v>
      </c>
      <c r="K329" s="99" t="s">
        <v>1174</v>
      </c>
      <c r="L329" s="103"/>
      <c r="M329" s="99"/>
      <c r="N329" s="99"/>
      <c r="O329" s="123" t="s">
        <v>5813</v>
      </c>
      <c r="P329" s="103"/>
      <c r="Q329" s="103"/>
      <c r="R329" s="99"/>
      <c r="S329" s="123" t="s">
        <v>5801</v>
      </c>
      <c r="T329" s="103" t="s">
        <v>5686</v>
      </c>
      <c r="U329" s="99" t="s">
        <v>5831</v>
      </c>
      <c r="V329" s="95">
        <v>10.9426244</v>
      </c>
      <c r="W329" s="95">
        <v>-2.9203462999999998</v>
      </c>
      <c r="X329" s="104" t="s">
        <v>5832</v>
      </c>
      <c r="Y329" s="103"/>
      <c r="Z329" s="103"/>
      <c r="AA329" s="103"/>
      <c r="AB329" s="103">
        <v>51</v>
      </c>
      <c r="AC329" s="103"/>
      <c r="AD329" s="103">
        <v>51</v>
      </c>
      <c r="AE329" s="103"/>
      <c r="AF329" s="103"/>
      <c r="AG329" s="99"/>
      <c r="AH329" s="103"/>
      <c r="AI329" s="103"/>
      <c r="AJ329" s="103"/>
      <c r="AK329" s="103"/>
      <c r="AL329" s="103"/>
      <c r="AM329" s="103"/>
      <c r="AN329" s="99"/>
      <c r="AO329" s="103"/>
      <c r="AP329" s="103"/>
      <c r="AQ329" s="103"/>
      <c r="AR329" s="103"/>
      <c r="AS329" s="99"/>
      <c r="AT329" s="103"/>
      <c r="AU329" s="103"/>
      <c r="AV329" s="99"/>
      <c r="AW329" s="99"/>
      <c r="AX329" s="99" t="s">
        <v>5806</v>
      </c>
      <c r="AY329" s="99"/>
      <c r="AZ329" s="99"/>
      <c r="BA329" s="103"/>
      <c r="BB329" s="99"/>
      <c r="BC329" s="99">
        <v>14184</v>
      </c>
      <c r="BD329" s="99"/>
      <c r="BE329" s="99"/>
      <c r="BF329" s="103"/>
      <c r="BG329" s="103"/>
      <c r="BH329" s="103"/>
      <c r="BI329" s="103"/>
      <c r="BJ329" s="103"/>
      <c r="BK329" s="103"/>
      <c r="BL329" s="103"/>
      <c r="BM329" s="103"/>
      <c r="BN329" s="103"/>
      <c r="BO329" s="103"/>
      <c r="BP329" s="103"/>
      <c r="BQ329" s="107"/>
      <c r="BR329" s="99"/>
      <c r="BS329" s="99"/>
      <c r="BT329" s="103"/>
      <c r="BU329" s="99"/>
      <c r="BV329" s="103"/>
      <c r="BW329" s="103"/>
      <c r="BX329" s="103"/>
      <c r="BY329" s="103"/>
      <c r="BZ329" s="103"/>
      <c r="CA329" s="103"/>
      <c r="CB329" s="103"/>
      <c r="CC329" s="103"/>
      <c r="CD329" s="103"/>
      <c r="CE329" s="103"/>
      <c r="CF329" s="103"/>
      <c r="CG329" s="103"/>
      <c r="CH329" s="103"/>
      <c r="CI329" s="103"/>
      <c r="CJ329" s="103"/>
      <c r="CK329" s="103"/>
      <c r="CL329" s="99"/>
      <c r="CM329" s="95">
        <v>10.9426244</v>
      </c>
      <c r="CN329" s="95">
        <v>-2.9203462999999998</v>
      </c>
      <c r="CO329" s="99"/>
      <c r="CP329" s="99"/>
      <c r="CQ329" s="99"/>
      <c r="CR329" s="99"/>
      <c r="CS329" s="99"/>
      <c r="CT329" s="99"/>
      <c r="CU329" s="99"/>
      <c r="CV329" s="99"/>
      <c r="CW329" s="99"/>
      <c r="CX329" s="99"/>
      <c r="CY329" s="99"/>
      <c r="CZ329" s="99"/>
      <c r="DA329" s="99"/>
      <c r="DB329" s="99"/>
      <c r="DC329" s="99"/>
    </row>
    <row r="330" spans="1:107" ht="15.75" customHeight="1">
      <c r="A330" s="95">
        <v>338</v>
      </c>
      <c r="B330" s="123" t="s">
        <v>997</v>
      </c>
      <c r="C330" s="123" t="s">
        <v>1033</v>
      </c>
      <c r="D330" s="123" t="s">
        <v>1034</v>
      </c>
      <c r="E330" s="123" t="s">
        <v>5833</v>
      </c>
      <c r="F330" s="95" t="s">
        <v>5834</v>
      </c>
      <c r="G330" s="95" t="s">
        <v>1068</v>
      </c>
      <c r="H330" s="95" t="s">
        <v>1093</v>
      </c>
      <c r="I330" s="95" t="s">
        <v>451</v>
      </c>
      <c r="J330" s="95" t="s">
        <v>1165</v>
      </c>
      <c r="K330" s="99" t="s">
        <v>1166</v>
      </c>
      <c r="L330" s="103"/>
      <c r="M330" s="99"/>
      <c r="N330" s="99"/>
      <c r="O330" s="123" t="s">
        <v>4615</v>
      </c>
      <c r="P330" s="103"/>
      <c r="Q330" s="103"/>
      <c r="R330" s="99"/>
      <c r="S330" s="123" t="s">
        <v>5801</v>
      </c>
      <c r="T330" s="103" t="s">
        <v>5686</v>
      </c>
      <c r="U330" s="99" t="s">
        <v>5802</v>
      </c>
      <c r="V330" s="95">
        <v>10.940716</v>
      </c>
      <c r="W330" s="95">
        <v>-3.1315471000000001</v>
      </c>
      <c r="X330" s="104" t="s">
        <v>5803</v>
      </c>
      <c r="Y330" s="103"/>
      <c r="Z330" s="103"/>
      <c r="AA330" s="103"/>
      <c r="AB330" s="103">
        <v>19</v>
      </c>
      <c r="AC330" s="103"/>
      <c r="AD330" s="103">
        <v>19</v>
      </c>
      <c r="AE330" s="103"/>
      <c r="AF330" s="103"/>
      <c r="AG330" s="99"/>
      <c r="AH330" s="103"/>
      <c r="AI330" s="103"/>
      <c r="AJ330" s="103"/>
      <c r="AK330" s="103"/>
      <c r="AL330" s="103"/>
      <c r="AM330" s="103"/>
      <c r="AN330" s="99"/>
      <c r="AO330" s="103"/>
      <c r="AP330" s="103"/>
      <c r="AQ330" s="103"/>
      <c r="AR330" s="103"/>
      <c r="AS330" s="99"/>
      <c r="AT330" s="103"/>
      <c r="AU330" s="103"/>
      <c r="AV330" s="99"/>
      <c r="AW330" s="99"/>
      <c r="AX330" s="99" t="s">
        <v>5804</v>
      </c>
      <c r="AY330" s="99"/>
      <c r="AZ330" s="99"/>
      <c r="BA330" s="103"/>
      <c r="BB330" s="99"/>
      <c r="BC330" s="99">
        <v>10784</v>
      </c>
      <c r="BD330" s="99"/>
      <c r="BE330" s="99"/>
      <c r="BF330" s="103"/>
      <c r="BG330" s="103"/>
      <c r="BH330" s="103"/>
      <c r="BI330" s="103"/>
      <c r="BJ330" s="103"/>
      <c r="BK330" s="103"/>
      <c r="BL330" s="103"/>
      <c r="BM330" s="103"/>
      <c r="BN330" s="103"/>
      <c r="BO330" s="103"/>
      <c r="BP330" s="103"/>
      <c r="BQ330" s="107"/>
      <c r="BR330" s="99"/>
      <c r="BS330" s="99"/>
      <c r="BT330" s="103"/>
      <c r="BU330" s="99"/>
      <c r="BV330" s="103"/>
      <c r="BW330" s="103"/>
      <c r="BX330" s="103"/>
      <c r="BY330" s="103"/>
      <c r="BZ330" s="103"/>
      <c r="CA330" s="103"/>
      <c r="CB330" s="103"/>
      <c r="CC330" s="103"/>
      <c r="CD330" s="103"/>
      <c r="CE330" s="103"/>
      <c r="CF330" s="103"/>
      <c r="CG330" s="103"/>
      <c r="CH330" s="103"/>
      <c r="CI330" s="103"/>
      <c r="CJ330" s="103"/>
      <c r="CK330" s="103"/>
      <c r="CL330" s="99"/>
      <c r="CM330" s="95">
        <v>10.940716</v>
      </c>
      <c r="CN330" s="95">
        <v>-3.1315471000000001</v>
      </c>
      <c r="CO330" s="99"/>
      <c r="CP330" s="99"/>
      <c r="CQ330" s="99"/>
      <c r="CR330" s="99"/>
      <c r="CS330" s="99"/>
      <c r="CT330" s="99"/>
      <c r="CU330" s="99"/>
      <c r="CV330" s="99"/>
      <c r="CW330" s="99"/>
      <c r="CX330" s="99"/>
      <c r="CY330" s="99"/>
      <c r="CZ330" s="99"/>
      <c r="DA330" s="99"/>
      <c r="DB330" s="99"/>
      <c r="DC330" s="99"/>
    </row>
    <row r="331" spans="1:107" ht="15.75" customHeight="1">
      <c r="A331" s="95">
        <v>339</v>
      </c>
      <c r="B331" s="99" t="s">
        <v>1035</v>
      </c>
      <c r="C331" s="99" t="s">
        <v>1036</v>
      </c>
      <c r="D331" s="99">
        <v>72424315</v>
      </c>
      <c r="E331" s="99" t="s">
        <v>474</v>
      </c>
      <c r="F331" s="95" t="s">
        <v>5835</v>
      </c>
      <c r="G331" s="95" t="s">
        <v>1049</v>
      </c>
      <c r="H331" s="95" t="s">
        <v>1066</v>
      </c>
      <c r="I331" s="95" t="s">
        <v>89</v>
      </c>
      <c r="J331" s="95" t="s">
        <v>1175</v>
      </c>
      <c r="K331" s="99"/>
      <c r="L331" s="103"/>
      <c r="M331" s="99"/>
      <c r="N331" s="99"/>
      <c r="O331" s="99"/>
      <c r="P331" s="103"/>
      <c r="Q331" s="103"/>
      <c r="R331" s="99"/>
      <c r="S331" s="103"/>
      <c r="T331" s="103" t="s">
        <v>5686</v>
      </c>
      <c r="U331" s="99" t="s">
        <v>5836</v>
      </c>
      <c r="V331" s="115">
        <v>12.58333</v>
      </c>
      <c r="W331" s="115">
        <v>-2.0333299999999999</v>
      </c>
      <c r="X331" s="104" t="s">
        <v>5547</v>
      </c>
      <c r="Y331" s="103"/>
      <c r="Z331" s="103"/>
      <c r="AA331" s="103"/>
      <c r="AB331" s="103"/>
      <c r="AC331" s="103"/>
      <c r="AD331" s="103"/>
      <c r="AE331" s="103"/>
      <c r="AF331" s="103"/>
      <c r="AG331" s="99"/>
      <c r="AH331" s="103"/>
      <c r="AI331" s="103"/>
      <c r="AJ331" s="103"/>
      <c r="AK331" s="103"/>
      <c r="AL331" s="103"/>
      <c r="AM331" s="103"/>
      <c r="AN331" s="99"/>
      <c r="AO331" s="103"/>
      <c r="AP331" s="103"/>
      <c r="AQ331" s="103"/>
      <c r="AR331" s="103"/>
      <c r="AS331" s="99"/>
      <c r="AT331" s="103"/>
      <c r="AU331" s="103"/>
      <c r="AV331" s="99"/>
      <c r="AW331" s="99"/>
      <c r="AX331" s="99"/>
      <c r="AY331" s="99"/>
      <c r="AZ331" s="99"/>
      <c r="BA331" s="103"/>
      <c r="BB331" s="99"/>
      <c r="BC331" s="99">
        <v>2000</v>
      </c>
      <c r="BD331" s="99"/>
      <c r="BE331" s="99"/>
      <c r="BF331" s="103"/>
      <c r="BG331" s="103"/>
      <c r="BH331" s="103"/>
      <c r="BI331" s="103"/>
      <c r="BJ331" s="103"/>
      <c r="BK331" s="103"/>
      <c r="BL331" s="103"/>
      <c r="BM331" s="103"/>
      <c r="BN331" s="103"/>
      <c r="BO331" s="103"/>
      <c r="BP331" s="103"/>
      <c r="BQ331" s="99"/>
      <c r="BR331" s="99"/>
      <c r="BS331" s="99"/>
      <c r="BT331" s="103"/>
      <c r="BU331" s="99"/>
      <c r="BV331" s="103"/>
      <c r="BW331" s="103"/>
      <c r="BX331" s="103"/>
      <c r="BY331" s="103"/>
      <c r="BZ331" s="103"/>
      <c r="CA331" s="103"/>
      <c r="CB331" s="103"/>
      <c r="CC331" s="103"/>
      <c r="CD331" s="103"/>
      <c r="CE331" s="103"/>
      <c r="CF331" s="103"/>
      <c r="CG331" s="103"/>
      <c r="CH331" s="103"/>
      <c r="CI331" s="103"/>
      <c r="CJ331" s="103"/>
      <c r="CK331" s="103"/>
      <c r="CL331" s="99"/>
      <c r="CM331" s="95">
        <v>12.58333</v>
      </c>
      <c r="CN331" s="95">
        <v>-2.0333299999999999</v>
      </c>
      <c r="CO331" s="99"/>
      <c r="CP331" s="99"/>
      <c r="CQ331" s="99"/>
      <c r="CR331" s="99"/>
      <c r="CS331" s="99"/>
      <c r="CT331" s="99"/>
      <c r="CU331" s="99"/>
      <c r="CV331" s="99"/>
      <c r="CW331" s="99"/>
      <c r="CX331" s="99"/>
      <c r="CY331" s="99"/>
      <c r="CZ331" s="99"/>
      <c r="DA331" s="99"/>
      <c r="DB331" s="99"/>
      <c r="DC331" s="99"/>
    </row>
    <row r="332" spans="1:107" ht="15.75" customHeight="1">
      <c r="A332" s="95">
        <v>340</v>
      </c>
      <c r="B332" s="123" t="s">
        <v>1037</v>
      </c>
      <c r="C332" s="123" t="s">
        <v>1038</v>
      </c>
      <c r="D332" s="123" t="s">
        <v>1039</v>
      </c>
      <c r="E332" s="99"/>
      <c r="F332" s="95" t="s">
        <v>5810</v>
      </c>
      <c r="G332" s="95" t="s">
        <v>1068</v>
      </c>
      <c r="H332" s="95" t="s">
        <v>1093</v>
      </c>
      <c r="I332" s="95" t="s">
        <v>451</v>
      </c>
      <c r="J332" s="95" t="s">
        <v>1165</v>
      </c>
      <c r="K332" s="99" t="s">
        <v>1167</v>
      </c>
      <c r="L332" s="103"/>
      <c r="M332" s="99"/>
      <c r="N332" s="99"/>
      <c r="O332" s="123" t="s">
        <v>5458</v>
      </c>
      <c r="P332" s="103"/>
      <c r="Q332" s="103"/>
      <c r="R332" s="99"/>
      <c r="S332" s="123" t="s">
        <v>5801</v>
      </c>
      <c r="T332" s="103" t="s">
        <v>5686</v>
      </c>
      <c r="U332" s="99" t="s">
        <v>5802</v>
      </c>
      <c r="V332" s="95">
        <v>10.940716</v>
      </c>
      <c r="W332" s="95">
        <v>-3.1315471000000001</v>
      </c>
      <c r="X332" s="104" t="s">
        <v>5803</v>
      </c>
      <c r="Y332" s="103"/>
      <c r="Z332" s="103"/>
      <c r="AA332" s="103"/>
      <c r="AB332" s="103">
        <v>29</v>
      </c>
      <c r="AC332" s="103"/>
      <c r="AD332" s="103">
        <v>29</v>
      </c>
      <c r="AE332" s="103"/>
      <c r="AF332" s="103"/>
      <c r="AG332" s="99"/>
      <c r="AH332" s="103"/>
      <c r="AI332" s="103"/>
      <c r="AJ332" s="103"/>
      <c r="AK332" s="103"/>
      <c r="AL332" s="103"/>
      <c r="AM332" s="103"/>
      <c r="AN332" s="99"/>
      <c r="AO332" s="103"/>
      <c r="AP332" s="103"/>
      <c r="AQ332" s="103"/>
      <c r="AR332" s="103"/>
      <c r="AS332" s="99"/>
      <c r="AT332" s="103"/>
      <c r="AU332" s="103"/>
      <c r="AV332" s="99"/>
      <c r="AW332" s="99"/>
      <c r="AX332" s="99" t="s">
        <v>5804</v>
      </c>
      <c r="AY332" s="99"/>
      <c r="AZ332" s="99"/>
      <c r="BA332" s="103"/>
      <c r="BB332" s="99"/>
      <c r="BC332" s="99">
        <v>16460</v>
      </c>
      <c r="BD332" s="99"/>
      <c r="BE332" s="99"/>
      <c r="BF332" s="103"/>
      <c r="BG332" s="103"/>
      <c r="BH332" s="103"/>
      <c r="BI332" s="103"/>
      <c r="BJ332" s="103"/>
      <c r="BK332" s="103"/>
      <c r="BL332" s="103"/>
      <c r="BM332" s="103"/>
      <c r="BN332" s="103"/>
      <c r="BO332" s="103"/>
      <c r="BP332" s="103"/>
      <c r="BQ332" s="107"/>
      <c r="BR332" s="99"/>
      <c r="BS332" s="99"/>
      <c r="BT332" s="103"/>
      <c r="BU332" s="99"/>
      <c r="BV332" s="103"/>
      <c r="BW332" s="103"/>
      <c r="BX332" s="103"/>
      <c r="BY332" s="103"/>
      <c r="BZ332" s="103"/>
      <c r="CA332" s="103"/>
      <c r="CB332" s="103"/>
      <c r="CC332" s="103"/>
      <c r="CD332" s="103"/>
      <c r="CE332" s="103"/>
      <c r="CF332" s="103"/>
      <c r="CG332" s="103"/>
      <c r="CH332" s="103"/>
      <c r="CI332" s="103"/>
      <c r="CJ332" s="103"/>
      <c r="CK332" s="103"/>
      <c r="CL332" s="99"/>
      <c r="CM332" s="95">
        <v>10.940716</v>
      </c>
      <c r="CN332" s="95">
        <v>-3.1315471000000001</v>
      </c>
      <c r="CO332" s="99"/>
      <c r="CP332" s="99"/>
      <c r="CQ332" s="99"/>
      <c r="CR332" s="99"/>
      <c r="CS332" s="99"/>
      <c r="CT332" s="99"/>
      <c r="CU332" s="99"/>
      <c r="CV332" s="99"/>
      <c r="CW332" s="99"/>
      <c r="CX332" s="99"/>
      <c r="CY332" s="99"/>
      <c r="CZ332" s="99"/>
      <c r="DA332" s="99"/>
      <c r="DB332" s="99"/>
      <c r="DC332" s="99"/>
    </row>
    <row r="333" spans="1:107" ht="15.75" customHeight="1">
      <c r="A333" s="95">
        <v>341</v>
      </c>
      <c r="B333" s="99" t="s">
        <v>1040</v>
      </c>
      <c r="C333" s="99" t="s">
        <v>601</v>
      </c>
      <c r="D333" s="99">
        <v>74319568</v>
      </c>
      <c r="E333" s="99" t="s">
        <v>476</v>
      </c>
      <c r="F333" s="95" t="s">
        <v>5837</v>
      </c>
      <c r="G333" s="95" t="s">
        <v>1085</v>
      </c>
      <c r="H333" s="95" t="s">
        <v>1123</v>
      </c>
      <c r="I333" s="95" t="s">
        <v>477</v>
      </c>
      <c r="J333" s="95"/>
      <c r="K333" s="99"/>
      <c r="L333" s="103" t="s">
        <v>4449</v>
      </c>
      <c r="M333" s="99"/>
      <c r="N333" s="99"/>
      <c r="O333" s="99" t="s">
        <v>4947</v>
      </c>
      <c r="P333" s="103"/>
      <c r="Q333" s="103"/>
      <c r="R333" s="99"/>
      <c r="S333" s="103" t="s">
        <v>5801</v>
      </c>
      <c r="T333" s="103" t="s">
        <v>5686</v>
      </c>
      <c r="U333" s="99" t="s">
        <v>5838</v>
      </c>
      <c r="V333" s="95">
        <v>11.6360692</v>
      </c>
      <c r="W333" s="95">
        <v>-3.8913988000000002</v>
      </c>
      <c r="X333" s="104" t="s">
        <v>5839</v>
      </c>
      <c r="Y333" s="103"/>
      <c r="Z333" s="103"/>
      <c r="AA333" s="103"/>
      <c r="AB333" s="103"/>
      <c r="AC333" s="103"/>
      <c r="AD333" s="103"/>
      <c r="AE333" s="103"/>
      <c r="AF333" s="103"/>
      <c r="AG333" s="99"/>
      <c r="AH333" s="103"/>
      <c r="AI333" s="103"/>
      <c r="AJ333" s="103"/>
      <c r="AK333" s="103"/>
      <c r="AL333" s="103"/>
      <c r="AM333" s="103"/>
      <c r="AN333" s="99"/>
      <c r="AO333" s="103"/>
      <c r="AP333" s="103"/>
      <c r="AQ333" s="103"/>
      <c r="AR333" s="103"/>
      <c r="AS333" s="99"/>
      <c r="AT333" s="103"/>
      <c r="AU333" s="103"/>
      <c r="AV333" s="99"/>
      <c r="AW333" s="99"/>
      <c r="AX333" s="99"/>
      <c r="AY333" s="99"/>
      <c r="AZ333" s="99"/>
      <c r="BA333" s="103"/>
      <c r="BB333" s="99">
        <v>50000</v>
      </c>
      <c r="BC333" s="99">
        <v>10000</v>
      </c>
      <c r="BD333" s="99"/>
      <c r="BE333" s="99"/>
      <c r="BF333" s="103"/>
      <c r="BG333" s="103"/>
      <c r="BH333" s="103"/>
      <c r="BI333" s="103"/>
      <c r="BJ333" s="103"/>
      <c r="BK333" s="103"/>
      <c r="BL333" s="103"/>
      <c r="BM333" s="103"/>
      <c r="BN333" s="103"/>
      <c r="BO333" s="103"/>
      <c r="BP333" s="103"/>
      <c r="BQ333" s="107"/>
      <c r="BR333" s="99"/>
      <c r="BS333" s="99"/>
      <c r="BT333" s="103"/>
      <c r="BU333" s="99"/>
      <c r="BV333" s="103"/>
      <c r="BW333" s="103"/>
      <c r="BX333" s="103"/>
      <c r="BY333" s="103"/>
      <c r="BZ333" s="103"/>
      <c r="CA333" s="103"/>
      <c r="CB333" s="103"/>
      <c r="CC333" s="103"/>
      <c r="CD333" s="103"/>
      <c r="CE333" s="103"/>
      <c r="CF333" s="103"/>
      <c r="CG333" s="103"/>
      <c r="CH333" s="103"/>
      <c r="CI333" s="103"/>
      <c r="CJ333" s="103"/>
      <c r="CK333" s="103"/>
      <c r="CL333" s="99"/>
      <c r="CM333" s="95">
        <v>11.6360692</v>
      </c>
      <c r="CN333" s="95">
        <v>-3.8913988000000002</v>
      </c>
      <c r="CO333" s="99"/>
      <c r="CP333" s="99"/>
      <c r="CQ333" s="99"/>
      <c r="CR333" s="99"/>
      <c r="CS333" s="99"/>
      <c r="CT333" s="99"/>
      <c r="CU333" s="99"/>
      <c r="CV333" s="99"/>
      <c r="CW333" s="99"/>
      <c r="CX333" s="99"/>
      <c r="CY333" s="99"/>
      <c r="CZ333" s="99"/>
      <c r="DA333" s="99"/>
      <c r="DB333" s="99"/>
      <c r="DC333" s="99"/>
    </row>
    <row r="334" spans="1:107" ht="15.75" customHeight="1">
      <c r="A334" s="95">
        <v>342</v>
      </c>
      <c r="B334" s="99" t="s">
        <v>1041</v>
      </c>
      <c r="C334" s="99" t="s">
        <v>558</v>
      </c>
      <c r="D334" s="99">
        <v>77030632</v>
      </c>
      <c r="E334" s="99" t="s">
        <v>478</v>
      </c>
      <c r="F334" s="95" t="s">
        <v>5840</v>
      </c>
      <c r="G334" s="95" t="s">
        <v>1085</v>
      </c>
      <c r="H334" s="95" t="s">
        <v>1074</v>
      </c>
      <c r="I334" s="95" t="s">
        <v>479</v>
      </c>
      <c r="J334" s="95" t="s">
        <v>1176</v>
      </c>
      <c r="K334" s="99"/>
      <c r="L334" s="103" t="s">
        <v>4449</v>
      </c>
      <c r="M334" s="99"/>
      <c r="N334" s="99"/>
      <c r="O334" s="99" t="s">
        <v>4947</v>
      </c>
      <c r="P334" s="103"/>
      <c r="Q334" s="103"/>
      <c r="R334" s="99"/>
      <c r="S334" s="103"/>
      <c r="T334" s="103" t="s">
        <v>5686</v>
      </c>
      <c r="U334" s="99" t="s">
        <v>5841</v>
      </c>
      <c r="V334" s="95">
        <v>11.8529365</v>
      </c>
      <c r="W334" s="95">
        <v>-4.0708047000000001</v>
      </c>
      <c r="X334" s="104" t="s">
        <v>5842</v>
      </c>
      <c r="Y334" s="103"/>
      <c r="Z334" s="103"/>
      <c r="AA334" s="103"/>
      <c r="AB334" s="103">
        <v>147</v>
      </c>
      <c r="AC334" s="103"/>
      <c r="AD334" s="103"/>
      <c r="AE334" s="103"/>
      <c r="AF334" s="103"/>
      <c r="AG334" s="99"/>
      <c r="AH334" s="103"/>
      <c r="AI334" s="103"/>
      <c r="AJ334" s="103"/>
      <c r="AK334" s="103"/>
      <c r="AL334" s="103"/>
      <c r="AM334" s="103"/>
      <c r="AN334" s="99"/>
      <c r="AO334" s="103"/>
      <c r="AP334" s="103"/>
      <c r="AQ334" s="103"/>
      <c r="AR334" s="103"/>
      <c r="AS334" s="99"/>
      <c r="AT334" s="103"/>
      <c r="AU334" s="103"/>
      <c r="AV334" s="99"/>
      <c r="AW334" s="99"/>
      <c r="AX334" s="99"/>
      <c r="AY334" s="99"/>
      <c r="AZ334" s="99"/>
      <c r="BA334" s="103"/>
      <c r="BB334" s="99">
        <v>500000</v>
      </c>
      <c r="BC334" s="99">
        <v>60000</v>
      </c>
      <c r="BD334" s="99"/>
      <c r="BE334" s="99"/>
      <c r="BF334" s="103"/>
      <c r="BG334" s="103"/>
      <c r="BH334" s="103"/>
      <c r="BI334" s="103"/>
      <c r="BJ334" s="103"/>
      <c r="BK334" s="103"/>
      <c r="BL334" s="103"/>
      <c r="BM334" s="103"/>
      <c r="BN334" s="103"/>
      <c r="BO334" s="103"/>
      <c r="BP334" s="103"/>
      <c r="BQ334" s="107"/>
      <c r="BR334" s="99"/>
      <c r="BS334" s="99"/>
      <c r="BT334" s="103"/>
      <c r="BU334" s="99"/>
      <c r="BV334" s="103"/>
      <c r="BW334" s="103"/>
      <c r="BX334" s="103"/>
      <c r="BY334" s="103"/>
      <c r="BZ334" s="103"/>
      <c r="CA334" s="103"/>
      <c r="CB334" s="103"/>
      <c r="CC334" s="103"/>
      <c r="CD334" s="103"/>
      <c r="CE334" s="103"/>
      <c r="CF334" s="103"/>
      <c r="CG334" s="103"/>
      <c r="CH334" s="103"/>
      <c r="CI334" s="103"/>
      <c r="CJ334" s="103"/>
      <c r="CK334" s="103"/>
      <c r="CL334" s="99"/>
      <c r="CM334" s="95">
        <v>11.8529365</v>
      </c>
      <c r="CN334" s="95">
        <v>-4.0708047000000001</v>
      </c>
      <c r="CO334" s="99"/>
      <c r="CP334" s="99"/>
      <c r="CQ334" s="99"/>
      <c r="CR334" s="99"/>
      <c r="CS334" s="99"/>
      <c r="CT334" s="99"/>
      <c r="CU334" s="99"/>
      <c r="CV334" s="99"/>
      <c r="CW334" s="99"/>
      <c r="CX334" s="99"/>
      <c r="CY334" s="99"/>
      <c r="CZ334" s="99"/>
      <c r="DA334" s="99"/>
      <c r="DB334" s="99"/>
      <c r="DC334" s="99"/>
    </row>
  </sheetData>
  <hyperlinks>
    <hyperlink ref="X2" r:id="rId1" xr:uid="{BE3DE1C2-AD0D-46C0-A64E-4A81AABCA855}"/>
    <hyperlink ref="X3" r:id="rId2" xr:uid="{86626639-7CDD-496D-86C5-BB4EC8248C44}"/>
    <hyperlink ref="X4" r:id="rId3" xr:uid="{1998AE31-FBA1-4A4D-A78A-6F2046ECB5A6}"/>
    <hyperlink ref="X5" r:id="rId4" xr:uid="{76E1597A-C653-4571-9566-E60F6694D9C8}"/>
    <hyperlink ref="X6" r:id="rId5" xr:uid="{1518FAA5-5238-4FE7-9608-2B0FE3753AC8}"/>
    <hyperlink ref="X7" r:id="rId6" xr:uid="{F4A48036-CFA0-456A-AB15-07E43BBC4AFF}"/>
    <hyperlink ref="X8" r:id="rId7" xr:uid="{B52B45D7-B221-4CD5-B698-471B40001B1A}"/>
    <hyperlink ref="X9" r:id="rId8" xr:uid="{8F1CB8E5-CE01-4395-95A4-D6F72C22B2B2}"/>
    <hyperlink ref="X10" r:id="rId9" xr:uid="{F9A86760-294A-43F9-9095-08354D5972AE}"/>
    <hyperlink ref="X11" r:id="rId10" xr:uid="{36E58304-7ED4-45C0-86C0-4691773D679B}"/>
    <hyperlink ref="X12" r:id="rId11" xr:uid="{5996262D-F9B4-40D8-9B89-D07ADE3F97A2}"/>
    <hyperlink ref="X13" r:id="rId12" xr:uid="{A743FC88-E324-4012-A488-A53275B92F45}"/>
    <hyperlink ref="X14" r:id="rId13" xr:uid="{0E7CCC47-CCBD-4026-B5F1-010E39B145EE}"/>
    <hyperlink ref="X15" r:id="rId14" xr:uid="{D02B5539-72CB-4D1E-AB69-F6F0EE3B9364}"/>
    <hyperlink ref="X16" r:id="rId15" xr:uid="{656EB0AD-D79A-4FC8-9115-C09AA53544CC}"/>
    <hyperlink ref="X17" r:id="rId16" xr:uid="{C6987DCF-AA07-49C0-B429-3465E139FA56}"/>
    <hyperlink ref="X18" r:id="rId17" xr:uid="{1BC6EEB2-7858-4D7B-BA28-56DF40C9390D}"/>
    <hyperlink ref="X19" r:id="rId18" xr:uid="{72A5FE23-E1DC-4008-A61F-498C45A15D0D}"/>
    <hyperlink ref="X20" r:id="rId19" xr:uid="{2EC3EFAB-4D83-4233-BBD4-0781DE09D749}"/>
    <hyperlink ref="X21" r:id="rId20" xr:uid="{6C5E9478-589E-4AD9-AB42-57ABB79F5ECE}"/>
    <hyperlink ref="X22" r:id="rId21" xr:uid="{174D28EF-6191-4E9C-A251-4345A683C122}"/>
    <hyperlink ref="X23" r:id="rId22" xr:uid="{7B549945-9866-44CE-88FB-E5565E3DC1EF}"/>
    <hyperlink ref="X24" r:id="rId23" xr:uid="{86456858-DA46-4BEE-930E-9E54D77BFFD3}"/>
    <hyperlink ref="X25" r:id="rId24" xr:uid="{721E3664-2F98-4389-975B-E59601419800}"/>
    <hyperlink ref="X26" r:id="rId25" xr:uid="{096C54F5-EE63-445C-B1A2-163A19DF4822}"/>
    <hyperlink ref="X27" r:id="rId26" xr:uid="{15C50682-1A13-4FF3-AF92-8DDDE951976B}"/>
    <hyperlink ref="X28" r:id="rId27" xr:uid="{0CD9D9F6-6182-4BDD-B682-D5AF2213E693}"/>
    <hyperlink ref="X29" r:id="rId28" xr:uid="{69A4A125-91FB-45F0-B48E-E1E3F356E26F}"/>
    <hyperlink ref="X30" r:id="rId29" xr:uid="{8D359A3E-8C31-49AC-8948-9DDB0BEEEF8D}"/>
    <hyperlink ref="X31" r:id="rId30" xr:uid="{088DF775-1804-4B94-9BAC-0039A028AD5E}"/>
    <hyperlink ref="X32" r:id="rId31" xr:uid="{4B490B6A-B0B4-4CAD-B637-2986AD526029}"/>
    <hyperlink ref="X33" r:id="rId32" xr:uid="{905E6D5B-560A-4F00-B443-652A5390BD53}"/>
    <hyperlink ref="X34" r:id="rId33" xr:uid="{315002E3-F9E3-4D92-B094-CCB8EC972975}"/>
    <hyperlink ref="X35" r:id="rId34" xr:uid="{EE771A8C-9805-4313-917C-FCFBB5CFEEE2}"/>
    <hyperlink ref="X36" r:id="rId35" xr:uid="{EAF86AEA-4AC7-41B7-A968-5BEF6644A652}"/>
    <hyperlink ref="X37" r:id="rId36" xr:uid="{AAD8F892-DDFE-4277-93EE-CB40D70471E7}"/>
    <hyperlink ref="X38" r:id="rId37" xr:uid="{C82BCEB0-1B5D-49D0-A731-348E3738FCC6}"/>
    <hyperlink ref="X39" r:id="rId38" xr:uid="{74C44E69-E9AC-45F1-B117-5618A2792089}"/>
    <hyperlink ref="X40" r:id="rId39" xr:uid="{DD91A8A1-F8CB-4896-9176-D23E181FEA9A}"/>
    <hyperlink ref="X41" r:id="rId40" xr:uid="{84933B2A-7EC2-4E96-BA35-A41CB6AAB789}"/>
    <hyperlink ref="X42" r:id="rId41" xr:uid="{CCE5EBC1-E980-4D8B-A1F3-DA629CB16D36}"/>
    <hyperlink ref="X43" r:id="rId42" xr:uid="{0EAB2824-34AB-4810-AFB3-657573B86B97}"/>
    <hyperlink ref="X44" r:id="rId43" xr:uid="{E36BEDD4-C4BF-482F-AACD-2FC38CBFB17E}"/>
    <hyperlink ref="X45" r:id="rId44" xr:uid="{A1D695D0-60AB-4F23-B58F-3186EBB61745}"/>
    <hyperlink ref="X46" r:id="rId45" xr:uid="{7D17E106-2684-4744-ACDA-1DA8889BD885}"/>
    <hyperlink ref="X47" r:id="rId46" xr:uid="{11866D3B-03E4-4C74-85CD-DAE1AE6B2FB2}"/>
    <hyperlink ref="X48" r:id="rId47" xr:uid="{EC683A17-8A7D-47F5-AD08-CFDBD9DE94EB}"/>
    <hyperlink ref="X49" r:id="rId48" xr:uid="{7486B150-2B6F-436F-AD9B-E3E8C453B4C0}"/>
    <hyperlink ref="X50" r:id="rId49" xr:uid="{9191AF75-49EF-462D-BDDB-E949003BB3AE}"/>
    <hyperlink ref="X51" r:id="rId50" xr:uid="{0AD6DD8A-0E10-461D-AA16-3A90A28E23F7}"/>
    <hyperlink ref="X52" r:id="rId51" xr:uid="{91B7712C-7A2F-4174-9F98-88A97CAE8AF4}"/>
    <hyperlink ref="X53" r:id="rId52" xr:uid="{D3AD2390-9EED-4F56-A4B8-16B4202114F8}"/>
    <hyperlink ref="X54" r:id="rId53" xr:uid="{254AF457-2894-4510-A90B-526A5C60B91C}"/>
    <hyperlink ref="X55" r:id="rId54" xr:uid="{9009C5B2-7F01-4EDC-B953-DCC36E998FAF}"/>
    <hyperlink ref="X56" r:id="rId55" xr:uid="{E9DD35A8-6D8A-412F-91E5-51A0BA1619CE}"/>
    <hyperlink ref="X57" r:id="rId56" xr:uid="{26B6D847-ACF4-4444-83C4-CC62C2F067D8}"/>
    <hyperlink ref="X58" r:id="rId57" xr:uid="{5BEC7E28-E04A-4612-B969-66B3815AC981}"/>
    <hyperlink ref="X59" r:id="rId58" xr:uid="{3E7A805D-EEB8-42DA-8D15-B8C4766237BD}"/>
    <hyperlink ref="X60" r:id="rId59" xr:uid="{5CDABDA7-DB06-4207-A90D-C0C3742E730B}"/>
    <hyperlink ref="X61" r:id="rId60" xr:uid="{5B659571-EBB3-4C52-873E-A999ED7D4C17}"/>
    <hyperlink ref="X62" r:id="rId61" xr:uid="{55BDEE46-DCF8-4140-83EE-21EA58F76F5D}"/>
    <hyperlink ref="X63" r:id="rId62" xr:uid="{F03443C8-05A7-47C6-BCB1-BA4EB12BB496}"/>
    <hyperlink ref="X64" r:id="rId63" xr:uid="{3D5DCA96-9E57-4610-AD1B-8AA53E4F8EE8}"/>
    <hyperlink ref="X65" r:id="rId64" xr:uid="{24A67CF5-ED18-4CDE-84DF-EA008A62BBDF}"/>
    <hyperlink ref="X66" r:id="rId65" xr:uid="{A47838A1-6922-43DF-9A2A-6989D47E95BC}"/>
    <hyperlink ref="X67" r:id="rId66" xr:uid="{F51A338A-0E16-4435-8617-0EE30C369ADB}"/>
    <hyperlink ref="X68" r:id="rId67" xr:uid="{FFA53C47-58C9-46FA-8852-27D8EC305F41}"/>
    <hyperlink ref="X69" r:id="rId68" xr:uid="{AE9FAB84-17E7-4945-8792-BA96A7BA0190}"/>
    <hyperlink ref="X70" r:id="rId69" xr:uid="{9C5D8DFC-EEF3-4CD5-94F3-4681B53B5C84}"/>
    <hyperlink ref="X71" r:id="rId70" xr:uid="{845C0F95-2AB1-4FF1-B775-50231D688871}"/>
    <hyperlink ref="X72" r:id="rId71" xr:uid="{39E30728-9E3E-4CA8-B5F9-367AC6C5E917}"/>
    <hyperlink ref="X73" r:id="rId72" xr:uid="{0189EE82-0CF7-42AE-ABA3-82C6B650633A}"/>
    <hyperlink ref="X74" r:id="rId73" xr:uid="{C03011A0-3B62-4F8A-9BD6-43546C09AAD7}"/>
    <hyperlink ref="X75" r:id="rId74" xr:uid="{567C45D9-7B82-4076-AF9D-4EBDBE144127}"/>
    <hyperlink ref="X76" r:id="rId75" xr:uid="{DC19A8AA-8FBD-4B50-9C4E-BAC552A721A4}"/>
    <hyperlink ref="X77" r:id="rId76" xr:uid="{CC63A6D2-7745-4041-8892-4AF7F469AA76}"/>
    <hyperlink ref="X78" r:id="rId77" xr:uid="{A40A2BE5-A8AF-4CF7-B69F-1DA1A42A9456}"/>
    <hyperlink ref="X79" r:id="rId78" xr:uid="{C46FF954-1D73-488B-A3F9-C5FB8B22FECB}"/>
    <hyperlink ref="X80" r:id="rId79" xr:uid="{FAADD009-85C2-4DEB-876F-A9C2F4971EA6}"/>
    <hyperlink ref="X81" r:id="rId80" xr:uid="{8D6DD286-B05F-4ED8-865F-1241BDBA93BA}"/>
    <hyperlink ref="X82" r:id="rId81" xr:uid="{1921E106-1F56-47F1-96A0-AD93C7E6DA69}"/>
    <hyperlink ref="X83" r:id="rId82" xr:uid="{7C59B160-105D-48D7-BA9A-BAB7B9D08184}"/>
    <hyperlink ref="X84" r:id="rId83" xr:uid="{CC156C85-DDEA-4D41-85F1-D50CC2A4D605}"/>
    <hyperlink ref="X85" r:id="rId84" xr:uid="{4399857E-A04F-4C68-AB81-10CC9C3252F1}"/>
    <hyperlink ref="X86" r:id="rId85" xr:uid="{54682AD8-BB0B-4C51-B6F7-8869359F3E36}"/>
    <hyperlink ref="X87" r:id="rId86" xr:uid="{DD2A9E3F-21D8-4995-9350-90189EB8BF93}"/>
    <hyperlink ref="X88" r:id="rId87" xr:uid="{052FB369-6C9B-4E3F-8957-A00BD135E403}"/>
    <hyperlink ref="X89" r:id="rId88" xr:uid="{CE5D9AE0-E573-42CF-9DA2-B742564E863E}"/>
    <hyperlink ref="X90" r:id="rId89" xr:uid="{ED915F3A-3E35-4AD0-B839-6D7A14DD26D0}"/>
    <hyperlink ref="X91" r:id="rId90" xr:uid="{A1CBE0DC-B669-4CC8-B955-99FE9DFA151B}"/>
    <hyperlink ref="X92" r:id="rId91" xr:uid="{CC21FC9C-1C8C-4580-ADCC-6E4725F95466}"/>
    <hyperlink ref="X93" r:id="rId92" xr:uid="{E21442A7-094B-4E88-BE4B-CBA611601C5D}"/>
    <hyperlink ref="X94" r:id="rId93" xr:uid="{69DFEC59-1266-40B3-86A6-90B537E61762}"/>
    <hyperlink ref="X95" r:id="rId94" xr:uid="{DF4CD684-BE49-4963-AA7E-021285A28FAB}"/>
    <hyperlink ref="X96" r:id="rId95" xr:uid="{09D8F9B8-D007-499C-A200-D471ECCD6CEF}"/>
    <hyperlink ref="X97" r:id="rId96" xr:uid="{433818E1-632B-46EB-9B35-328854506776}"/>
    <hyperlink ref="X98" r:id="rId97" xr:uid="{2CE0D24F-6DDB-43A6-8AB1-FE6DAEC340C8}"/>
    <hyperlink ref="X99" r:id="rId98" xr:uid="{46CF7EC4-D7EF-449B-AD88-94C8B4F148A1}"/>
    <hyperlink ref="X100" r:id="rId99" xr:uid="{0D115EAF-03BC-46FE-B7E0-0B92418C87EE}"/>
    <hyperlink ref="X101" r:id="rId100" xr:uid="{2153EA99-C022-4630-A600-3DC0ECA494BA}"/>
    <hyperlink ref="X102" r:id="rId101" xr:uid="{BA398ED6-2CF3-4A33-87EB-DA22ED11DB9C}"/>
    <hyperlink ref="X103" r:id="rId102" xr:uid="{4FF07EB5-7E14-4CDD-B70A-D4221E6A4A02}"/>
    <hyperlink ref="X104" r:id="rId103" xr:uid="{914F67C7-BFF6-4725-B0A8-E1C38F4BE155}"/>
    <hyperlink ref="X105" r:id="rId104" xr:uid="{FE6FCF5A-CB58-4C43-967D-64DBAFFB9C5A}"/>
    <hyperlink ref="X106" r:id="rId105" xr:uid="{AC2F9C00-D26D-4BBD-93B4-0F827786A9E5}"/>
    <hyperlink ref="X107" r:id="rId106" xr:uid="{1AD3A46B-FA19-4C56-A8C6-F5511FDE5390}"/>
    <hyperlink ref="X108" r:id="rId107" xr:uid="{0857824C-C500-405A-8BF3-C2D34FAF1DAF}"/>
    <hyperlink ref="X109" r:id="rId108" xr:uid="{F55A3B97-17AF-40D3-ADE5-0F0BA83F04B4}"/>
    <hyperlink ref="X110" r:id="rId109" xr:uid="{249445BF-7ED6-49A0-A21A-8D3A6B5A99BA}"/>
    <hyperlink ref="X111" r:id="rId110" xr:uid="{F9E6F1B6-1F9F-432C-BE15-72153D285F43}"/>
    <hyperlink ref="X112" r:id="rId111" xr:uid="{A9EA06F7-7CF3-40E4-9CB8-C6846399E2F4}"/>
    <hyperlink ref="X113" r:id="rId112" xr:uid="{6D275989-36E1-44A8-A7C6-57705A7695F4}"/>
    <hyperlink ref="X114" r:id="rId113" xr:uid="{E1D2306D-9689-4D68-BB6C-47EB53D403E8}"/>
    <hyperlink ref="X115" r:id="rId114" xr:uid="{5AE5502F-490C-4357-96FB-DAC5A1445627}"/>
    <hyperlink ref="X116" r:id="rId115" xr:uid="{A282D12F-B60B-41C7-8834-15940F343A7A}"/>
    <hyperlink ref="X117" r:id="rId116" xr:uid="{01C6CC0F-5EC3-4E96-9F97-328742AF7307}"/>
    <hyperlink ref="X118" r:id="rId117" xr:uid="{841B2E4E-E415-44AC-BC00-6E645340B8BB}"/>
    <hyperlink ref="X119" r:id="rId118" xr:uid="{C49DE6F5-096E-4C4C-8BAA-077D56CC76F1}"/>
    <hyperlink ref="X120" r:id="rId119" xr:uid="{F6D57B44-1B5A-438B-B0AA-425AB26CC480}"/>
    <hyperlink ref="X121" r:id="rId120" xr:uid="{3D71C095-F354-4B30-A29B-F284EFB2157D}"/>
    <hyperlink ref="X122" r:id="rId121" xr:uid="{D4C97420-EF20-4D0A-96DF-B5D3A958DF14}"/>
    <hyperlink ref="X123" r:id="rId122" xr:uid="{8260FD31-E0BA-4EC7-AD86-19AE7A35F314}"/>
    <hyperlink ref="X124" r:id="rId123" xr:uid="{3F433D73-5725-4D2C-B2DC-BA04BC2840C9}"/>
    <hyperlink ref="X125" r:id="rId124" xr:uid="{169C184E-C173-4135-9E21-03153C05DE22}"/>
    <hyperlink ref="X126" r:id="rId125" xr:uid="{7540A407-BD87-4CC6-9A96-342FA34C756A}"/>
    <hyperlink ref="X127" r:id="rId126" xr:uid="{798E06CD-FAA2-4BE6-AC09-C7DBD825E722}"/>
    <hyperlink ref="X128" r:id="rId127" xr:uid="{DB83B11B-F570-4665-BCF3-BEBB88D277EC}"/>
    <hyperlink ref="X129" r:id="rId128" xr:uid="{5995E90C-9594-4282-B6F5-9FFC3DFBA81C}"/>
    <hyperlink ref="X130" r:id="rId129" xr:uid="{2C274A0F-E01C-4BBE-9286-4B1DD3026C1D}"/>
    <hyperlink ref="X131" r:id="rId130" xr:uid="{5078A2AA-ABB4-42B4-83E5-5AC6B5D05AE7}"/>
    <hyperlink ref="X132" r:id="rId131" xr:uid="{F7FE8DB5-F252-4B35-B593-D447F8FEC3DF}"/>
    <hyperlink ref="X133" r:id="rId132" xr:uid="{96E3B906-5F3B-4444-80E8-95D7C9C97B21}"/>
    <hyperlink ref="X134" r:id="rId133" xr:uid="{382329DC-68C8-4542-A26F-38C62EB11305}"/>
    <hyperlink ref="X135" r:id="rId134" xr:uid="{E31B4A0F-359E-4739-94E3-33E2632EA973}"/>
    <hyperlink ref="X136" r:id="rId135" xr:uid="{E32A986E-FB00-481A-999C-4E56C09D417D}"/>
    <hyperlink ref="X137" r:id="rId136" xr:uid="{23B28450-87DF-4C01-B0D2-E2597A999739}"/>
    <hyperlink ref="X138" r:id="rId137" xr:uid="{709065E6-6432-478E-A766-781AB5842D14}"/>
    <hyperlink ref="X139" r:id="rId138" xr:uid="{373C8A35-79CE-43E4-9332-9EF985E27C5F}"/>
    <hyperlink ref="X140" r:id="rId139" xr:uid="{883BE4F4-E51E-4381-B82E-D5BEBDFB9F34}"/>
    <hyperlink ref="X141" r:id="rId140" xr:uid="{27FDA4F0-EFE5-48C3-97B7-3E755BA3C226}"/>
    <hyperlink ref="X142" r:id="rId141" xr:uid="{63B9C4D6-24AE-4671-80CC-2546F503D060}"/>
    <hyperlink ref="X143" r:id="rId142" xr:uid="{0F7A9EA5-90A4-4EC4-868E-281D0BC4D01B}"/>
    <hyperlink ref="X144" r:id="rId143" xr:uid="{C19BA532-AEAD-4424-92E5-3DBEA59E6859}"/>
    <hyperlink ref="X145" r:id="rId144" xr:uid="{04831D44-47E6-4886-85CB-1527FE5C3CA0}"/>
    <hyperlink ref="X146" r:id="rId145" xr:uid="{863CC7B2-59E9-4408-B1AD-0460FB4F2DF9}"/>
    <hyperlink ref="X147" r:id="rId146" xr:uid="{FBB58519-A838-4CD3-BE9D-6DC02C7B9FC7}"/>
    <hyperlink ref="X148" r:id="rId147" xr:uid="{E449AFF1-AA9D-41EF-9F62-21550F3374D8}"/>
    <hyperlink ref="X149" r:id="rId148" xr:uid="{9B4922C2-524B-4D11-936C-AEEA63A278D7}"/>
    <hyperlink ref="X150" r:id="rId149" xr:uid="{2D5F4311-0D32-42A1-A799-87BC6426841F}"/>
    <hyperlink ref="X151" r:id="rId150" xr:uid="{90870EFE-0B52-411B-9CB9-2565AE5352E7}"/>
    <hyperlink ref="X152" r:id="rId151" xr:uid="{FE72C4BB-9CD7-4647-8864-DE4BB767F04D}"/>
    <hyperlink ref="X153" r:id="rId152" xr:uid="{9B04C1EE-CA1D-440A-AB44-3FC7E0A3A116}"/>
    <hyperlink ref="X154" r:id="rId153" xr:uid="{EB4C7247-1D92-4563-BC0E-30C3527A4C58}"/>
    <hyperlink ref="X155" r:id="rId154" xr:uid="{40AFEC79-F026-4D8A-A368-43D149626A75}"/>
    <hyperlink ref="X156" r:id="rId155" xr:uid="{B4CDA482-3C7B-4341-8B33-3F23621235B1}"/>
    <hyperlink ref="X157" r:id="rId156" xr:uid="{64924DB4-63AE-4497-BF9A-3B8453EE8F4B}"/>
    <hyperlink ref="X158" r:id="rId157" xr:uid="{7541DE97-8F3C-40EF-9F08-B0EA1F033C3D}"/>
    <hyperlink ref="X159" r:id="rId158" xr:uid="{589CCAFF-ED61-4B12-8ED1-FEF78B7193D7}"/>
    <hyperlink ref="X160" r:id="rId159" xr:uid="{7936EC5C-E7C0-4EFD-AC36-4DCF88568082}"/>
    <hyperlink ref="X161" r:id="rId160" xr:uid="{478B2F33-45C4-4104-8B8E-E9CBF7E9AF1F}"/>
    <hyperlink ref="X162" r:id="rId161" xr:uid="{43B58862-B9E1-4273-848A-E5E77AE478BE}"/>
    <hyperlink ref="X163" r:id="rId162" xr:uid="{CDB48419-FEDE-46D5-97B2-4FC2D0F653D4}"/>
    <hyperlink ref="X164" r:id="rId163" xr:uid="{9267FDE6-FE81-4219-BF5D-E4AC0FE4D8F6}"/>
    <hyperlink ref="X165" r:id="rId164" xr:uid="{6EE8AB4D-1189-448B-874B-2986930DC1E5}"/>
    <hyperlink ref="X166" r:id="rId165" xr:uid="{31B2EA34-210D-401D-9D76-258DCD4F142F}"/>
    <hyperlink ref="X167" r:id="rId166" xr:uid="{095728E0-805F-48DA-ACF9-60B3D02D4DA8}"/>
    <hyperlink ref="X168" r:id="rId167" xr:uid="{4ED1E186-09C9-4742-811C-B8944B665F61}"/>
    <hyperlink ref="X169" r:id="rId168" xr:uid="{69C6F315-BED3-4EF8-BB10-8AF432B56F65}"/>
    <hyperlink ref="X170" r:id="rId169" xr:uid="{8466D71D-BD4A-4540-9B30-1D2565B42705}"/>
    <hyperlink ref="X171" r:id="rId170" xr:uid="{F3168881-DEFC-4EC9-ABD0-4E347783CBBA}"/>
    <hyperlink ref="X172" r:id="rId171" xr:uid="{A3548AB6-BA36-4A3C-8072-AB01FEAC6CCE}"/>
    <hyperlink ref="X173" r:id="rId172" xr:uid="{FDABAD99-EF21-4188-A7A5-B8FE31A0A0B2}"/>
    <hyperlink ref="X174" r:id="rId173" xr:uid="{AEB45A71-88DB-4AD5-AFE8-2F337F9C5011}"/>
    <hyperlink ref="X175" r:id="rId174" xr:uid="{3DF40815-B576-4E31-98B1-2D335FC41B3C}"/>
    <hyperlink ref="X176" r:id="rId175" xr:uid="{75745695-8938-4728-A5AC-A37E44AFF9DC}"/>
    <hyperlink ref="X177" r:id="rId176" xr:uid="{3806010D-39B7-4E9D-825D-DFC7152CA333}"/>
    <hyperlink ref="X178" r:id="rId177" xr:uid="{D54E4097-F376-48D3-8C33-F0F15E690735}"/>
    <hyperlink ref="X179" r:id="rId178" xr:uid="{AEF20800-E09C-4B46-A5A6-A04581008062}"/>
    <hyperlink ref="X180" r:id="rId179" xr:uid="{C9441B93-8340-4B04-A0D3-3FAF23A95134}"/>
    <hyperlink ref="X181" r:id="rId180" xr:uid="{4BC6F2BF-577B-4571-A11A-E7BD4FDA6D10}"/>
    <hyperlink ref="X182" r:id="rId181" xr:uid="{A4571B2B-8D89-40F1-8E34-0552C43FDCFB}"/>
    <hyperlink ref="X183" r:id="rId182" xr:uid="{D4FAB1CC-72BD-4866-BDD7-7709B34FE0CD}"/>
    <hyperlink ref="X184" r:id="rId183" xr:uid="{7E198531-D2D3-479A-9027-4AFAE3DCB804}"/>
    <hyperlink ref="X185" r:id="rId184" xr:uid="{5EC1EC78-20D8-4592-B2BE-10501FD562D0}"/>
    <hyperlink ref="X186" r:id="rId185" xr:uid="{3B7987E3-0E23-4FFF-A735-8BF6E067DA0D}"/>
    <hyperlink ref="X187" r:id="rId186" xr:uid="{0F58A43B-250B-4D9D-B7DD-346ECE467D4A}"/>
    <hyperlink ref="X188" r:id="rId187" xr:uid="{15A8F651-2173-45F7-A98D-B3FE0A99DB2B}"/>
    <hyperlink ref="X189" r:id="rId188" xr:uid="{FADF82D7-C20D-44D1-A3E9-9EDA9426E4B4}"/>
    <hyperlink ref="X190" r:id="rId189" xr:uid="{928C2FF7-A188-459F-BA5A-7F3F3E64FD6F}"/>
    <hyperlink ref="X191" r:id="rId190" xr:uid="{126A779F-D97D-4EA3-AFDD-03DA4A34454B}"/>
    <hyperlink ref="X192" r:id="rId191" xr:uid="{81C67A7E-6DAE-4784-8A98-D3F05B7B6549}"/>
    <hyperlink ref="X193" r:id="rId192" xr:uid="{3AC77050-2875-40D0-87EA-E3FBD9286AFD}"/>
    <hyperlink ref="X194" r:id="rId193" xr:uid="{3D95D87D-CFD0-4588-AFCA-07FB3F318E65}"/>
    <hyperlink ref="X195" r:id="rId194" xr:uid="{9B81551D-FC76-4E24-BAAA-D303F3A6230F}"/>
    <hyperlink ref="X196" r:id="rId195" xr:uid="{907921E2-3210-4891-98FE-326E0F24EF81}"/>
    <hyperlink ref="X197" r:id="rId196" xr:uid="{72D892F5-3D7D-4B88-9784-4E370BF6D178}"/>
    <hyperlink ref="X198" r:id="rId197" xr:uid="{74739A0C-B8F5-4E96-9F65-52FEAB367DB7}"/>
    <hyperlink ref="X199" r:id="rId198" xr:uid="{0DE60355-41AD-4601-8D3F-3C1E50156C67}"/>
    <hyperlink ref="X200" r:id="rId199" xr:uid="{6AE0BE17-7191-4126-AFFD-3F71223841EA}"/>
    <hyperlink ref="X201" r:id="rId200" xr:uid="{64555126-AD7D-4BAD-9E99-E15F682CD41D}"/>
    <hyperlink ref="X202" r:id="rId201" xr:uid="{40BCAFA0-DC84-4855-9417-0B036E765614}"/>
    <hyperlink ref="X203" r:id="rId202" xr:uid="{36CD2F0A-420A-43C3-BF11-B97156A5927A}"/>
    <hyperlink ref="X204" r:id="rId203" xr:uid="{A661BD6A-AC8F-4CF3-9049-A4F812187638}"/>
    <hyperlink ref="X205" r:id="rId204" xr:uid="{F2F61C82-6A54-4DFB-89AF-170F5FA37E7B}"/>
    <hyperlink ref="X206" r:id="rId205" xr:uid="{0F6B461C-C0B4-417A-97C2-EBFCFC16D824}"/>
    <hyperlink ref="X207" r:id="rId206" xr:uid="{39CE9E80-FD02-4F24-B8B3-E436B1356FF0}"/>
    <hyperlink ref="X208" r:id="rId207" xr:uid="{C42CB6E7-B6DA-4A17-A417-A76F336EE935}"/>
    <hyperlink ref="X209" r:id="rId208" xr:uid="{6D058821-9D94-466E-A8A5-406D03A3A786}"/>
    <hyperlink ref="X210" r:id="rId209" xr:uid="{418A482C-E7BA-4914-B372-71D8F8841837}"/>
    <hyperlink ref="X211" r:id="rId210" xr:uid="{06009493-B634-4C47-BAB0-5F0E92F12BC5}"/>
    <hyperlink ref="X212" r:id="rId211" xr:uid="{4C38F8BB-E4D4-43B1-BD2D-331E76A624B2}"/>
    <hyperlink ref="X213" r:id="rId212" xr:uid="{452F54DC-1A4A-4162-9517-521D5025CDAD}"/>
    <hyperlink ref="X214" r:id="rId213" xr:uid="{98AE30EC-14BE-4667-B478-14957021D170}"/>
    <hyperlink ref="X215" r:id="rId214" xr:uid="{F27ACCEC-2ADE-47A1-B8F4-7BD7E34C1C2D}"/>
    <hyperlink ref="X216" r:id="rId215" xr:uid="{14E99990-31C8-406B-95A9-BC0D7AD81C5F}"/>
    <hyperlink ref="X217" r:id="rId216" xr:uid="{6B15967D-5163-4F07-B31A-FC1CA2D2B94F}"/>
    <hyperlink ref="X218" r:id="rId217" xr:uid="{BBBDDFFC-A319-4928-9445-EFFF84FA931B}"/>
    <hyperlink ref="X219" r:id="rId218" xr:uid="{526CA289-D527-4061-BA80-5716FBCE865E}"/>
    <hyperlink ref="X220" r:id="rId219" xr:uid="{D4A2B1AE-6D66-4275-ABF4-95F9F207775B}"/>
    <hyperlink ref="X221" r:id="rId220" xr:uid="{19F5D728-46CF-4FE9-8403-285D2066F58D}"/>
    <hyperlink ref="X222" r:id="rId221" xr:uid="{50620B70-6F44-40B3-BEF2-2439A7D39671}"/>
    <hyperlink ref="X223" r:id="rId222" xr:uid="{5C3C8EBD-E074-4554-BC54-CD050F8162E8}"/>
    <hyperlink ref="X224" r:id="rId223" xr:uid="{36A9E355-AC4E-4C5B-BF02-21AB15F06386}"/>
    <hyperlink ref="X225" r:id="rId224" xr:uid="{E1FB407C-E5B8-4A39-B1A3-848C956CD8FD}"/>
    <hyperlink ref="X226" r:id="rId225" xr:uid="{8309F960-77E6-4176-A9B7-BF875BB026D9}"/>
    <hyperlink ref="X227" r:id="rId226" xr:uid="{A0A8515B-FEF6-49D5-9723-FCCB01F762AD}"/>
    <hyperlink ref="X228" r:id="rId227" xr:uid="{0A186425-21F5-499A-9D19-553FF4716AEF}"/>
    <hyperlink ref="X229" r:id="rId228" xr:uid="{8BB12DC7-E95F-44C5-8187-9A55B365324D}"/>
    <hyperlink ref="X230" r:id="rId229" xr:uid="{0F473D5A-6C73-4657-88AE-57C1FD6A0A97}"/>
    <hyperlink ref="X231" r:id="rId230" xr:uid="{7D9B155C-769B-4D8E-B84D-3BE5ACBEC32B}"/>
    <hyperlink ref="X232" r:id="rId231" xr:uid="{ED4242D7-5FEE-495A-A78E-CF924E6A67AB}"/>
    <hyperlink ref="X233" r:id="rId232" xr:uid="{2FF1C706-6967-4821-B9B3-32957B39108A}"/>
    <hyperlink ref="X234" r:id="rId233" xr:uid="{095F9438-B6B6-47D9-9988-FED873496B74}"/>
    <hyperlink ref="X235" r:id="rId234" xr:uid="{2F0B7515-6BAE-4F21-8F6F-32F5000E21E5}"/>
    <hyperlink ref="X236" r:id="rId235" xr:uid="{B0F8A1BA-5000-47C8-9BC1-AE58FA01E88D}"/>
    <hyperlink ref="X237" r:id="rId236" xr:uid="{5DEC32F4-B6C5-472A-9613-8647E7C6491E}"/>
    <hyperlink ref="X238" r:id="rId237" xr:uid="{04408181-93F3-4895-B019-BE1B1AC31141}"/>
    <hyperlink ref="X239" r:id="rId238" xr:uid="{267AFCF0-CB43-45DB-BA78-0EF2F264675A}"/>
    <hyperlink ref="X240" r:id="rId239" xr:uid="{6A96A2F6-121B-4AA4-9C29-05089D2EF47D}"/>
    <hyperlink ref="X241" r:id="rId240" xr:uid="{67BDDFC0-2502-4139-8910-4295800E1741}"/>
    <hyperlink ref="X242" r:id="rId241" xr:uid="{3C7380B7-8460-4D82-A317-34B5F8ED89DF}"/>
    <hyperlink ref="X243" r:id="rId242" xr:uid="{99D6E91C-596F-4A97-ABE4-11A460FA31FE}"/>
    <hyperlink ref="X244" r:id="rId243" xr:uid="{59A20700-A310-4CCA-B64F-9A6E82078F09}"/>
    <hyperlink ref="X245" r:id="rId244" xr:uid="{D717ADA2-EB89-4602-8884-21DC39B70177}"/>
    <hyperlink ref="X246" r:id="rId245" xr:uid="{CA58BDC6-5672-4457-967A-18315A54F4C3}"/>
    <hyperlink ref="X247" r:id="rId246" xr:uid="{8F76B697-F37D-4A85-BEE8-C73645F68133}"/>
    <hyperlink ref="X248" r:id="rId247" xr:uid="{0315F6BB-418B-43E1-8863-220E7EA7838C}"/>
    <hyperlink ref="X249" r:id="rId248" xr:uid="{D80ADC07-5597-4329-8FE3-5CF75510F7AA}"/>
    <hyperlink ref="X250" r:id="rId249" xr:uid="{A1C6ACC3-00EF-4CBE-BF85-C25DDB0EA0F7}"/>
    <hyperlink ref="X251" r:id="rId250" xr:uid="{EFFCDDC0-5A06-4174-8A5D-AE8AEAEED835}"/>
    <hyperlink ref="X252" r:id="rId251" xr:uid="{12217CD1-BFBF-43F5-AC0B-7CFCE77F08B5}"/>
    <hyperlink ref="X253" r:id="rId252" xr:uid="{75BCBA9B-28BC-49FA-9A14-0457955DDA78}"/>
    <hyperlink ref="X254" r:id="rId253" xr:uid="{EA159EE0-56D5-429E-AAB8-96A0B6214EAD}"/>
    <hyperlink ref="X255" r:id="rId254" xr:uid="{C7EA6992-6B7F-47A4-BC48-16F76DECAF4D}"/>
    <hyperlink ref="X256" r:id="rId255" xr:uid="{814F6343-75C9-4846-B50C-D66190D6D4D6}"/>
    <hyperlink ref="X257" r:id="rId256" xr:uid="{5240076A-EE6B-42F2-A6F7-83F3DD3895D3}"/>
    <hyperlink ref="X258" r:id="rId257" xr:uid="{2CB64F25-33C2-487F-96C5-71CEAE51FB37}"/>
    <hyperlink ref="X259" r:id="rId258" xr:uid="{532AE41F-AC20-4ECB-B4C2-AA83E891110D}"/>
    <hyperlink ref="X260" r:id="rId259" xr:uid="{704D92FC-182B-4DBE-9D2B-04415BC5EEDE}"/>
    <hyperlink ref="X261" r:id="rId260" xr:uid="{118C0CC4-4DD4-4D59-BF56-6B91B99B4C25}"/>
    <hyperlink ref="X262" r:id="rId261" xr:uid="{CFE189EA-73E1-4A85-B096-20B2686C38D7}"/>
    <hyperlink ref="X263" r:id="rId262" xr:uid="{7DD96FD5-F901-4F9F-962E-85022AC6F6C1}"/>
    <hyperlink ref="X264" r:id="rId263" xr:uid="{7F388118-0D36-47C9-900C-AADB394AE425}"/>
    <hyperlink ref="X265" r:id="rId264" xr:uid="{3DBD56D5-543B-445C-9873-4EBB1A3A656A}"/>
    <hyperlink ref="X266" r:id="rId265" xr:uid="{F48A3630-5D1C-4985-89E7-0FC9A46D903B}"/>
    <hyperlink ref="X267" r:id="rId266" xr:uid="{90CA5168-7D5C-43A3-BC38-EBCD5177AF2B}"/>
    <hyperlink ref="X268" r:id="rId267" xr:uid="{3682E9C8-37B1-4D6C-A1D0-B8813700D9E8}"/>
    <hyperlink ref="X269" r:id="rId268" xr:uid="{29610358-03F6-413C-9F57-EE7E21D0306A}"/>
    <hyperlink ref="X270" r:id="rId269" xr:uid="{8F091C38-DEE8-4F0E-844A-6B269782FE95}"/>
    <hyperlink ref="X271" r:id="rId270" xr:uid="{4D47319B-50B2-4BE4-97A6-4F6E919B43F9}"/>
    <hyperlink ref="X272" r:id="rId271" xr:uid="{5D93A5C1-A7C6-44BB-A5AE-37E4E46BFC1D}"/>
    <hyperlink ref="X273" r:id="rId272" xr:uid="{FBB1F56D-EB0C-42C0-BD6E-EFEA53E537ED}"/>
    <hyperlink ref="X274" r:id="rId273" xr:uid="{9F101813-E712-4A95-AD02-E6B884DAD427}"/>
    <hyperlink ref="T275" r:id="rId274" location="gid=81933000" display="https://docs.google.com/spreadsheets/d/13i-71-8pT4rpMALB54lkxj9iElQQKs5WTj19r-X2hm4/edit - gid=81933000" xr:uid="{9C9BEE74-BC34-40F6-B17E-760424E85790}"/>
    <hyperlink ref="X275" r:id="rId275" xr:uid="{E388AA65-BB9F-4CB1-B3F4-01E86F0B8E37}"/>
    <hyperlink ref="X276" r:id="rId276" xr:uid="{8AE28E8E-DDB7-40AC-9CFA-97FCD3E17325}"/>
    <hyperlink ref="X277" r:id="rId277" xr:uid="{0D1DF01B-4889-478F-AA20-F51EDB68B13D}"/>
    <hyperlink ref="X278" r:id="rId278" xr:uid="{D8E020DA-3073-45E8-9247-A47A6894B766}"/>
    <hyperlink ref="X279" r:id="rId279" xr:uid="{6F08DC09-2113-4087-9804-79A73D1C4680}"/>
    <hyperlink ref="X280" r:id="rId280" xr:uid="{24E4FCB6-FC38-4CA7-8238-461361DE272F}"/>
    <hyperlink ref="X281" r:id="rId281" xr:uid="{85E369E5-5C09-4651-AB5A-D20910BEB713}"/>
    <hyperlink ref="X282" r:id="rId282" xr:uid="{D54F338E-4117-41E9-910D-63BEBAE96A2D}"/>
    <hyperlink ref="X283" r:id="rId283" xr:uid="{00C5D1C1-BA34-4C70-8769-FE0B306ABE11}"/>
    <hyperlink ref="X284" r:id="rId284" xr:uid="{FE8D6E2A-0967-4E15-9E9E-9CD25397EE58}"/>
    <hyperlink ref="X285" r:id="rId285" xr:uid="{05F342E9-97F3-4A3F-A25E-4305362D446F}"/>
    <hyperlink ref="X286" r:id="rId286" xr:uid="{2F2CBBC8-385B-49B0-A85F-1E0843DE57FA}"/>
    <hyperlink ref="X287" r:id="rId287" xr:uid="{DB8F0A01-FA49-42A7-8585-9E5D9C9DE847}"/>
    <hyperlink ref="X288" r:id="rId288" xr:uid="{2B1AE089-9C05-4AAD-90DA-A7092C80EA49}"/>
    <hyperlink ref="X289" r:id="rId289" xr:uid="{7922E257-5E78-46A9-866F-EA161314DA62}"/>
    <hyperlink ref="X290" r:id="rId290" xr:uid="{7AD23952-3757-4A76-A766-432CF2119492}"/>
    <hyperlink ref="X291" r:id="rId291" xr:uid="{B87693D7-6624-4D5B-AC99-8C28EC1AF9F1}"/>
    <hyperlink ref="X292" r:id="rId292" xr:uid="{53BE826F-F599-48C3-92D0-8763F76BBBC3}"/>
    <hyperlink ref="X293" r:id="rId293" xr:uid="{74B22172-8985-46C3-B225-1F893E5683C9}"/>
    <hyperlink ref="X294" r:id="rId294" xr:uid="{841B1B43-F871-4980-A146-8F15F4235D55}"/>
    <hyperlink ref="X295" r:id="rId295" xr:uid="{5F1361B6-58D1-4876-88DC-33E9375B3865}"/>
    <hyperlink ref="X296" r:id="rId296" xr:uid="{FFE4F9C1-D7C7-4257-8B16-BE1D3B2431A5}"/>
    <hyperlink ref="X297" r:id="rId297" xr:uid="{528F90B2-DE9A-4FAD-8E8C-729262DE8093}"/>
    <hyperlink ref="X298" r:id="rId298" xr:uid="{133E93EB-7C67-4F5A-A164-F294011F4E3D}"/>
    <hyperlink ref="X299" r:id="rId299" xr:uid="{B27218C8-E217-4FC1-B0C2-9D8B8FC18E7D}"/>
    <hyperlink ref="X300" r:id="rId300" xr:uid="{56DCED4F-A751-4882-B0C7-8BD56B6EAE90}"/>
    <hyperlink ref="X301" r:id="rId301" xr:uid="{41B3237C-2CB5-4746-A5FC-D91F29AA6305}"/>
    <hyperlink ref="X302" r:id="rId302" xr:uid="{2AC7FBF0-E3BE-4969-9424-F4CE315F7361}"/>
    <hyperlink ref="X303" r:id="rId303" xr:uid="{8E0B55AC-4DAD-4E56-A84D-BB9ADA396118}"/>
    <hyperlink ref="X304" r:id="rId304" xr:uid="{FE2DB069-6030-4F97-8E0A-69E93C9C025D}"/>
    <hyperlink ref="X305" r:id="rId305" xr:uid="{626F4C7E-A166-4FFD-8330-914AE81D1ED4}"/>
    <hyperlink ref="X306" r:id="rId306" xr:uid="{413D3070-3859-4B9E-B112-73E167797ED9}"/>
    <hyperlink ref="X307" r:id="rId307" xr:uid="{8B99C973-FFC3-4871-A176-501CC821D69D}"/>
    <hyperlink ref="X308" r:id="rId308" xr:uid="{C8A03977-E5DC-4562-B675-554EDBD47578}"/>
    <hyperlink ref="X309" r:id="rId309" xr:uid="{F3FBFC34-1740-4283-ADED-43137B7FB94B}"/>
    <hyperlink ref="X310" r:id="rId310" xr:uid="{06D4227B-FE13-440E-860D-BAF533756C60}"/>
    <hyperlink ref="X311" r:id="rId311" xr:uid="{48234F90-CE54-4CCD-9487-426F5055E7FD}"/>
    <hyperlink ref="X312" r:id="rId312" xr:uid="{92350968-8C0E-49BD-8F97-61F858DA1807}"/>
    <hyperlink ref="X313" r:id="rId313" xr:uid="{CF6DDCAD-D3D7-4605-A41A-3D294159C8A1}"/>
    <hyperlink ref="X314" r:id="rId314" xr:uid="{DA2A988C-71A3-446E-B45C-A5D7BBC8E805}"/>
    <hyperlink ref="X315" r:id="rId315" xr:uid="{B373193B-43A0-4E72-9453-9CCA154FFAF5}"/>
    <hyperlink ref="X316" r:id="rId316" xr:uid="{18210BE0-BDE4-40B0-B89A-93C52918D8FA}"/>
    <hyperlink ref="X317" r:id="rId317" xr:uid="{500665D6-435B-41E3-B3D8-85F174187D5F}"/>
    <hyperlink ref="X318" r:id="rId318" xr:uid="{CD2F55BF-6CBB-42B5-A7D6-06B172AE712E}"/>
    <hyperlink ref="X319" r:id="rId319" xr:uid="{7E57CA77-AE70-4CA2-B117-79BAB58C53E5}"/>
    <hyperlink ref="X320" r:id="rId320" xr:uid="{5C1078E8-385E-4B78-BED6-ED73672F8E23}"/>
    <hyperlink ref="X321" r:id="rId321" xr:uid="{AA902B2B-971D-4B21-AEBF-B96518DF88E8}"/>
    <hyperlink ref="X322" r:id="rId322" xr:uid="{7991478A-69A3-4300-A191-FDCEF84CB940}"/>
    <hyperlink ref="X323" r:id="rId323" xr:uid="{EC390D1C-EDFA-43F9-B2AB-50B781BC7F86}"/>
    <hyperlink ref="X324" r:id="rId324" xr:uid="{A8890BFD-C0EF-4FF8-A8EE-FB7B0BED9C97}"/>
    <hyperlink ref="X325" r:id="rId325" xr:uid="{BAF8A914-F716-4C35-808A-CFEE9261E236}"/>
    <hyperlink ref="X326" r:id="rId326" xr:uid="{9A48D4ED-615E-4D55-BBD3-7333B2025B97}"/>
    <hyperlink ref="X327" r:id="rId327" xr:uid="{8263B7CA-4E1C-47EA-9E29-AF22B4F85CC3}"/>
    <hyperlink ref="X328" r:id="rId328" xr:uid="{38EF8CCC-A307-45A5-BA0B-BFB39314EAAB}"/>
    <hyperlink ref="X329" r:id="rId329" xr:uid="{EA9C3B11-6ED5-4539-BF84-51AC026797DD}"/>
    <hyperlink ref="X330" r:id="rId330" xr:uid="{EE2D1272-2748-4619-825C-5B3959CC6C7A}"/>
    <hyperlink ref="X331" r:id="rId331" xr:uid="{0E2F3B59-BEDE-41D0-920D-3FCAB80BC6E4}"/>
    <hyperlink ref="X332" r:id="rId332" xr:uid="{E41781AE-E3E6-47D2-8FE2-D95A501CBC68}"/>
    <hyperlink ref="X333" r:id="rId333" xr:uid="{DFDAD029-CBFA-4FE5-A157-0AC11014517C}"/>
    <hyperlink ref="X334" r:id="rId334" xr:uid="{DB8E68A9-A1B0-4E63-82E4-C57EBE6BBF0A}"/>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39A1-A983-4626-9978-4DB34575298E}">
  <dimension ref="A1:FE61"/>
  <sheetViews>
    <sheetView topLeftCell="A31" workbookViewId="0">
      <selection activeCell="Q51" sqref="Q51"/>
    </sheetView>
  </sheetViews>
  <sheetFormatPr defaultRowHeight="12" customHeight="1"/>
  <cols>
    <col min="4" max="4" width="16.73046875" customWidth="1"/>
  </cols>
  <sheetData>
    <row r="1" spans="1:161" s="80" customFormat="1" ht="12" customHeight="1">
      <c r="A1" s="80" t="s">
        <v>0</v>
      </c>
      <c r="B1" s="80" t="s">
        <v>5843</v>
      </c>
      <c r="C1" s="80" t="s">
        <v>5844</v>
      </c>
      <c r="D1" s="80" t="s">
        <v>5845</v>
      </c>
      <c r="E1" s="80" t="s">
        <v>5846</v>
      </c>
      <c r="F1" s="80" t="s">
        <v>5847</v>
      </c>
      <c r="G1" s="80" t="s">
        <v>5848</v>
      </c>
      <c r="H1" s="80" t="s">
        <v>5849</v>
      </c>
      <c r="I1" s="80" t="s">
        <v>5850</v>
      </c>
      <c r="J1" s="80" t="s">
        <v>5851</v>
      </c>
      <c r="K1" s="80" t="s">
        <v>5852</v>
      </c>
      <c r="L1" s="80" t="s">
        <v>5853</v>
      </c>
      <c r="M1" s="80" t="s">
        <v>5854</v>
      </c>
      <c r="N1" s="80" t="s">
        <v>5855</v>
      </c>
      <c r="O1" s="80" t="s">
        <v>5856</v>
      </c>
      <c r="P1" s="80" t="s">
        <v>5857</v>
      </c>
      <c r="Q1" s="80" t="s">
        <v>5858</v>
      </c>
      <c r="R1" s="80" t="s">
        <v>5859</v>
      </c>
      <c r="S1" s="80" t="s">
        <v>5860</v>
      </c>
      <c r="T1" s="80" t="s">
        <v>5861</v>
      </c>
      <c r="U1" s="80" t="s">
        <v>5862</v>
      </c>
      <c r="V1" s="80" t="s">
        <v>5863</v>
      </c>
      <c r="W1" s="80" t="s">
        <v>5864</v>
      </c>
      <c r="X1" s="80" t="s">
        <v>5865</v>
      </c>
      <c r="Y1" s="80" t="s">
        <v>5866</v>
      </c>
      <c r="Z1" s="80" t="s">
        <v>5867</v>
      </c>
      <c r="AA1" s="80" t="s">
        <v>5868</v>
      </c>
      <c r="AB1" s="80" t="s">
        <v>5869</v>
      </c>
      <c r="AC1" s="80" t="s">
        <v>5870</v>
      </c>
      <c r="AD1" s="80" t="s">
        <v>5871</v>
      </c>
      <c r="AE1" s="80" t="s">
        <v>5872</v>
      </c>
      <c r="AF1" s="80" t="s">
        <v>5873</v>
      </c>
      <c r="AG1" s="80" t="s">
        <v>5874</v>
      </c>
      <c r="AH1" s="80" t="s">
        <v>5875</v>
      </c>
      <c r="AI1" s="80" t="s">
        <v>5876</v>
      </c>
      <c r="AJ1" s="80" t="s">
        <v>5877</v>
      </c>
      <c r="AK1" s="80" t="s">
        <v>5878</v>
      </c>
      <c r="AL1" s="80" t="s">
        <v>5879</v>
      </c>
      <c r="AM1" s="80" t="s">
        <v>5880</v>
      </c>
      <c r="AN1" s="80" t="s">
        <v>5881</v>
      </c>
      <c r="AO1" s="80" t="s">
        <v>5882</v>
      </c>
      <c r="AP1" s="80" t="s">
        <v>5883</v>
      </c>
      <c r="AQ1" s="80" t="s">
        <v>5884</v>
      </c>
      <c r="AR1" s="80" t="s">
        <v>5885</v>
      </c>
      <c r="AS1" s="80" t="s">
        <v>5886</v>
      </c>
      <c r="AT1" s="80" t="s">
        <v>5887</v>
      </c>
      <c r="AU1" s="80" t="s">
        <v>5888</v>
      </c>
      <c r="AV1" s="80" t="s">
        <v>5889</v>
      </c>
      <c r="AW1" s="80" t="s">
        <v>5890</v>
      </c>
      <c r="AX1" s="80" t="s">
        <v>5891</v>
      </c>
      <c r="AY1" s="80" t="s">
        <v>5892</v>
      </c>
      <c r="AZ1" s="80" t="s">
        <v>5893</v>
      </c>
      <c r="BA1" s="80" t="s">
        <v>5894</v>
      </c>
      <c r="BB1" s="80" t="s">
        <v>5895</v>
      </c>
      <c r="BC1" s="80" t="s">
        <v>5896</v>
      </c>
      <c r="BD1" s="80" t="s">
        <v>5897</v>
      </c>
      <c r="BE1" s="80" t="s">
        <v>5898</v>
      </c>
      <c r="BF1" s="80" t="s">
        <v>5899</v>
      </c>
      <c r="BG1" s="80" t="s">
        <v>5900</v>
      </c>
      <c r="BH1" s="80" t="s">
        <v>5901</v>
      </c>
      <c r="BI1" s="80" t="s">
        <v>5902</v>
      </c>
      <c r="BJ1" s="80" t="s">
        <v>5903</v>
      </c>
      <c r="BK1" s="80" t="s">
        <v>5904</v>
      </c>
      <c r="BL1" s="80" t="s">
        <v>5905</v>
      </c>
      <c r="BM1" s="80" t="s">
        <v>5906</v>
      </c>
      <c r="BN1" s="80" t="s">
        <v>5907</v>
      </c>
      <c r="BO1" s="80" t="s">
        <v>5908</v>
      </c>
      <c r="BP1" s="80" t="s">
        <v>5909</v>
      </c>
      <c r="BQ1" s="80" t="s">
        <v>5910</v>
      </c>
      <c r="BR1" s="80" t="s">
        <v>5911</v>
      </c>
      <c r="BS1" s="80" t="s">
        <v>5912</v>
      </c>
      <c r="BT1" s="80" t="s">
        <v>5913</v>
      </c>
      <c r="BU1" s="80" t="s">
        <v>5914</v>
      </c>
      <c r="BV1" s="80" t="s">
        <v>5915</v>
      </c>
      <c r="BW1" s="80" t="s">
        <v>5916</v>
      </c>
      <c r="BX1" s="80" t="s">
        <v>5917</v>
      </c>
      <c r="BY1" s="80" t="s">
        <v>5918</v>
      </c>
      <c r="BZ1" s="80" t="s">
        <v>5919</v>
      </c>
      <c r="CA1" s="80" t="s">
        <v>5920</v>
      </c>
      <c r="CB1" s="80" t="s">
        <v>5921</v>
      </c>
      <c r="CC1" s="80" t="s">
        <v>5922</v>
      </c>
      <c r="CD1" s="80" t="s">
        <v>5923</v>
      </c>
      <c r="CE1" s="80" t="s">
        <v>5924</v>
      </c>
      <c r="CF1" s="80" t="s">
        <v>5924</v>
      </c>
      <c r="CG1" s="80" t="s">
        <v>5925</v>
      </c>
      <c r="CH1" s="80" t="s">
        <v>5925</v>
      </c>
      <c r="CI1" s="80" t="s">
        <v>5926</v>
      </c>
      <c r="CJ1" s="80" t="s">
        <v>5926</v>
      </c>
      <c r="CK1" s="80" t="s">
        <v>5927</v>
      </c>
      <c r="CL1" s="80" t="s">
        <v>5928</v>
      </c>
      <c r="CM1" s="80" t="s">
        <v>5928</v>
      </c>
      <c r="CN1" s="80" t="s">
        <v>5929</v>
      </c>
      <c r="CO1" s="80" t="s">
        <v>5930</v>
      </c>
      <c r="CP1" s="80" t="s">
        <v>5930</v>
      </c>
      <c r="CQ1" s="80" t="s">
        <v>5931</v>
      </c>
      <c r="CR1" s="80" t="s">
        <v>5931</v>
      </c>
      <c r="CS1" s="80" t="s">
        <v>5932</v>
      </c>
      <c r="CT1" s="80" t="s">
        <v>5932</v>
      </c>
      <c r="CU1" s="80" t="s">
        <v>5933</v>
      </c>
      <c r="CV1" s="80" t="s">
        <v>5934</v>
      </c>
      <c r="CW1" s="80" t="s">
        <v>5934</v>
      </c>
      <c r="CX1" s="80" t="s">
        <v>5935</v>
      </c>
      <c r="CY1" s="80" t="s">
        <v>5936</v>
      </c>
      <c r="CZ1" s="80" t="s">
        <v>5937</v>
      </c>
      <c r="DA1" s="80" t="s">
        <v>5938</v>
      </c>
      <c r="DB1" s="80" t="s">
        <v>5939</v>
      </c>
      <c r="DC1" s="80" t="s">
        <v>5940</v>
      </c>
      <c r="DD1" s="80" t="s">
        <v>5941</v>
      </c>
      <c r="DE1" s="80" t="s">
        <v>5942</v>
      </c>
      <c r="DF1" s="80" t="s">
        <v>5943</v>
      </c>
      <c r="DG1" s="80" t="s">
        <v>5944</v>
      </c>
      <c r="DH1" s="80" t="s">
        <v>5945</v>
      </c>
      <c r="DI1" s="80" t="s">
        <v>5945</v>
      </c>
      <c r="DJ1" s="80" t="s">
        <v>5946</v>
      </c>
      <c r="DK1" s="80" t="s">
        <v>5947</v>
      </c>
      <c r="DL1" s="80" t="s">
        <v>5948</v>
      </c>
      <c r="DM1" s="80" t="s">
        <v>5949</v>
      </c>
      <c r="DN1" s="80" t="s">
        <v>5950</v>
      </c>
      <c r="DO1" s="80" t="s">
        <v>5951</v>
      </c>
      <c r="DP1" s="80" t="s">
        <v>5952</v>
      </c>
      <c r="DQ1" s="80" t="s">
        <v>5953</v>
      </c>
      <c r="DR1" s="80" t="s">
        <v>5954</v>
      </c>
      <c r="DS1" s="80" t="s">
        <v>5955</v>
      </c>
      <c r="DT1" s="80" t="s">
        <v>5956</v>
      </c>
      <c r="DU1" s="80" t="s">
        <v>5957</v>
      </c>
      <c r="DV1" s="80" t="s">
        <v>5958</v>
      </c>
      <c r="DW1" s="80" t="s">
        <v>5959</v>
      </c>
      <c r="DX1" s="80" t="s">
        <v>5960</v>
      </c>
      <c r="DY1" s="80" t="s">
        <v>5961</v>
      </c>
      <c r="DZ1" s="80" t="s">
        <v>5962</v>
      </c>
      <c r="EA1" s="80" t="s">
        <v>5963</v>
      </c>
      <c r="EB1" s="80" t="s">
        <v>5964</v>
      </c>
      <c r="EC1" s="80" t="s">
        <v>5965</v>
      </c>
      <c r="ED1" s="80" t="s">
        <v>5966</v>
      </c>
      <c r="EE1" s="80" t="s">
        <v>5967</v>
      </c>
      <c r="EF1" s="80" t="s">
        <v>5968</v>
      </c>
      <c r="EG1" s="80" t="s">
        <v>5969</v>
      </c>
      <c r="EH1" s="80" t="s">
        <v>5970</v>
      </c>
      <c r="EI1" s="80" t="s">
        <v>5971</v>
      </c>
      <c r="EJ1" s="80" t="s">
        <v>5972</v>
      </c>
      <c r="EK1" s="80" t="s">
        <v>5973</v>
      </c>
      <c r="EL1" s="80" t="s">
        <v>5974</v>
      </c>
      <c r="EM1" s="80" t="s">
        <v>5975</v>
      </c>
      <c r="EN1" s="80" t="s">
        <v>5976</v>
      </c>
      <c r="EO1" s="80" t="s">
        <v>5977</v>
      </c>
      <c r="EP1" s="80" t="s">
        <v>5978</v>
      </c>
      <c r="EQ1" s="80" t="s">
        <v>5979</v>
      </c>
      <c r="ER1" s="80" t="s">
        <v>5980</v>
      </c>
      <c r="ES1" s="80" t="s">
        <v>5981</v>
      </c>
      <c r="ET1" s="80" t="s">
        <v>5982</v>
      </c>
      <c r="EU1" s="80" t="s">
        <v>5983</v>
      </c>
      <c r="EV1" s="80" t="s">
        <v>5984</v>
      </c>
      <c r="EW1" s="80" t="s">
        <v>5985</v>
      </c>
      <c r="EX1" s="80" t="s">
        <v>5986</v>
      </c>
      <c r="EY1" s="80" t="s">
        <v>5987</v>
      </c>
      <c r="EZ1" s="80" t="s">
        <v>5988</v>
      </c>
      <c r="FA1" s="80" t="s">
        <v>5989</v>
      </c>
      <c r="FB1" s="80" t="s">
        <v>5990</v>
      </c>
      <c r="FC1" s="80" t="s">
        <v>4443</v>
      </c>
      <c r="FD1" s="80" t="s">
        <v>4444</v>
      </c>
      <c r="FE1" s="80" t="s">
        <v>4445</v>
      </c>
    </row>
    <row r="2" spans="1:161" ht="12" customHeight="1">
      <c r="A2">
        <v>28</v>
      </c>
      <c r="B2">
        <v>63</v>
      </c>
      <c r="C2">
        <v>311928</v>
      </c>
      <c r="D2" s="57">
        <v>43665.60869212963</v>
      </c>
      <c r="E2" t="s">
        <v>6077</v>
      </c>
      <c r="F2" t="s">
        <v>541</v>
      </c>
      <c r="G2" t="s">
        <v>570</v>
      </c>
      <c r="H2" t="s">
        <v>4449</v>
      </c>
      <c r="I2" t="s">
        <v>4860</v>
      </c>
      <c r="J2">
        <v>78828660</v>
      </c>
      <c r="K2" t="s">
        <v>6079</v>
      </c>
      <c r="L2" t="s">
        <v>6080</v>
      </c>
      <c r="M2" t="s">
        <v>52</v>
      </c>
      <c r="O2" t="s">
        <v>6430</v>
      </c>
      <c r="P2" t="s">
        <v>1548</v>
      </c>
      <c r="Q2" t="s">
        <v>51</v>
      </c>
      <c r="R2" t="s">
        <v>1920</v>
      </c>
      <c r="S2" t="s">
        <v>1634</v>
      </c>
      <c r="T2" t="s">
        <v>6431</v>
      </c>
      <c r="U2" t="s">
        <v>4892</v>
      </c>
      <c r="V2">
        <v>403</v>
      </c>
      <c r="W2" t="s">
        <v>1634</v>
      </c>
      <c r="X2" t="s">
        <v>6031</v>
      </c>
      <c r="Y2" t="s">
        <v>6033</v>
      </c>
      <c r="Z2" t="s">
        <v>1634</v>
      </c>
      <c r="AA2" t="s">
        <v>5999</v>
      </c>
      <c r="AB2" t="s">
        <v>1634</v>
      </c>
      <c r="AC2" t="s">
        <v>6033</v>
      </c>
      <c r="AD2" t="s">
        <v>6033</v>
      </c>
      <c r="AE2" t="s">
        <v>1634</v>
      </c>
      <c r="AF2" t="s">
        <v>6084</v>
      </c>
      <c r="AG2" t="s">
        <v>6057</v>
      </c>
      <c r="AH2" t="s">
        <v>1561</v>
      </c>
      <c r="AI2">
        <v>0</v>
      </c>
      <c r="AJ2">
        <v>0</v>
      </c>
      <c r="AK2">
        <v>0</v>
      </c>
      <c r="AL2">
        <v>0</v>
      </c>
      <c r="AM2">
        <v>0</v>
      </c>
      <c r="AN2">
        <v>0</v>
      </c>
      <c r="AO2">
        <v>0</v>
      </c>
      <c r="AP2">
        <v>0</v>
      </c>
      <c r="AQ2">
        <v>0</v>
      </c>
      <c r="AR2">
        <v>0</v>
      </c>
      <c r="AS2">
        <v>0</v>
      </c>
      <c r="AT2">
        <v>0</v>
      </c>
      <c r="AU2">
        <v>0</v>
      </c>
      <c r="AV2">
        <v>0</v>
      </c>
      <c r="AW2">
        <v>0</v>
      </c>
      <c r="AX2">
        <v>0</v>
      </c>
      <c r="AY2">
        <v>0</v>
      </c>
      <c r="AZ2">
        <v>0</v>
      </c>
      <c r="BA2">
        <v>0</v>
      </c>
      <c r="BB2">
        <v>0</v>
      </c>
      <c r="BC2">
        <v>0</v>
      </c>
      <c r="BD2">
        <v>0</v>
      </c>
      <c r="BE2">
        <v>0</v>
      </c>
      <c r="BF2">
        <v>0</v>
      </c>
      <c r="BG2">
        <v>0</v>
      </c>
      <c r="BH2">
        <v>0</v>
      </c>
      <c r="BI2">
        <v>0</v>
      </c>
      <c r="BJ2">
        <v>0</v>
      </c>
      <c r="BK2">
        <v>0</v>
      </c>
      <c r="BL2">
        <v>0</v>
      </c>
      <c r="BM2" t="s">
        <v>6026</v>
      </c>
      <c r="BN2" t="s">
        <v>6026</v>
      </c>
      <c r="BO2" t="s">
        <v>6026</v>
      </c>
      <c r="BP2">
        <v>0</v>
      </c>
      <c r="BQ2">
        <v>0</v>
      </c>
      <c r="BR2">
        <v>0</v>
      </c>
      <c r="BS2">
        <v>0</v>
      </c>
      <c r="BT2">
        <v>25</v>
      </c>
      <c r="BU2">
        <v>25</v>
      </c>
      <c r="BV2">
        <v>0</v>
      </c>
      <c r="BW2">
        <v>30</v>
      </c>
      <c r="BX2">
        <v>30</v>
      </c>
      <c r="BY2">
        <v>0</v>
      </c>
      <c r="BZ2">
        <v>35</v>
      </c>
      <c r="CA2">
        <v>35</v>
      </c>
      <c r="CB2">
        <v>0</v>
      </c>
      <c r="CC2">
        <v>50</v>
      </c>
      <c r="CD2">
        <v>50</v>
      </c>
      <c r="CE2" t="s">
        <v>6432</v>
      </c>
      <c r="CF2" t="s">
        <v>6244</v>
      </c>
      <c r="CG2" t="s">
        <v>6433</v>
      </c>
      <c r="CH2" t="s">
        <v>6117</v>
      </c>
      <c r="CI2" t="s">
        <v>6434</v>
      </c>
      <c r="CJ2" t="s">
        <v>6006</v>
      </c>
      <c r="CK2" t="s">
        <v>1634</v>
      </c>
      <c r="CL2" t="s">
        <v>6435</v>
      </c>
      <c r="CN2" t="s">
        <v>1548</v>
      </c>
      <c r="CO2" t="s">
        <v>6436</v>
      </c>
      <c r="CQ2" t="s">
        <v>6437</v>
      </c>
      <c r="CR2" t="s">
        <v>6009</v>
      </c>
      <c r="CS2" t="s">
        <v>6437</v>
      </c>
      <c r="CT2" t="s">
        <v>6009</v>
      </c>
      <c r="CU2" t="s">
        <v>1548</v>
      </c>
      <c r="CV2" t="s">
        <v>6438</v>
      </c>
      <c r="CW2" t="s">
        <v>6009</v>
      </c>
      <c r="CX2" t="s">
        <v>6067</v>
      </c>
      <c r="CY2" t="s">
        <v>6067</v>
      </c>
      <c r="CZ2" t="s">
        <v>6046</v>
      </c>
      <c r="DA2" t="s">
        <v>6046</v>
      </c>
      <c r="DB2" t="s">
        <v>6014</v>
      </c>
      <c r="DC2" t="s">
        <v>6014</v>
      </c>
      <c r="DD2" t="s">
        <v>6012</v>
      </c>
      <c r="DE2" t="s">
        <v>6012</v>
      </c>
      <c r="DF2" t="s">
        <v>6439</v>
      </c>
      <c r="DG2" t="s">
        <v>6015</v>
      </c>
      <c r="DH2" t="s">
        <v>6440</v>
      </c>
      <c r="DI2" t="s">
        <v>6016</v>
      </c>
      <c r="DJ2">
        <v>3</v>
      </c>
      <c r="DK2">
        <v>5</v>
      </c>
      <c r="DL2" t="s">
        <v>6049</v>
      </c>
      <c r="DM2" t="s">
        <v>6101</v>
      </c>
      <c r="DV2" t="s">
        <v>6441</v>
      </c>
      <c r="DW2">
        <v>150000</v>
      </c>
      <c r="DX2" t="s">
        <v>6442</v>
      </c>
      <c r="DY2" t="s">
        <v>6235</v>
      </c>
      <c r="DZ2" t="s">
        <v>6443</v>
      </c>
      <c r="EA2" t="s">
        <v>6071</v>
      </c>
      <c r="EB2">
        <v>1</v>
      </c>
      <c r="EC2" t="s">
        <v>6444</v>
      </c>
      <c r="ED2" t="s">
        <v>1634</v>
      </c>
      <c r="EE2">
        <v>30000</v>
      </c>
      <c r="ER2" t="s">
        <v>6106</v>
      </c>
      <c r="ES2" t="s">
        <v>6219</v>
      </c>
      <c r="ET2" t="s">
        <v>6219</v>
      </c>
      <c r="EU2" t="s">
        <v>6219</v>
      </c>
      <c r="EV2" t="s">
        <v>6238</v>
      </c>
      <c r="EY2" t="s">
        <v>6026</v>
      </c>
      <c r="EZ2" t="s">
        <v>6026</v>
      </c>
      <c r="FA2" t="s">
        <v>6445</v>
      </c>
      <c r="FB2" t="s">
        <v>6446</v>
      </c>
      <c r="FD2" s="57">
        <v>43665.59815972222</v>
      </c>
      <c r="FE2" s="57">
        <v>43665.60864583333</v>
      </c>
    </row>
    <row r="3" spans="1:161" ht="12" customHeight="1">
      <c r="A3">
        <v>31</v>
      </c>
      <c r="B3">
        <v>31</v>
      </c>
      <c r="C3">
        <v>329870</v>
      </c>
      <c r="D3" s="57">
        <v>43670.810717592591</v>
      </c>
      <c r="E3" t="s">
        <v>6110</v>
      </c>
      <c r="F3" t="s">
        <v>575</v>
      </c>
      <c r="G3" t="s">
        <v>932</v>
      </c>
      <c r="H3" t="s">
        <v>4449</v>
      </c>
      <c r="I3" t="s">
        <v>4860</v>
      </c>
      <c r="J3">
        <v>52531264</v>
      </c>
      <c r="K3" t="s">
        <v>6028</v>
      </c>
      <c r="L3" t="s">
        <v>6204</v>
      </c>
      <c r="M3" t="s">
        <v>58</v>
      </c>
      <c r="O3" t="s">
        <v>7062</v>
      </c>
      <c r="P3" t="s">
        <v>1548</v>
      </c>
      <c r="Q3" t="s">
        <v>4752</v>
      </c>
      <c r="R3" t="s">
        <v>6030</v>
      </c>
      <c r="S3" t="s">
        <v>1634</v>
      </c>
      <c r="T3" t="s">
        <v>7063</v>
      </c>
      <c r="U3" t="s">
        <v>1541</v>
      </c>
      <c r="V3">
        <v>20</v>
      </c>
      <c r="W3" t="s">
        <v>1548</v>
      </c>
      <c r="X3" t="s">
        <v>6031</v>
      </c>
      <c r="Y3" t="s">
        <v>5999</v>
      </c>
      <c r="Z3" t="s">
        <v>1634</v>
      </c>
      <c r="AA3" t="s">
        <v>6033</v>
      </c>
      <c r="AB3" t="s">
        <v>1634</v>
      </c>
      <c r="AC3" t="s">
        <v>6033</v>
      </c>
      <c r="AD3" t="s">
        <v>6032</v>
      </c>
      <c r="AE3" t="s">
        <v>1634</v>
      </c>
      <c r="AF3" t="s">
        <v>1561</v>
      </c>
      <c r="AG3" t="s">
        <v>1561</v>
      </c>
      <c r="AH3" t="s">
        <v>6085</v>
      </c>
      <c r="AI3">
        <v>0</v>
      </c>
      <c r="AJ3">
        <v>0</v>
      </c>
      <c r="AK3">
        <v>0</v>
      </c>
      <c r="AL3">
        <v>0</v>
      </c>
      <c r="AM3">
        <v>0</v>
      </c>
      <c r="AN3">
        <v>0</v>
      </c>
      <c r="AO3">
        <v>0</v>
      </c>
      <c r="AP3">
        <v>0</v>
      </c>
      <c r="AQ3">
        <v>0</v>
      </c>
      <c r="AR3">
        <v>0</v>
      </c>
      <c r="AS3">
        <v>0</v>
      </c>
      <c r="AT3">
        <v>0</v>
      </c>
      <c r="AU3">
        <v>0</v>
      </c>
      <c r="AV3">
        <v>0</v>
      </c>
      <c r="AW3">
        <v>0</v>
      </c>
      <c r="AX3">
        <v>0</v>
      </c>
      <c r="AY3">
        <v>0</v>
      </c>
      <c r="AZ3">
        <v>0</v>
      </c>
      <c r="BA3">
        <v>0</v>
      </c>
      <c r="BB3">
        <v>0</v>
      </c>
      <c r="BC3">
        <v>0</v>
      </c>
      <c r="BD3">
        <v>0</v>
      </c>
      <c r="BE3">
        <v>0</v>
      </c>
      <c r="BF3">
        <v>0</v>
      </c>
      <c r="BG3">
        <v>15</v>
      </c>
      <c r="BH3">
        <v>10</v>
      </c>
      <c r="BI3">
        <v>10</v>
      </c>
      <c r="BJ3">
        <v>20</v>
      </c>
      <c r="BK3">
        <v>15</v>
      </c>
      <c r="BL3">
        <v>15</v>
      </c>
      <c r="BM3">
        <v>0</v>
      </c>
      <c r="BN3">
        <v>0</v>
      </c>
      <c r="BO3">
        <v>0</v>
      </c>
      <c r="BP3">
        <v>50</v>
      </c>
      <c r="BQ3">
        <v>20</v>
      </c>
      <c r="BR3">
        <v>60</v>
      </c>
      <c r="BS3">
        <v>10</v>
      </c>
      <c r="BT3">
        <v>10</v>
      </c>
      <c r="BU3">
        <v>10</v>
      </c>
      <c r="BV3">
        <v>5</v>
      </c>
      <c r="BW3">
        <v>5</v>
      </c>
      <c r="BX3">
        <v>5</v>
      </c>
      <c r="BY3">
        <v>0</v>
      </c>
      <c r="BZ3">
        <v>0</v>
      </c>
      <c r="CA3">
        <v>0</v>
      </c>
      <c r="CB3">
        <v>20</v>
      </c>
      <c r="CC3">
        <v>20</v>
      </c>
      <c r="CD3">
        <v>20</v>
      </c>
      <c r="CE3" t="s">
        <v>6869</v>
      </c>
      <c r="CF3" t="s">
        <v>6244</v>
      </c>
      <c r="CG3" t="s">
        <v>7064</v>
      </c>
      <c r="CH3" t="s">
        <v>7065</v>
      </c>
      <c r="CI3" t="s">
        <v>7066</v>
      </c>
      <c r="CJ3" t="s">
        <v>7067</v>
      </c>
      <c r="CK3" t="s">
        <v>1634</v>
      </c>
      <c r="CL3" t="s">
        <v>7068</v>
      </c>
      <c r="CM3" t="s">
        <v>7069</v>
      </c>
      <c r="CN3" t="s">
        <v>1634</v>
      </c>
      <c r="CO3" t="s">
        <v>6843</v>
      </c>
      <c r="CP3" t="s">
        <v>6373</v>
      </c>
      <c r="CQ3" t="s">
        <v>7070</v>
      </c>
      <c r="CR3" t="s">
        <v>6413</v>
      </c>
      <c r="CS3" t="s">
        <v>7071</v>
      </c>
      <c r="CT3" t="s">
        <v>6411</v>
      </c>
      <c r="CU3" t="s">
        <v>1634</v>
      </c>
      <c r="CV3" t="s">
        <v>6848</v>
      </c>
      <c r="CW3" t="s">
        <v>6415</v>
      </c>
      <c r="CX3" t="s">
        <v>6067</v>
      </c>
      <c r="CY3" t="s">
        <v>6014</v>
      </c>
      <c r="CZ3" t="s">
        <v>6013</v>
      </c>
      <c r="DA3" t="s">
        <v>6013</v>
      </c>
      <c r="DB3" t="s">
        <v>6014</v>
      </c>
      <c r="DC3" t="s">
        <v>6014</v>
      </c>
      <c r="DD3" t="s">
        <v>6013</v>
      </c>
      <c r="DE3" t="s">
        <v>6013</v>
      </c>
      <c r="DF3" t="s">
        <v>6849</v>
      </c>
      <c r="DG3" t="s">
        <v>6047</v>
      </c>
      <c r="DH3" t="s">
        <v>7057</v>
      </c>
      <c r="DI3" t="s">
        <v>7007</v>
      </c>
      <c r="DJ3">
        <v>3</v>
      </c>
      <c r="DK3">
        <v>1</v>
      </c>
      <c r="DL3" t="s">
        <v>6017</v>
      </c>
      <c r="DM3" t="s">
        <v>6018</v>
      </c>
      <c r="DT3">
        <v>150</v>
      </c>
      <c r="DU3">
        <v>1000</v>
      </c>
      <c r="DX3" t="s">
        <v>7058</v>
      </c>
      <c r="DY3" t="s">
        <v>6235</v>
      </c>
      <c r="DZ3" t="s">
        <v>7072</v>
      </c>
      <c r="EA3" t="s">
        <v>6260</v>
      </c>
      <c r="EB3">
        <v>0</v>
      </c>
      <c r="ER3" t="s">
        <v>6023</v>
      </c>
      <c r="ES3" t="s">
        <v>7073</v>
      </c>
      <c r="ET3" t="s">
        <v>6853</v>
      </c>
      <c r="EU3" t="s">
        <v>6853</v>
      </c>
      <c r="EV3" t="s">
        <v>6074</v>
      </c>
      <c r="EW3" t="s">
        <v>7074</v>
      </c>
      <c r="EX3" t="s">
        <v>6505</v>
      </c>
      <c r="EY3">
        <v>75061598</v>
      </c>
      <c r="EZ3" t="s">
        <v>6026</v>
      </c>
      <c r="FA3" t="s">
        <v>7075</v>
      </c>
      <c r="FD3" s="57">
        <v>43670.666770833333</v>
      </c>
      <c r="FE3" s="57">
        <v>43670.680787037039</v>
      </c>
    </row>
    <row r="4" spans="1:161" ht="12" customHeight="1">
      <c r="A4">
        <v>44</v>
      </c>
      <c r="B4">
        <v>62</v>
      </c>
      <c r="C4">
        <v>311943</v>
      </c>
      <c r="D4" s="57">
        <v>43665.614224537036</v>
      </c>
      <c r="E4" t="s">
        <v>6077</v>
      </c>
      <c r="F4" t="s">
        <v>592</v>
      </c>
      <c r="G4" t="s">
        <v>6078</v>
      </c>
      <c r="H4" t="s">
        <v>4449</v>
      </c>
      <c r="I4" t="s">
        <v>4860</v>
      </c>
      <c r="J4">
        <v>70265307</v>
      </c>
      <c r="K4" t="s">
        <v>6079</v>
      </c>
      <c r="L4" t="s">
        <v>6080</v>
      </c>
      <c r="M4" t="s">
        <v>52</v>
      </c>
      <c r="O4" t="s">
        <v>6081</v>
      </c>
      <c r="P4" t="s">
        <v>1548</v>
      </c>
      <c r="Q4" t="s">
        <v>78</v>
      </c>
      <c r="R4" t="s">
        <v>2338</v>
      </c>
      <c r="S4" t="s">
        <v>1634</v>
      </c>
      <c r="T4" t="s">
        <v>6082</v>
      </c>
      <c r="U4" t="s">
        <v>4892</v>
      </c>
      <c r="V4">
        <v>35</v>
      </c>
      <c r="W4" t="s">
        <v>1634</v>
      </c>
      <c r="X4" t="s">
        <v>6031</v>
      </c>
      <c r="Y4" t="s">
        <v>6083</v>
      </c>
      <c r="Z4" t="s">
        <v>1634</v>
      </c>
      <c r="AA4" t="s">
        <v>5999</v>
      </c>
      <c r="AB4" t="s">
        <v>1634</v>
      </c>
      <c r="AC4" t="s">
        <v>6033</v>
      </c>
      <c r="AD4" t="s">
        <v>6083</v>
      </c>
      <c r="AE4" t="s">
        <v>1634</v>
      </c>
      <c r="AF4" t="s">
        <v>6084</v>
      </c>
      <c r="AG4" t="s">
        <v>1561</v>
      </c>
      <c r="AH4" t="s">
        <v>6085</v>
      </c>
      <c r="AI4">
        <v>0</v>
      </c>
      <c r="AJ4">
        <v>0</v>
      </c>
      <c r="AK4">
        <v>0</v>
      </c>
      <c r="AL4">
        <v>0</v>
      </c>
      <c r="AM4">
        <v>0</v>
      </c>
      <c r="AN4">
        <v>0</v>
      </c>
      <c r="AO4">
        <v>0</v>
      </c>
      <c r="AP4">
        <v>0</v>
      </c>
      <c r="AQ4">
        <v>0</v>
      </c>
      <c r="AR4">
        <v>0</v>
      </c>
      <c r="AS4">
        <v>0</v>
      </c>
      <c r="AT4">
        <v>0</v>
      </c>
      <c r="AU4">
        <v>0</v>
      </c>
      <c r="AV4">
        <v>0</v>
      </c>
      <c r="AW4">
        <v>0</v>
      </c>
      <c r="AX4">
        <v>0</v>
      </c>
      <c r="AY4" t="s">
        <v>6026</v>
      </c>
      <c r="AZ4" t="s">
        <v>6026</v>
      </c>
      <c r="BA4" t="s">
        <v>6026</v>
      </c>
      <c r="BB4" t="s">
        <v>6026</v>
      </c>
      <c r="BC4" t="s">
        <v>6026</v>
      </c>
      <c r="BD4" t="s">
        <v>6026</v>
      </c>
      <c r="BE4" t="s">
        <v>6026</v>
      </c>
      <c r="BF4" t="s">
        <v>6026</v>
      </c>
      <c r="BG4">
        <v>0</v>
      </c>
      <c r="BH4">
        <v>20</v>
      </c>
      <c r="BI4">
        <v>20</v>
      </c>
      <c r="BJ4">
        <v>0</v>
      </c>
      <c r="BK4">
        <v>30</v>
      </c>
      <c r="BL4">
        <v>30</v>
      </c>
      <c r="BM4">
        <v>0</v>
      </c>
      <c r="BN4">
        <v>10</v>
      </c>
      <c r="BO4">
        <v>10</v>
      </c>
      <c r="BP4">
        <v>0</v>
      </c>
      <c r="BQ4">
        <v>300</v>
      </c>
      <c r="BR4">
        <v>100</v>
      </c>
      <c r="BS4">
        <v>0</v>
      </c>
      <c r="BT4">
        <v>60</v>
      </c>
      <c r="BU4">
        <v>60</v>
      </c>
      <c r="BV4">
        <v>0</v>
      </c>
      <c r="BW4">
        <v>60</v>
      </c>
      <c r="BX4">
        <v>60</v>
      </c>
      <c r="BY4">
        <v>0</v>
      </c>
      <c r="BZ4">
        <v>80</v>
      </c>
      <c r="CA4">
        <v>80</v>
      </c>
      <c r="CB4">
        <v>0</v>
      </c>
      <c r="CC4">
        <v>190</v>
      </c>
      <c r="CD4">
        <v>150</v>
      </c>
      <c r="CE4" t="s">
        <v>6086</v>
      </c>
      <c r="CF4" t="s">
        <v>6087</v>
      </c>
      <c r="CG4" t="s">
        <v>6088</v>
      </c>
      <c r="CH4" t="s">
        <v>6089</v>
      </c>
      <c r="CI4" t="s">
        <v>6090</v>
      </c>
      <c r="CJ4" t="s">
        <v>6091</v>
      </c>
      <c r="CK4" t="s">
        <v>1548</v>
      </c>
      <c r="CL4" t="s">
        <v>6092</v>
      </c>
      <c r="CM4" t="s">
        <v>6007</v>
      </c>
      <c r="CN4" t="s">
        <v>1548</v>
      </c>
      <c r="CO4" t="s">
        <v>6093</v>
      </c>
      <c r="CP4" t="s">
        <v>6007</v>
      </c>
      <c r="CQ4" t="s">
        <v>6094</v>
      </c>
      <c r="CR4" t="s">
        <v>6009</v>
      </c>
      <c r="CS4" t="s">
        <v>6095</v>
      </c>
      <c r="CT4" t="s">
        <v>6009</v>
      </c>
      <c r="CU4" t="s">
        <v>1548</v>
      </c>
      <c r="CV4" t="s">
        <v>6096</v>
      </c>
      <c r="CW4" t="s">
        <v>6009</v>
      </c>
      <c r="CX4" t="s">
        <v>6097</v>
      </c>
      <c r="CY4" t="s">
        <v>6011</v>
      </c>
      <c r="CZ4" t="s">
        <v>6046</v>
      </c>
      <c r="DA4" t="s">
        <v>6046</v>
      </c>
      <c r="DB4" t="s">
        <v>6067</v>
      </c>
      <c r="DC4" t="s">
        <v>6067</v>
      </c>
      <c r="DD4" t="s">
        <v>6046</v>
      </c>
      <c r="DE4" t="s">
        <v>6046</v>
      </c>
      <c r="DF4" t="s">
        <v>6098</v>
      </c>
      <c r="DH4" t="s">
        <v>6099</v>
      </c>
      <c r="DI4" t="s">
        <v>6100</v>
      </c>
      <c r="DJ4">
        <v>6</v>
      </c>
      <c r="DK4">
        <v>6</v>
      </c>
      <c r="DL4" t="s">
        <v>6049</v>
      </c>
      <c r="DM4" t="s">
        <v>6101</v>
      </c>
      <c r="DV4" t="s">
        <v>6102</v>
      </c>
      <c r="DW4">
        <v>10000</v>
      </c>
      <c r="DX4" t="s">
        <v>6103</v>
      </c>
      <c r="DY4" t="s">
        <v>6020</v>
      </c>
      <c r="DZ4" t="s">
        <v>6104</v>
      </c>
      <c r="EA4" t="s">
        <v>6071</v>
      </c>
      <c r="EB4">
        <v>5</v>
      </c>
      <c r="EC4" t="s">
        <v>6081</v>
      </c>
      <c r="ED4" t="s">
        <v>1634</v>
      </c>
      <c r="EE4">
        <v>20000</v>
      </c>
      <c r="EF4" t="s">
        <v>6105</v>
      </c>
      <c r="EG4" t="s">
        <v>1634</v>
      </c>
      <c r="EH4">
        <v>20000</v>
      </c>
      <c r="EI4" t="s">
        <v>6105</v>
      </c>
      <c r="EJ4" t="s">
        <v>1634</v>
      </c>
      <c r="EK4">
        <v>20000</v>
      </c>
      <c r="EL4" t="s">
        <v>6105</v>
      </c>
      <c r="EM4" t="s">
        <v>1634</v>
      </c>
      <c r="EN4">
        <v>20000</v>
      </c>
      <c r="EO4" t="s">
        <v>6105</v>
      </c>
      <c r="EP4" t="s">
        <v>1634</v>
      </c>
      <c r="EQ4">
        <v>20000</v>
      </c>
      <c r="ER4" t="s">
        <v>6106</v>
      </c>
      <c r="ES4" t="s">
        <v>1556</v>
      </c>
      <c r="ET4" t="s">
        <v>1556</v>
      </c>
      <c r="EU4" s="58" t="s">
        <v>6107</v>
      </c>
      <c r="EV4" t="s">
        <v>6024</v>
      </c>
      <c r="EY4" t="s">
        <v>6026</v>
      </c>
      <c r="EZ4" t="s">
        <v>6026</v>
      </c>
      <c r="FA4" t="s">
        <v>6108</v>
      </c>
      <c r="FB4" t="s">
        <v>6109</v>
      </c>
      <c r="FD4" s="57">
        <v>43665.608854166669</v>
      </c>
      <c r="FE4" s="57">
        <v>43665.614166666666</v>
      </c>
    </row>
    <row r="5" spans="1:161" ht="12" customHeight="1">
      <c r="A5">
        <v>47</v>
      </c>
      <c r="B5">
        <v>30</v>
      </c>
      <c r="C5">
        <v>329871</v>
      </c>
      <c r="D5" s="57">
        <v>43670.810717592591</v>
      </c>
      <c r="E5" t="s">
        <v>6110</v>
      </c>
      <c r="F5" t="s">
        <v>529</v>
      </c>
      <c r="G5" t="s">
        <v>7046</v>
      </c>
      <c r="H5" t="s">
        <v>4449</v>
      </c>
      <c r="I5" t="s">
        <v>4860</v>
      </c>
      <c r="J5">
        <v>70529979</v>
      </c>
      <c r="K5" t="s">
        <v>6028</v>
      </c>
      <c r="L5" t="s">
        <v>6204</v>
      </c>
      <c r="M5" t="s">
        <v>58</v>
      </c>
      <c r="O5" t="s">
        <v>7047</v>
      </c>
      <c r="P5" t="s">
        <v>1548</v>
      </c>
      <c r="Q5" t="s">
        <v>7048</v>
      </c>
      <c r="R5" t="s">
        <v>1920</v>
      </c>
      <c r="S5" t="s">
        <v>1634</v>
      </c>
      <c r="T5">
        <v>12</v>
      </c>
      <c r="U5" t="s">
        <v>1541</v>
      </c>
      <c r="V5">
        <v>15</v>
      </c>
      <c r="W5" t="s">
        <v>1548</v>
      </c>
      <c r="X5" t="s">
        <v>6031</v>
      </c>
      <c r="Y5" t="s">
        <v>5999</v>
      </c>
      <c r="Z5" t="s">
        <v>1634</v>
      </c>
      <c r="AA5" t="s">
        <v>6083</v>
      </c>
      <c r="AB5" t="s">
        <v>1634</v>
      </c>
      <c r="AC5" t="s">
        <v>6033</v>
      </c>
      <c r="AD5" t="s">
        <v>5998</v>
      </c>
      <c r="AE5" t="s">
        <v>1634</v>
      </c>
      <c r="BG5">
        <v>70</v>
      </c>
      <c r="BH5">
        <v>30</v>
      </c>
      <c r="BI5">
        <v>30</v>
      </c>
      <c r="BJ5">
        <v>40</v>
      </c>
      <c r="BK5">
        <v>10</v>
      </c>
      <c r="BL5">
        <v>10</v>
      </c>
      <c r="BM5">
        <v>80</v>
      </c>
      <c r="BN5">
        <v>10</v>
      </c>
      <c r="BO5">
        <v>10</v>
      </c>
      <c r="BP5">
        <v>50</v>
      </c>
      <c r="BQ5">
        <v>30</v>
      </c>
      <c r="BR5">
        <v>25</v>
      </c>
      <c r="BS5">
        <v>30</v>
      </c>
      <c r="BT5">
        <v>7</v>
      </c>
      <c r="BU5">
        <v>7</v>
      </c>
      <c r="BV5">
        <v>5</v>
      </c>
      <c r="BW5">
        <v>5</v>
      </c>
      <c r="BX5">
        <v>5</v>
      </c>
      <c r="BY5">
        <v>3</v>
      </c>
      <c r="BZ5">
        <v>2</v>
      </c>
      <c r="CA5">
        <v>2</v>
      </c>
      <c r="CB5">
        <v>40</v>
      </c>
      <c r="CC5">
        <v>15</v>
      </c>
      <c r="CD5">
        <v>50</v>
      </c>
      <c r="CE5" t="s">
        <v>7049</v>
      </c>
      <c r="CF5" t="s">
        <v>6087</v>
      </c>
      <c r="CG5" t="s">
        <v>7050</v>
      </c>
      <c r="CH5" t="s">
        <v>7051</v>
      </c>
      <c r="CI5" t="s">
        <v>7052</v>
      </c>
      <c r="CJ5" t="s">
        <v>7053</v>
      </c>
      <c r="CK5" t="s">
        <v>1634</v>
      </c>
      <c r="CL5" t="s">
        <v>7054</v>
      </c>
      <c r="CM5" t="s">
        <v>6513</v>
      </c>
      <c r="CN5" t="s">
        <v>1634</v>
      </c>
      <c r="CO5" t="s">
        <v>6066</v>
      </c>
      <c r="CP5" t="s">
        <v>6007</v>
      </c>
      <c r="CQ5" t="s">
        <v>7055</v>
      </c>
      <c r="CR5" t="s">
        <v>6411</v>
      </c>
      <c r="CS5" t="s">
        <v>7056</v>
      </c>
      <c r="CT5" t="s">
        <v>6411</v>
      </c>
      <c r="CU5" t="s">
        <v>1634</v>
      </c>
      <c r="CV5" t="s">
        <v>6176</v>
      </c>
      <c r="CW5" t="s">
        <v>6234</v>
      </c>
      <c r="CX5" t="s">
        <v>6011</v>
      </c>
      <c r="CY5" t="s">
        <v>6338</v>
      </c>
      <c r="CZ5" t="s">
        <v>6013</v>
      </c>
      <c r="DA5" t="s">
        <v>6013</v>
      </c>
      <c r="DB5" t="s">
        <v>6014</v>
      </c>
      <c r="DC5" t="s">
        <v>6014</v>
      </c>
      <c r="DD5" t="s">
        <v>6013</v>
      </c>
      <c r="DE5" t="s">
        <v>6013</v>
      </c>
      <c r="DF5" t="s">
        <v>6849</v>
      </c>
      <c r="DG5" t="s">
        <v>6047</v>
      </c>
      <c r="DH5" t="s">
        <v>7057</v>
      </c>
      <c r="DI5" t="s">
        <v>7007</v>
      </c>
      <c r="DJ5">
        <v>3</v>
      </c>
      <c r="DK5">
        <v>2</v>
      </c>
      <c r="DL5" t="s">
        <v>6017</v>
      </c>
      <c r="DM5" t="s">
        <v>6101</v>
      </c>
      <c r="DV5">
        <v>100</v>
      </c>
      <c r="DW5">
        <v>40000</v>
      </c>
      <c r="DX5" t="s">
        <v>7058</v>
      </c>
      <c r="DY5" t="s">
        <v>6235</v>
      </c>
      <c r="DZ5" t="s">
        <v>6881</v>
      </c>
      <c r="EA5" t="s">
        <v>6022</v>
      </c>
      <c r="EB5">
        <v>1</v>
      </c>
      <c r="EC5" t="s">
        <v>7047</v>
      </c>
      <c r="ED5" t="s">
        <v>1634</v>
      </c>
      <c r="EE5">
        <v>50000</v>
      </c>
      <c r="ER5" t="s">
        <v>6851</v>
      </c>
      <c r="ES5" t="s">
        <v>7059</v>
      </c>
      <c r="ET5" t="s">
        <v>1366</v>
      </c>
      <c r="EU5" t="s">
        <v>1366</v>
      </c>
      <c r="EV5" t="s">
        <v>6024</v>
      </c>
      <c r="EW5" t="s">
        <v>4941</v>
      </c>
      <c r="EX5" t="s">
        <v>6902</v>
      </c>
      <c r="EY5">
        <v>79476030</v>
      </c>
      <c r="EZ5">
        <v>72055752</v>
      </c>
      <c r="FA5" t="s">
        <v>7060</v>
      </c>
      <c r="FB5" t="s">
        <v>7061</v>
      </c>
      <c r="FD5" s="57">
        <v>43670.633263888885</v>
      </c>
      <c r="FE5" s="57">
        <v>43670.642893518518</v>
      </c>
    </row>
    <row r="6" spans="1:161" ht="12" customHeight="1">
      <c r="A6">
        <v>57</v>
      </c>
      <c r="B6">
        <v>25</v>
      </c>
      <c r="C6">
        <v>330529</v>
      </c>
      <c r="D6" s="57">
        <v>43671.286412037036</v>
      </c>
      <c r="E6" t="s">
        <v>6027</v>
      </c>
      <c r="F6" t="s">
        <v>620</v>
      </c>
      <c r="G6" t="s">
        <v>621</v>
      </c>
      <c r="H6" t="s">
        <v>4449</v>
      </c>
      <c r="I6" t="s">
        <v>4860</v>
      </c>
      <c r="J6">
        <v>71147471</v>
      </c>
      <c r="K6" t="s">
        <v>6028</v>
      </c>
      <c r="L6" t="s">
        <v>6029</v>
      </c>
      <c r="M6" t="s">
        <v>101</v>
      </c>
      <c r="O6" t="s">
        <v>6056</v>
      </c>
      <c r="P6" t="s">
        <v>1548</v>
      </c>
      <c r="Q6" t="s">
        <v>100</v>
      </c>
      <c r="R6" t="s">
        <v>1920</v>
      </c>
      <c r="S6" t="s">
        <v>1634</v>
      </c>
      <c r="T6">
        <v>2001</v>
      </c>
      <c r="U6" t="s">
        <v>1541</v>
      </c>
      <c r="V6">
        <v>42</v>
      </c>
      <c r="W6" t="s">
        <v>1634</v>
      </c>
      <c r="X6" t="s">
        <v>6031</v>
      </c>
      <c r="Y6" t="s">
        <v>5999</v>
      </c>
      <c r="Z6" t="s">
        <v>1548</v>
      </c>
      <c r="AA6" t="s">
        <v>6033</v>
      </c>
      <c r="AB6" t="s">
        <v>1548</v>
      </c>
      <c r="AC6" t="s">
        <v>6033</v>
      </c>
      <c r="AD6" t="s">
        <v>5998</v>
      </c>
      <c r="AE6" t="s">
        <v>1634</v>
      </c>
      <c r="AF6" t="s">
        <v>1561</v>
      </c>
      <c r="AG6" t="s">
        <v>1561</v>
      </c>
      <c r="AH6" t="s">
        <v>6057</v>
      </c>
      <c r="AI6">
        <v>0</v>
      </c>
      <c r="AJ6">
        <v>0</v>
      </c>
      <c r="AK6">
        <v>0</v>
      </c>
      <c r="AL6">
        <v>0</v>
      </c>
      <c r="AM6">
        <v>0</v>
      </c>
      <c r="AN6">
        <v>0</v>
      </c>
      <c r="AO6">
        <v>0</v>
      </c>
      <c r="AP6">
        <v>0</v>
      </c>
      <c r="AQ6">
        <v>0</v>
      </c>
      <c r="AR6">
        <v>0</v>
      </c>
      <c r="AS6">
        <v>0</v>
      </c>
      <c r="AT6">
        <v>0</v>
      </c>
      <c r="AU6">
        <v>0</v>
      </c>
      <c r="AV6">
        <v>0</v>
      </c>
      <c r="AW6">
        <v>0</v>
      </c>
      <c r="AX6">
        <v>0</v>
      </c>
      <c r="AY6">
        <v>0</v>
      </c>
      <c r="AZ6">
        <v>0</v>
      </c>
      <c r="BA6">
        <v>0</v>
      </c>
      <c r="BB6">
        <v>0</v>
      </c>
      <c r="BC6">
        <v>0</v>
      </c>
      <c r="BD6">
        <v>0</v>
      </c>
      <c r="BE6">
        <v>0</v>
      </c>
      <c r="BF6">
        <v>0</v>
      </c>
      <c r="BG6">
        <v>0</v>
      </c>
      <c r="BH6">
        <v>0</v>
      </c>
      <c r="BI6">
        <v>0</v>
      </c>
      <c r="BJ6">
        <v>4</v>
      </c>
      <c r="BK6">
        <v>0</v>
      </c>
      <c r="BL6">
        <v>0</v>
      </c>
      <c r="BM6">
        <v>4</v>
      </c>
      <c r="BN6">
        <v>0</v>
      </c>
      <c r="BO6">
        <v>0</v>
      </c>
      <c r="BP6">
        <v>3</v>
      </c>
      <c r="BQ6">
        <v>1</v>
      </c>
      <c r="BR6">
        <v>7</v>
      </c>
      <c r="BS6">
        <v>0</v>
      </c>
      <c r="BT6">
        <v>0</v>
      </c>
      <c r="BU6">
        <v>0</v>
      </c>
      <c r="BV6">
        <v>0</v>
      </c>
      <c r="BW6">
        <v>2</v>
      </c>
      <c r="BX6">
        <v>2</v>
      </c>
      <c r="BY6">
        <v>0</v>
      </c>
      <c r="BZ6">
        <v>3</v>
      </c>
      <c r="CA6">
        <v>3</v>
      </c>
      <c r="CB6">
        <v>0</v>
      </c>
      <c r="CC6">
        <v>0</v>
      </c>
      <c r="CD6">
        <v>0</v>
      </c>
      <c r="CE6" t="s">
        <v>6058</v>
      </c>
      <c r="CF6" t="s">
        <v>6059</v>
      </c>
      <c r="CG6" s="58" t="s">
        <v>6060</v>
      </c>
      <c r="CH6" t="s">
        <v>6061</v>
      </c>
      <c r="CI6" t="s">
        <v>6062</v>
      </c>
      <c r="CJ6" t="s">
        <v>6063</v>
      </c>
      <c r="CK6" t="s">
        <v>1634</v>
      </c>
      <c r="CL6" t="s">
        <v>6064</v>
      </c>
      <c r="CM6" t="s">
        <v>6065</v>
      </c>
      <c r="CN6" t="s">
        <v>1548</v>
      </c>
      <c r="CO6" t="s">
        <v>6066</v>
      </c>
      <c r="CP6" t="s">
        <v>6007</v>
      </c>
      <c r="CQ6" t="s">
        <v>6042</v>
      </c>
      <c r="CR6" t="s">
        <v>6009</v>
      </c>
      <c r="CS6" t="s">
        <v>1856</v>
      </c>
      <c r="CT6" t="s">
        <v>6009</v>
      </c>
      <c r="CU6" t="s">
        <v>1548</v>
      </c>
      <c r="CV6" t="s">
        <v>1856</v>
      </c>
      <c r="CW6" t="s">
        <v>6009</v>
      </c>
      <c r="CX6" t="s">
        <v>6067</v>
      </c>
      <c r="CY6" t="s">
        <v>6067</v>
      </c>
      <c r="CZ6" t="s">
        <v>6068</v>
      </c>
      <c r="DA6" t="s">
        <v>6046</v>
      </c>
      <c r="DB6" t="s">
        <v>6014</v>
      </c>
      <c r="DC6" t="s">
        <v>6014</v>
      </c>
      <c r="DD6" t="s">
        <v>6013</v>
      </c>
      <c r="DE6" t="s">
        <v>6013</v>
      </c>
      <c r="DF6" t="s">
        <v>6015</v>
      </c>
      <c r="DG6" t="s">
        <v>6015</v>
      </c>
      <c r="DH6" t="s">
        <v>6052</v>
      </c>
      <c r="DI6" t="s">
        <v>6016</v>
      </c>
      <c r="DJ6">
        <v>1</v>
      </c>
      <c r="DK6">
        <v>1</v>
      </c>
      <c r="DL6" t="s">
        <v>6049</v>
      </c>
      <c r="DM6" t="s">
        <v>1559</v>
      </c>
      <c r="DO6">
        <v>9</v>
      </c>
      <c r="DX6" t="s">
        <v>6069</v>
      </c>
      <c r="DY6" t="s">
        <v>6020</v>
      </c>
      <c r="DZ6" t="s">
        <v>6070</v>
      </c>
      <c r="EA6" t="s">
        <v>6071</v>
      </c>
      <c r="EB6">
        <v>2</v>
      </c>
      <c r="EC6" t="s">
        <v>6056</v>
      </c>
      <c r="ED6" t="s">
        <v>1634</v>
      </c>
      <c r="EE6">
        <v>10000</v>
      </c>
      <c r="EF6" t="s">
        <v>6056</v>
      </c>
      <c r="EG6" t="s">
        <v>1634</v>
      </c>
      <c r="EH6">
        <v>10000</v>
      </c>
      <c r="ER6" t="s">
        <v>6051</v>
      </c>
      <c r="ES6" t="s">
        <v>6072</v>
      </c>
      <c r="ET6" t="s">
        <v>6073</v>
      </c>
      <c r="EU6" t="s">
        <v>6052</v>
      </c>
      <c r="EV6" t="s">
        <v>6074</v>
      </c>
      <c r="EW6" t="s">
        <v>6075</v>
      </c>
      <c r="EX6" t="s">
        <v>6076</v>
      </c>
      <c r="EY6">
        <v>71592200</v>
      </c>
      <c r="EZ6">
        <v>70497744</v>
      </c>
      <c r="FD6" s="57">
        <v>43669.348958333336</v>
      </c>
      <c r="FE6" s="57">
        <v>43669.369375000002</v>
      </c>
    </row>
    <row r="7" spans="1:161" ht="12" customHeight="1">
      <c r="A7">
        <v>61</v>
      </c>
      <c r="B7">
        <v>29</v>
      </c>
      <c r="C7">
        <v>330526</v>
      </c>
      <c r="D7" s="57">
        <v>43671.286400462966</v>
      </c>
      <c r="E7" t="s">
        <v>6027</v>
      </c>
      <c r="F7" t="s">
        <v>725</v>
      </c>
      <c r="G7" t="s">
        <v>628</v>
      </c>
      <c r="H7" t="s">
        <v>4449</v>
      </c>
      <c r="I7" t="s">
        <v>4860</v>
      </c>
      <c r="J7">
        <v>71121640</v>
      </c>
      <c r="K7" t="s">
        <v>6028</v>
      </c>
      <c r="L7" t="s">
        <v>6029</v>
      </c>
      <c r="M7" t="s">
        <v>108</v>
      </c>
      <c r="O7" t="s">
        <v>507</v>
      </c>
      <c r="P7" t="s">
        <v>1548</v>
      </c>
      <c r="Q7" t="s">
        <v>107</v>
      </c>
      <c r="R7" t="s">
        <v>6030</v>
      </c>
      <c r="S7" t="s">
        <v>1634</v>
      </c>
      <c r="T7">
        <v>9</v>
      </c>
      <c r="U7" t="s">
        <v>1180</v>
      </c>
      <c r="V7">
        <v>17</v>
      </c>
      <c r="W7" t="s">
        <v>1634</v>
      </c>
      <c r="X7" t="s">
        <v>6031</v>
      </c>
      <c r="Y7" t="s">
        <v>6032</v>
      </c>
      <c r="Z7" t="s">
        <v>1548</v>
      </c>
      <c r="AA7" t="s">
        <v>6033</v>
      </c>
      <c r="AB7" t="s">
        <v>1548</v>
      </c>
      <c r="AC7" t="s">
        <v>6033</v>
      </c>
      <c r="AD7" t="s">
        <v>5999</v>
      </c>
      <c r="AE7" t="s">
        <v>1634</v>
      </c>
      <c r="AF7" t="s">
        <v>1561</v>
      </c>
      <c r="AG7" t="s">
        <v>1561</v>
      </c>
      <c r="AH7" t="s">
        <v>1561</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10</v>
      </c>
      <c r="BH7">
        <v>10</v>
      </c>
      <c r="BI7" t="s">
        <v>6026</v>
      </c>
      <c r="BJ7">
        <v>15</v>
      </c>
      <c r="BK7">
        <v>15</v>
      </c>
      <c r="BL7">
        <v>15</v>
      </c>
      <c r="BM7">
        <v>5</v>
      </c>
      <c r="BN7">
        <v>5</v>
      </c>
      <c r="BO7">
        <v>5</v>
      </c>
      <c r="BP7">
        <v>0</v>
      </c>
      <c r="BQ7">
        <v>0</v>
      </c>
      <c r="BR7">
        <v>10</v>
      </c>
      <c r="BS7">
        <v>0</v>
      </c>
      <c r="BT7">
        <v>0</v>
      </c>
      <c r="BU7">
        <v>0</v>
      </c>
      <c r="BV7">
        <v>0</v>
      </c>
      <c r="BW7">
        <v>0</v>
      </c>
      <c r="BX7">
        <v>0</v>
      </c>
      <c r="BY7">
        <v>0</v>
      </c>
      <c r="BZ7">
        <v>0</v>
      </c>
      <c r="CA7">
        <v>0</v>
      </c>
      <c r="CB7">
        <v>0</v>
      </c>
      <c r="CC7">
        <v>0</v>
      </c>
      <c r="CD7">
        <v>0</v>
      </c>
      <c r="CE7" t="s">
        <v>6034</v>
      </c>
      <c r="CF7" t="s">
        <v>6035</v>
      </c>
      <c r="CG7" t="s">
        <v>6036</v>
      </c>
      <c r="CH7" t="s">
        <v>6037</v>
      </c>
      <c r="CI7" t="s">
        <v>6038</v>
      </c>
      <c r="CJ7" t="s">
        <v>6039</v>
      </c>
      <c r="CK7" t="s">
        <v>1548</v>
      </c>
      <c r="CL7" t="s">
        <v>6007</v>
      </c>
      <c r="CM7" t="s">
        <v>6007</v>
      </c>
      <c r="CN7" t="s">
        <v>1634</v>
      </c>
      <c r="CO7" t="s">
        <v>6040</v>
      </c>
      <c r="CP7" t="s">
        <v>6041</v>
      </c>
      <c r="CQ7" t="s">
        <v>6042</v>
      </c>
      <c r="CR7" t="s">
        <v>6009</v>
      </c>
      <c r="CS7" t="s">
        <v>6043</v>
      </c>
      <c r="CT7" t="s">
        <v>6044</v>
      </c>
      <c r="CU7" t="s">
        <v>1548</v>
      </c>
      <c r="CV7" t="s">
        <v>6045</v>
      </c>
      <c r="CW7" t="s">
        <v>6009</v>
      </c>
      <c r="CX7" t="s">
        <v>6011</v>
      </c>
      <c r="CY7" t="s">
        <v>6011</v>
      </c>
      <c r="CZ7" t="s">
        <v>6046</v>
      </c>
      <c r="DA7" t="s">
        <v>6046</v>
      </c>
      <c r="DB7" t="s">
        <v>6014</v>
      </c>
      <c r="DC7" t="s">
        <v>6014</v>
      </c>
      <c r="DD7" t="s">
        <v>6013</v>
      </c>
      <c r="DE7" t="s">
        <v>6013</v>
      </c>
      <c r="DF7" t="s">
        <v>6047</v>
      </c>
      <c r="DG7" t="s">
        <v>6047</v>
      </c>
      <c r="DH7" t="s">
        <v>6048</v>
      </c>
      <c r="DI7" t="s">
        <v>6048</v>
      </c>
      <c r="DJ7">
        <v>2</v>
      </c>
      <c r="DK7">
        <v>2</v>
      </c>
      <c r="DL7" t="s">
        <v>6049</v>
      </c>
      <c r="DM7" t="s">
        <v>1559</v>
      </c>
      <c r="DO7">
        <v>0</v>
      </c>
      <c r="DX7" t="s">
        <v>6050</v>
      </c>
      <c r="DY7" t="s">
        <v>6015</v>
      </c>
      <c r="DZ7" t="s">
        <v>6015</v>
      </c>
      <c r="EA7" t="s">
        <v>6015</v>
      </c>
      <c r="EB7">
        <v>0</v>
      </c>
      <c r="ER7" t="s">
        <v>6051</v>
      </c>
      <c r="ES7" t="s">
        <v>6052</v>
      </c>
      <c r="ET7" t="s">
        <v>6053</v>
      </c>
      <c r="EU7" t="s">
        <v>1080</v>
      </c>
      <c r="EV7" t="s">
        <v>6024</v>
      </c>
      <c r="EW7" t="s">
        <v>6054</v>
      </c>
      <c r="EX7" t="s">
        <v>6055</v>
      </c>
      <c r="EY7">
        <v>70851509</v>
      </c>
      <c r="EZ7">
        <v>71676046</v>
      </c>
      <c r="FD7" s="57">
        <v>43669.91101851852</v>
      </c>
      <c r="FE7" s="57">
        <v>43669.948368055557</v>
      </c>
    </row>
    <row r="8" spans="1:161" ht="12" customHeight="1">
      <c r="A8">
        <v>81</v>
      </c>
      <c r="B8">
        <v>6</v>
      </c>
      <c r="C8">
        <v>346744</v>
      </c>
      <c r="D8" s="57">
        <v>43677.606215277781</v>
      </c>
      <c r="E8" t="s">
        <v>5991</v>
      </c>
      <c r="F8" t="s">
        <v>663</v>
      </c>
      <c r="G8" t="s">
        <v>603</v>
      </c>
      <c r="H8" t="s">
        <v>4449</v>
      </c>
      <c r="I8" t="s">
        <v>4860</v>
      </c>
      <c r="J8">
        <v>76140063</v>
      </c>
      <c r="K8" t="s">
        <v>5992</v>
      </c>
      <c r="L8" t="s">
        <v>5993</v>
      </c>
      <c r="M8" t="s">
        <v>142</v>
      </c>
      <c r="O8" t="s">
        <v>5994</v>
      </c>
      <c r="P8" t="s">
        <v>1548</v>
      </c>
      <c r="Q8" t="s">
        <v>5995</v>
      </c>
      <c r="R8" t="s">
        <v>2338</v>
      </c>
      <c r="S8" t="s">
        <v>1634</v>
      </c>
      <c r="T8" t="s">
        <v>5996</v>
      </c>
      <c r="U8" t="s">
        <v>1541</v>
      </c>
      <c r="V8">
        <v>38</v>
      </c>
      <c r="W8" t="s">
        <v>1634</v>
      </c>
      <c r="X8" t="s">
        <v>5997</v>
      </c>
      <c r="Y8" t="s">
        <v>5998</v>
      </c>
      <c r="Z8" t="s">
        <v>1634</v>
      </c>
      <c r="AA8" t="s">
        <v>5999</v>
      </c>
      <c r="AB8" t="s">
        <v>1634</v>
      </c>
      <c r="AC8" t="s">
        <v>5998</v>
      </c>
      <c r="AD8" t="s">
        <v>5999</v>
      </c>
      <c r="AE8" t="s">
        <v>1634</v>
      </c>
      <c r="AF8" t="s">
        <v>6000</v>
      </c>
      <c r="AG8" t="s">
        <v>6000</v>
      </c>
      <c r="AH8" t="s">
        <v>6000</v>
      </c>
      <c r="AU8">
        <v>2</v>
      </c>
      <c r="AV8">
        <v>2</v>
      </c>
      <c r="AW8">
        <v>2</v>
      </c>
      <c r="AX8">
        <v>0</v>
      </c>
      <c r="AY8">
        <v>0</v>
      </c>
      <c r="AZ8">
        <v>0</v>
      </c>
      <c r="BA8">
        <v>0</v>
      </c>
      <c r="BB8">
        <v>0</v>
      </c>
      <c r="BC8">
        <v>0</v>
      </c>
      <c r="BD8">
        <v>3</v>
      </c>
      <c r="BE8">
        <v>3</v>
      </c>
      <c r="BF8">
        <v>4</v>
      </c>
      <c r="BG8">
        <v>2</v>
      </c>
      <c r="BH8">
        <v>2</v>
      </c>
      <c r="CE8" t="s">
        <v>6001</v>
      </c>
      <c r="CF8" t="s">
        <v>6002</v>
      </c>
      <c r="CG8" t="s">
        <v>6003</v>
      </c>
      <c r="CH8" t="s">
        <v>6004</v>
      </c>
      <c r="CI8" t="s">
        <v>6005</v>
      </c>
      <c r="CJ8" t="s">
        <v>6006</v>
      </c>
      <c r="CK8" t="s">
        <v>1548</v>
      </c>
      <c r="CL8" t="s">
        <v>1856</v>
      </c>
      <c r="CM8" t="s">
        <v>6007</v>
      </c>
      <c r="CN8" t="s">
        <v>1548</v>
      </c>
      <c r="CO8" t="s">
        <v>1856</v>
      </c>
      <c r="CP8" t="s">
        <v>6007</v>
      </c>
      <c r="CQ8" t="s">
        <v>6008</v>
      </c>
      <c r="CR8" t="s">
        <v>6009</v>
      </c>
      <c r="CS8" t="s">
        <v>1366</v>
      </c>
      <c r="CT8" t="s">
        <v>6009</v>
      </c>
      <c r="CU8" t="s">
        <v>1548</v>
      </c>
      <c r="CV8" t="s">
        <v>6010</v>
      </c>
      <c r="CW8" t="s">
        <v>6009</v>
      </c>
      <c r="CX8" t="s">
        <v>6011</v>
      </c>
      <c r="CY8" t="s">
        <v>6011</v>
      </c>
      <c r="CZ8" t="s">
        <v>6012</v>
      </c>
      <c r="DA8" t="s">
        <v>6013</v>
      </c>
      <c r="DB8" t="s">
        <v>6014</v>
      </c>
      <c r="DC8" t="s">
        <v>6014</v>
      </c>
      <c r="DD8" t="s">
        <v>6013</v>
      </c>
      <c r="DE8" t="s">
        <v>6013</v>
      </c>
      <c r="DF8" t="s">
        <v>1366</v>
      </c>
      <c r="DG8" t="s">
        <v>6015</v>
      </c>
      <c r="DH8" t="s">
        <v>1366</v>
      </c>
      <c r="DI8" t="s">
        <v>6016</v>
      </c>
      <c r="DJ8">
        <v>2</v>
      </c>
      <c r="DK8">
        <v>2</v>
      </c>
      <c r="DL8" t="s">
        <v>6017</v>
      </c>
      <c r="DM8" t="s">
        <v>6018</v>
      </c>
      <c r="DT8">
        <v>65</v>
      </c>
      <c r="DU8">
        <v>1000</v>
      </c>
      <c r="DX8" t="s">
        <v>6019</v>
      </c>
      <c r="DY8" t="s">
        <v>6020</v>
      </c>
      <c r="DZ8" t="s">
        <v>6021</v>
      </c>
      <c r="EA8" t="s">
        <v>6022</v>
      </c>
      <c r="EB8">
        <v>1</v>
      </c>
      <c r="EC8" t="s">
        <v>5994</v>
      </c>
      <c r="ED8" t="s">
        <v>1634</v>
      </c>
      <c r="EE8">
        <v>10000</v>
      </c>
      <c r="ER8" t="s">
        <v>6023</v>
      </c>
      <c r="ES8" t="s">
        <v>5994</v>
      </c>
      <c r="EV8" t="s">
        <v>6024</v>
      </c>
      <c r="EW8" t="s">
        <v>670</v>
      </c>
      <c r="EX8" t="s">
        <v>6025</v>
      </c>
      <c r="EY8">
        <v>76140063</v>
      </c>
      <c r="EZ8" t="s">
        <v>6026</v>
      </c>
      <c r="FD8" s="57">
        <v>43677.590578703705</v>
      </c>
      <c r="FE8" s="57">
        <v>43677.606157407405</v>
      </c>
    </row>
    <row r="9" spans="1:161" ht="12" customHeight="1">
      <c r="A9">
        <v>103</v>
      </c>
      <c r="B9">
        <v>15</v>
      </c>
      <c r="C9">
        <v>334836</v>
      </c>
      <c r="D9" s="57">
        <v>43672.619328703702</v>
      </c>
      <c r="E9" t="s">
        <v>6077</v>
      </c>
      <c r="F9" t="s">
        <v>6690</v>
      </c>
      <c r="G9" t="s">
        <v>703</v>
      </c>
      <c r="H9" t="s">
        <v>4449</v>
      </c>
      <c r="I9" t="s">
        <v>4860</v>
      </c>
      <c r="J9">
        <v>75446323</v>
      </c>
      <c r="K9" t="s">
        <v>6028</v>
      </c>
      <c r="L9" t="s">
        <v>6204</v>
      </c>
      <c r="M9" t="s">
        <v>58</v>
      </c>
      <c r="O9" t="s">
        <v>1173</v>
      </c>
      <c r="P9" t="s">
        <v>1548</v>
      </c>
      <c r="Q9" t="s">
        <v>515</v>
      </c>
      <c r="R9" t="s">
        <v>2338</v>
      </c>
      <c r="S9" t="s">
        <v>1634</v>
      </c>
      <c r="T9" t="s">
        <v>6691</v>
      </c>
      <c r="U9" t="s">
        <v>1541</v>
      </c>
      <c r="V9">
        <v>57</v>
      </c>
      <c r="W9" t="s">
        <v>1634</v>
      </c>
      <c r="X9" t="s">
        <v>5997</v>
      </c>
      <c r="Y9" t="s">
        <v>6033</v>
      </c>
      <c r="Z9" t="s">
        <v>1548</v>
      </c>
      <c r="AA9" t="s">
        <v>6033</v>
      </c>
      <c r="AB9" t="s">
        <v>1634</v>
      </c>
      <c r="AC9" t="s">
        <v>6033</v>
      </c>
      <c r="AD9" t="s">
        <v>5998</v>
      </c>
      <c r="AE9" t="s">
        <v>1634</v>
      </c>
      <c r="AF9" t="s">
        <v>1561</v>
      </c>
      <c r="AG9" t="s">
        <v>1561</v>
      </c>
      <c r="AH9" t="s">
        <v>1561</v>
      </c>
      <c r="AI9" t="s">
        <v>6026</v>
      </c>
      <c r="AJ9" t="s">
        <v>6026</v>
      </c>
      <c r="AK9" t="s">
        <v>6026</v>
      </c>
      <c r="AL9" t="s">
        <v>6026</v>
      </c>
      <c r="AM9" t="s">
        <v>6026</v>
      </c>
      <c r="AN9" t="s">
        <v>6026</v>
      </c>
      <c r="AO9" t="s">
        <v>6026</v>
      </c>
      <c r="AP9" t="s">
        <v>6026</v>
      </c>
      <c r="AQ9" t="s">
        <v>6026</v>
      </c>
      <c r="AR9" t="s">
        <v>6026</v>
      </c>
      <c r="AS9" t="s">
        <v>6026</v>
      </c>
      <c r="AT9" t="s">
        <v>6026</v>
      </c>
      <c r="AU9" t="s">
        <v>6026</v>
      </c>
      <c r="AV9" t="s">
        <v>6026</v>
      </c>
      <c r="AW9" t="s">
        <v>6026</v>
      </c>
      <c r="AX9" t="s">
        <v>6026</v>
      </c>
      <c r="AY9" t="s">
        <v>6026</v>
      </c>
      <c r="AZ9" t="s">
        <v>6026</v>
      </c>
      <c r="BA9" t="s">
        <v>6026</v>
      </c>
      <c r="BB9" t="s">
        <v>6026</v>
      </c>
      <c r="BC9" t="s">
        <v>6026</v>
      </c>
      <c r="BD9" t="s">
        <v>6026</v>
      </c>
      <c r="BE9" t="s">
        <v>6026</v>
      </c>
      <c r="BF9" t="s">
        <v>6026</v>
      </c>
      <c r="BG9">
        <v>0</v>
      </c>
      <c r="BH9">
        <v>0</v>
      </c>
      <c r="BI9">
        <v>0</v>
      </c>
      <c r="BJ9">
        <v>0</v>
      </c>
      <c r="BK9">
        <v>0</v>
      </c>
      <c r="BL9">
        <v>0</v>
      </c>
      <c r="BM9">
        <v>1</v>
      </c>
      <c r="BN9">
        <v>1</v>
      </c>
      <c r="BO9">
        <v>1</v>
      </c>
      <c r="BP9">
        <v>7</v>
      </c>
      <c r="BQ9">
        <v>5</v>
      </c>
      <c r="BR9">
        <v>12</v>
      </c>
      <c r="BS9" t="s">
        <v>6026</v>
      </c>
      <c r="BT9" t="s">
        <v>6026</v>
      </c>
      <c r="BU9" t="s">
        <v>6026</v>
      </c>
      <c r="BV9" t="s">
        <v>6026</v>
      </c>
      <c r="BW9" t="s">
        <v>6026</v>
      </c>
      <c r="BX9" t="s">
        <v>6026</v>
      </c>
      <c r="BY9" t="s">
        <v>6026</v>
      </c>
      <c r="BZ9" t="s">
        <v>6026</v>
      </c>
      <c r="CA9" t="s">
        <v>6026</v>
      </c>
      <c r="CB9" t="s">
        <v>6026</v>
      </c>
      <c r="CC9" t="s">
        <v>6026</v>
      </c>
      <c r="CD9" t="s">
        <v>6026</v>
      </c>
      <c r="CE9" t="s">
        <v>6086</v>
      </c>
      <c r="CF9" t="s">
        <v>6087</v>
      </c>
      <c r="CG9" t="s">
        <v>6692</v>
      </c>
      <c r="CH9" t="s">
        <v>6693</v>
      </c>
      <c r="CI9" t="s">
        <v>6694</v>
      </c>
      <c r="CJ9" t="s">
        <v>6141</v>
      </c>
      <c r="CK9" t="s">
        <v>1634</v>
      </c>
      <c r="CL9" t="s">
        <v>6695</v>
      </c>
      <c r="CM9" t="s">
        <v>6456</v>
      </c>
      <c r="CN9" t="s">
        <v>1634</v>
      </c>
      <c r="CO9" t="s">
        <v>6696</v>
      </c>
      <c r="CP9" t="s">
        <v>6041</v>
      </c>
      <c r="CQ9" t="s">
        <v>6697</v>
      </c>
      <c r="CR9" t="s">
        <v>6147</v>
      </c>
      <c r="CS9" t="s">
        <v>6698</v>
      </c>
      <c r="CT9" t="s">
        <v>6147</v>
      </c>
      <c r="CU9" t="s">
        <v>1548</v>
      </c>
      <c r="CV9" t="s">
        <v>6699</v>
      </c>
      <c r="CW9" t="s">
        <v>6009</v>
      </c>
      <c r="CX9" t="s">
        <v>6014</v>
      </c>
      <c r="CY9" t="s">
        <v>6014</v>
      </c>
      <c r="CZ9" t="s">
        <v>6046</v>
      </c>
      <c r="DA9" t="s">
        <v>6046</v>
      </c>
      <c r="DB9" t="s">
        <v>6014</v>
      </c>
      <c r="DC9" t="s">
        <v>6014</v>
      </c>
      <c r="DD9" t="s">
        <v>6046</v>
      </c>
      <c r="DE9" t="s">
        <v>6046</v>
      </c>
      <c r="DF9" t="s">
        <v>6700</v>
      </c>
      <c r="DG9" t="s">
        <v>6047</v>
      </c>
      <c r="DH9" t="s">
        <v>6701</v>
      </c>
      <c r="DI9" t="s">
        <v>6256</v>
      </c>
      <c r="DJ9" t="s">
        <v>2643</v>
      </c>
      <c r="DK9">
        <v>6</v>
      </c>
      <c r="DL9" t="s">
        <v>6049</v>
      </c>
      <c r="DM9" t="s">
        <v>6289</v>
      </c>
      <c r="DN9">
        <v>5</v>
      </c>
      <c r="DQ9">
        <v>1000</v>
      </c>
      <c r="DX9" t="s">
        <v>6702</v>
      </c>
      <c r="DY9" t="s">
        <v>6020</v>
      </c>
      <c r="DZ9" t="s">
        <v>6703</v>
      </c>
      <c r="EA9" t="s">
        <v>6260</v>
      </c>
      <c r="EB9">
        <v>0</v>
      </c>
      <c r="ER9" t="s">
        <v>6129</v>
      </c>
      <c r="ES9" t="s">
        <v>6704</v>
      </c>
      <c r="ET9" t="s">
        <v>1556</v>
      </c>
      <c r="EU9" t="s">
        <v>1556</v>
      </c>
      <c r="EV9" t="s">
        <v>6074</v>
      </c>
      <c r="EW9" t="s">
        <v>541</v>
      </c>
      <c r="EX9" t="s">
        <v>6705</v>
      </c>
      <c r="EY9">
        <v>61610507</v>
      </c>
      <c r="EZ9">
        <v>75208924</v>
      </c>
      <c r="FA9" t="s">
        <v>6706</v>
      </c>
      <c r="FD9" s="57">
        <v>43672.617395833331</v>
      </c>
      <c r="FE9" s="57">
        <v>43672.619270833333</v>
      </c>
    </row>
    <row r="10" spans="1:161" ht="12" customHeight="1">
      <c r="A10">
        <v>105</v>
      </c>
      <c r="B10">
        <v>13</v>
      </c>
      <c r="C10">
        <v>340516</v>
      </c>
      <c r="D10" s="57">
        <v>43675.466747685183</v>
      </c>
      <c r="E10" t="s">
        <v>6220</v>
      </c>
      <c r="F10" t="s">
        <v>729</v>
      </c>
      <c r="G10" t="s">
        <v>572</v>
      </c>
      <c r="H10" t="s">
        <v>4449</v>
      </c>
      <c r="I10" t="s">
        <v>4860</v>
      </c>
      <c r="J10">
        <v>76079260</v>
      </c>
      <c r="K10" t="s">
        <v>6028</v>
      </c>
      <c r="L10" t="s">
        <v>6204</v>
      </c>
      <c r="M10" t="s">
        <v>58</v>
      </c>
      <c r="O10" t="s">
        <v>7035</v>
      </c>
      <c r="P10" t="s">
        <v>1548</v>
      </c>
      <c r="Q10" t="s">
        <v>175</v>
      </c>
      <c r="R10" t="s">
        <v>2338</v>
      </c>
      <c r="S10" t="s">
        <v>1634</v>
      </c>
      <c r="T10" t="s">
        <v>7036</v>
      </c>
      <c r="U10" t="s">
        <v>2282</v>
      </c>
      <c r="V10">
        <v>14</v>
      </c>
      <c r="W10" t="s">
        <v>1634</v>
      </c>
      <c r="X10" t="s">
        <v>6031</v>
      </c>
      <c r="Y10" t="s">
        <v>6032</v>
      </c>
      <c r="Z10" t="s">
        <v>1548</v>
      </c>
      <c r="AA10" t="s">
        <v>5999</v>
      </c>
      <c r="AB10" t="s">
        <v>1634</v>
      </c>
      <c r="AC10" t="s">
        <v>6033</v>
      </c>
      <c r="AD10" t="s">
        <v>5999</v>
      </c>
      <c r="AE10" t="s">
        <v>1634</v>
      </c>
      <c r="BG10">
        <v>1</v>
      </c>
      <c r="BH10">
        <v>6</v>
      </c>
      <c r="BI10">
        <v>6</v>
      </c>
      <c r="BJ10">
        <v>1</v>
      </c>
      <c r="BK10">
        <v>5</v>
      </c>
      <c r="BL10">
        <v>5</v>
      </c>
      <c r="BM10">
        <v>0</v>
      </c>
      <c r="BN10">
        <v>2</v>
      </c>
      <c r="BO10">
        <v>2</v>
      </c>
      <c r="BP10">
        <v>2</v>
      </c>
      <c r="BQ10">
        <v>8</v>
      </c>
      <c r="BR10">
        <v>10</v>
      </c>
      <c r="BS10">
        <v>0</v>
      </c>
      <c r="BT10">
        <v>0</v>
      </c>
      <c r="BU10">
        <v>0</v>
      </c>
      <c r="BV10">
        <v>0</v>
      </c>
      <c r="BW10">
        <v>0</v>
      </c>
      <c r="BX10">
        <v>0</v>
      </c>
      <c r="BY10">
        <v>0</v>
      </c>
      <c r="BZ10">
        <v>2</v>
      </c>
      <c r="CA10">
        <v>2</v>
      </c>
      <c r="CB10">
        <v>2</v>
      </c>
      <c r="CC10">
        <v>0</v>
      </c>
      <c r="CD10">
        <v>5</v>
      </c>
      <c r="CE10" t="s">
        <v>7037</v>
      </c>
      <c r="CF10" t="s">
        <v>6087</v>
      </c>
      <c r="CG10" s="58" t="s">
        <v>7038</v>
      </c>
      <c r="CH10" t="s">
        <v>7039</v>
      </c>
      <c r="CI10" t="s">
        <v>7040</v>
      </c>
      <c r="CJ10" t="s">
        <v>6228</v>
      </c>
      <c r="CK10" t="s">
        <v>1548</v>
      </c>
      <c r="CL10" t="s">
        <v>7041</v>
      </c>
      <c r="CM10" t="s">
        <v>6007</v>
      </c>
      <c r="CN10" t="s">
        <v>1548</v>
      </c>
      <c r="CO10" t="s">
        <v>1856</v>
      </c>
      <c r="CP10" t="s">
        <v>6041</v>
      </c>
      <c r="CQ10" t="s">
        <v>7042</v>
      </c>
      <c r="CR10" t="s">
        <v>7043</v>
      </c>
      <c r="CS10" t="s">
        <v>7042</v>
      </c>
      <c r="CT10" t="s">
        <v>6124</v>
      </c>
      <c r="CU10" t="s">
        <v>1634</v>
      </c>
      <c r="CV10" t="s">
        <v>7044</v>
      </c>
      <c r="CW10" t="s">
        <v>6234</v>
      </c>
      <c r="CY10" t="s">
        <v>6014</v>
      </c>
      <c r="DA10" t="s">
        <v>6046</v>
      </c>
      <c r="DC10" t="s">
        <v>6014</v>
      </c>
      <c r="DE10" t="s">
        <v>6046</v>
      </c>
      <c r="DF10" t="s">
        <v>6736</v>
      </c>
      <c r="DH10" t="s">
        <v>7045</v>
      </c>
      <c r="DI10" t="s">
        <v>6048</v>
      </c>
      <c r="DJ10">
        <v>4</v>
      </c>
      <c r="DK10">
        <v>6</v>
      </c>
      <c r="DL10" t="s">
        <v>6049</v>
      </c>
      <c r="DM10" t="s">
        <v>6018</v>
      </c>
      <c r="DT10">
        <v>60</v>
      </c>
      <c r="DU10">
        <v>10000</v>
      </c>
      <c r="DX10" t="s">
        <v>6069</v>
      </c>
      <c r="DY10" t="s">
        <v>6235</v>
      </c>
      <c r="DZ10" t="s">
        <v>6236</v>
      </c>
      <c r="EA10" t="s">
        <v>6022</v>
      </c>
      <c r="EB10">
        <v>1</v>
      </c>
      <c r="EC10" t="s">
        <v>1151</v>
      </c>
      <c r="ED10" t="s">
        <v>1548</v>
      </c>
      <c r="EE10">
        <v>1000</v>
      </c>
      <c r="ER10" t="s">
        <v>6106</v>
      </c>
      <c r="ES10" t="s">
        <v>2754</v>
      </c>
      <c r="ET10" t="s">
        <v>2643</v>
      </c>
      <c r="EU10" t="s">
        <v>2643</v>
      </c>
      <c r="EV10" t="s">
        <v>6024</v>
      </c>
      <c r="EW10" t="s">
        <v>729</v>
      </c>
      <c r="EX10" t="s">
        <v>572</v>
      </c>
      <c r="EY10">
        <v>76079260</v>
      </c>
      <c r="EZ10" t="s">
        <v>6026</v>
      </c>
      <c r="FD10" s="57">
        <v>43675.466400462959</v>
      </c>
      <c r="FE10" s="57">
        <v>43675.46670138889</v>
      </c>
    </row>
    <row r="11" spans="1:161" ht="12" customHeight="1">
      <c r="A11">
        <v>108</v>
      </c>
      <c r="B11">
        <v>22</v>
      </c>
      <c r="C11">
        <v>333113</v>
      </c>
      <c r="D11" s="57">
        <v>43671.798750000002</v>
      </c>
      <c r="E11" t="s">
        <v>6202</v>
      </c>
      <c r="F11" t="s">
        <v>710</v>
      </c>
      <c r="G11" t="s">
        <v>6684</v>
      </c>
      <c r="H11" t="s">
        <v>4449</v>
      </c>
      <c r="I11" t="s">
        <v>4860</v>
      </c>
      <c r="J11">
        <v>71257027</v>
      </c>
      <c r="K11" t="s">
        <v>6028</v>
      </c>
      <c r="L11" t="s">
        <v>6204</v>
      </c>
      <c r="M11" t="s">
        <v>58</v>
      </c>
      <c r="O11" t="s">
        <v>1100</v>
      </c>
      <c r="P11" t="s">
        <v>1548</v>
      </c>
      <c r="Q11" t="s">
        <v>6685</v>
      </c>
      <c r="R11" t="s">
        <v>1920</v>
      </c>
      <c r="S11" t="s">
        <v>1548</v>
      </c>
      <c r="U11" t="s">
        <v>1541</v>
      </c>
      <c r="V11">
        <v>17</v>
      </c>
      <c r="W11" t="s">
        <v>1634</v>
      </c>
      <c r="X11" t="s">
        <v>6031</v>
      </c>
      <c r="Y11" t="s">
        <v>5999</v>
      </c>
      <c r="Z11" t="s">
        <v>1548</v>
      </c>
      <c r="AA11" t="s">
        <v>6033</v>
      </c>
      <c r="AB11" t="s">
        <v>1634</v>
      </c>
      <c r="AC11" t="s">
        <v>6032</v>
      </c>
      <c r="AD11" t="s">
        <v>6032</v>
      </c>
      <c r="AE11" t="s">
        <v>1634</v>
      </c>
      <c r="AF11" t="s">
        <v>1561</v>
      </c>
      <c r="AG11" t="s">
        <v>1561</v>
      </c>
      <c r="AH11" t="s">
        <v>6085</v>
      </c>
      <c r="AI11" t="s">
        <v>6026</v>
      </c>
      <c r="AJ11" t="s">
        <v>6026</v>
      </c>
      <c r="AK11" t="s">
        <v>6026</v>
      </c>
      <c r="AL11" t="s">
        <v>6026</v>
      </c>
      <c r="AM11" t="s">
        <v>6026</v>
      </c>
      <c r="AN11" t="s">
        <v>6026</v>
      </c>
      <c r="AO11" t="s">
        <v>6026</v>
      </c>
      <c r="AP11" t="s">
        <v>6026</v>
      </c>
      <c r="AQ11" t="s">
        <v>6026</v>
      </c>
      <c r="AR11" t="s">
        <v>6026</v>
      </c>
      <c r="AS11" t="s">
        <v>6026</v>
      </c>
      <c r="AT11" t="s">
        <v>6026</v>
      </c>
      <c r="AU11" t="s">
        <v>6026</v>
      </c>
      <c r="AV11" t="s">
        <v>6026</v>
      </c>
      <c r="AW11" t="s">
        <v>6026</v>
      </c>
      <c r="AX11" t="s">
        <v>6026</v>
      </c>
      <c r="AY11" t="s">
        <v>6026</v>
      </c>
      <c r="AZ11" t="s">
        <v>6026</v>
      </c>
      <c r="BA11" t="s">
        <v>6026</v>
      </c>
      <c r="BB11" t="s">
        <v>6026</v>
      </c>
      <c r="BC11" t="s">
        <v>6026</v>
      </c>
      <c r="BD11" t="s">
        <v>6026</v>
      </c>
      <c r="BE11" t="s">
        <v>6026</v>
      </c>
      <c r="BF11" t="s">
        <v>6026</v>
      </c>
      <c r="BG11">
        <v>5</v>
      </c>
      <c r="BH11">
        <v>12</v>
      </c>
      <c r="BI11">
        <v>0</v>
      </c>
      <c r="BJ11">
        <v>2</v>
      </c>
      <c r="BK11">
        <v>11</v>
      </c>
      <c r="BL11">
        <v>0</v>
      </c>
      <c r="BM11">
        <v>3</v>
      </c>
      <c r="BN11">
        <v>9</v>
      </c>
      <c r="BO11">
        <v>0</v>
      </c>
      <c r="BP11">
        <v>0</v>
      </c>
      <c r="BQ11">
        <v>20</v>
      </c>
      <c r="BR11">
        <v>5</v>
      </c>
      <c r="BS11" t="s">
        <v>6026</v>
      </c>
      <c r="BT11" t="s">
        <v>6026</v>
      </c>
      <c r="BU11" t="s">
        <v>6026</v>
      </c>
      <c r="BV11" t="s">
        <v>6026</v>
      </c>
      <c r="BW11" t="s">
        <v>6026</v>
      </c>
      <c r="BX11" t="s">
        <v>6026</v>
      </c>
      <c r="BY11" t="s">
        <v>6026</v>
      </c>
      <c r="BZ11" t="s">
        <v>6026</v>
      </c>
      <c r="CA11" t="s">
        <v>6026</v>
      </c>
      <c r="CB11" t="s">
        <v>6026</v>
      </c>
      <c r="CC11" t="s">
        <v>6026</v>
      </c>
      <c r="CD11" t="s">
        <v>6026</v>
      </c>
      <c r="CE11" t="s">
        <v>6686</v>
      </c>
      <c r="CF11" t="s">
        <v>6687</v>
      </c>
      <c r="CG11" t="s">
        <v>6354</v>
      </c>
      <c r="CH11" t="s">
        <v>6688</v>
      </c>
      <c r="CI11" t="s">
        <v>6354</v>
      </c>
      <c r="CJ11" t="s">
        <v>6689</v>
      </c>
      <c r="CK11" t="s">
        <v>1548</v>
      </c>
      <c r="CL11" t="s">
        <v>6352</v>
      </c>
      <c r="CM11" t="s">
        <v>6007</v>
      </c>
      <c r="CN11" t="s">
        <v>1548</v>
      </c>
      <c r="CO11" t="s">
        <v>6352</v>
      </c>
      <c r="CP11" t="s">
        <v>6007</v>
      </c>
      <c r="CQ11" t="s">
        <v>6217</v>
      </c>
      <c r="CR11" t="s">
        <v>6009</v>
      </c>
      <c r="CS11" t="s">
        <v>1856</v>
      </c>
      <c r="CT11" t="s">
        <v>6009</v>
      </c>
      <c r="CU11" t="s">
        <v>1548</v>
      </c>
      <c r="CV11" t="s">
        <v>1856</v>
      </c>
      <c r="CW11" t="s">
        <v>6009</v>
      </c>
      <c r="CX11" t="s">
        <v>6014</v>
      </c>
      <c r="CY11" t="s">
        <v>6067</v>
      </c>
      <c r="CZ11" t="s">
        <v>6013</v>
      </c>
      <c r="DA11" t="s">
        <v>6013</v>
      </c>
      <c r="DB11" t="s">
        <v>6014</v>
      </c>
      <c r="DC11" t="s">
        <v>6014</v>
      </c>
      <c r="DD11" t="s">
        <v>6013</v>
      </c>
      <c r="DE11" t="s">
        <v>6013</v>
      </c>
      <c r="DF11" t="s">
        <v>6218</v>
      </c>
      <c r="DG11" t="s">
        <v>6015</v>
      </c>
      <c r="DH11" t="s">
        <v>6218</v>
      </c>
      <c r="DI11" t="s">
        <v>6016</v>
      </c>
      <c r="DJ11">
        <v>3</v>
      </c>
      <c r="DK11">
        <v>1</v>
      </c>
      <c r="DL11" t="s">
        <v>6049</v>
      </c>
      <c r="DM11" t="s">
        <v>1559</v>
      </c>
      <c r="DO11">
        <v>10</v>
      </c>
      <c r="DX11" t="s">
        <v>2289</v>
      </c>
      <c r="DY11" t="s">
        <v>6015</v>
      </c>
      <c r="DZ11" t="s">
        <v>6218</v>
      </c>
      <c r="EA11" t="s">
        <v>6015</v>
      </c>
      <c r="EB11">
        <v>0</v>
      </c>
      <c r="ER11" t="s">
        <v>6106</v>
      </c>
      <c r="ES11" t="s">
        <v>6052</v>
      </c>
      <c r="ET11" t="s">
        <v>6052</v>
      </c>
      <c r="EU11" t="s">
        <v>6219</v>
      </c>
      <c r="EV11" t="s">
        <v>6074</v>
      </c>
      <c r="EY11" t="s">
        <v>6026</v>
      </c>
      <c r="EZ11" t="s">
        <v>6026</v>
      </c>
      <c r="FD11" s="57">
        <v>43671.792893518519</v>
      </c>
      <c r="FE11" s="57">
        <v>43671.798703703702</v>
      </c>
    </row>
    <row r="12" spans="1:161" ht="12" customHeight="1">
      <c r="A12">
        <v>109</v>
      </c>
      <c r="B12">
        <v>16</v>
      </c>
      <c r="C12">
        <v>334763</v>
      </c>
      <c r="D12" s="57">
        <v>43672.617361111108</v>
      </c>
      <c r="E12" t="s">
        <v>6077</v>
      </c>
      <c r="F12" t="s">
        <v>6664</v>
      </c>
      <c r="G12" t="s">
        <v>712</v>
      </c>
      <c r="H12" t="s">
        <v>4449</v>
      </c>
      <c r="I12" t="s">
        <v>4860</v>
      </c>
      <c r="J12">
        <v>70739030</v>
      </c>
      <c r="K12" t="s">
        <v>6028</v>
      </c>
      <c r="L12" t="s">
        <v>6204</v>
      </c>
      <c r="M12" t="s">
        <v>58</v>
      </c>
      <c r="O12" t="s">
        <v>6665</v>
      </c>
      <c r="P12" t="s">
        <v>1548</v>
      </c>
      <c r="Q12" t="s">
        <v>180</v>
      </c>
      <c r="R12" t="s">
        <v>2338</v>
      </c>
      <c r="S12" t="s">
        <v>1634</v>
      </c>
      <c r="T12" t="s">
        <v>6666</v>
      </c>
      <c r="U12" t="s">
        <v>4803</v>
      </c>
      <c r="V12">
        <v>23</v>
      </c>
      <c r="W12" t="s">
        <v>1634</v>
      </c>
      <c r="X12" t="s">
        <v>6031</v>
      </c>
      <c r="Y12" t="s">
        <v>5999</v>
      </c>
      <c r="Z12" t="s">
        <v>1634</v>
      </c>
      <c r="AA12" t="s">
        <v>5998</v>
      </c>
      <c r="AB12" t="s">
        <v>1634</v>
      </c>
      <c r="AC12" t="s">
        <v>5998</v>
      </c>
      <c r="AD12" t="s">
        <v>5998</v>
      </c>
      <c r="AE12" t="s">
        <v>1634</v>
      </c>
      <c r="AF12" t="s">
        <v>6085</v>
      </c>
      <c r="AG12" t="s">
        <v>6085</v>
      </c>
      <c r="AH12" t="s">
        <v>6085</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3</v>
      </c>
      <c r="BK12">
        <v>3</v>
      </c>
      <c r="BL12">
        <v>3</v>
      </c>
      <c r="BM12">
        <v>8</v>
      </c>
      <c r="BN12">
        <v>5</v>
      </c>
      <c r="BO12">
        <v>5</v>
      </c>
      <c r="BP12">
        <v>50</v>
      </c>
      <c r="BQ12">
        <v>28</v>
      </c>
      <c r="BR12">
        <v>50</v>
      </c>
      <c r="BS12">
        <v>0</v>
      </c>
      <c r="BT12">
        <v>0</v>
      </c>
      <c r="BU12">
        <v>0</v>
      </c>
      <c r="BV12">
        <v>1</v>
      </c>
      <c r="BW12">
        <v>1</v>
      </c>
      <c r="BX12">
        <v>1</v>
      </c>
      <c r="BY12">
        <v>3</v>
      </c>
      <c r="BZ12">
        <v>4</v>
      </c>
      <c r="CA12">
        <v>4</v>
      </c>
      <c r="CB12">
        <v>20</v>
      </c>
      <c r="CC12">
        <v>0</v>
      </c>
      <c r="CD12">
        <v>35</v>
      </c>
      <c r="CE12" t="s">
        <v>6667</v>
      </c>
      <c r="CF12" t="s">
        <v>6087</v>
      </c>
      <c r="CG12" t="s">
        <v>6668</v>
      </c>
      <c r="CH12" t="s">
        <v>6669</v>
      </c>
      <c r="CI12" t="s">
        <v>6670</v>
      </c>
      <c r="CJ12" t="s">
        <v>6671</v>
      </c>
      <c r="CK12" t="s">
        <v>1634</v>
      </c>
      <c r="CL12" t="s">
        <v>6672</v>
      </c>
      <c r="CM12" t="s">
        <v>6470</v>
      </c>
      <c r="CN12" t="s">
        <v>1634</v>
      </c>
      <c r="CO12" t="s">
        <v>6673</v>
      </c>
      <c r="CP12" t="s">
        <v>6041</v>
      </c>
      <c r="CQ12" t="s">
        <v>6674</v>
      </c>
      <c r="CR12" t="s">
        <v>6009</v>
      </c>
      <c r="CS12" t="s">
        <v>6675</v>
      </c>
      <c r="CT12" t="s">
        <v>6147</v>
      </c>
      <c r="CU12" t="s">
        <v>1548</v>
      </c>
      <c r="CV12" t="s">
        <v>6676</v>
      </c>
      <c r="CW12" t="s">
        <v>6009</v>
      </c>
      <c r="CX12" t="s">
        <v>6067</v>
      </c>
      <c r="CY12" t="s">
        <v>6067</v>
      </c>
      <c r="CZ12" t="s">
        <v>6046</v>
      </c>
      <c r="DA12" t="s">
        <v>6046</v>
      </c>
      <c r="DB12" t="s">
        <v>6014</v>
      </c>
      <c r="DC12" t="s">
        <v>6014</v>
      </c>
      <c r="DD12" t="s">
        <v>6013</v>
      </c>
      <c r="DE12" t="s">
        <v>6013</v>
      </c>
      <c r="DF12" t="s">
        <v>6677</v>
      </c>
      <c r="DH12" t="s">
        <v>6678</v>
      </c>
      <c r="DI12" t="s">
        <v>6256</v>
      </c>
      <c r="DJ12">
        <v>3</v>
      </c>
      <c r="DK12">
        <v>7</v>
      </c>
      <c r="DL12" t="s">
        <v>6049</v>
      </c>
      <c r="DM12" t="s">
        <v>6018</v>
      </c>
      <c r="DT12">
        <v>10</v>
      </c>
      <c r="DU12">
        <v>2000</v>
      </c>
      <c r="DX12" t="s">
        <v>6679</v>
      </c>
      <c r="DY12" t="s">
        <v>6235</v>
      </c>
      <c r="DZ12" t="s">
        <v>6680</v>
      </c>
      <c r="EA12" t="s">
        <v>6022</v>
      </c>
      <c r="EB12">
        <v>1</v>
      </c>
      <c r="EC12" t="s">
        <v>6681</v>
      </c>
      <c r="ED12" t="s">
        <v>1634</v>
      </c>
      <c r="EE12">
        <v>100000</v>
      </c>
      <c r="ER12" t="s">
        <v>6106</v>
      </c>
      <c r="ES12" t="s">
        <v>1556</v>
      </c>
      <c r="ET12" t="s">
        <v>1556</v>
      </c>
      <c r="EU12" t="s">
        <v>1556</v>
      </c>
      <c r="EV12" t="s">
        <v>6024</v>
      </c>
      <c r="EW12" t="s">
        <v>1556</v>
      </c>
      <c r="EX12" t="s">
        <v>1556</v>
      </c>
      <c r="EY12" t="s">
        <v>6026</v>
      </c>
      <c r="EZ12" t="s">
        <v>6026</v>
      </c>
      <c r="FA12" t="s">
        <v>6682</v>
      </c>
      <c r="FB12" t="s">
        <v>6683</v>
      </c>
      <c r="FD12" s="57">
        <v>43672.614432870374</v>
      </c>
      <c r="FE12" s="57">
        <v>43672.617291666669</v>
      </c>
    </row>
    <row r="13" spans="1:161" ht="12" customHeight="1">
      <c r="A13">
        <v>112</v>
      </c>
      <c r="B13">
        <v>49</v>
      </c>
      <c r="C13">
        <v>312771</v>
      </c>
      <c r="D13" s="57">
        <v>43666.043888888889</v>
      </c>
      <c r="E13" t="s">
        <v>5991</v>
      </c>
      <c r="F13" t="s">
        <v>717</v>
      </c>
      <c r="G13" t="s">
        <v>718</v>
      </c>
      <c r="H13" t="s">
        <v>4449</v>
      </c>
      <c r="I13" t="s">
        <v>4860</v>
      </c>
      <c r="J13">
        <v>61264055</v>
      </c>
      <c r="K13" t="s">
        <v>6028</v>
      </c>
      <c r="L13" t="s">
        <v>6029</v>
      </c>
      <c r="M13" t="s">
        <v>186</v>
      </c>
      <c r="O13" t="s">
        <v>1105</v>
      </c>
      <c r="P13" t="s">
        <v>1548</v>
      </c>
      <c r="Q13" t="s">
        <v>6651</v>
      </c>
      <c r="R13" t="s">
        <v>6030</v>
      </c>
      <c r="S13" t="s">
        <v>1548</v>
      </c>
      <c r="U13" t="s">
        <v>1180</v>
      </c>
      <c r="V13">
        <v>42</v>
      </c>
      <c r="W13" t="s">
        <v>1548</v>
      </c>
      <c r="X13" t="s">
        <v>5997</v>
      </c>
      <c r="Y13" t="s">
        <v>6033</v>
      </c>
      <c r="Z13" t="s">
        <v>1548</v>
      </c>
      <c r="AA13" t="s">
        <v>6033</v>
      </c>
      <c r="AB13" t="s">
        <v>1548</v>
      </c>
      <c r="AC13" t="s">
        <v>6033</v>
      </c>
      <c r="AD13" t="s">
        <v>6033</v>
      </c>
      <c r="AE13" t="s">
        <v>1634</v>
      </c>
      <c r="AF13" t="s">
        <v>6084</v>
      </c>
      <c r="AG13" t="s">
        <v>6113</v>
      </c>
      <c r="AH13" t="s">
        <v>1561</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1</v>
      </c>
      <c r="BQ13">
        <v>0</v>
      </c>
      <c r="BR13">
        <v>1</v>
      </c>
      <c r="BS13">
        <v>0</v>
      </c>
      <c r="BT13">
        <v>0</v>
      </c>
      <c r="BU13">
        <v>0</v>
      </c>
      <c r="BV13">
        <v>0</v>
      </c>
      <c r="BW13">
        <v>0</v>
      </c>
      <c r="BX13">
        <v>0</v>
      </c>
      <c r="BY13">
        <v>0</v>
      </c>
      <c r="BZ13">
        <v>0</v>
      </c>
      <c r="CA13">
        <v>0</v>
      </c>
      <c r="CB13">
        <v>0</v>
      </c>
      <c r="CC13">
        <v>0</v>
      </c>
      <c r="CD13">
        <v>0</v>
      </c>
      <c r="CE13" t="s">
        <v>2289</v>
      </c>
      <c r="CF13" t="s">
        <v>6559</v>
      </c>
      <c r="CG13" t="s">
        <v>6652</v>
      </c>
      <c r="CH13" t="s">
        <v>6653</v>
      </c>
      <c r="CI13" t="s">
        <v>6654</v>
      </c>
      <c r="CJ13" t="s">
        <v>6655</v>
      </c>
      <c r="CK13" t="s">
        <v>1548</v>
      </c>
      <c r="CL13" t="s">
        <v>6656</v>
      </c>
      <c r="CM13" t="s">
        <v>6596</v>
      </c>
      <c r="CN13" t="s">
        <v>1548</v>
      </c>
      <c r="CO13" t="s">
        <v>6656</v>
      </c>
      <c r="CP13" t="s">
        <v>6144</v>
      </c>
      <c r="CQ13" t="s">
        <v>1856</v>
      </c>
      <c r="CR13" t="s">
        <v>6009</v>
      </c>
      <c r="CS13" t="s">
        <v>1856</v>
      </c>
      <c r="CT13" t="s">
        <v>6009</v>
      </c>
      <c r="CU13" t="s">
        <v>1548</v>
      </c>
      <c r="CV13" t="s">
        <v>6657</v>
      </c>
      <c r="CW13" t="s">
        <v>6009</v>
      </c>
      <c r="CX13" t="s">
        <v>6014</v>
      </c>
      <c r="CY13" t="s">
        <v>6014</v>
      </c>
      <c r="CZ13" t="s">
        <v>6013</v>
      </c>
      <c r="DA13" t="s">
        <v>6013</v>
      </c>
      <c r="DB13" t="s">
        <v>6498</v>
      </c>
      <c r="DC13" t="s">
        <v>6014</v>
      </c>
      <c r="DD13" t="s">
        <v>6013</v>
      </c>
      <c r="DE13" t="s">
        <v>6013</v>
      </c>
      <c r="DF13" t="s">
        <v>6658</v>
      </c>
      <c r="DG13" t="s">
        <v>6015</v>
      </c>
      <c r="DH13" t="s">
        <v>2289</v>
      </c>
      <c r="DI13" t="s">
        <v>6016</v>
      </c>
      <c r="DJ13" t="s">
        <v>6659</v>
      </c>
      <c r="DK13" t="s">
        <v>2289</v>
      </c>
      <c r="DL13" t="s">
        <v>6049</v>
      </c>
      <c r="DM13" t="s">
        <v>1559</v>
      </c>
      <c r="DO13" t="s">
        <v>6660</v>
      </c>
      <c r="DX13" t="s">
        <v>2289</v>
      </c>
      <c r="DY13" t="s">
        <v>6015</v>
      </c>
      <c r="DZ13" t="s">
        <v>6661</v>
      </c>
      <c r="EA13" t="s">
        <v>6015</v>
      </c>
      <c r="EB13">
        <v>0</v>
      </c>
      <c r="ER13" t="s">
        <v>6129</v>
      </c>
      <c r="ES13" t="s">
        <v>1105</v>
      </c>
      <c r="ET13" t="s">
        <v>2289</v>
      </c>
      <c r="EU13" t="s">
        <v>2289</v>
      </c>
      <c r="EV13" t="s">
        <v>6238</v>
      </c>
      <c r="EW13" t="s">
        <v>6662</v>
      </c>
      <c r="EX13" t="s">
        <v>6663</v>
      </c>
      <c r="EY13">
        <v>78162463</v>
      </c>
      <c r="EZ13" t="s">
        <v>6026</v>
      </c>
      <c r="FD13" s="57">
        <v>43666.039189814815</v>
      </c>
      <c r="FE13" s="57">
        <v>43666.043842592589</v>
      </c>
    </row>
    <row r="14" spans="1:161" ht="12" customHeight="1">
      <c r="A14">
        <v>113</v>
      </c>
      <c r="B14">
        <v>56</v>
      </c>
      <c r="C14">
        <v>312468</v>
      </c>
      <c r="D14" s="57">
        <v>43665.734178240738</v>
      </c>
      <c r="E14" t="s">
        <v>5991</v>
      </c>
      <c r="F14" t="s">
        <v>719</v>
      </c>
      <c r="G14" t="s">
        <v>720</v>
      </c>
      <c r="H14" t="s">
        <v>4449</v>
      </c>
      <c r="I14" t="s">
        <v>4860</v>
      </c>
      <c r="J14">
        <v>63517915</v>
      </c>
      <c r="K14" t="s">
        <v>6028</v>
      </c>
      <c r="L14" t="s">
        <v>6029</v>
      </c>
      <c r="M14" t="s">
        <v>186</v>
      </c>
      <c r="O14" t="s">
        <v>140</v>
      </c>
      <c r="P14" t="s">
        <v>1548</v>
      </c>
      <c r="Q14" t="s">
        <v>5185</v>
      </c>
      <c r="R14" t="s">
        <v>6030</v>
      </c>
      <c r="S14" t="s">
        <v>1634</v>
      </c>
      <c r="T14" t="s">
        <v>6638</v>
      </c>
      <c r="U14" t="s">
        <v>1541</v>
      </c>
      <c r="V14">
        <v>25</v>
      </c>
      <c r="W14" t="s">
        <v>1548</v>
      </c>
      <c r="X14" t="s">
        <v>5997</v>
      </c>
      <c r="Y14" t="s">
        <v>6033</v>
      </c>
      <c r="Z14" t="s">
        <v>1548</v>
      </c>
      <c r="AA14" t="s">
        <v>6033</v>
      </c>
      <c r="AB14" t="s">
        <v>1634</v>
      </c>
      <c r="AC14" t="s">
        <v>5998</v>
      </c>
      <c r="AD14" t="s">
        <v>5998</v>
      </c>
      <c r="AE14" t="s">
        <v>1634</v>
      </c>
      <c r="AF14" t="s">
        <v>6084</v>
      </c>
      <c r="AG14" t="s">
        <v>6113</v>
      </c>
      <c r="AH14" t="s">
        <v>1561</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2</v>
      </c>
      <c r="BQ14">
        <v>0</v>
      </c>
      <c r="BR14">
        <v>2</v>
      </c>
      <c r="BS14">
        <v>0</v>
      </c>
      <c r="BT14">
        <v>0</v>
      </c>
      <c r="BU14">
        <v>0</v>
      </c>
      <c r="BV14">
        <v>0</v>
      </c>
      <c r="BW14">
        <v>0</v>
      </c>
      <c r="BX14">
        <v>0</v>
      </c>
      <c r="BY14">
        <v>0</v>
      </c>
      <c r="BZ14">
        <v>0</v>
      </c>
      <c r="CA14">
        <v>0</v>
      </c>
      <c r="CB14">
        <v>0</v>
      </c>
      <c r="CC14">
        <v>0</v>
      </c>
      <c r="CD14">
        <v>0</v>
      </c>
      <c r="CE14" t="s">
        <v>6639</v>
      </c>
      <c r="CF14" t="s">
        <v>6186</v>
      </c>
      <c r="CG14" t="s">
        <v>6640</v>
      </c>
      <c r="CH14" t="s">
        <v>6641</v>
      </c>
      <c r="CI14" t="s">
        <v>2289</v>
      </c>
      <c r="CJ14" t="s">
        <v>6642</v>
      </c>
      <c r="CK14" t="s">
        <v>1548</v>
      </c>
      <c r="CL14" t="s">
        <v>6643</v>
      </c>
      <c r="CM14" t="s">
        <v>6007</v>
      </c>
      <c r="CN14" t="s">
        <v>1548</v>
      </c>
      <c r="CO14" t="s">
        <v>6644</v>
      </c>
      <c r="CP14" t="s">
        <v>6007</v>
      </c>
      <c r="CQ14" t="s">
        <v>6645</v>
      </c>
      <c r="CR14" t="s">
        <v>6009</v>
      </c>
      <c r="CS14" t="s">
        <v>6645</v>
      </c>
      <c r="CT14" t="s">
        <v>6009</v>
      </c>
      <c r="CU14" t="s">
        <v>1548</v>
      </c>
      <c r="CV14" t="s">
        <v>6646</v>
      </c>
      <c r="CW14" t="s">
        <v>6009</v>
      </c>
      <c r="CX14" t="s">
        <v>6011</v>
      </c>
      <c r="CY14" t="s">
        <v>6011</v>
      </c>
      <c r="CZ14" t="s">
        <v>6013</v>
      </c>
      <c r="DA14" t="s">
        <v>6013</v>
      </c>
      <c r="DB14" t="s">
        <v>6014</v>
      </c>
      <c r="DC14" t="s">
        <v>6014</v>
      </c>
      <c r="DD14" t="s">
        <v>6012</v>
      </c>
      <c r="DE14" t="s">
        <v>6012</v>
      </c>
      <c r="DF14" t="s">
        <v>6647</v>
      </c>
      <c r="DG14" t="s">
        <v>6015</v>
      </c>
      <c r="DH14" t="s">
        <v>2289</v>
      </c>
      <c r="DI14" t="s">
        <v>6016</v>
      </c>
      <c r="DJ14" s="59" t="s">
        <v>2289</v>
      </c>
      <c r="DK14" s="59" t="s">
        <v>2289</v>
      </c>
      <c r="DL14" t="s">
        <v>6049</v>
      </c>
      <c r="DM14" t="s">
        <v>1559</v>
      </c>
      <c r="DO14">
        <v>5</v>
      </c>
      <c r="DX14" t="s">
        <v>2289</v>
      </c>
      <c r="DY14" t="s">
        <v>6015</v>
      </c>
      <c r="DZ14" t="s">
        <v>2289</v>
      </c>
      <c r="EA14" t="s">
        <v>6648</v>
      </c>
      <c r="EB14">
        <v>0</v>
      </c>
      <c r="ER14" t="s">
        <v>6129</v>
      </c>
      <c r="ES14" t="s">
        <v>6649</v>
      </c>
      <c r="ET14" t="s">
        <v>2289</v>
      </c>
      <c r="EU14" t="s">
        <v>2289</v>
      </c>
      <c r="EV14" t="s">
        <v>6238</v>
      </c>
      <c r="EW14" t="s">
        <v>3420</v>
      </c>
      <c r="EX14" t="s">
        <v>6650</v>
      </c>
      <c r="EY14">
        <v>55476163</v>
      </c>
      <c r="EZ14">
        <v>72936742</v>
      </c>
      <c r="FD14" s="57">
        <v>43665.654687499999</v>
      </c>
      <c r="FE14" s="57">
        <v>43665.734120370369</v>
      </c>
    </row>
    <row r="15" spans="1:161" ht="12" customHeight="1">
      <c r="A15">
        <v>116</v>
      </c>
      <c r="B15">
        <v>2</v>
      </c>
      <c r="C15">
        <v>354391</v>
      </c>
      <c r="D15" s="57">
        <v>43678.706388888888</v>
      </c>
      <c r="E15" t="s">
        <v>6110</v>
      </c>
      <c r="F15" t="s">
        <v>733</v>
      </c>
      <c r="G15" t="s">
        <v>724</v>
      </c>
      <c r="H15" t="s">
        <v>4449</v>
      </c>
      <c r="I15" t="s">
        <v>4860</v>
      </c>
      <c r="J15">
        <v>75059336</v>
      </c>
      <c r="K15" t="s">
        <v>6028</v>
      </c>
      <c r="L15" t="s">
        <v>6029</v>
      </c>
      <c r="M15" t="s">
        <v>186</v>
      </c>
      <c r="O15" t="s">
        <v>2738</v>
      </c>
      <c r="P15" t="s">
        <v>1548</v>
      </c>
      <c r="Q15" t="s">
        <v>190</v>
      </c>
      <c r="R15" t="s">
        <v>6030</v>
      </c>
      <c r="S15" t="s">
        <v>1634</v>
      </c>
      <c r="T15" t="s">
        <v>7015</v>
      </c>
      <c r="U15" t="s">
        <v>1541</v>
      </c>
      <c r="V15">
        <v>72</v>
      </c>
      <c r="W15" t="s">
        <v>1634</v>
      </c>
      <c r="X15" t="s">
        <v>5997</v>
      </c>
      <c r="Y15" t="s">
        <v>6033</v>
      </c>
      <c r="Z15" t="s">
        <v>1548</v>
      </c>
      <c r="AA15" t="s">
        <v>6033</v>
      </c>
      <c r="AB15" t="s">
        <v>1634</v>
      </c>
      <c r="AC15" t="s">
        <v>5999</v>
      </c>
      <c r="AD15" t="s">
        <v>5999</v>
      </c>
      <c r="AE15" t="s">
        <v>1634</v>
      </c>
      <c r="AF15" t="s">
        <v>6000</v>
      </c>
      <c r="AG15" t="s">
        <v>6000</v>
      </c>
      <c r="AH15" t="s">
        <v>6000</v>
      </c>
      <c r="AU15" t="s">
        <v>6026</v>
      </c>
      <c r="AV15" t="s">
        <v>6026</v>
      </c>
      <c r="AW15" t="s">
        <v>6026</v>
      </c>
      <c r="AX15" t="s">
        <v>6026</v>
      </c>
      <c r="AY15" t="s">
        <v>6026</v>
      </c>
      <c r="AZ15" t="s">
        <v>6026</v>
      </c>
      <c r="BA15">
        <v>20</v>
      </c>
      <c r="BB15">
        <v>13</v>
      </c>
      <c r="BC15">
        <v>13</v>
      </c>
      <c r="BD15">
        <v>30</v>
      </c>
      <c r="BE15">
        <v>5</v>
      </c>
      <c r="BF15">
        <v>35</v>
      </c>
      <c r="BG15">
        <v>0</v>
      </c>
      <c r="BH15">
        <v>0</v>
      </c>
      <c r="CE15" t="s">
        <v>7016</v>
      </c>
      <c r="CF15" t="s">
        <v>7017</v>
      </c>
      <c r="CG15" t="s">
        <v>7018</v>
      </c>
      <c r="CH15" t="s">
        <v>6907</v>
      </c>
      <c r="CI15" t="s">
        <v>7019</v>
      </c>
      <c r="CJ15" t="s">
        <v>7020</v>
      </c>
      <c r="CK15" t="s">
        <v>1634</v>
      </c>
      <c r="CL15" t="s">
        <v>7021</v>
      </c>
      <c r="CM15" t="s">
        <v>7022</v>
      </c>
      <c r="CN15" t="s">
        <v>1634</v>
      </c>
      <c r="CO15" t="s">
        <v>7023</v>
      </c>
      <c r="CP15" t="s">
        <v>6373</v>
      </c>
      <c r="CQ15" t="s">
        <v>7024</v>
      </c>
      <c r="CR15" t="s">
        <v>7025</v>
      </c>
      <c r="CS15" t="s">
        <v>7026</v>
      </c>
      <c r="CT15" t="s">
        <v>7027</v>
      </c>
      <c r="CU15" t="s">
        <v>1634</v>
      </c>
      <c r="CV15" t="s">
        <v>7028</v>
      </c>
      <c r="CW15" t="s">
        <v>6415</v>
      </c>
      <c r="CX15" t="s">
        <v>6014</v>
      </c>
      <c r="CY15" t="s">
        <v>6014</v>
      </c>
      <c r="CZ15" t="s">
        <v>6013</v>
      </c>
      <c r="DA15" t="s">
        <v>6013</v>
      </c>
      <c r="DB15" t="s">
        <v>6014</v>
      </c>
      <c r="DC15" t="s">
        <v>6014</v>
      </c>
      <c r="DD15" t="s">
        <v>6013</v>
      </c>
      <c r="DE15" t="s">
        <v>6013</v>
      </c>
      <c r="DF15" t="s">
        <v>1358</v>
      </c>
      <c r="DG15" t="s">
        <v>6015</v>
      </c>
      <c r="DH15" t="s">
        <v>7029</v>
      </c>
      <c r="DI15" t="s">
        <v>6048</v>
      </c>
      <c r="DJ15">
        <v>0</v>
      </c>
      <c r="DK15">
        <v>0</v>
      </c>
      <c r="DL15" t="s">
        <v>6049</v>
      </c>
      <c r="DM15" t="s">
        <v>6289</v>
      </c>
      <c r="DN15">
        <v>10</v>
      </c>
      <c r="DX15" t="s">
        <v>7030</v>
      </c>
      <c r="DY15" t="s">
        <v>6421</v>
      </c>
      <c r="DZ15" t="s">
        <v>7031</v>
      </c>
      <c r="EA15" t="s">
        <v>6260</v>
      </c>
      <c r="EB15">
        <v>0</v>
      </c>
      <c r="ER15" t="s">
        <v>6129</v>
      </c>
      <c r="ES15" t="s">
        <v>7032</v>
      </c>
      <c r="ET15" t="s">
        <v>7033</v>
      </c>
      <c r="EV15" t="s">
        <v>6074</v>
      </c>
      <c r="EW15" t="s">
        <v>7034</v>
      </c>
      <c r="EX15" t="s">
        <v>558</v>
      </c>
      <c r="EY15" t="s">
        <v>6026</v>
      </c>
      <c r="EZ15" t="s">
        <v>6026</v>
      </c>
      <c r="FD15" s="57">
        <v>43678.732534722221</v>
      </c>
      <c r="FE15" s="57">
        <v>43678.74800925926</v>
      </c>
    </row>
    <row r="16" spans="1:161" ht="12" customHeight="1">
      <c r="A16">
        <v>118</v>
      </c>
      <c r="B16">
        <v>52</v>
      </c>
      <c r="C16">
        <v>312768</v>
      </c>
      <c r="D16" s="57">
        <v>43666.023854166669</v>
      </c>
      <c r="E16" t="s">
        <v>5991</v>
      </c>
      <c r="F16" t="s">
        <v>725</v>
      </c>
      <c r="G16" t="s">
        <v>6625</v>
      </c>
      <c r="H16" t="s">
        <v>4449</v>
      </c>
      <c r="I16" t="s">
        <v>4860</v>
      </c>
      <c r="J16" t="s">
        <v>6626</v>
      </c>
      <c r="K16" t="s">
        <v>6028</v>
      </c>
      <c r="L16" t="s">
        <v>6029</v>
      </c>
      <c r="M16" t="s">
        <v>186</v>
      </c>
      <c r="O16" t="s">
        <v>1106</v>
      </c>
      <c r="P16" t="s">
        <v>1548</v>
      </c>
      <c r="Q16" t="s">
        <v>193</v>
      </c>
      <c r="R16" t="s">
        <v>6030</v>
      </c>
      <c r="S16" t="s">
        <v>1634</v>
      </c>
      <c r="T16">
        <v>14</v>
      </c>
      <c r="U16" t="s">
        <v>1180</v>
      </c>
      <c r="V16">
        <v>45</v>
      </c>
      <c r="W16" t="s">
        <v>1548</v>
      </c>
      <c r="X16" t="s">
        <v>5997</v>
      </c>
      <c r="Y16" t="s">
        <v>6033</v>
      </c>
      <c r="Z16" t="s">
        <v>1548</v>
      </c>
      <c r="AA16" t="s">
        <v>6033</v>
      </c>
      <c r="AB16" t="s">
        <v>1548</v>
      </c>
      <c r="AC16" t="s">
        <v>6033</v>
      </c>
      <c r="AD16" t="s">
        <v>6033</v>
      </c>
      <c r="AE16" t="s">
        <v>1548</v>
      </c>
      <c r="AF16" t="s">
        <v>6084</v>
      </c>
      <c r="AG16" t="s">
        <v>6113</v>
      </c>
      <c r="AH16" t="s">
        <v>1561</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1</v>
      </c>
      <c r="BQ16">
        <v>1</v>
      </c>
      <c r="BR16">
        <v>2</v>
      </c>
      <c r="BS16">
        <v>0</v>
      </c>
      <c r="BT16">
        <v>0</v>
      </c>
      <c r="BU16">
        <v>0</v>
      </c>
      <c r="BV16">
        <v>0</v>
      </c>
      <c r="BW16">
        <v>0</v>
      </c>
      <c r="BX16">
        <v>0</v>
      </c>
      <c r="BY16">
        <v>0</v>
      </c>
      <c r="BZ16">
        <v>0</v>
      </c>
      <c r="CA16">
        <v>0</v>
      </c>
      <c r="CB16">
        <v>0</v>
      </c>
      <c r="CC16">
        <v>0</v>
      </c>
      <c r="CD16">
        <v>0</v>
      </c>
      <c r="CE16" t="s">
        <v>6627</v>
      </c>
      <c r="CF16" t="s">
        <v>6559</v>
      </c>
      <c r="CG16" t="s">
        <v>6487</v>
      </c>
      <c r="CH16" t="s">
        <v>6593</v>
      </c>
      <c r="CI16" t="s">
        <v>6628</v>
      </c>
      <c r="CJ16" t="s">
        <v>6629</v>
      </c>
      <c r="CK16" t="s">
        <v>1548</v>
      </c>
      <c r="CL16" t="s">
        <v>6630</v>
      </c>
      <c r="CM16" t="s">
        <v>6007</v>
      </c>
      <c r="CN16" t="s">
        <v>1548</v>
      </c>
      <c r="CO16" t="s">
        <v>6631</v>
      </c>
      <c r="CP16" t="s">
        <v>6007</v>
      </c>
      <c r="CQ16" t="s">
        <v>6632</v>
      </c>
      <c r="CR16" t="s">
        <v>6009</v>
      </c>
      <c r="CS16" t="s">
        <v>1856</v>
      </c>
      <c r="CT16" t="s">
        <v>6009</v>
      </c>
      <c r="CU16" t="s">
        <v>1548</v>
      </c>
      <c r="CV16" t="s">
        <v>6633</v>
      </c>
      <c r="CW16" t="s">
        <v>6634</v>
      </c>
      <c r="CX16" t="s">
        <v>6014</v>
      </c>
      <c r="CY16" t="s">
        <v>6014</v>
      </c>
      <c r="CZ16" t="s">
        <v>6013</v>
      </c>
      <c r="DA16" t="s">
        <v>6013</v>
      </c>
      <c r="DB16" t="s">
        <v>6498</v>
      </c>
      <c r="DC16" t="s">
        <v>6014</v>
      </c>
      <c r="DD16" t="s">
        <v>6013</v>
      </c>
      <c r="DE16" t="s">
        <v>6013</v>
      </c>
      <c r="DF16" t="s">
        <v>2289</v>
      </c>
      <c r="DG16" t="s">
        <v>6015</v>
      </c>
      <c r="DH16" t="s">
        <v>2289</v>
      </c>
      <c r="DI16" t="s">
        <v>6016</v>
      </c>
      <c r="DJ16" s="59">
        <v>0</v>
      </c>
      <c r="DK16" s="59">
        <v>0</v>
      </c>
      <c r="DL16" t="s">
        <v>6049</v>
      </c>
      <c r="DM16" t="s">
        <v>6289</v>
      </c>
      <c r="DN16">
        <v>12</v>
      </c>
      <c r="DQ16">
        <v>700</v>
      </c>
      <c r="DX16" t="s">
        <v>2289</v>
      </c>
      <c r="DY16" t="s">
        <v>6015</v>
      </c>
      <c r="DZ16" t="s">
        <v>2289</v>
      </c>
      <c r="EA16" t="s">
        <v>6015</v>
      </c>
      <c r="EB16">
        <v>0</v>
      </c>
      <c r="ER16" t="s">
        <v>6129</v>
      </c>
      <c r="ES16" t="s">
        <v>1106</v>
      </c>
      <c r="ET16" t="s">
        <v>2289</v>
      </c>
      <c r="EU16" t="s">
        <v>2289</v>
      </c>
      <c r="EV16" t="s">
        <v>6238</v>
      </c>
      <c r="EW16" t="s">
        <v>6183</v>
      </c>
      <c r="EX16" t="s">
        <v>6635</v>
      </c>
      <c r="EY16">
        <v>57690906</v>
      </c>
      <c r="EZ16">
        <v>56873698</v>
      </c>
      <c r="FA16" t="s">
        <v>6636</v>
      </c>
      <c r="FB16" t="s">
        <v>6637</v>
      </c>
      <c r="FD16" s="57">
        <v>43666.015775462962</v>
      </c>
      <c r="FE16" s="57">
        <v>43666.02380787037</v>
      </c>
    </row>
    <row r="17" spans="1:161" ht="12" customHeight="1">
      <c r="A17">
        <v>119</v>
      </c>
      <c r="B17">
        <v>40</v>
      </c>
      <c r="C17">
        <v>314749</v>
      </c>
      <c r="D17" s="57">
        <v>43666.692523148151</v>
      </c>
      <c r="E17" t="s">
        <v>6110</v>
      </c>
      <c r="F17" t="s">
        <v>727</v>
      </c>
      <c r="G17" t="s">
        <v>4028</v>
      </c>
      <c r="H17" t="s">
        <v>4449</v>
      </c>
      <c r="I17" t="s">
        <v>4860</v>
      </c>
      <c r="J17">
        <v>65294986</v>
      </c>
      <c r="K17" t="s">
        <v>6028</v>
      </c>
      <c r="L17" t="s">
        <v>6029</v>
      </c>
      <c r="M17" t="s">
        <v>186</v>
      </c>
      <c r="O17" t="s">
        <v>6605</v>
      </c>
      <c r="P17" t="s">
        <v>1548</v>
      </c>
      <c r="Q17" t="s">
        <v>6606</v>
      </c>
      <c r="R17" t="s">
        <v>6030</v>
      </c>
      <c r="S17" t="s">
        <v>1634</v>
      </c>
      <c r="T17">
        <v>39</v>
      </c>
      <c r="U17" t="s">
        <v>1180</v>
      </c>
      <c r="V17">
        <v>39</v>
      </c>
      <c r="W17" t="s">
        <v>1548</v>
      </c>
      <c r="X17" t="s">
        <v>5997</v>
      </c>
      <c r="Y17" t="s">
        <v>6033</v>
      </c>
      <c r="Z17" t="s">
        <v>1548</v>
      </c>
      <c r="AA17" t="s">
        <v>6033</v>
      </c>
      <c r="AB17" t="s">
        <v>1548</v>
      </c>
      <c r="AC17" t="s">
        <v>6033</v>
      </c>
      <c r="AD17" t="s">
        <v>5998</v>
      </c>
      <c r="AE17" t="s">
        <v>1634</v>
      </c>
      <c r="AG17" t="s">
        <v>6113</v>
      </c>
      <c r="BG17">
        <v>0</v>
      </c>
      <c r="BH17">
        <v>0</v>
      </c>
      <c r="BS17">
        <v>0</v>
      </c>
      <c r="BT17">
        <v>0</v>
      </c>
      <c r="BU17">
        <v>0</v>
      </c>
      <c r="BV17">
        <v>0</v>
      </c>
      <c r="BW17">
        <v>0</v>
      </c>
      <c r="BX17">
        <v>0</v>
      </c>
      <c r="BY17">
        <v>0</v>
      </c>
      <c r="BZ17">
        <v>0</v>
      </c>
      <c r="CA17">
        <v>0</v>
      </c>
      <c r="CB17">
        <v>60</v>
      </c>
      <c r="CC17">
        <v>20</v>
      </c>
      <c r="CD17">
        <v>100</v>
      </c>
      <c r="CE17" t="s">
        <v>6607</v>
      </c>
      <c r="CF17" t="s">
        <v>6002</v>
      </c>
      <c r="CG17" t="s">
        <v>6608</v>
      </c>
      <c r="CH17" t="s">
        <v>6528</v>
      </c>
      <c r="CI17" t="s">
        <v>6609</v>
      </c>
      <c r="CJ17" t="s">
        <v>6530</v>
      </c>
      <c r="CK17" t="s">
        <v>1634</v>
      </c>
      <c r="CL17" t="s">
        <v>6610</v>
      </c>
      <c r="CM17" t="s">
        <v>6611</v>
      </c>
      <c r="CN17" t="s">
        <v>1634</v>
      </c>
      <c r="CO17" t="s">
        <v>6612</v>
      </c>
      <c r="CP17" t="s">
        <v>6613</v>
      </c>
      <c r="CQ17" t="s">
        <v>6614</v>
      </c>
      <c r="CR17" t="s">
        <v>6615</v>
      </c>
      <c r="CS17" t="s">
        <v>6614</v>
      </c>
      <c r="CT17" t="s">
        <v>6041</v>
      </c>
      <c r="CU17" t="s">
        <v>1548</v>
      </c>
      <c r="CV17" t="s">
        <v>6616</v>
      </c>
      <c r="CW17" t="s">
        <v>6009</v>
      </c>
      <c r="CY17" t="s">
        <v>6014</v>
      </c>
      <c r="CZ17" t="s">
        <v>6013</v>
      </c>
      <c r="DA17" t="s">
        <v>6013</v>
      </c>
      <c r="DC17" t="s">
        <v>6014</v>
      </c>
      <c r="DD17" t="s">
        <v>6013</v>
      </c>
      <c r="DE17" t="s">
        <v>6013</v>
      </c>
      <c r="DF17" t="s">
        <v>6617</v>
      </c>
      <c r="DG17" t="s">
        <v>6015</v>
      </c>
      <c r="DH17" t="s">
        <v>1366</v>
      </c>
      <c r="DI17" t="s">
        <v>6016</v>
      </c>
      <c r="DJ17" t="s">
        <v>6618</v>
      </c>
      <c r="DK17" t="s">
        <v>6619</v>
      </c>
      <c r="DL17" t="s">
        <v>6049</v>
      </c>
      <c r="DM17" t="s">
        <v>1559</v>
      </c>
      <c r="DX17" t="s">
        <v>6620</v>
      </c>
      <c r="DY17" t="s">
        <v>6015</v>
      </c>
      <c r="DZ17" t="s">
        <v>1366</v>
      </c>
      <c r="EA17" t="s">
        <v>6015</v>
      </c>
      <c r="EB17">
        <v>0</v>
      </c>
      <c r="ER17" t="s">
        <v>6129</v>
      </c>
      <c r="ES17" s="58" t="s">
        <v>2893</v>
      </c>
      <c r="ET17" s="58" t="s">
        <v>6621</v>
      </c>
      <c r="EU17" t="s">
        <v>6152</v>
      </c>
      <c r="EV17" t="s">
        <v>6238</v>
      </c>
      <c r="EW17" t="s">
        <v>6622</v>
      </c>
      <c r="EX17" t="s">
        <v>6623</v>
      </c>
      <c r="EY17">
        <v>65294986</v>
      </c>
      <c r="EZ17" t="s">
        <v>6026</v>
      </c>
      <c r="FA17" t="s">
        <v>6624</v>
      </c>
      <c r="FD17" s="57">
        <v>43666.69091435185</v>
      </c>
      <c r="FE17" s="57">
        <v>43666.691620370373</v>
      </c>
    </row>
    <row r="18" spans="1:161" ht="12" customHeight="1">
      <c r="A18">
        <v>120</v>
      </c>
      <c r="B18">
        <v>51</v>
      </c>
      <c r="C18">
        <v>312769</v>
      </c>
      <c r="D18" s="57">
        <v>43666.029780092591</v>
      </c>
      <c r="E18" t="s">
        <v>5991</v>
      </c>
      <c r="F18" t="s">
        <v>719</v>
      </c>
      <c r="G18" t="s">
        <v>566</v>
      </c>
      <c r="H18" t="s">
        <v>4449</v>
      </c>
      <c r="I18" t="s">
        <v>4860</v>
      </c>
      <c r="J18">
        <v>70803036</v>
      </c>
      <c r="K18" t="s">
        <v>6028</v>
      </c>
      <c r="L18" t="s">
        <v>6029</v>
      </c>
      <c r="M18" t="s">
        <v>186</v>
      </c>
      <c r="O18" t="s">
        <v>1108</v>
      </c>
      <c r="P18" t="s">
        <v>1548</v>
      </c>
      <c r="Q18" t="s">
        <v>195</v>
      </c>
      <c r="R18" t="s">
        <v>6030</v>
      </c>
      <c r="S18" t="s">
        <v>1634</v>
      </c>
      <c r="T18" t="s">
        <v>6590</v>
      </c>
      <c r="U18" t="s">
        <v>1180</v>
      </c>
      <c r="V18">
        <v>86</v>
      </c>
      <c r="W18" t="s">
        <v>1548</v>
      </c>
      <c r="X18" t="s">
        <v>5997</v>
      </c>
      <c r="Y18" t="s">
        <v>6033</v>
      </c>
      <c r="Z18" t="s">
        <v>1548</v>
      </c>
      <c r="AA18" t="s">
        <v>6033</v>
      </c>
      <c r="AB18" t="s">
        <v>1548</v>
      </c>
      <c r="AC18" t="s">
        <v>6033</v>
      </c>
      <c r="AD18" t="s">
        <v>6033</v>
      </c>
      <c r="AE18" t="s">
        <v>1548</v>
      </c>
      <c r="AF18" t="s">
        <v>6084</v>
      </c>
      <c r="AG18" t="s">
        <v>6113</v>
      </c>
      <c r="AH18" t="s">
        <v>1561</v>
      </c>
      <c r="AI18">
        <v>0</v>
      </c>
      <c r="AJ18">
        <v>0</v>
      </c>
      <c r="AK18">
        <v>0</v>
      </c>
      <c r="AL18">
        <v>8</v>
      </c>
      <c r="AM18">
        <v>0</v>
      </c>
      <c r="AN18">
        <v>0</v>
      </c>
      <c r="AO18">
        <v>0</v>
      </c>
      <c r="AP18">
        <v>0</v>
      </c>
      <c r="AQ18">
        <v>0</v>
      </c>
      <c r="AR18" t="s">
        <v>6026</v>
      </c>
      <c r="AS18" t="s">
        <v>6026</v>
      </c>
      <c r="AT18" t="s">
        <v>6026</v>
      </c>
      <c r="AU18">
        <v>0</v>
      </c>
      <c r="AV18">
        <v>0</v>
      </c>
      <c r="AW18">
        <v>0</v>
      </c>
      <c r="AX18">
        <v>0</v>
      </c>
      <c r="AY18">
        <v>0</v>
      </c>
      <c r="AZ18">
        <v>0</v>
      </c>
      <c r="BA18">
        <v>0</v>
      </c>
      <c r="BB18">
        <v>0</v>
      </c>
      <c r="BC18">
        <v>0</v>
      </c>
      <c r="BD18">
        <v>0</v>
      </c>
      <c r="BE18" t="s">
        <v>6026</v>
      </c>
      <c r="BF18" t="s">
        <v>6026</v>
      </c>
      <c r="BG18">
        <v>0</v>
      </c>
      <c r="BH18">
        <v>0</v>
      </c>
      <c r="BI18">
        <v>0</v>
      </c>
      <c r="BJ18">
        <v>0</v>
      </c>
      <c r="BK18">
        <v>0</v>
      </c>
      <c r="BL18">
        <v>0</v>
      </c>
      <c r="BM18">
        <v>0</v>
      </c>
      <c r="BN18">
        <v>0</v>
      </c>
      <c r="BO18">
        <v>0</v>
      </c>
      <c r="BP18">
        <v>4</v>
      </c>
      <c r="BQ18">
        <v>0</v>
      </c>
      <c r="BR18">
        <v>4</v>
      </c>
      <c r="BS18">
        <v>0</v>
      </c>
      <c r="BT18">
        <v>0</v>
      </c>
      <c r="BU18">
        <v>0</v>
      </c>
      <c r="BV18">
        <v>0</v>
      </c>
      <c r="BW18">
        <v>0</v>
      </c>
      <c r="BX18">
        <v>0</v>
      </c>
      <c r="BY18">
        <v>0</v>
      </c>
      <c r="BZ18">
        <v>0</v>
      </c>
      <c r="CA18">
        <v>0</v>
      </c>
      <c r="CB18">
        <v>0</v>
      </c>
      <c r="CC18">
        <v>0</v>
      </c>
      <c r="CD18">
        <v>0</v>
      </c>
      <c r="CE18" t="s">
        <v>6591</v>
      </c>
      <c r="CF18" t="s">
        <v>6592</v>
      </c>
      <c r="CG18" t="s">
        <v>6580</v>
      </c>
      <c r="CH18" t="s">
        <v>6593</v>
      </c>
      <c r="CI18" t="s">
        <v>6594</v>
      </c>
      <c r="CJ18" t="s">
        <v>6595</v>
      </c>
      <c r="CK18" t="s">
        <v>1548</v>
      </c>
      <c r="CL18" t="s">
        <v>6514</v>
      </c>
      <c r="CM18" t="s">
        <v>6596</v>
      </c>
      <c r="CN18" t="s">
        <v>1548</v>
      </c>
      <c r="CO18" t="s">
        <v>6514</v>
      </c>
      <c r="CP18" t="s">
        <v>6007</v>
      </c>
      <c r="CQ18" t="s">
        <v>6597</v>
      </c>
      <c r="CR18" t="s">
        <v>6009</v>
      </c>
      <c r="CS18" t="s">
        <v>6598</v>
      </c>
      <c r="CT18" t="s">
        <v>6009</v>
      </c>
      <c r="CU18" t="s">
        <v>1548</v>
      </c>
      <c r="CV18" t="s">
        <v>6599</v>
      </c>
      <c r="CW18" t="s">
        <v>6009</v>
      </c>
      <c r="CX18" t="s">
        <v>6014</v>
      </c>
      <c r="CY18" t="s">
        <v>6014</v>
      </c>
      <c r="CZ18" t="s">
        <v>6012</v>
      </c>
      <c r="DA18" t="s">
        <v>6012</v>
      </c>
      <c r="DB18" t="s">
        <v>6498</v>
      </c>
      <c r="DC18" t="s">
        <v>6014</v>
      </c>
      <c r="DD18" t="s">
        <v>6013</v>
      </c>
      <c r="DE18" t="s">
        <v>6013</v>
      </c>
      <c r="DF18" t="s">
        <v>6600</v>
      </c>
      <c r="DG18" t="s">
        <v>6015</v>
      </c>
      <c r="DH18" t="s">
        <v>2289</v>
      </c>
      <c r="DI18" t="s">
        <v>6016</v>
      </c>
      <c r="DJ18">
        <v>0</v>
      </c>
      <c r="DK18">
        <v>0</v>
      </c>
      <c r="DL18" t="s">
        <v>6049</v>
      </c>
      <c r="DM18" t="s">
        <v>6289</v>
      </c>
      <c r="DN18">
        <v>0</v>
      </c>
      <c r="DQ18">
        <v>1000</v>
      </c>
      <c r="DX18" t="s">
        <v>6601</v>
      </c>
      <c r="DY18" t="s">
        <v>6015</v>
      </c>
      <c r="DZ18" t="s">
        <v>2289</v>
      </c>
      <c r="EA18" t="s">
        <v>6015</v>
      </c>
      <c r="EB18">
        <v>0</v>
      </c>
      <c r="ER18" t="s">
        <v>6129</v>
      </c>
      <c r="ES18" t="s">
        <v>1108</v>
      </c>
      <c r="ET18" t="s">
        <v>2289</v>
      </c>
      <c r="EU18" t="s">
        <v>2289</v>
      </c>
      <c r="EV18" t="s">
        <v>6238</v>
      </c>
      <c r="EW18" t="s">
        <v>6553</v>
      </c>
      <c r="EX18" t="s">
        <v>6602</v>
      </c>
      <c r="EY18">
        <v>70613266</v>
      </c>
      <c r="EZ18">
        <v>66773509</v>
      </c>
      <c r="FA18" t="s">
        <v>6603</v>
      </c>
      <c r="FB18" t="s">
        <v>6604</v>
      </c>
      <c r="FD18" s="57">
        <v>43666.023946759262</v>
      </c>
      <c r="FE18" s="57">
        <v>43666.029722222222</v>
      </c>
    </row>
    <row r="19" spans="1:161" ht="12" customHeight="1">
      <c r="A19">
        <v>121</v>
      </c>
      <c r="B19">
        <v>36</v>
      </c>
      <c r="C19">
        <v>314858</v>
      </c>
      <c r="D19" s="57">
        <v>43666.750439814816</v>
      </c>
      <c r="E19" t="s">
        <v>6938</v>
      </c>
      <c r="F19" t="s">
        <v>5147</v>
      </c>
      <c r="G19" t="s">
        <v>6995</v>
      </c>
      <c r="H19" t="s">
        <v>4449</v>
      </c>
      <c r="I19" t="s">
        <v>4860</v>
      </c>
      <c r="J19">
        <v>62754532</v>
      </c>
      <c r="K19" t="s">
        <v>6028</v>
      </c>
      <c r="L19" t="s">
        <v>6029</v>
      </c>
      <c r="M19" t="s">
        <v>186</v>
      </c>
      <c r="O19" t="s">
        <v>2975</v>
      </c>
      <c r="P19" t="s">
        <v>1548</v>
      </c>
      <c r="Q19" t="s">
        <v>196</v>
      </c>
      <c r="R19" t="s">
        <v>6030</v>
      </c>
      <c r="S19" t="s">
        <v>4499</v>
      </c>
      <c r="U19" t="s">
        <v>1541</v>
      </c>
      <c r="V19">
        <v>57</v>
      </c>
      <c r="W19" t="s">
        <v>1634</v>
      </c>
      <c r="X19" t="s">
        <v>5997</v>
      </c>
      <c r="Y19" t="s">
        <v>6033</v>
      </c>
      <c r="Z19" t="s">
        <v>1548</v>
      </c>
      <c r="AA19" t="s">
        <v>6033</v>
      </c>
      <c r="AB19" t="s">
        <v>1634</v>
      </c>
      <c r="AC19" t="s">
        <v>5999</v>
      </c>
      <c r="AD19" t="s">
        <v>5999</v>
      </c>
      <c r="AE19" t="s">
        <v>1634</v>
      </c>
      <c r="AF19" t="s">
        <v>6000</v>
      </c>
      <c r="AG19" t="s">
        <v>6000</v>
      </c>
      <c r="AH19" t="s">
        <v>6000</v>
      </c>
      <c r="AU19">
        <v>0</v>
      </c>
      <c r="AV19">
        <v>0</v>
      </c>
      <c r="AW19">
        <v>0</v>
      </c>
      <c r="AX19">
        <v>0</v>
      </c>
      <c r="AY19">
        <v>0</v>
      </c>
      <c r="AZ19">
        <v>0</v>
      </c>
      <c r="BA19">
        <v>1</v>
      </c>
      <c r="BB19">
        <v>1</v>
      </c>
      <c r="BC19">
        <v>1</v>
      </c>
      <c r="BD19">
        <v>2</v>
      </c>
      <c r="BE19">
        <v>1</v>
      </c>
      <c r="BF19">
        <v>5</v>
      </c>
      <c r="BG19">
        <v>0</v>
      </c>
      <c r="BH19">
        <v>0</v>
      </c>
      <c r="CE19" t="s">
        <v>6996</v>
      </c>
      <c r="CF19" t="s">
        <v>6997</v>
      </c>
      <c r="CG19" t="s">
        <v>6998</v>
      </c>
      <c r="CH19" t="s">
        <v>6999</v>
      </c>
      <c r="CI19" t="s">
        <v>7000</v>
      </c>
      <c r="CJ19" t="s">
        <v>6563</v>
      </c>
      <c r="CK19" t="s">
        <v>1548</v>
      </c>
      <c r="CL19" t="s">
        <v>7001</v>
      </c>
      <c r="CM19" t="s">
        <v>6584</v>
      </c>
      <c r="CN19" t="s">
        <v>1634</v>
      </c>
      <c r="CO19" t="s">
        <v>7002</v>
      </c>
      <c r="CP19" t="s">
        <v>6373</v>
      </c>
      <c r="CQ19" t="s">
        <v>7003</v>
      </c>
      <c r="CR19" t="s">
        <v>6568</v>
      </c>
      <c r="CS19" t="s">
        <v>7004</v>
      </c>
      <c r="CT19" t="s">
        <v>6569</v>
      </c>
      <c r="CU19" t="s">
        <v>1548</v>
      </c>
      <c r="CV19" t="s">
        <v>7005</v>
      </c>
      <c r="CW19" t="s">
        <v>6009</v>
      </c>
      <c r="CX19" t="s">
        <v>6014</v>
      </c>
      <c r="CY19" t="s">
        <v>6014</v>
      </c>
      <c r="CZ19" t="s">
        <v>6013</v>
      </c>
      <c r="DA19" t="s">
        <v>6013</v>
      </c>
      <c r="DB19" t="s">
        <v>6014</v>
      </c>
      <c r="DC19" t="s">
        <v>6014</v>
      </c>
      <c r="DD19" t="s">
        <v>6013</v>
      </c>
      <c r="DE19" t="s">
        <v>6013</v>
      </c>
      <c r="DF19" t="s">
        <v>6571</v>
      </c>
      <c r="DG19" t="s">
        <v>6015</v>
      </c>
      <c r="DH19" t="s">
        <v>7006</v>
      </c>
      <c r="DI19" t="s">
        <v>7007</v>
      </c>
      <c r="DJ19" s="59">
        <v>0</v>
      </c>
      <c r="DK19" s="59">
        <v>0</v>
      </c>
      <c r="DL19" t="s">
        <v>6049</v>
      </c>
      <c r="DM19" t="s">
        <v>6257</v>
      </c>
      <c r="DR19">
        <v>9</v>
      </c>
      <c r="DS19">
        <v>100</v>
      </c>
      <c r="DX19" t="s">
        <v>7008</v>
      </c>
      <c r="DY19" t="s">
        <v>6574</v>
      </c>
      <c r="DZ19" t="s">
        <v>7009</v>
      </c>
      <c r="EA19" t="s">
        <v>6260</v>
      </c>
      <c r="EB19">
        <v>0</v>
      </c>
      <c r="ER19" t="s">
        <v>6129</v>
      </c>
      <c r="ES19" s="58" t="s">
        <v>7010</v>
      </c>
      <c r="ET19" s="58" t="s">
        <v>7011</v>
      </c>
      <c r="EU19" t="s">
        <v>6218</v>
      </c>
      <c r="EV19" t="s">
        <v>6074</v>
      </c>
      <c r="EW19" t="s">
        <v>7012</v>
      </c>
      <c r="EX19" t="s">
        <v>7013</v>
      </c>
      <c r="EY19">
        <v>64190121</v>
      </c>
      <c r="EZ19">
        <v>62754532</v>
      </c>
      <c r="FA19" t="s">
        <v>7014</v>
      </c>
      <c r="FD19" s="57">
        <v>43666.127766203703</v>
      </c>
      <c r="FE19" s="57">
        <v>43666.146608796298</v>
      </c>
    </row>
    <row r="20" spans="1:161" ht="12" customHeight="1">
      <c r="A20">
        <v>123</v>
      </c>
      <c r="B20">
        <v>50</v>
      </c>
      <c r="C20">
        <v>312770</v>
      </c>
      <c r="D20" s="57">
        <v>43666.038993055554</v>
      </c>
      <c r="E20" t="s">
        <v>5991</v>
      </c>
      <c r="F20" t="s">
        <v>733</v>
      </c>
      <c r="G20" t="s">
        <v>6578</v>
      </c>
      <c r="H20" t="s">
        <v>4449</v>
      </c>
      <c r="I20" t="s">
        <v>4860</v>
      </c>
      <c r="J20">
        <v>61614859</v>
      </c>
      <c r="K20" t="s">
        <v>6028</v>
      </c>
      <c r="L20" t="s">
        <v>6029</v>
      </c>
      <c r="M20" t="s">
        <v>186</v>
      </c>
      <c r="O20" t="s">
        <v>1108</v>
      </c>
      <c r="P20" t="s">
        <v>1548</v>
      </c>
      <c r="Q20" t="s">
        <v>198</v>
      </c>
      <c r="R20" t="s">
        <v>6030</v>
      </c>
      <c r="S20" t="s">
        <v>1634</v>
      </c>
      <c r="T20">
        <v>54</v>
      </c>
      <c r="U20" t="s">
        <v>1180</v>
      </c>
      <c r="V20">
        <v>61</v>
      </c>
      <c r="W20" t="s">
        <v>1548</v>
      </c>
      <c r="X20" t="s">
        <v>5997</v>
      </c>
      <c r="Y20" t="s">
        <v>6033</v>
      </c>
      <c r="Z20" t="s">
        <v>1548</v>
      </c>
      <c r="AA20" t="s">
        <v>6033</v>
      </c>
      <c r="AB20" t="s">
        <v>1548</v>
      </c>
      <c r="AC20" t="s">
        <v>6033</v>
      </c>
      <c r="AD20" t="s">
        <v>6033</v>
      </c>
      <c r="AE20" t="s">
        <v>1548</v>
      </c>
      <c r="AF20" t="s">
        <v>6084</v>
      </c>
      <c r="AG20" t="s">
        <v>6113</v>
      </c>
      <c r="AH20" t="s">
        <v>1561</v>
      </c>
      <c r="AI20">
        <v>0</v>
      </c>
      <c r="AJ20">
        <v>0</v>
      </c>
      <c r="AK20">
        <v>0</v>
      </c>
      <c r="AL20">
        <v>0</v>
      </c>
      <c r="AM20">
        <v>0</v>
      </c>
      <c r="AN20">
        <v>0</v>
      </c>
      <c r="AO20">
        <v>0</v>
      </c>
      <c r="AP20">
        <v>0</v>
      </c>
      <c r="AQ20">
        <v>0</v>
      </c>
      <c r="AR20" t="s">
        <v>6026</v>
      </c>
      <c r="AS20" t="s">
        <v>6026</v>
      </c>
      <c r="AT20" t="s">
        <v>6026</v>
      </c>
      <c r="AU20">
        <v>0</v>
      </c>
      <c r="AV20">
        <v>0</v>
      </c>
      <c r="AW20">
        <v>0</v>
      </c>
      <c r="AX20">
        <v>0</v>
      </c>
      <c r="AY20">
        <v>0</v>
      </c>
      <c r="AZ20">
        <v>0</v>
      </c>
      <c r="BA20">
        <v>0</v>
      </c>
      <c r="BB20">
        <v>0</v>
      </c>
      <c r="BC20">
        <v>0</v>
      </c>
      <c r="BD20" t="s">
        <v>6026</v>
      </c>
      <c r="BE20" t="s">
        <v>6026</v>
      </c>
      <c r="BF20" t="s">
        <v>6026</v>
      </c>
      <c r="BG20">
        <v>0</v>
      </c>
      <c r="BH20">
        <v>0</v>
      </c>
      <c r="BI20">
        <v>0</v>
      </c>
      <c r="BJ20">
        <v>0</v>
      </c>
      <c r="BK20">
        <v>0</v>
      </c>
      <c r="BL20">
        <v>0</v>
      </c>
      <c r="BM20">
        <v>0</v>
      </c>
      <c r="BN20">
        <v>0</v>
      </c>
      <c r="BO20">
        <v>0</v>
      </c>
      <c r="BP20">
        <v>1</v>
      </c>
      <c r="BQ20">
        <v>1</v>
      </c>
      <c r="BR20">
        <v>2</v>
      </c>
      <c r="BS20">
        <v>0</v>
      </c>
      <c r="BT20">
        <v>0</v>
      </c>
      <c r="BU20">
        <v>0</v>
      </c>
      <c r="BV20">
        <v>0</v>
      </c>
      <c r="BW20">
        <v>0</v>
      </c>
      <c r="BX20">
        <v>0</v>
      </c>
      <c r="BY20">
        <v>0</v>
      </c>
      <c r="BZ20">
        <v>0</v>
      </c>
      <c r="CA20">
        <v>0</v>
      </c>
      <c r="CB20">
        <v>0</v>
      </c>
      <c r="CC20">
        <v>0</v>
      </c>
      <c r="CD20">
        <v>0</v>
      </c>
      <c r="CE20" t="s">
        <v>6579</v>
      </c>
      <c r="CF20" t="s">
        <v>6559</v>
      </c>
      <c r="CG20" t="s">
        <v>6580</v>
      </c>
      <c r="CH20" t="s">
        <v>6188</v>
      </c>
      <c r="CI20" t="s">
        <v>6581</v>
      </c>
      <c r="CJ20" t="s">
        <v>6582</v>
      </c>
      <c r="CK20" t="s">
        <v>1548</v>
      </c>
      <c r="CL20" t="s">
        <v>6583</v>
      </c>
      <c r="CM20" t="s">
        <v>6584</v>
      </c>
      <c r="CN20" t="s">
        <v>1548</v>
      </c>
      <c r="CO20" t="s">
        <v>6585</v>
      </c>
      <c r="CP20" t="s">
        <v>6007</v>
      </c>
      <c r="CQ20" t="s">
        <v>6586</v>
      </c>
      <c r="CR20" t="s">
        <v>6009</v>
      </c>
      <c r="CS20" t="s">
        <v>1856</v>
      </c>
      <c r="CT20" t="s">
        <v>6009</v>
      </c>
      <c r="CU20" t="s">
        <v>1548</v>
      </c>
      <c r="CV20" t="s">
        <v>6587</v>
      </c>
      <c r="CW20" t="s">
        <v>6009</v>
      </c>
      <c r="CX20" t="s">
        <v>6014</v>
      </c>
      <c r="CY20" t="s">
        <v>6014</v>
      </c>
      <c r="CZ20" t="s">
        <v>6013</v>
      </c>
      <c r="DA20" t="s">
        <v>6013</v>
      </c>
      <c r="DB20" t="s">
        <v>6498</v>
      </c>
      <c r="DC20" t="s">
        <v>6014</v>
      </c>
      <c r="DD20" t="s">
        <v>6013</v>
      </c>
      <c r="DE20" t="s">
        <v>6013</v>
      </c>
      <c r="DF20" t="s">
        <v>2289</v>
      </c>
      <c r="DG20" t="s">
        <v>6015</v>
      </c>
      <c r="DH20" t="s">
        <v>2289</v>
      </c>
      <c r="DI20" t="s">
        <v>6016</v>
      </c>
      <c r="DJ20">
        <v>0</v>
      </c>
      <c r="DK20">
        <v>0</v>
      </c>
      <c r="DL20" t="s">
        <v>6049</v>
      </c>
      <c r="DM20" t="s">
        <v>1559</v>
      </c>
      <c r="DO20">
        <v>0</v>
      </c>
      <c r="DX20" t="s">
        <v>2289</v>
      </c>
      <c r="DY20" t="s">
        <v>6015</v>
      </c>
      <c r="DZ20" t="s">
        <v>2289</v>
      </c>
      <c r="EA20" t="s">
        <v>6015</v>
      </c>
      <c r="EB20">
        <v>0</v>
      </c>
      <c r="ER20" t="s">
        <v>6129</v>
      </c>
      <c r="ES20" t="s">
        <v>1108</v>
      </c>
      <c r="ET20" t="s">
        <v>2289</v>
      </c>
      <c r="EU20" t="s">
        <v>2289</v>
      </c>
      <c r="EV20" t="s">
        <v>6238</v>
      </c>
      <c r="EW20" t="s">
        <v>3513</v>
      </c>
      <c r="EX20" t="s">
        <v>4197</v>
      </c>
      <c r="EY20">
        <v>57549733</v>
      </c>
      <c r="EZ20">
        <v>72190297</v>
      </c>
      <c r="FA20" t="s">
        <v>6588</v>
      </c>
      <c r="FB20" t="s">
        <v>6589</v>
      </c>
      <c r="FD20" s="57">
        <v>43666.029965277776</v>
      </c>
      <c r="FE20" s="57">
        <v>43666.035428240742</v>
      </c>
    </row>
    <row r="21" spans="1:161" ht="12" customHeight="1">
      <c r="A21">
        <v>124</v>
      </c>
      <c r="B21">
        <v>38</v>
      </c>
      <c r="C21">
        <v>351819</v>
      </c>
      <c r="D21" s="57">
        <v>43666.75037037037</v>
      </c>
      <c r="E21" t="s">
        <v>6110</v>
      </c>
      <c r="F21" t="s">
        <v>725</v>
      </c>
      <c r="G21" t="s">
        <v>735</v>
      </c>
      <c r="H21" t="s">
        <v>4449</v>
      </c>
      <c r="I21" t="s">
        <v>4860</v>
      </c>
      <c r="J21">
        <v>75244495</v>
      </c>
      <c r="K21" t="s">
        <v>6028</v>
      </c>
      <c r="L21" t="s">
        <v>6029</v>
      </c>
      <c r="M21" t="s">
        <v>186</v>
      </c>
      <c r="O21" t="s">
        <v>6555</v>
      </c>
      <c r="P21" t="s">
        <v>1548</v>
      </c>
      <c r="Q21" t="s">
        <v>6556</v>
      </c>
      <c r="R21" t="s">
        <v>6030</v>
      </c>
      <c r="S21" t="s">
        <v>1634</v>
      </c>
      <c r="T21" t="s">
        <v>6557</v>
      </c>
      <c r="U21" t="s">
        <v>1541</v>
      </c>
      <c r="V21">
        <v>25</v>
      </c>
      <c r="W21" t="s">
        <v>1634</v>
      </c>
      <c r="X21" t="s">
        <v>5997</v>
      </c>
      <c r="Y21" t="s">
        <v>6033</v>
      </c>
      <c r="Z21" t="s">
        <v>1548</v>
      </c>
      <c r="AA21" t="s">
        <v>6033</v>
      </c>
      <c r="AB21" t="s">
        <v>1634</v>
      </c>
      <c r="AC21" t="s">
        <v>5999</v>
      </c>
      <c r="AD21" t="s">
        <v>5999</v>
      </c>
      <c r="AE21" t="s">
        <v>1548</v>
      </c>
      <c r="AF21" t="s">
        <v>6000</v>
      </c>
      <c r="AG21" t="s">
        <v>6000</v>
      </c>
      <c r="AH21" t="s">
        <v>6000</v>
      </c>
      <c r="AU21">
        <v>1</v>
      </c>
      <c r="AV21">
        <v>1</v>
      </c>
      <c r="AW21">
        <v>1</v>
      </c>
      <c r="AX21">
        <v>0</v>
      </c>
      <c r="AY21">
        <v>2</v>
      </c>
      <c r="AZ21">
        <v>2</v>
      </c>
      <c r="BA21">
        <v>1</v>
      </c>
      <c r="BB21">
        <v>1</v>
      </c>
      <c r="BC21">
        <v>1</v>
      </c>
      <c r="BD21">
        <v>4</v>
      </c>
      <c r="BE21">
        <v>2</v>
      </c>
      <c r="BF21">
        <v>6</v>
      </c>
      <c r="BG21">
        <v>0</v>
      </c>
      <c r="BH21">
        <v>0</v>
      </c>
      <c r="CE21" t="s">
        <v>6558</v>
      </c>
      <c r="CF21" t="s">
        <v>6559</v>
      </c>
      <c r="CG21" t="s">
        <v>6560</v>
      </c>
      <c r="CH21" t="s">
        <v>6561</v>
      </c>
      <c r="CI21" t="s">
        <v>6562</v>
      </c>
      <c r="CJ21" t="s">
        <v>6563</v>
      </c>
      <c r="CK21" t="s">
        <v>1634</v>
      </c>
      <c r="CL21" t="s">
        <v>6564</v>
      </c>
      <c r="CM21" t="s">
        <v>6565</v>
      </c>
      <c r="CN21" t="s">
        <v>1634</v>
      </c>
      <c r="CO21" t="s">
        <v>6566</v>
      </c>
      <c r="CP21" t="s">
        <v>6373</v>
      </c>
      <c r="CQ21" t="s">
        <v>6567</v>
      </c>
      <c r="CR21" t="s">
        <v>6568</v>
      </c>
      <c r="CS21" t="s">
        <v>6567</v>
      </c>
      <c r="CT21" t="s">
        <v>6569</v>
      </c>
      <c r="CU21" t="s">
        <v>1548</v>
      </c>
      <c r="CV21" t="s">
        <v>6570</v>
      </c>
      <c r="CW21" t="s">
        <v>6415</v>
      </c>
      <c r="CX21" t="s">
        <v>6014</v>
      </c>
      <c r="CY21" t="s">
        <v>6014</v>
      </c>
      <c r="CZ21" t="s">
        <v>6013</v>
      </c>
      <c r="DA21" t="s">
        <v>6013</v>
      </c>
      <c r="DB21" t="s">
        <v>6014</v>
      </c>
      <c r="DC21" t="s">
        <v>6014</v>
      </c>
      <c r="DD21" t="s">
        <v>6013</v>
      </c>
      <c r="DE21" t="s">
        <v>6013</v>
      </c>
      <c r="DF21" t="s">
        <v>6571</v>
      </c>
      <c r="DG21" t="s">
        <v>6015</v>
      </c>
      <c r="DH21" t="s">
        <v>6572</v>
      </c>
      <c r="DI21" t="s">
        <v>6048</v>
      </c>
      <c r="DJ21">
        <v>0</v>
      </c>
      <c r="DK21">
        <v>0</v>
      </c>
      <c r="DL21" t="s">
        <v>6049</v>
      </c>
      <c r="DM21" t="s">
        <v>6018</v>
      </c>
      <c r="DT21">
        <v>8</v>
      </c>
      <c r="DU21">
        <v>700</v>
      </c>
      <c r="DX21" t="s">
        <v>6573</v>
      </c>
      <c r="DY21" t="s">
        <v>6574</v>
      </c>
      <c r="DZ21" t="s">
        <v>6575</v>
      </c>
      <c r="EA21" t="s">
        <v>6260</v>
      </c>
      <c r="EB21">
        <v>0</v>
      </c>
      <c r="ER21" t="s">
        <v>6129</v>
      </c>
      <c r="ES21" s="58" t="s">
        <v>6576</v>
      </c>
      <c r="ET21" s="58" t="s">
        <v>6576</v>
      </c>
      <c r="EV21" t="s">
        <v>6238</v>
      </c>
      <c r="EW21" t="s">
        <v>6577</v>
      </c>
      <c r="EX21" t="s">
        <v>795</v>
      </c>
      <c r="EY21">
        <v>65965485</v>
      </c>
      <c r="EZ21">
        <v>79600266</v>
      </c>
      <c r="FD21" s="57">
        <v>43666.107002314813</v>
      </c>
      <c r="FE21" s="57">
        <v>43666.126863425925</v>
      </c>
    </row>
    <row r="22" spans="1:161" ht="12" customHeight="1">
      <c r="A22">
        <v>131</v>
      </c>
      <c r="B22">
        <v>5</v>
      </c>
      <c r="C22">
        <v>348015</v>
      </c>
      <c r="D22" s="57">
        <v>43677.720821759256</v>
      </c>
      <c r="E22" t="s">
        <v>5991</v>
      </c>
      <c r="F22" t="s">
        <v>6540</v>
      </c>
      <c r="G22" t="s">
        <v>748</v>
      </c>
      <c r="H22" t="s">
        <v>4449</v>
      </c>
      <c r="I22" t="s">
        <v>4860</v>
      </c>
      <c r="J22">
        <v>75198978</v>
      </c>
      <c r="K22" t="s">
        <v>6028</v>
      </c>
      <c r="L22" t="s">
        <v>6029</v>
      </c>
      <c r="M22" t="s">
        <v>186</v>
      </c>
      <c r="O22" t="s">
        <v>6541</v>
      </c>
      <c r="P22" t="s">
        <v>1548</v>
      </c>
      <c r="Q22" t="s">
        <v>6542</v>
      </c>
      <c r="R22" t="s">
        <v>6030</v>
      </c>
      <c r="S22" t="s">
        <v>1634</v>
      </c>
      <c r="T22">
        <v>12</v>
      </c>
      <c r="U22" t="s">
        <v>1180</v>
      </c>
      <c r="V22">
        <v>57</v>
      </c>
      <c r="W22" t="s">
        <v>1548</v>
      </c>
      <c r="X22" t="s">
        <v>6031</v>
      </c>
      <c r="Y22" t="s">
        <v>6033</v>
      </c>
      <c r="Z22" t="s">
        <v>1548</v>
      </c>
      <c r="AA22" t="s">
        <v>6033</v>
      </c>
      <c r="AB22" t="s">
        <v>1634</v>
      </c>
      <c r="AC22" t="s">
        <v>6033</v>
      </c>
      <c r="AD22" t="s">
        <v>5999</v>
      </c>
      <c r="AE22" t="s">
        <v>1634</v>
      </c>
      <c r="AF22" t="s">
        <v>6085</v>
      </c>
      <c r="AG22" t="s">
        <v>6085</v>
      </c>
      <c r="AH22" t="s">
        <v>6085</v>
      </c>
      <c r="AI22">
        <v>0</v>
      </c>
      <c r="AJ22">
        <v>0</v>
      </c>
      <c r="AK22" t="s">
        <v>6026</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60</v>
      </c>
      <c r="BN22">
        <v>0</v>
      </c>
      <c r="BO22">
        <v>0</v>
      </c>
      <c r="BP22">
        <v>80</v>
      </c>
      <c r="BQ22">
        <v>50</v>
      </c>
      <c r="BR22">
        <v>0</v>
      </c>
      <c r="BS22">
        <v>0</v>
      </c>
      <c r="BT22">
        <v>0</v>
      </c>
      <c r="BU22">
        <v>0</v>
      </c>
      <c r="BV22">
        <v>0</v>
      </c>
      <c r="BW22">
        <v>0</v>
      </c>
      <c r="BX22">
        <v>0</v>
      </c>
      <c r="BY22">
        <v>15</v>
      </c>
      <c r="BZ22">
        <v>60</v>
      </c>
      <c r="CA22">
        <v>60</v>
      </c>
      <c r="CB22">
        <v>35</v>
      </c>
      <c r="CC22">
        <v>0</v>
      </c>
      <c r="CD22">
        <v>100</v>
      </c>
      <c r="CE22" t="s">
        <v>6543</v>
      </c>
      <c r="CF22" t="s">
        <v>6465</v>
      </c>
      <c r="CG22" t="s">
        <v>6544</v>
      </c>
      <c r="CH22" t="s">
        <v>6117</v>
      </c>
      <c r="CI22" t="s">
        <v>6545</v>
      </c>
      <c r="CJ22" t="s">
        <v>6006</v>
      </c>
      <c r="CK22" t="s">
        <v>1634</v>
      </c>
      <c r="CL22" t="s">
        <v>6546</v>
      </c>
      <c r="CM22" t="s">
        <v>6121</v>
      </c>
      <c r="CN22" t="s">
        <v>1634</v>
      </c>
      <c r="CO22" t="s">
        <v>6547</v>
      </c>
      <c r="CP22" t="s">
        <v>6373</v>
      </c>
      <c r="CQ22" t="s">
        <v>6548</v>
      </c>
      <c r="CR22" t="s">
        <v>6041</v>
      </c>
      <c r="CS22" t="s">
        <v>6549</v>
      </c>
      <c r="CT22" t="s">
        <v>6041</v>
      </c>
      <c r="CU22" t="s">
        <v>1548</v>
      </c>
      <c r="CV22" t="s">
        <v>6550</v>
      </c>
      <c r="CW22" t="s">
        <v>6009</v>
      </c>
      <c r="CX22" t="s">
        <v>6014</v>
      </c>
      <c r="CY22" t="s">
        <v>6014</v>
      </c>
      <c r="CZ22" t="s">
        <v>6013</v>
      </c>
      <c r="DA22" t="s">
        <v>6013</v>
      </c>
      <c r="DB22" t="s">
        <v>6014</v>
      </c>
      <c r="DC22" t="s">
        <v>6014</v>
      </c>
      <c r="DD22" t="s">
        <v>6013</v>
      </c>
      <c r="DE22" t="s">
        <v>6013</v>
      </c>
      <c r="DF22" t="s">
        <v>1358</v>
      </c>
      <c r="DG22" t="s">
        <v>6015</v>
      </c>
      <c r="DH22" t="s">
        <v>1366</v>
      </c>
      <c r="DI22" t="s">
        <v>6016</v>
      </c>
      <c r="DJ22" s="59">
        <v>43865</v>
      </c>
      <c r="DK22" s="59">
        <v>43865</v>
      </c>
      <c r="DL22" t="s">
        <v>6049</v>
      </c>
      <c r="DM22" t="s">
        <v>1559</v>
      </c>
      <c r="DX22" t="s">
        <v>6551</v>
      </c>
      <c r="DY22" t="s">
        <v>6015</v>
      </c>
      <c r="DZ22" t="s">
        <v>1366</v>
      </c>
      <c r="EA22" t="s">
        <v>6071</v>
      </c>
      <c r="EB22">
        <v>0</v>
      </c>
      <c r="ER22" t="s">
        <v>6129</v>
      </c>
      <c r="ES22" t="s">
        <v>6552</v>
      </c>
      <c r="ET22" t="s">
        <v>1366</v>
      </c>
      <c r="EU22" t="s">
        <v>1366</v>
      </c>
      <c r="EV22" t="s">
        <v>6074</v>
      </c>
      <c r="EW22" t="s">
        <v>6553</v>
      </c>
      <c r="EX22" t="s">
        <v>6554</v>
      </c>
      <c r="EY22">
        <v>74961508</v>
      </c>
      <c r="EZ22">
        <v>72055752</v>
      </c>
      <c r="FD22" s="57">
        <v>43677.606446759259</v>
      </c>
      <c r="FE22" s="57">
        <v>43677.720763888887</v>
      </c>
    </row>
    <row r="23" spans="1:161" ht="12" customHeight="1">
      <c r="A23">
        <v>132</v>
      </c>
      <c r="B23">
        <v>39</v>
      </c>
      <c r="C23">
        <v>314751</v>
      </c>
      <c r="D23" s="57">
        <v>43666.692962962959</v>
      </c>
      <c r="E23" t="s">
        <v>6110</v>
      </c>
      <c r="F23" t="s">
        <v>729</v>
      </c>
      <c r="G23" t="s">
        <v>791</v>
      </c>
      <c r="H23" t="s">
        <v>4449</v>
      </c>
      <c r="I23" t="s">
        <v>4860</v>
      </c>
      <c r="J23">
        <v>63065604</v>
      </c>
      <c r="K23" t="s">
        <v>6028</v>
      </c>
      <c r="L23" t="s">
        <v>6029</v>
      </c>
      <c r="M23" t="s">
        <v>186</v>
      </c>
      <c r="O23" t="s">
        <v>6525</v>
      </c>
      <c r="P23" t="s">
        <v>1548</v>
      </c>
      <c r="Q23" t="s">
        <v>5253</v>
      </c>
      <c r="R23" t="s">
        <v>6030</v>
      </c>
      <c r="S23" t="s">
        <v>1634</v>
      </c>
      <c r="T23">
        <v>23</v>
      </c>
      <c r="U23" t="s">
        <v>1180</v>
      </c>
      <c r="V23">
        <v>32</v>
      </c>
      <c r="W23" t="s">
        <v>1548</v>
      </c>
      <c r="X23" t="s">
        <v>5997</v>
      </c>
      <c r="Y23" t="s">
        <v>6033</v>
      </c>
      <c r="Z23" t="s">
        <v>1548</v>
      </c>
      <c r="AA23" t="s">
        <v>6033</v>
      </c>
      <c r="AB23" t="s">
        <v>1548</v>
      </c>
      <c r="AC23" t="s">
        <v>6033</v>
      </c>
      <c r="AD23" t="s">
        <v>5998</v>
      </c>
      <c r="AE23" t="s">
        <v>1634</v>
      </c>
      <c r="AG23" t="s">
        <v>6113</v>
      </c>
      <c r="BG23">
        <v>1200</v>
      </c>
      <c r="BH23">
        <v>600</v>
      </c>
      <c r="BI23">
        <v>600</v>
      </c>
      <c r="BJ23">
        <v>1000</v>
      </c>
      <c r="BK23">
        <v>400</v>
      </c>
      <c r="BL23">
        <v>400</v>
      </c>
      <c r="BM23">
        <v>1200</v>
      </c>
      <c r="BN23">
        <v>500</v>
      </c>
      <c r="BO23">
        <v>500</v>
      </c>
      <c r="BP23">
        <v>2000</v>
      </c>
      <c r="BQ23">
        <v>500</v>
      </c>
      <c r="BR23">
        <v>700</v>
      </c>
      <c r="BS23">
        <v>20</v>
      </c>
      <c r="BT23">
        <v>70</v>
      </c>
      <c r="BU23">
        <v>70</v>
      </c>
      <c r="BV23">
        <v>30</v>
      </c>
      <c r="BW23">
        <v>55</v>
      </c>
      <c r="BX23">
        <v>55</v>
      </c>
      <c r="BY23">
        <v>40</v>
      </c>
      <c r="BZ23">
        <v>65</v>
      </c>
      <c r="CA23" t="s">
        <v>6026</v>
      </c>
      <c r="CB23">
        <v>100</v>
      </c>
      <c r="CC23">
        <v>0</v>
      </c>
      <c r="CD23">
        <v>300</v>
      </c>
      <c r="CE23" t="s">
        <v>6526</v>
      </c>
      <c r="CF23" t="s">
        <v>6115</v>
      </c>
      <c r="CG23" t="s">
        <v>6527</v>
      </c>
      <c r="CH23" t="s">
        <v>6528</v>
      </c>
      <c r="CI23" t="s">
        <v>6529</v>
      </c>
      <c r="CJ23" t="s">
        <v>6530</v>
      </c>
      <c r="CK23" t="s">
        <v>1634</v>
      </c>
      <c r="CL23" t="s">
        <v>6531</v>
      </c>
      <c r="CM23" t="s">
        <v>6248</v>
      </c>
      <c r="CN23" t="s">
        <v>1634</v>
      </c>
      <c r="CO23" t="s">
        <v>6532</v>
      </c>
      <c r="CP23" t="s">
        <v>6041</v>
      </c>
      <c r="CQ23" t="s">
        <v>6533</v>
      </c>
      <c r="CR23" t="s">
        <v>6534</v>
      </c>
      <c r="CS23" t="s">
        <v>6533</v>
      </c>
      <c r="CT23" t="s">
        <v>6041</v>
      </c>
      <c r="CU23" t="s">
        <v>1634</v>
      </c>
      <c r="CV23" t="s">
        <v>6535</v>
      </c>
      <c r="CW23" t="s">
        <v>6310</v>
      </c>
      <c r="CY23" t="s">
        <v>6014</v>
      </c>
      <c r="CZ23" t="s">
        <v>6013</v>
      </c>
      <c r="DA23" t="s">
        <v>6013</v>
      </c>
      <c r="DC23" t="s">
        <v>6014</v>
      </c>
      <c r="DD23" t="s">
        <v>6013</v>
      </c>
      <c r="DE23" t="s">
        <v>6013</v>
      </c>
      <c r="DF23" t="s">
        <v>1366</v>
      </c>
      <c r="DG23" t="s">
        <v>6015</v>
      </c>
      <c r="DH23" t="s">
        <v>1366</v>
      </c>
      <c r="DI23" t="s">
        <v>6016</v>
      </c>
      <c r="DJ23" s="59">
        <v>43834</v>
      </c>
      <c r="DK23" s="59">
        <v>43834</v>
      </c>
      <c r="DL23" t="s">
        <v>6049</v>
      </c>
      <c r="DM23" t="s">
        <v>1559</v>
      </c>
      <c r="DX23" t="s">
        <v>6536</v>
      </c>
      <c r="DY23" t="s">
        <v>6015</v>
      </c>
      <c r="DZ23" t="s">
        <v>1366</v>
      </c>
      <c r="EA23" t="s">
        <v>6015</v>
      </c>
      <c r="EB23">
        <v>0</v>
      </c>
      <c r="ER23" t="s">
        <v>6023</v>
      </c>
      <c r="ES23" t="s">
        <v>6525</v>
      </c>
      <c r="ET23" t="s">
        <v>6537</v>
      </c>
      <c r="EV23" t="s">
        <v>6074</v>
      </c>
      <c r="EW23" t="s">
        <v>3059</v>
      </c>
      <c r="EX23" t="s">
        <v>6538</v>
      </c>
      <c r="EY23">
        <v>55947904</v>
      </c>
      <c r="EZ23">
        <v>61082470</v>
      </c>
      <c r="FA23" t="s">
        <v>6539</v>
      </c>
      <c r="FD23" s="57">
        <v>43666.692569444444</v>
      </c>
      <c r="FE23" s="57">
        <v>43666.69290509259</v>
      </c>
    </row>
    <row r="24" spans="1:161" ht="12" customHeight="1">
      <c r="A24">
        <v>133</v>
      </c>
      <c r="B24">
        <v>54</v>
      </c>
      <c r="C24">
        <v>312565</v>
      </c>
      <c r="D24" s="57">
        <v>43665.770069444443</v>
      </c>
      <c r="E24" t="s">
        <v>6938</v>
      </c>
      <c r="F24" t="s">
        <v>6976</v>
      </c>
      <c r="G24" t="s">
        <v>6977</v>
      </c>
      <c r="H24" t="s">
        <v>4449</v>
      </c>
      <c r="I24" t="s">
        <v>4860</v>
      </c>
      <c r="J24">
        <v>70527743</v>
      </c>
      <c r="K24" t="s">
        <v>6028</v>
      </c>
      <c r="L24" t="s">
        <v>6029</v>
      </c>
      <c r="M24" t="s">
        <v>186</v>
      </c>
      <c r="O24" t="s">
        <v>2738</v>
      </c>
      <c r="P24" t="s">
        <v>1548</v>
      </c>
      <c r="Q24" t="s">
        <v>208</v>
      </c>
      <c r="R24" t="s">
        <v>6030</v>
      </c>
      <c r="S24" t="s">
        <v>1634</v>
      </c>
      <c r="T24" t="s">
        <v>6978</v>
      </c>
      <c r="U24" t="s">
        <v>1541</v>
      </c>
      <c r="V24">
        <v>33</v>
      </c>
      <c r="W24" t="s">
        <v>1634</v>
      </c>
      <c r="X24" t="s">
        <v>5997</v>
      </c>
      <c r="Y24" t="s">
        <v>6033</v>
      </c>
      <c r="Z24" t="s">
        <v>1548</v>
      </c>
      <c r="AA24" t="s">
        <v>6033</v>
      </c>
      <c r="AB24" t="s">
        <v>1634</v>
      </c>
      <c r="AC24" t="s">
        <v>5999</v>
      </c>
      <c r="AD24" t="s">
        <v>5999</v>
      </c>
      <c r="AE24" t="s">
        <v>1634</v>
      </c>
      <c r="AF24" t="s">
        <v>6000</v>
      </c>
      <c r="AG24" t="s">
        <v>6000</v>
      </c>
      <c r="AH24" t="s">
        <v>6000</v>
      </c>
      <c r="AU24">
        <v>3</v>
      </c>
      <c r="AV24">
        <v>3</v>
      </c>
      <c r="AW24">
        <v>3</v>
      </c>
      <c r="AX24">
        <v>3</v>
      </c>
      <c r="AY24">
        <v>3</v>
      </c>
      <c r="AZ24">
        <v>3</v>
      </c>
      <c r="BA24">
        <v>1</v>
      </c>
      <c r="BB24">
        <v>1</v>
      </c>
      <c r="BC24">
        <v>1</v>
      </c>
      <c r="BD24">
        <v>4</v>
      </c>
      <c r="BE24">
        <v>1</v>
      </c>
      <c r="BF24">
        <v>5</v>
      </c>
      <c r="BG24">
        <v>0</v>
      </c>
      <c r="BH24">
        <v>0</v>
      </c>
      <c r="CE24" t="s">
        <v>6979</v>
      </c>
      <c r="CF24" t="s">
        <v>6980</v>
      </c>
      <c r="CG24" t="s">
        <v>6981</v>
      </c>
      <c r="CH24" t="s">
        <v>6561</v>
      </c>
      <c r="CI24" t="s">
        <v>6982</v>
      </c>
      <c r="CJ24" t="s">
        <v>6563</v>
      </c>
      <c r="CK24" t="s">
        <v>1548</v>
      </c>
      <c r="CL24" t="s">
        <v>6983</v>
      </c>
      <c r="CM24" t="s">
        <v>6596</v>
      </c>
      <c r="CN24" t="s">
        <v>1548</v>
      </c>
      <c r="CO24" t="s">
        <v>6984</v>
      </c>
      <c r="CP24" t="s">
        <v>6144</v>
      </c>
      <c r="CQ24" t="s">
        <v>6985</v>
      </c>
      <c r="CR24" t="s">
        <v>6568</v>
      </c>
      <c r="CS24" t="s">
        <v>6986</v>
      </c>
      <c r="CT24" t="s">
        <v>6569</v>
      </c>
      <c r="CU24" t="s">
        <v>1548</v>
      </c>
      <c r="CV24" t="s">
        <v>6987</v>
      </c>
      <c r="CW24" t="s">
        <v>6009</v>
      </c>
      <c r="CX24" t="s">
        <v>6014</v>
      </c>
      <c r="CY24" t="s">
        <v>6014</v>
      </c>
      <c r="CZ24" t="s">
        <v>6013</v>
      </c>
      <c r="DA24" t="s">
        <v>6013</v>
      </c>
      <c r="DB24" t="s">
        <v>6014</v>
      </c>
      <c r="DC24" t="s">
        <v>6014</v>
      </c>
      <c r="DD24" t="s">
        <v>6013</v>
      </c>
      <c r="DE24" t="s">
        <v>6013</v>
      </c>
      <c r="DF24" t="s">
        <v>6988</v>
      </c>
      <c r="DG24" t="s">
        <v>6015</v>
      </c>
      <c r="DH24" t="s">
        <v>6989</v>
      </c>
      <c r="DI24" t="s">
        <v>6048</v>
      </c>
      <c r="DJ24" s="59">
        <v>0</v>
      </c>
      <c r="DK24" s="59">
        <v>0</v>
      </c>
      <c r="DL24" t="s">
        <v>6049</v>
      </c>
      <c r="DM24" t="s">
        <v>6289</v>
      </c>
      <c r="DN24">
        <v>0</v>
      </c>
      <c r="DQ24">
        <v>500</v>
      </c>
      <c r="DX24" t="s">
        <v>6990</v>
      </c>
      <c r="DY24" t="s">
        <v>6574</v>
      </c>
      <c r="DZ24" t="s">
        <v>6991</v>
      </c>
      <c r="EA24" t="s">
        <v>6260</v>
      </c>
      <c r="EB24">
        <v>0</v>
      </c>
      <c r="ER24" t="s">
        <v>6129</v>
      </c>
      <c r="ES24" s="58" t="s">
        <v>6992</v>
      </c>
      <c r="ET24" s="58" t="s">
        <v>6992</v>
      </c>
      <c r="EV24" t="s">
        <v>6238</v>
      </c>
      <c r="EW24" t="s">
        <v>6993</v>
      </c>
      <c r="EX24" t="s">
        <v>6994</v>
      </c>
      <c r="EY24" t="s">
        <v>6026</v>
      </c>
      <c r="EZ24" t="s">
        <v>6026</v>
      </c>
      <c r="FD24" s="57">
        <v>43665.74664351852</v>
      </c>
      <c r="FE24" s="57">
        <v>43665.769942129627</v>
      </c>
    </row>
    <row r="25" spans="1:161" ht="12" customHeight="1">
      <c r="A25">
        <v>135</v>
      </c>
      <c r="B25">
        <v>57</v>
      </c>
      <c r="C25">
        <v>312292</v>
      </c>
      <c r="D25" s="57">
        <v>43665.695486111108</v>
      </c>
      <c r="E25" t="s">
        <v>6938</v>
      </c>
      <c r="F25" t="s">
        <v>753</v>
      </c>
      <c r="G25" t="s">
        <v>712</v>
      </c>
      <c r="H25" t="s">
        <v>4449</v>
      </c>
      <c r="I25" t="s">
        <v>4860</v>
      </c>
      <c r="J25">
        <v>62572338</v>
      </c>
      <c r="K25" t="s">
        <v>6028</v>
      </c>
      <c r="L25" t="s">
        <v>6029</v>
      </c>
      <c r="M25" t="s">
        <v>186</v>
      </c>
      <c r="O25" t="s">
        <v>1108</v>
      </c>
      <c r="P25" t="s">
        <v>1548</v>
      </c>
      <c r="Q25" t="s">
        <v>211</v>
      </c>
      <c r="R25" t="s">
        <v>6030</v>
      </c>
      <c r="S25" t="s">
        <v>1634</v>
      </c>
      <c r="T25" t="s">
        <v>6959</v>
      </c>
      <c r="U25" t="s">
        <v>1541</v>
      </c>
      <c r="V25">
        <v>35</v>
      </c>
      <c r="W25" t="s">
        <v>1634</v>
      </c>
      <c r="X25" t="s">
        <v>5997</v>
      </c>
      <c r="Y25" t="s">
        <v>6033</v>
      </c>
      <c r="Z25" t="s">
        <v>1548</v>
      </c>
      <c r="AA25" t="s">
        <v>5999</v>
      </c>
      <c r="AB25" t="s">
        <v>1634</v>
      </c>
      <c r="AC25" t="s">
        <v>5999</v>
      </c>
      <c r="AD25" t="s">
        <v>5999</v>
      </c>
      <c r="AE25" t="s">
        <v>1634</v>
      </c>
      <c r="AF25" t="s">
        <v>6000</v>
      </c>
      <c r="AG25" t="s">
        <v>6000</v>
      </c>
      <c r="AH25" t="s">
        <v>6000</v>
      </c>
      <c r="AU25">
        <v>0</v>
      </c>
      <c r="AV25">
        <v>0</v>
      </c>
      <c r="AW25">
        <v>0</v>
      </c>
      <c r="AX25">
        <v>0</v>
      </c>
      <c r="AY25">
        <v>0</v>
      </c>
      <c r="AZ25">
        <v>0</v>
      </c>
      <c r="BA25">
        <v>40</v>
      </c>
      <c r="BB25">
        <v>40</v>
      </c>
      <c r="BC25">
        <v>40</v>
      </c>
      <c r="BD25">
        <v>50</v>
      </c>
      <c r="BE25">
        <v>10</v>
      </c>
      <c r="BF25">
        <v>60</v>
      </c>
      <c r="BG25">
        <v>0</v>
      </c>
      <c r="BH25">
        <v>0</v>
      </c>
      <c r="CE25" t="s">
        <v>6960</v>
      </c>
      <c r="CF25" t="s">
        <v>6687</v>
      </c>
      <c r="CG25" t="s">
        <v>6961</v>
      </c>
      <c r="CH25" t="s">
        <v>6945</v>
      </c>
      <c r="CI25" t="s">
        <v>6962</v>
      </c>
      <c r="CJ25" t="s">
        <v>6039</v>
      </c>
      <c r="CK25" t="s">
        <v>1548</v>
      </c>
      <c r="CL25" t="s">
        <v>6963</v>
      </c>
      <c r="CM25" t="s">
        <v>6596</v>
      </c>
      <c r="CN25" t="s">
        <v>1548</v>
      </c>
      <c r="CO25" t="s">
        <v>6964</v>
      </c>
      <c r="CP25" t="s">
        <v>6144</v>
      </c>
      <c r="CQ25" t="s">
        <v>6965</v>
      </c>
      <c r="CR25" t="s">
        <v>6966</v>
      </c>
      <c r="CS25" t="s">
        <v>6967</v>
      </c>
      <c r="CT25" t="s">
        <v>6968</v>
      </c>
      <c r="CU25" t="s">
        <v>1548</v>
      </c>
      <c r="CV25" t="s">
        <v>6969</v>
      </c>
      <c r="CW25" t="s">
        <v>6970</v>
      </c>
      <c r="CX25" t="s">
        <v>6014</v>
      </c>
      <c r="CY25" t="s">
        <v>6014</v>
      </c>
      <c r="CZ25" t="s">
        <v>6013</v>
      </c>
      <c r="DA25" t="s">
        <v>6013</v>
      </c>
      <c r="DB25" t="s">
        <v>6014</v>
      </c>
      <c r="DC25" t="s">
        <v>6014</v>
      </c>
      <c r="DD25" t="s">
        <v>6013</v>
      </c>
      <c r="DE25" t="s">
        <v>6013</v>
      </c>
      <c r="DF25" t="s">
        <v>1358</v>
      </c>
      <c r="DG25" t="s">
        <v>6015</v>
      </c>
      <c r="DH25" t="s">
        <v>6971</v>
      </c>
      <c r="DI25" t="s">
        <v>6048</v>
      </c>
      <c r="DJ25">
        <v>0</v>
      </c>
      <c r="DK25">
        <v>0</v>
      </c>
      <c r="DL25" t="s">
        <v>6049</v>
      </c>
      <c r="DM25" t="s">
        <v>6018</v>
      </c>
      <c r="DT25">
        <v>12</v>
      </c>
      <c r="DU25">
        <v>800</v>
      </c>
      <c r="DX25" t="s">
        <v>6972</v>
      </c>
      <c r="DY25" t="s">
        <v>6574</v>
      </c>
      <c r="DZ25" t="s">
        <v>6973</v>
      </c>
      <c r="EA25" t="s">
        <v>6260</v>
      </c>
      <c r="EB25">
        <v>0</v>
      </c>
      <c r="ER25" t="s">
        <v>6129</v>
      </c>
      <c r="ES25" t="s">
        <v>1108</v>
      </c>
      <c r="ET25" t="s">
        <v>1108</v>
      </c>
      <c r="EV25" t="s">
        <v>6238</v>
      </c>
      <c r="EW25" t="s">
        <v>6974</v>
      </c>
      <c r="EX25" t="s">
        <v>6975</v>
      </c>
      <c r="EY25">
        <v>54741615</v>
      </c>
      <c r="EZ25" t="s">
        <v>6026</v>
      </c>
      <c r="FD25" s="57">
        <v>43665.665925925925</v>
      </c>
      <c r="FE25" s="57">
        <v>43665.695173611108</v>
      </c>
    </row>
    <row r="26" spans="1:161" ht="12" customHeight="1">
      <c r="A26">
        <v>140</v>
      </c>
      <c r="B26">
        <v>58</v>
      </c>
      <c r="C26">
        <v>312087</v>
      </c>
      <c r="D26" s="57">
        <v>43665.664201388892</v>
      </c>
      <c r="E26" t="s">
        <v>6938</v>
      </c>
      <c r="F26" t="s">
        <v>6939</v>
      </c>
      <c r="G26" t="s">
        <v>6940</v>
      </c>
      <c r="H26" t="s">
        <v>4449</v>
      </c>
      <c r="I26" t="s">
        <v>4860</v>
      </c>
      <c r="J26">
        <v>51435290</v>
      </c>
      <c r="K26" t="s">
        <v>6028</v>
      </c>
      <c r="L26" t="s">
        <v>6029</v>
      </c>
      <c r="M26" t="s">
        <v>186</v>
      </c>
      <c r="O26" t="s">
        <v>1108</v>
      </c>
      <c r="P26" t="s">
        <v>1548</v>
      </c>
      <c r="Q26" t="s">
        <v>188</v>
      </c>
      <c r="R26" t="s">
        <v>6030</v>
      </c>
      <c r="S26" t="s">
        <v>1634</v>
      </c>
      <c r="T26" t="s">
        <v>6941</v>
      </c>
      <c r="U26" t="s">
        <v>1541</v>
      </c>
      <c r="V26">
        <v>38</v>
      </c>
      <c r="W26" t="s">
        <v>1634</v>
      </c>
      <c r="X26" t="s">
        <v>5997</v>
      </c>
      <c r="Y26" t="s">
        <v>6033</v>
      </c>
      <c r="Z26" t="s">
        <v>1548</v>
      </c>
      <c r="AA26" t="s">
        <v>6033</v>
      </c>
      <c r="AB26" t="s">
        <v>1634</v>
      </c>
      <c r="AC26" t="s">
        <v>5999</v>
      </c>
      <c r="AD26" t="s">
        <v>5999</v>
      </c>
      <c r="AE26" t="s">
        <v>1634</v>
      </c>
      <c r="AF26" t="s">
        <v>6000</v>
      </c>
      <c r="AG26" t="s">
        <v>6000</v>
      </c>
      <c r="AH26" t="s">
        <v>6000</v>
      </c>
      <c r="AU26">
        <v>0</v>
      </c>
      <c r="AV26">
        <v>0</v>
      </c>
      <c r="AW26">
        <v>0</v>
      </c>
      <c r="AX26">
        <v>0</v>
      </c>
      <c r="AY26">
        <v>0</v>
      </c>
      <c r="AZ26">
        <v>0</v>
      </c>
      <c r="BA26">
        <v>25</v>
      </c>
      <c r="BB26">
        <v>25</v>
      </c>
      <c r="BC26" t="s">
        <v>6026</v>
      </c>
      <c r="BD26">
        <v>30</v>
      </c>
      <c r="BE26">
        <v>10</v>
      </c>
      <c r="BF26">
        <v>40</v>
      </c>
      <c r="BG26">
        <v>0</v>
      </c>
      <c r="BH26">
        <v>0</v>
      </c>
      <c r="CE26" t="s">
        <v>6942</v>
      </c>
      <c r="CF26" t="s">
        <v>6943</v>
      </c>
      <c r="CG26" t="s">
        <v>6944</v>
      </c>
      <c r="CH26" t="s">
        <v>6945</v>
      </c>
      <c r="CI26" t="s">
        <v>6946</v>
      </c>
      <c r="CJ26" t="s">
        <v>6947</v>
      </c>
      <c r="CK26" t="s">
        <v>1634</v>
      </c>
      <c r="CL26" t="s">
        <v>6948</v>
      </c>
      <c r="CM26" t="s">
        <v>6949</v>
      </c>
      <c r="CN26" t="s">
        <v>1634</v>
      </c>
      <c r="CO26" t="s">
        <v>6950</v>
      </c>
      <c r="CP26" t="s">
        <v>6144</v>
      </c>
      <c r="CQ26" t="s">
        <v>6951</v>
      </c>
      <c r="CR26" t="s">
        <v>6568</v>
      </c>
      <c r="CS26" t="s">
        <v>6952</v>
      </c>
      <c r="CT26" t="s">
        <v>6569</v>
      </c>
      <c r="CU26" t="s">
        <v>1548</v>
      </c>
      <c r="CV26" t="s">
        <v>6953</v>
      </c>
      <c r="CW26" t="s">
        <v>6009</v>
      </c>
      <c r="CX26" t="s">
        <v>6014</v>
      </c>
      <c r="CY26" t="s">
        <v>6014</v>
      </c>
      <c r="CZ26" t="s">
        <v>6013</v>
      </c>
      <c r="DA26" t="s">
        <v>6013</v>
      </c>
      <c r="DB26" t="s">
        <v>6014</v>
      </c>
      <c r="DC26" t="s">
        <v>6014</v>
      </c>
      <c r="DD26" t="s">
        <v>6013</v>
      </c>
      <c r="DE26" t="s">
        <v>6013</v>
      </c>
      <c r="DF26" t="s">
        <v>1358</v>
      </c>
      <c r="DG26" t="s">
        <v>6015</v>
      </c>
      <c r="DH26" t="s">
        <v>6954</v>
      </c>
      <c r="DI26" t="s">
        <v>6419</v>
      </c>
      <c r="DJ26">
        <v>0</v>
      </c>
      <c r="DK26">
        <v>0</v>
      </c>
      <c r="DL26" t="s">
        <v>6049</v>
      </c>
      <c r="DM26" t="s">
        <v>6018</v>
      </c>
      <c r="DT26">
        <v>12</v>
      </c>
      <c r="DU26">
        <v>1000</v>
      </c>
      <c r="DX26" t="s">
        <v>6955</v>
      </c>
      <c r="DY26" t="s">
        <v>6574</v>
      </c>
      <c r="DZ26" t="s">
        <v>6956</v>
      </c>
      <c r="EA26" t="s">
        <v>6260</v>
      </c>
      <c r="EB26">
        <v>0</v>
      </c>
      <c r="ER26" t="s">
        <v>6129</v>
      </c>
      <c r="ES26" t="s">
        <v>1108</v>
      </c>
      <c r="ET26" t="s">
        <v>1108</v>
      </c>
      <c r="EV26" t="s">
        <v>6238</v>
      </c>
      <c r="EW26" t="s">
        <v>6957</v>
      </c>
      <c r="EX26" t="s">
        <v>6958</v>
      </c>
      <c r="EY26">
        <v>51435290</v>
      </c>
      <c r="EZ26" t="s">
        <v>6026</v>
      </c>
      <c r="FD26" s="57">
        <v>43665.627303240741</v>
      </c>
      <c r="FE26" s="57">
        <v>43665.663229166668</v>
      </c>
    </row>
    <row r="27" spans="1:161" ht="12" customHeight="1">
      <c r="A27">
        <v>168</v>
      </c>
      <c r="B27">
        <v>44</v>
      </c>
      <c r="C27">
        <v>313891</v>
      </c>
      <c r="D27" s="57">
        <v>43666.546412037038</v>
      </c>
      <c r="E27" t="s">
        <v>6294</v>
      </c>
      <c r="F27" t="s">
        <v>5485</v>
      </c>
      <c r="G27" t="s">
        <v>6916</v>
      </c>
      <c r="H27" t="s">
        <v>4449</v>
      </c>
      <c r="I27" t="s">
        <v>4860</v>
      </c>
      <c r="J27">
        <v>76923548</v>
      </c>
      <c r="K27" t="s">
        <v>6079</v>
      </c>
      <c r="L27" t="s">
        <v>6080</v>
      </c>
      <c r="M27" t="s">
        <v>256</v>
      </c>
      <c r="O27" t="s">
        <v>6917</v>
      </c>
      <c r="P27" t="s">
        <v>1548</v>
      </c>
      <c r="Q27" t="s">
        <v>6918</v>
      </c>
      <c r="R27" t="s">
        <v>6030</v>
      </c>
      <c r="S27" t="s">
        <v>1634</v>
      </c>
      <c r="T27" t="s">
        <v>6919</v>
      </c>
      <c r="U27" t="s">
        <v>1541</v>
      </c>
      <c r="V27">
        <v>45</v>
      </c>
      <c r="W27" t="s">
        <v>1634</v>
      </c>
      <c r="X27" t="s">
        <v>5997</v>
      </c>
      <c r="Y27" t="s">
        <v>6033</v>
      </c>
      <c r="Z27" t="s">
        <v>1548</v>
      </c>
      <c r="AA27" t="s">
        <v>6033</v>
      </c>
      <c r="AB27" t="s">
        <v>1634</v>
      </c>
      <c r="AC27" t="s">
        <v>5999</v>
      </c>
      <c r="AD27" t="s">
        <v>5999</v>
      </c>
      <c r="AE27" t="s">
        <v>1634</v>
      </c>
      <c r="AF27" t="s">
        <v>1561</v>
      </c>
      <c r="AG27" t="s">
        <v>1561</v>
      </c>
      <c r="AH27" t="s">
        <v>1561</v>
      </c>
      <c r="AI27" t="s">
        <v>6026</v>
      </c>
      <c r="AJ27" t="s">
        <v>6026</v>
      </c>
      <c r="AK27" t="s">
        <v>6026</v>
      </c>
      <c r="AL27" t="s">
        <v>6026</v>
      </c>
      <c r="AM27" t="s">
        <v>6026</v>
      </c>
      <c r="AN27" t="s">
        <v>6026</v>
      </c>
      <c r="AO27" t="s">
        <v>6026</v>
      </c>
      <c r="AP27" t="s">
        <v>6026</v>
      </c>
      <c r="AQ27" t="s">
        <v>6026</v>
      </c>
      <c r="AR27" t="s">
        <v>6026</v>
      </c>
      <c r="AS27" t="s">
        <v>6026</v>
      </c>
      <c r="AT27" t="s">
        <v>6026</v>
      </c>
      <c r="AU27" t="s">
        <v>6026</v>
      </c>
      <c r="AV27" t="s">
        <v>6026</v>
      </c>
      <c r="AW27" t="s">
        <v>6026</v>
      </c>
      <c r="AX27" t="s">
        <v>6026</v>
      </c>
      <c r="AY27" t="s">
        <v>6026</v>
      </c>
      <c r="AZ27" t="s">
        <v>6026</v>
      </c>
      <c r="BA27" t="s">
        <v>6026</v>
      </c>
      <c r="BB27" t="s">
        <v>6026</v>
      </c>
      <c r="BC27" t="s">
        <v>6026</v>
      </c>
      <c r="BD27" t="s">
        <v>6026</v>
      </c>
      <c r="BE27" t="s">
        <v>6026</v>
      </c>
      <c r="BF27" t="s">
        <v>6026</v>
      </c>
      <c r="BG27">
        <v>5</v>
      </c>
      <c r="BH27">
        <v>4</v>
      </c>
      <c r="BI27" t="s">
        <v>6026</v>
      </c>
      <c r="BJ27" t="s">
        <v>6026</v>
      </c>
      <c r="BK27" t="s">
        <v>6026</v>
      </c>
      <c r="BL27" t="s">
        <v>6026</v>
      </c>
      <c r="BM27" t="s">
        <v>6026</v>
      </c>
      <c r="BN27" t="s">
        <v>6026</v>
      </c>
      <c r="BO27" t="s">
        <v>6026</v>
      </c>
      <c r="BP27" t="s">
        <v>6026</v>
      </c>
      <c r="BQ27" t="s">
        <v>6026</v>
      </c>
      <c r="BR27" t="s">
        <v>6026</v>
      </c>
      <c r="BS27" t="s">
        <v>6026</v>
      </c>
      <c r="BT27" t="s">
        <v>6026</v>
      </c>
      <c r="BU27" t="s">
        <v>6026</v>
      </c>
      <c r="BV27" t="s">
        <v>6026</v>
      </c>
      <c r="BW27" t="s">
        <v>6026</v>
      </c>
      <c r="BX27" t="s">
        <v>6026</v>
      </c>
      <c r="BY27" t="s">
        <v>6026</v>
      </c>
      <c r="BZ27" t="s">
        <v>6026</v>
      </c>
      <c r="CA27" t="s">
        <v>6026</v>
      </c>
      <c r="CB27" t="s">
        <v>6026</v>
      </c>
      <c r="CC27" t="s">
        <v>6026</v>
      </c>
      <c r="CD27" t="s">
        <v>6026</v>
      </c>
      <c r="CE27" t="s">
        <v>6920</v>
      </c>
      <c r="CF27" t="s">
        <v>6087</v>
      </c>
      <c r="CG27" t="s">
        <v>6921</v>
      </c>
      <c r="CH27" t="s">
        <v>6922</v>
      </c>
      <c r="CI27" t="s">
        <v>6923</v>
      </c>
      <c r="CJ27" t="s">
        <v>6924</v>
      </c>
      <c r="CK27" t="s">
        <v>1634</v>
      </c>
      <c r="CL27" t="s">
        <v>6925</v>
      </c>
      <c r="CM27" t="s">
        <v>6760</v>
      </c>
      <c r="CN27" t="s">
        <v>1634</v>
      </c>
      <c r="CO27" t="s">
        <v>6926</v>
      </c>
      <c r="CQ27" t="s">
        <v>6927</v>
      </c>
      <c r="CR27" t="s">
        <v>6377</v>
      </c>
      <c r="CS27" t="s">
        <v>6928</v>
      </c>
      <c r="CT27" t="s">
        <v>6044</v>
      </c>
      <c r="CU27" t="s">
        <v>1634</v>
      </c>
      <c r="CV27" t="s">
        <v>6929</v>
      </c>
      <c r="CW27" t="s">
        <v>6310</v>
      </c>
      <c r="CX27" t="s">
        <v>6014</v>
      </c>
      <c r="CY27" t="s">
        <v>6014</v>
      </c>
      <c r="CZ27" t="s">
        <v>6013</v>
      </c>
      <c r="DA27" t="s">
        <v>6012</v>
      </c>
      <c r="DB27" t="s">
        <v>6014</v>
      </c>
      <c r="DC27" t="s">
        <v>6014</v>
      </c>
      <c r="DD27" t="s">
        <v>6013</v>
      </c>
      <c r="DE27" t="s">
        <v>6013</v>
      </c>
      <c r="DF27" t="s">
        <v>6930</v>
      </c>
      <c r="DG27" t="s">
        <v>6015</v>
      </c>
      <c r="DH27" t="s">
        <v>6931</v>
      </c>
      <c r="DI27" t="s">
        <v>6419</v>
      </c>
      <c r="DJ27">
        <v>2</v>
      </c>
      <c r="DK27">
        <v>1</v>
      </c>
      <c r="DL27" t="s">
        <v>6049</v>
      </c>
      <c r="DM27" t="s">
        <v>6257</v>
      </c>
      <c r="DR27">
        <v>10</v>
      </c>
      <c r="DS27">
        <v>20</v>
      </c>
      <c r="DX27" t="s">
        <v>6932</v>
      </c>
      <c r="DY27" t="s">
        <v>6020</v>
      </c>
      <c r="DZ27" t="s">
        <v>6933</v>
      </c>
      <c r="EA27" t="s">
        <v>6022</v>
      </c>
      <c r="EB27">
        <v>0</v>
      </c>
      <c r="ER27" t="s">
        <v>6051</v>
      </c>
      <c r="ES27" t="s">
        <v>6934</v>
      </c>
      <c r="ET27" t="s">
        <v>6935</v>
      </c>
      <c r="EV27" t="s">
        <v>6074</v>
      </c>
      <c r="EW27" t="s">
        <v>6936</v>
      </c>
      <c r="EX27" t="s">
        <v>6937</v>
      </c>
      <c r="EY27">
        <v>74232260</v>
      </c>
      <c r="EZ27" t="s">
        <v>6026</v>
      </c>
      <c r="FD27" s="57">
        <v>43666.53329861111</v>
      </c>
      <c r="FE27" s="57">
        <v>43666.539548611108</v>
      </c>
    </row>
    <row r="28" spans="1:161" ht="12" customHeight="1">
      <c r="A28">
        <v>204</v>
      </c>
      <c r="B28">
        <v>34</v>
      </c>
      <c r="C28">
        <v>328208</v>
      </c>
      <c r="D28" s="57">
        <v>43670.575208333335</v>
      </c>
      <c r="E28" t="s">
        <v>6110</v>
      </c>
      <c r="F28" t="s">
        <v>6901</v>
      </c>
      <c r="G28" t="s">
        <v>6902</v>
      </c>
      <c r="H28" t="s">
        <v>4449</v>
      </c>
      <c r="I28" t="s">
        <v>4860</v>
      </c>
      <c r="J28">
        <v>70680134</v>
      </c>
      <c r="K28" t="s">
        <v>6028</v>
      </c>
      <c r="L28" t="s">
        <v>6204</v>
      </c>
      <c r="M28" t="s">
        <v>58</v>
      </c>
      <c r="O28" t="s">
        <v>6903</v>
      </c>
      <c r="P28" t="s">
        <v>1548</v>
      </c>
      <c r="Q28" t="s">
        <v>6904</v>
      </c>
      <c r="R28" t="s">
        <v>6030</v>
      </c>
      <c r="S28" t="s">
        <v>1634</v>
      </c>
      <c r="T28" t="s">
        <v>6853</v>
      </c>
      <c r="U28" t="s">
        <v>1541</v>
      </c>
      <c r="V28">
        <v>23</v>
      </c>
      <c r="W28" t="s">
        <v>1634</v>
      </c>
      <c r="X28" t="s">
        <v>6031</v>
      </c>
      <c r="Y28" t="s">
        <v>5999</v>
      </c>
      <c r="Z28" t="s">
        <v>1634</v>
      </c>
      <c r="AA28" t="s">
        <v>6033</v>
      </c>
      <c r="AB28" t="s">
        <v>1634</v>
      </c>
      <c r="AC28" t="s">
        <v>5999</v>
      </c>
      <c r="AD28" t="s">
        <v>5999</v>
      </c>
      <c r="AE28" t="s">
        <v>1634</v>
      </c>
      <c r="BG28">
        <v>3</v>
      </c>
      <c r="BH28">
        <v>2</v>
      </c>
      <c r="BI28">
        <v>2</v>
      </c>
      <c r="BJ28">
        <v>4</v>
      </c>
      <c r="BK28">
        <v>4</v>
      </c>
      <c r="BL28">
        <v>4</v>
      </c>
      <c r="BM28">
        <v>4</v>
      </c>
      <c r="BN28">
        <v>4</v>
      </c>
      <c r="BO28">
        <v>4</v>
      </c>
      <c r="BP28">
        <v>20</v>
      </c>
      <c r="BQ28">
        <v>10</v>
      </c>
      <c r="BR28">
        <v>20</v>
      </c>
      <c r="BS28">
        <v>3</v>
      </c>
      <c r="BT28">
        <v>3</v>
      </c>
      <c r="BU28">
        <v>3</v>
      </c>
      <c r="BV28">
        <v>0</v>
      </c>
      <c r="BW28">
        <v>0</v>
      </c>
      <c r="BX28">
        <v>0</v>
      </c>
      <c r="BY28">
        <v>0</v>
      </c>
      <c r="BZ28">
        <v>0</v>
      </c>
      <c r="CA28">
        <v>0</v>
      </c>
      <c r="CB28">
        <v>3</v>
      </c>
      <c r="CC28">
        <v>1</v>
      </c>
      <c r="CD28">
        <v>4</v>
      </c>
      <c r="CE28" t="s">
        <v>6905</v>
      </c>
      <c r="CF28" t="s">
        <v>6035</v>
      </c>
      <c r="CG28" t="s">
        <v>6906</v>
      </c>
      <c r="CH28" t="s">
        <v>6907</v>
      </c>
      <c r="CJ28" t="s">
        <v>6908</v>
      </c>
      <c r="CK28" t="s">
        <v>1634</v>
      </c>
      <c r="CL28" t="s">
        <v>6909</v>
      </c>
      <c r="CM28" t="s">
        <v>6513</v>
      </c>
      <c r="CN28" t="s">
        <v>1634</v>
      </c>
      <c r="CO28" t="s">
        <v>6843</v>
      </c>
      <c r="CP28" t="s">
        <v>6373</v>
      </c>
      <c r="CQ28" t="s">
        <v>6910</v>
      </c>
      <c r="CR28" t="s">
        <v>6411</v>
      </c>
      <c r="CS28" t="s">
        <v>6911</v>
      </c>
      <c r="CT28" t="s">
        <v>6876</v>
      </c>
      <c r="CU28" t="s">
        <v>1634</v>
      </c>
      <c r="CV28" t="s">
        <v>6176</v>
      </c>
      <c r="CW28" t="s">
        <v>6234</v>
      </c>
      <c r="CX28" t="s">
        <v>6011</v>
      </c>
      <c r="CY28" t="s">
        <v>6011</v>
      </c>
      <c r="CZ28" t="s">
        <v>6012</v>
      </c>
      <c r="DA28" t="s">
        <v>6013</v>
      </c>
      <c r="DC28" t="s">
        <v>6014</v>
      </c>
      <c r="DD28" t="s">
        <v>6013</v>
      </c>
      <c r="DE28" t="s">
        <v>6013</v>
      </c>
      <c r="DF28" t="s">
        <v>6849</v>
      </c>
      <c r="DI28" t="s">
        <v>6419</v>
      </c>
      <c r="DJ28">
        <v>2</v>
      </c>
      <c r="DK28">
        <v>2</v>
      </c>
      <c r="DL28" t="s">
        <v>6017</v>
      </c>
      <c r="DM28" t="s">
        <v>6018</v>
      </c>
      <c r="DT28">
        <v>100</v>
      </c>
      <c r="DU28">
        <v>400</v>
      </c>
      <c r="DX28" t="s">
        <v>6912</v>
      </c>
      <c r="DY28" t="s">
        <v>6382</v>
      </c>
      <c r="EA28" t="s">
        <v>6022</v>
      </c>
      <c r="EB28">
        <v>0</v>
      </c>
      <c r="ER28" t="s">
        <v>6851</v>
      </c>
      <c r="ES28" t="s">
        <v>6913</v>
      </c>
      <c r="ET28" t="s">
        <v>6914</v>
      </c>
      <c r="EU28" t="s">
        <v>1804</v>
      </c>
      <c r="EV28" t="s">
        <v>6074</v>
      </c>
      <c r="EW28" t="s">
        <v>6915</v>
      </c>
      <c r="EX28" t="s">
        <v>3821</v>
      </c>
      <c r="EY28">
        <v>71020925</v>
      </c>
      <c r="EZ28" t="s">
        <v>6026</v>
      </c>
      <c r="FD28" s="57">
        <v>43670.574513888889</v>
      </c>
      <c r="FE28" s="57">
        <v>43670.575150462966</v>
      </c>
    </row>
    <row r="29" spans="1:161" ht="12" customHeight="1">
      <c r="A29">
        <v>219</v>
      </c>
      <c r="B29">
        <v>46</v>
      </c>
      <c r="C29">
        <v>354102</v>
      </c>
      <c r="D29" s="57">
        <v>43666.546412037038</v>
      </c>
      <c r="E29" t="s">
        <v>6110</v>
      </c>
      <c r="F29" t="s">
        <v>6504</v>
      </c>
      <c r="G29" t="s">
        <v>6505</v>
      </c>
      <c r="H29" t="s">
        <v>4449</v>
      </c>
      <c r="I29" t="s">
        <v>4860</v>
      </c>
      <c r="J29">
        <v>76060049</v>
      </c>
      <c r="K29" t="s">
        <v>6079</v>
      </c>
      <c r="L29" t="s">
        <v>6080</v>
      </c>
      <c r="M29" t="s">
        <v>329</v>
      </c>
      <c r="O29" t="s">
        <v>6506</v>
      </c>
      <c r="P29" t="s">
        <v>1548</v>
      </c>
      <c r="Q29" t="s">
        <v>328</v>
      </c>
      <c r="R29" t="s">
        <v>6030</v>
      </c>
      <c r="S29" t="s">
        <v>1634</v>
      </c>
      <c r="T29" t="s">
        <v>6507</v>
      </c>
      <c r="U29" t="s">
        <v>4803</v>
      </c>
      <c r="V29">
        <v>15</v>
      </c>
      <c r="W29" t="s">
        <v>1634</v>
      </c>
      <c r="X29" t="s">
        <v>5997</v>
      </c>
      <c r="Y29" t="s">
        <v>6033</v>
      </c>
      <c r="Z29" t="s">
        <v>1548</v>
      </c>
      <c r="AA29" t="s">
        <v>6033</v>
      </c>
      <c r="AB29" t="s">
        <v>1634</v>
      </c>
      <c r="AC29" t="s">
        <v>5999</v>
      </c>
      <c r="AD29" t="s">
        <v>5999</v>
      </c>
      <c r="AE29" t="s">
        <v>1634</v>
      </c>
      <c r="AF29" t="s">
        <v>1561</v>
      </c>
      <c r="AG29" t="s">
        <v>6113</v>
      </c>
      <c r="AH29" t="s">
        <v>6057</v>
      </c>
      <c r="AI29" t="s">
        <v>6026</v>
      </c>
      <c r="AJ29" t="s">
        <v>6026</v>
      </c>
      <c r="AK29" t="s">
        <v>6026</v>
      </c>
      <c r="AL29" t="s">
        <v>6026</v>
      </c>
      <c r="AM29" t="s">
        <v>6026</v>
      </c>
      <c r="AN29" t="s">
        <v>6026</v>
      </c>
      <c r="AO29" t="s">
        <v>6026</v>
      </c>
      <c r="AP29" t="s">
        <v>6026</v>
      </c>
      <c r="AQ29" t="s">
        <v>6026</v>
      </c>
      <c r="AR29" t="s">
        <v>6026</v>
      </c>
      <c r="AS29" t="s">
        <v>6026</v>
      </c>
      <c r="AT29" t="s">
        <v>6026</v>
      </c>
      <c r="AU29" t="s">
        <v>6026</v>
      </c>
      <c r="AV29" t="s">
        <v>6026</v>
      </c>
      <c r="AW29" t="s">
        <v>6026</v>
      </c>
      <c r="AX29" t="s">
        <v>6026</v>
      </c>
      <c r="AY29" t="s">
        <v>6026</v>
      </c>
      <c r="AZ29" t="s">
        <v>6026</v>
      </c>
      <c r="BA29" t="s">
        <v>6026</v>
      </c>
      <c r="BB29" t="s">
        <v>6026</v>
      </c>
      <c r="BC29" t="s">
        <v>6026</v>
      </c>
      <c r="BD29" t="s">
        <v>6026</v>
      </c>
      <c r="BE29" t="s">
        <v>6026</v>
      </c>
      <c r="BF29" t="s">
        <v>6026</v>
      </c>
      <c r="BG29" t="s">
        <v>6026</v>
      </c>
      <c r="BH29" t="s">
        <v>6026</v>
      </c>
      <c r="BI29" t="s">
        <v>6026</v>
      </c>
      <c r="BJ29" t="s">
        <v>6026</v>
      </c>
      <c r="BK29" t="s">
        <v>6026</v>
      </c>
      <c r="BL29" t="s">
        <v>6026</v>
      </c>
      <c r="BM29" t="s">
        <v>6026</v>
      </c>
      <c r="BN29" t="s">
        <v>6026</v>
      </c>
      <c r="BO29" t="s">
        <v>6026</v>
      </c>
      <c r="BP29" t="s">
        <v>6026</v>
      </c>
      <c r="BQ29" t="s">
        <v>6026</v>
      </c>
      <c r="BR29" t="s">
        <v>6026</v>
      </c>
      <c r="BS29">
        <v>2</v>
      </c>
      <c r="BT29">
        <v>15</v>
      </c>
      <c r="BU29" t="s">
        <v>6026</v>
      </c>
      <c r="BV29">
        <v>10</v>
      </c>
      <c r="BW29">
        <v>28</v>
      </c>
      <c r="BX29" t="s">
        <v>6026</v>
      </c>
      <c r="BY29">
        <v>3</v>
      </c>
      <c r="BZ29">
        <v>5</v>
      </c>
      <c r="CA29" t="s">
        <v>6026</v>
      </c>
      <c r="CB29">
        <v>10</v>
      </c>
      <c r="CC29">
        <v>15</v>
      </c>
      <c r="CD29">
        <v>40</v>
      </c>
      <c r="CE29" t="s">
        <v>6508</v>
      </c>
      <c r="CF29" t="s">
        <v>6328</v>
      </c>
      <c r="CG29" t="s">
        <v>6509</v>
      </c>
      <c r="CH29" t="s">
        <v>6226</v>
      </c>
      <c r="CI29" t="s">
        <v>6510</v>
      </c>
      <c r="CJ29" t="s">
        <v>6511</v>
      </c>
      <c r="CK29" t="s">
        <v>1548</v>
      </c>
      <c r="CL29" t="s">
        <v>6512</v>
      </c>
      <c r="CM29" t="s">
        <v>6513</v>
      </c>
      <c r="CN29" t="s">
        <v>1548</v>
      </c>
      <c r="CO29" t="s">
        <v>6514</v>
      </c>
      <c r="CP29" t="s">
        <v>6007</v>
      </c>
      <c r="CQ29" t="s">
        <v>6515</v>
      </c>
      <c r="CR29" t="s">
        <v>6009</v>
      </c>
      <c r="CS29" t="s">
        <v>6516</v>
      </c>
      <c r="CT29" t="s">
        <v>6009</v>
      </c>
      <c r="CU29" t="s">
        <v>1634</v>
      </c>
      <c r="CV29" t="s">
        <v>6337</v>
      </c>
      <c r="CW29" t="s">
        <v>6310</v>
      </c>
      <c r="CX29" t="s">
        <v>6011</v>
      </c>
      <c r="CY29" t="s">
        <v>6011</v>
      </c>
      <c r="CZ29" t="s">
        <v>6013</v>
      </c>
      <c r="DA29" t="s">
        <v>6013</v>
      </c>
      <c r="DB29" t="s">
        <v>6014</v>
      </c>
      <c r="DC29" t="s">
        <v>6014</v>
      </c>
      <c r="DD29" t="s">
        <v>6013</v>
      </c>
      <c r="DE29" t="s">
        <v>6013</v>
      </c>
      <c r="DF29" t="s">
        <v>6517</v>
      </c>
      <c r="DG29" t="s">
        <v>6015</v>
      </c>
      <c r="DH29" t="s">
        <v>6518</v>
      </c>
      <c r="DI29" t="s">
        <v>6100</v>
      </c>
      <c r="DJ29">
        <v>2</v>
      </c>
      <c r="DK29">
        <v>1</v>
      </c>
      <c r="DL29" t="s">
        <v>6017</v>
      </c>
      <c r="DM29" t="s">
        <v>6018</v>
      </c>
      <c r="DT29">
        <v>25</v>
      </c>
      <c r="DX29" t="s">
        <v>6519</v>
      </c>
      <c r="DY29" t="s">
        <v>6421</v>
      </c>
      <c r="DZ29" t="s">
        <v>6520</v>
      </c>
      <c r="EA29" t="s">
        <v>6022</v>
      </c>
      <c r="EB29">
        <v>0</v>
      </c>
      <c r="ER29" t="s">
        <v>6023</v>
      </c>
      <c r="ES29" t="s">
        <v>6521</v>
      </c>
      <c r="ET29" t="s">
        <v>6522</v>
      </c>
      <c r="EU29" t="s">
        <v>6219</v>
      </c>
      <c r="EV29" t="s">
        <v>6074</v>
      </c>
      <c r="EW29" t="s">
        <v>6523</v>
      </c>
      <c r="EX29" t="s">
        <v>6524</v>
      </c>
      <c r="EY29">
        <v>76180190</v>
      </c>
      <c r="EZ29">
        <v>61413498</v>
      </c>
      <c r="FD29" s="57">
        <v>43666.474351851852</v>
      </c>
      <c r="FE29" s="57">
        <v>43666.478576388887</v>
      </c>
    </row>
    <row r="30" spans="1:161" ht="12" customHeight="1">
      <c r="A30">
        <v>243</v>
      </c>
      <c r="B30">
        <v>12</v>
      </c>
      <c r="C30">
        <v>340517</v>
      </c>
      <c r="D30" s="57">
        <v>43675.467094907406</v>
      </c>
      <c r="E30" t="s">
        <v>6220</v>
      </c>
      <c r="F30" t="s">
        <v>899</v>
      </c>
      <c r="G30" t="s">
        <v>6885</v>
      </c>
      <c r="H30" t="s">
        <v>4449</v>
      </c>
      <c r="I30" t="s">
        <v>4860</v>
      </c>
      <c r="J30">
        <v>76884455</v>
      </c>
      <c r="K30" t="s">
        <v>6028</v>
      </c>
      <c r="L30" t="s">
        <v>6204</v>
      </c>
      <c r="M30" t="s">
        <v>58</v>
      </c>
      <c r="O30" t="s">
        <v>6886</v>
      </c>
      <c r="P30" t="s">
        <v>1548</v>
      </c>
      <c r="Q30" t="s">
        <v>362</v>
      </c>
      <c r="R30" t="s">
        <v>2338</v>
      </c>
      <c r="S30" t="s">
        <v>1634</v>
      </c>
      <c r="T30" t="s">
        <v>6887</v>
      </c>
      <c r="U30" t="s">
        <v>4803</v>
      </c>
      <c r="V30">
        <v>17</v>
      </c>
      <c r="W30" t="s">
        <v>1634</v>
      </c>
      <c r="X30" t="s">
        <v>6031</v>
      </c>
      <c r="Y30" t="s">
        <v>6032</v>
      </c>
      <c r="Z30" t="s">
        <v>1634</v>
      </c>
      <c r="AA30" t="s">
        <v>5999</v>
      </c>
      <c r="AB30" t="s">
        <v>1634</v>
      </c>
      <c r="AC30" t="s">
        <v>6083</v>
      </c>
      <c r="AD30" t="s">
        <v>6083</v>
      </c>
      <c r="AE30" t="s">
        <v>1634</v>
      </c>
      <c r="BG30">
        <v>30</v>
      </c>
      <c r="BH30">
        <v>60</v>
      </c>
      <c r="BI30">
        <v>60</v>
      </c>
      <c r="BJ30">
        <v>60</v>
      </c>
      <c r="BK30">
        <v>100</v>
      </c>
      <c r="BL30">
        <v>100</v>
      </c>
      <c r="BM30">
        <v>30</v>
      </c>
      <c r="BN30">
        <v>40</v>
      </c>
      <c r="BO30">
        <v>40</v>
      </c>
      <c r="BP30">
        <v>100</v>
      </c>
      <c r="BQ30">
        <v>100</v>
      </c>
      <c r="BR30">
        <v>100</v>
      </c>
      <c r="BS30">
        <v>20</v>
      </c>
      <c r="BT30">
        <v>50</v>
      </c>
      <c r="BU30">
        <v>50</v>
      </c>
      <c r="BV30">
        <v>15</v>
      </c>
      <c r="BW30">
        <v>20</v>
      </c>
      <c r="BX30">
        <v>20</v>
      </c>
      <c r="BY30">
        <v>16</v>
      </c>
      <c r="BZ30">
        <v>40</v>
      </c>
      <c r="CA30">
        <v>40</v>
      </c>
      <c r="CB30">
        <v>50</v>
      </c>
      <c r="CC30">
        <v>70</v>
      </c>
      <c r="CD30">
        <v>70</v>
      </c>
      <c r="CE30" t="s">
        <v>6888</v>
      </c>
      <c r="CF30" t="s">
        <v>6087</v>
      </c>
      <c r="CG30" t="s">
        <v>6889</v>
      </c>
      <c r="CH30" t="s">
        <v>6730</v>
      </c>
      <c r="CI30" t="s">
        <v>6890</v>
      </c>
      <c r="CJ30" t="s">
        <v>6891</v>
      </c>
      <c r="CK30" t="s">
        <v>1548</v>
      </c>
      <c r="CL30" t="s">
        <v>6892</v>
      </c>
      <c r="CM30" t="s">
        <v>6007</v>
      </c>
      <c r="CN30" t="s">
        <v>1548</v>
      </c>
      <c r="CO30" t="s">
        <v>6893</v>
      </c>
      <c r="CP30" t="s">
        <v>6041</v>
      </c>
      <c r="CQ30" t="s">
        <v>6042</v>
      </c>
      <c r="CR30" t="s">
        <v>6009</v>
      </c>
      <c r="CS30" t="s">
        <v>6894</v>
      </c>
      <c r="CT30" t="s">
        <v>6009</v>
      </c>
      <c r="CU30" t="s">
        <v>1634</v>
      </c>
      <c r="CV30" t="s">
        <v>6895</v>
      </c>
      <c r="CW30" t="s">
        <v>6009</v>
      </c>
      <c r="CX30" t="s">
        <v>6338</v>
      </c>
      <c r="CY30" t="s">
        <v>6338</v>
      </c>
      <c r="DA30" t="s">
        <v>6046</v>
      </c>
      <c r="DB30" t="s">
        <v>6338</v>
      </c>
      <c r="DC30" t="s">
        <v>6338</v>
      </c>
      <c r="DD30" t="s">
        <v>6013</v>
      </c>
      <c r="DE30" t="s">
        <v>6013</v>
      </c>
      <c r="DF30" t="s">
        <v>6896</v>
      </c>
      <c r="DH30" t="s">
        <v>6897</v>
      </c>
      <c r="DI30" t="s">
        <v>6048</v>
      </c>
      <c r="DJ30">
        <v>3</v>
      </c>
      <c r="DK30">
        <v>6</v>
      </c>
      <c r="DL30" t="s">
        <v>6017</v>
      </c>
      <c r="DM30" t="s">
        <v>6101</v>
      </c>
      <c r="DV30">
        <v>1000</v>
      </c>
      <c r="DW30">
        <v>100</v>
      </c>
      <c r="DX30" t="s">
        <v>6898</v>
      </c>
      <c r="DY30" t="s">
        <v>6235</v>
      </c>
      <c r="DZ30" t="s">
        <v>6236</v>
      </c>
      <c r="EA30" t="s">
        <v>6022</v>
      </c>
      <c r="EB30">
        <v>1</v>
      </c>
      <c r="EC30" t="s">
        <v>6899</v>
      </c>
      <c r="ED30" t="s">
        <v>1548</v>
      </c>
      <c r="EE30">
        <v>100000</v>
      </c>
      <c r="ER30" t="s">
        <v>6129</v>
      </c>
      <c r="ES30" t="s">
        <v>6900</v>
      </c>
      <c r="ET30" t="s">
        <v>2643</v>
      </c>
      <c r="EU30" t="s">
        <v>2643</v>
      </c>
      <c r="EV30" t="s">
        <v>6238</v>
      </c>
      <c r="EW30" t="s">
        <v>727</v>
      </c>
      <c r="EX30" t="s">
        <v>6222</v>
      </c>
      <c r="EY30">
        <v>71749058</v>
      </c>
      <c r="EZ30">
        <v>76942851</v>
      </c>
      <c r="FD30" s="57">
        <v>43675.466782407406</v>
      </c>
      <c r="FE30" s="57">
        <v>43675.467060185183</v>
      </c>
    </row>
    <row r="31" spans="1:161" ht="12" customHeight="1">
      <c r="A31">
        <v>245</v>
      </c>
      <c r="B31">
        <v>32</v>
      </c>
      <c r="C31">
        <v>329869</v>
      </c>
      <c r="D31" s="57">
        <v>43670.810717592591</v>
      </c>
      <c r="E31" t="s">
        <v>6110</v>
      </c>
      <c r="F31" t="s">
        <v>6866</v>
      </c>
      <c r="G31" t="s">
        <v>4612</v>
      </c>
      <c r="H31" t="s">
        <v>4449</v>
      </c>
      <c r="I31" t="s">
        <v>4860</v>
      </c>
      <c r="J31">
        <v>71998526</v>
      </c>
      <c r="K31" t="s">
        <v>6028</v>
      </c>
      <c r="L31" t="s">
        <v>6204</v>
      </c>
      <c r="M31" t="s">
        <v>58</v>
      </c>
      <c r="O31" t="s">
        <v>6867</v>
      </c>
      <c r="P31" t="s">
        <v>1548</v>
      </c>
      <c r="Q31" t="s">
        <v>6868</v>
      </c>
      <c r="R31" t="s">
        <v>6030</v>
      </c>
      <c r="S31" t="s">
        <v>1548</v>
      </c>
      <c r="U31" t="s">
        <v>1541</v>
      </c>
      <c r="V31">
        <v>44</v>
      </c>
      <c r="W31" t="s">
        <v>1634</v>
      </c>
      <c r="X31" t="s">
        <v>6031</v>
      </c>
      <c r="Y31" t="s">
        <v>5998</v>
      </c>
      <c r="Z31" t="s">
        <v>1634</v>
      </c>
      <c r="AA31" t="s">
        <v>5998</v>
      </c>
      <c r="AB31" t="s">
        <v>1634</v>
      </c>
      <c r="AC31" t="s">
        <v>5998</v>
      </c>
      <c r="AD31" t="s">
        <v>5998</v>
      </c>
      <c r="AE31" t="s">
        <v>1634</v>
      </c>
      <c r="AF31" t="s">
        <v>6000</v>
      </c>
      <c r="AG31" t="s">
        <v>6000</v>
      </c>
      <c r="AH31" t="s">
        <v>1561</v>
      </c>
      <c r="AI31" t="s">
        <v>6026</v>
      </c>
      <c r="AJ31">
        <v>0</v>
      </c>
      <c r="AK31">
        <v>0</v>
      </c>
      <c r="AL31">
        <v>0</v>
      </c>
      <c r="AM31">
        <v>0</v>
      </c>
      <c r="AN31">
        <v>0</v>
      </c>
      <c r="AO31">
        <v>0</v>
      </c>
      <c r="AP31">
        <v>0</v>
      </c>
      <c r="AQ31">
        <v>0</v>
      </c>
      <c r="AR31">
        <v>0</v>
      </c>
      <c r="AS31">
        <v>0</v>
      </c>
      <c r="AT31">
        <v>0</v>
      </c>
      <c r="AU31" t="s">
        <v>6026</v>
      </c>
      <c r="AV31" t="s">
        <v>6026</v>
      </c>
      <c r="AW31" t="s">
        <v>6026</v>
      </c>
      <c r="AX31" t="s">
        <v>6026</v>
      </c>
      <c r="AY31" t="s">
        <v>6026</v>
      </c>
      <c r="AZ31" t="s">
        <v>6026</v>
      </c>
      <c r="BA31" t="s">
        <v>6026</v>
      </c>
      <c r="BB31" t="s">
        <v>6026</v>
      </c>
      <c r="BC31" t="s">
        <v>6026</v>
      </c>
      <c r="BD31" t="s">
        <v>6026</v>
      </c>
      <c r="BE31" t="s">
        <v>6026</v>
      </c>
      <c r="BF31" t="s">
        <v>6026</v>
      </c>
      <c r="BG31">
        <v>12</v>
      </c>
      <c r="BH31">
        <v>8</v>
      </c>
      <c r="BI31">
        <v>8</v>
      </c>
      <c r="BJ31">
        <v>0</v>
      </c>
      <c r="BK31">
        <v>0</v>
      </c>
      <c r="BL31" t="s">
        <v>6026</v>
      </c>
      <c r="BM31">
        <v>0</v>
      </c>
      <c r="BN31">
        <v>0</v>
      </c>
      <c r="BO31">
        <v>0</v>
      </c>
      <c r="BP31">
        <v>20</v>
      </c>
      <c r="BQ31">
        <v>10</v>
      </c>
      <c r="BR31">
        <v>20</v>
      </c>
      <c r="BS31">
        <v>0</v>
      </c>
      <c r="BT31">
        <v>5</v>
      </c>
      <c r="BU31">
        <v>5</v>
      </c>
      <c r="BV31">
        <v>0</v>
      </c>
      <c r="BW31">
        <v>0</v>
      </c>
      <c r="BX31">
        <v>0</v>
      </c>
      <c r="BY31">
        <v>0</v>
      </c>
      <c r="BZ31">
        <v>0</v>
      </c>
      <c r="CA31">
        <v>0</v>
      </c>
      <c r="CB31">
        <v>0</v>
      </c>
      <c r="CC31">
        <v>15</v>
      </c>
      <c r="CD31">
        <v>10</v>
      </c>
      <c r="CE31" t="s">
        <v>6869</v>
      </c>
      <c r="CF31" t="s">
        <v>6244</v>
      </c>
      <c r="CG31" s="58" t="s">
        <v>6870</v>
      </c>
      <c r="CH31" t="s">
        <v>6871</v>
      </c>
      <c r="CI31" t="s">
        <v>6872</v>
      </c>
      <c r="CJ31" t="s">
        <v>6873</v>
      </c>
      <c r="CK31" t="s">
        <v>1634</v>
      </c>
      <c r="CL31" t="s">
        <v>6874</v>
      </c>
      <c r="CM31" t="s">
        <v>6065</v>
      </c>
      <c r="CN31" t="s">
        <v>1634</v>
      </c>
      <c r="CO31" t="s">
        <v>6843</v>
      </c>
      <c r="CP31" t="s">
        <v>6373</v>
      </c>
      <c r="CQ31" t="s">
        <v>6875</v>
      </c>
      <c r="CR31" t="s">
        <v>6876</v>
      </c>
      <c r="CS31" t="s">
        <v>6877</v>
      </c>
      <c r="CT31" t="s">
        <v>6878</v>
      </c>
      <c r="CU31" t="s">
        <v>1634</v>
      </c>
      <c r="CV31" t="s">
        <v>6176</v>
      </c>
      <c r="CW31" t="s">
        <v>6234</v>
      </c>
      <c r="CX31" t="s">
        <v>6067</v>
      </c>
      <c r="CY31" t="s">
        <v>6011</v>
      </c>
      <c r="CZ31" t="s">
        <v>6013</v>
      </c>
      <c r="DA31" t="s">
        <v>6013</v>
      </c>
      <c r="DB31" t="s">
        <v>6014</v>
      </c>
      <c r="DC31" t="s">
        <v>6014</v>
      </c>
      <c r="DD31" t="s">
        <v>6013</v>
      </c>
      <c r="DE31" t="s">
        <v>6013</v>
      </c>
      <c r="DF31" t="s">
        <v>6849</v>
      </c>
      <c r="DG31" t="s">
        <v>6047</v>
      </c>
      <c r="DH31" t="s">
        <v>6879</v>
      </c>
      <c r="DI31" t="s">
        <v>6313</v>
      </c>
      <c r="DJ31">
        <v>2</v>
      </c>
      <c r="DK31">
        <v>1</v>
      </c>
      <c r="DL31" t="s">
        <v>6017</v>
      </c>
      <c r="DM31" t="s">
        <v>6101</v>
      </c>
      <c r="DV31">
        <v>135</v>
      </c>
      <c r="DW31">
        <v>35000</v>
      </c>
      <c r="DX31" t="s">
        <v>6880</v>
      </c>
      <c r="DY31" t="s">
        <v>6382</v>
      </c>
      <c r="DZ31" t="s">
        <v>6881</v>
      </c>
      <c r="EA31" t="s">
        <v>6022</v>
      </c>
      <c r="EB31">
        <v>0</v>
      </c>
      <c r="ER31" t="s">
        <v>6851</v>
      </c>
      <c r="ES31" t="s">
        <v>6882</v>
      </c>
      <c r="ET31" t="s">
        <v>6853</v>
      </c>
      <c r="EU31" t="s">
        <v>6853</v>
      </c>
      <c r="EV31" t="s">
        <v>6074</v>
      </c>
      <c r="EW31" t="s">
        <v>706</v>
      </c>
      <c r="EX31" t="s">
        <v>6883</v>
      </c>
      <c r="EY31">
        <v>75550855</v>
      </c>
      <c r="EZ31" t="s">
        <v>6026</v>
      </c>
      <c r="FA31" t="s">
        <v>6884</v>
      </c>
      <c r="FD31" s="57">
        <v>43670.61409722222</v>
      </c>
      <c r="FE31" s="57">
        <v>43670.632870370369</v>
      </c>
    </row>
    <row r="32" spans="1:161" ht="12" customHeight="1">
      <c r="A32">
        <v>271</v>
      </c>
      <c r="B32">
        <v>55</v>
      </c>
      <c r="C32">
        <v>312516</v>
      </c>
      <c r="D32" s="57">
        <v>43665.74591435185</v>
      </c>
      <c r="E32" t="s">
        <v>5991</v>
      </c>
      <c r="F32" t="s">
        <v>3420</v>
      </c>
      <c r="G32" t="s">
        <v>937</v>
      </c>
      <c r="H32" t="s">
        <v>4449</v>
      </c>
      <c r="I32" t="s">
        <v>4860</v>
      </c>
      <c r="J32">
        <v>72714340</v>
      </c>
      <c r="K32" t="s">
        <v>6028</v>
      </c>
      <c r="L32" t="s">
        <v>6029</v>
      </c>
      <c r="M32" t="s">
        <v>186</v>
      </c>
      <c r="O32" t="s">
        <v>6483</v>
      </c>
      <c r="P32" t="s">
        <v>1634</v>
      </c>
      <c r="Q32" t="s">
        <v>6484</v>
      </c>
      <c r="R32" t="s">
        <v>6030</v>
      </c>
      <c r="S32" t="s">
        <v>1634</v>
      </c>
      <c r="T32" t="s">
        <v>6485</v>
      </c>
      <c r="U32" t="s">
        <v>1180</v>
      </c>
      <c r="V32">
        <v>70</v>
      </c>
      <c r="W32" t="s">
        <v>1548</v>
      </c>
      <c r="X32" t="s">
        <v>5997</v>
      </c>
      <c r="Y32" t="s">
        <v>6033</v>
      </c>
      <c r="Z32" t="s">
        <v>1548</v>
      </c>
      <c r="AA32" t="s">
        <v>6033</v>
      </c>
      <c r="AB32" t="s">
        <v>1548</v>
      </c>
      <c r="AC32" t="s">
        <v>6033</v>
      </c>
      <c r="AD32" t="s">
        <v>6033</v>
      </c>
      <c r="AE32" t="s">
        <v>1548</v>
      </c>
      <c r="AF32" t="s">
        <v>6084</v>
      </c>
      <c r="AG32" t="s">
        <v>6113</v>
      </c>
      <c r="AH32" t="s">
        <v>1561</v>
      </c>
      <c r="AI32" t="s">
        <v>6026</v>
      </c>
      <c r="AJ32" t="s">
        <v>6026</v>
      </c>
      <c r="AK32" t="s">
        <v>6026</v>
      </c>
      <c r="AL32" t="s">
        <v>6026</v>
      </c>
      <c r="AM32" t="s">
        <v>6026</v>
      </c>
      <c r="AN32" t="s">
        <v>6026</v>
      </c>
      <c r="AO32" t="s">
        <v>6026</v>
      </c>
      <c r="AP32" t="s">
        <v>6026</v>
      </c>
      <c r="AQ32" t="s">
        <v>6026</v>
      </c>
      <c r="AR32" t="s">
        <v>6026</v>
      </c>
      <c r="AS32" t="s">
        <v>6026</v>
      </c>
      <c r="AT32" t="s">
        <v>6026</v>
      </c>
      <c r="AU32" t="s">
        <v>6026</v>
      </c>
      <c r="AV32" t="s">
        <v>6026</v>
      </c>
      <c r="AW32" t="s">
        <v>6026</v>
      </c>
      <c r="AX32" t="s">
        <v>6026</v>
      </c>
      <c r="AY32" t="s">
        <v>6026</v>
      </c>
      <c r="AZ32" t="s">
        <v>6026</v>
      </c>
      <c r="BA32" t="s">
        <v>6026</v>
      </c>
      <c r="BB32" t="s">
        <v>6026</v>
      </c>
      <c r="BC32" t="s">
        <v>6026</v>
      </c>
      <c r="BD32" t="s">
        <v>6026</v>
      </c>
      <c r="BE32" t="s">
        <v>6026</v>
      </c>
      <c r="BF32" t="s">
        <v>6026</v>
      </c>
      <c r="BG32">
        <v>0</v>
      </c>
      <c r="BH32">
        <v>0</v>
      </c>
      <c r="BI32">
        <v>0</v>
      </c>
      <c r="BJ32">
        <v>0</v>
      </c>
      <c r="BK32">
        <v>0</v>
      </c>
      <c r="BL32">
        <v>0</v>
      </c>
      <c r="BM32">
        <v>0</v>
      </c>
      <c r="BN32">
        <v>0</v>
      </c>
      <c r="BO32">
        <v>0</v>
      </c>
      <c r="BP32">
        <v>2</v>
      </c>
      <c r="BQ32">
        <v>0</v>
      </c>
      <c r="BR32">
        <v>2</v>
      </c>
      <c r="BS32" t="s">
        <v>6026</v>
      </c>
      <c r="BT32" t="s">
        <v>6026</v>
      </c>
      <c r="BU32" t="s">
        <v>6026</v>
      </c>
      <c r="BV32" t="s">
        <v>6026</v>
      </c>
      <c r="BW32" t="s">
        <v>6026</v>
      </c>
      <c r="BX32" t="s">
        <v>6026</v>
      </c>
      <c r="BY32" t="s">
        <v>6026</v>
      </c>
      <c r="BZ32" t="s">
        <v>6026</v>
      </c>
      <c r="CA32" t="s">
        <v>6026</v>
      </c>
      <c r="CB32" t="s">
        <v>6026</v>
      </c>
      <c r="CC32" t="s">
        <v>6026</v>
      </c>
      <c r="CD32" t="s">
        <v>6026</v>
      </c>
      <c r="CE32" t="s">
        <v>6486</v>
      </c>
      <c r="CF32" t="s">
        <v>6087</v>
      </c>
      <c r="CG32" t="s">
        <v>6487</v>
      </c>
      <c r="CH32" t="s">
        <v>6488</v>
      </c>
      <c r="CI32" t="s">
        <v>6489</v>
      </c>
      <c r="CJ32" t="s">
        <v>6039</v>
      </c>
      <c r="CK32" t="s">
        <v>1634</v>
      </c>
      <c r="CL32" t="s">
        <v>6490</v>
      </c>
      <c r="CM32" t="s">
        <v>6491</v>
      </c>
      <c r="CN32" t="s">
        <v>1634</v>
      </c>
      <c r="CO32" t="s">
        <v>6492</v>
      </c>
      <c r="CP32" t="s">
        <v>6041</v>
      </c>
      <c r="CQ32" t="s">
        <v>6493</v>
      </c>
      <c r="CR32" t="s">
        <v>6494</v>
      </c>
      <c r="CS32" t="s">
        <v>6495</v>
      </c>
      <c r="CT32" t="s">
        <v>6496</v>
      </c>
      <c r="CU32" t="s">
        <v>1634</v>
      </c>
      <c r="CV32" t="s">
        <v>6497</v>
      </c>
      <c r="CW32" t="s">
        <v>6234</v>
      </c>
      <c r="CX32" t="s">
        <v>6014</v>
      </c>
      <c r="CY32" t="s">
        <v>6014</v>
      </c>
      <c r="CZ32" t="s">
        <v>6013</v>
      </c>
      <c r="DA32" t="s">
        <v>6166</v>
      </c>
      <c r="DB32" t="s">
        <v>6498</v>
      </c>
      <c r="DC32" t="s">
        <v>6014</v>
      </c>
      <c r="DD32" t="s">
        <v>6012</v>
      </c>
      <c r="DE32" t="s">
        <v>6012</v>
      </c>
      <c r="DF32" t="s">
        <v>6499</v>
      </c>
      <c r="DG32" t="s">
        <v>6015</v>
      </c>
      <c r="DH32" t="s">
        <v>2289</v>
      </c>
      <c r="DI32" t="s">
        <v>6016</v>
      </c>
      <c r="DJ32" t="s">
        <v>6500</v>
      </c>
      <c r="DK32" t="s">
        <v>6501</v>
      </c>
      <c r="DL32" t="s">
        <v>6049</v>
      </c>
      <c r="DM32" t="s">
        <v>1559</v>
      </c>
      <c r="DO32">
        <v>0</v>
      </c>
      <c r="DX32" t="s">
        <v>2289</v>
      </c>
      <c r="DY32" t="s">
        <v>6015</v>
      </c>
      <c r="DZ32" t="s">
        <v>2289</v>
      </c>
      <c r="EA32" t="s">
        <v>6502</v>
      </c>
      <c r="EB32">
        <v>0</v>
      </c>
      <c r="ER32" t="s">
        <v>6129</v>
      </c>
      <c r="ES32" t="s">
        <v>2992</v>
      </c>
      <c r="ET32" t="s">
        <v>2289</v>
      </c>
      <c r="EU32" t="s">
        <v>2289</v>
      </c>
      <c r="EV32" t="s">
        <v>6074</v>
      </c>
      <c r="EW32" t="s">
        <v>3522</v>
      </c>
      <c r="EX32" t="s">
        <v>6503</v>
      </c>
      <c r="EY32">
        <v>72714340</v>
      </c>
      <c r="EZ32" t="s">
        <v>6026</v>
      </c>
      <c r="FD32" s="57">
        <v>43665.734583333331</v>
      </c>
      <c r="FE32" s="57">
        <v>43665.745868055557</v>
      </c>
    </row>
    <row r="33" spans="1:161" ht="12" customHeight="1">
      <c r="A33">
        <v>272</v>
      </c>
      <c r="B33">
        <v>59</v>
      </c>
      <c r="C33">
        <v>312054</v>
      </c>
      <c r="D33" s="57">
        <v>43665.65084490741</v>
      </c>
      <c r="E33" t="s">
        <v>6077</v>
      </c>
      <c r="F33" t="s">
        <v>731</v>
      </c>
      <c r="G33" t="s">
        <v>785</v>
      </c>
      <c r="H33" t="s">
        <v>4449</v>
      </c>
      <c r="I33" t="s">
        <v>4860</v>
      </c>
      <c r="J33">
        <v>68460106</v>
      </c>
      <c r="K33" t="s">
        <v>6028</v>
      </c>
      <c r="L33" t="s">
        <v>6029</v>
      </c>
      <c r="M33" t="s">
        <v>186</v>
      </c>
      <c r="O33" t="s">
        <v>1139</v>
      </c>
      <c r="P33" t="s">
        <v>1548</v>
      </c>
      <c r="Q33" t="s">
        <v>398</v>
      </c>
      <c r="R33" t="s">
        <v>6030</v>
      </c>
      <c r="S33" t="s">
        <v>1634</v>
      </c>
      <c r="T33" t="s">
        <v>6463</v>
      </c>
      <c r="U33" t="s">
        <v>1541</v>
      </c>
      <c r="V33">
        <v>57</v>
      </c>
      <c r="W33" t="s">
        <v>1634</v>
      </c>
      <c r="X33" t="s">
        <v>5997</v>
      </c>
      <c r="Y33" t="s">
        <v>6033</v>
      </c>
      <c r="Z33" t="s">
        <v>1548</v>
      </c>
      <c r="AA33" t="s">
        <v>6033</v>
      </c>
      <c r="AB33" t="s">
        <v>1634</v>
      </c>
      <c r="AC33" t="s">
        <v>6033</v>
      </c>
      <c r="AD33" t="s">
        <v>6032</v>
      </c>
      <c r="AE33" t="s">
        <v>1634</v>
      </c>
      <c r="AF33" t="s">
        <v>1561</v>
      </c>
      <c r="AG33" t="s">
        <v>1561</v>
      </c>
      <c r="AH33" t="s">
        <v>1561</v>
      </c>
      <c r="AI33" t="s">
        <v>6026</v>
      </c>
      <c r="AJ33" t="s">
        <v>6026</v>
      </c>
      <c r="AK33" t="s">
        <v>6026</v>
      </c>
      <c r="AL33" t="s">
        <v>6026</v>
      </c>
      <c r="AM33" t="s">
        <v>6026</v>
      </c>
      <c r="AN33" t="s">
        <v>6026</v>
      </c>
      <c r="AO33" t="s">
        <v>6026</v>
      </c>
      <c r="AP33" t="s">
        <v>6026</v>
      </c>
      <c r="AQ33" t="s">
        <v>6026</v>
      </c>
      <c r="AR33" t="s">
        <v>6026</v>
      </c>
      <c r="AS33" t="s">
        <v>6026</v>
      </c>
      <c r="AT33" t="s">
        <v>6026</v>
      </c>
      <c r="AU33" t="s">
        <v>6026</v>
      </c>
      <c r="AV33" t="s">
        <v>6026</v>
      </c>
      <c r="AW33" t="s">
        <v>6026</v>
      </c>
      <c r="AX33" t="s">
        <v>6026</v>
      </c>
      <c r="AY33" t="s">
        <v>6026</v>
      </c>
      <c r="AZ33" t="s">
        <v>6026</v>
      </c>
      <c r="BA33" t="s">
        <v>6026</v>
      </c>
      <c r="BB33" t="s">
        <v>6026</v>
      </c>
      <c r="BC33" t="s">
        <v>6026</v>
      </c>
      <c r="BD33" t="s">
        <v>6026</v>
      </c>
      <c r="BE33" t="s">
        <v>6026</v>
      </c>
      <c r="BF33" t="s">
        <v>6026</v>
      </c>
      <c r="BG33">
        <v>1</v>
      </c>
      <c r="BH33">
        <v>1</v>
      </c>
      <c r="BI33">
        <v>1</v>
      </c>
      <c r="BJ33">
        <v>2</v>
      </c>
      <c r="BK33">
        <v>2</v>
      </c>
      <c r="BL33">
        <v>2</v>
      </c>
      <c r="BM33">
        <v>1</v>
      </c>
      <c r="BN33">
        <v>1</v>
      </c>
      <c r="BO33">
        <v>1</v>
      </c>
      <c r="BP33">
        <v>5</v>
      </c>
      <c r="BQ33">
        <v>2</v>
      </c>
      <c r="BR33">
        <v>7</v>
      </c>
      <c r="BS33" t="s">
        <v>6026</v>
      </c>
      <c r="BT33" t="s">
        <v>6026</v>
      </c>
      <c r="BU33" t="s">
        <v>6026</v>
      </c>
      <c r="BV33" t="s">
        <v>6026</v>
      </c>
      <c r="BW33" t="s">
        <v>6026</v>
      </c>
      <c r="BX33" t="s">
        <v>6026</v>
      </c>
      <c r="BY33" t="s">
        <v>6026</v>
      </c>
      <c r="BZ33" t="s">
        <v>6026</v>
      </c>
      <c r="CA33" t="s">
        <v>6026</v>
      </c>
      <c r="CB33" t="s">
        <v>6026</v>
      </c>
      <c r="CC33" t="s">
        <v>6026</v>
      </c>
      <c r="CD33" t="s">
        <v>6026</v>
      </c>
      <c r="CE33" t="s">
        <v>6464</v>
      </c>
      <c r="CF33" t="s">
        <v>6465</v>
      </c>
      <c r="CG33" t="s">
        <v>6466</v>
      </c>
      <c r="CH33" t="s">
        <v>6467</v>
      </c>
      <c r="CI33" t="s">
        <v>6468</v>
      </c>
      <c r="CJ33" t="s">
        <v>6141</v>
      </c>
      <c r="CK33" t="s">
        <v>1634</v>
      </c>
      <c r="CL33" t="s">
        <v>6469</v>
      </c>
      <c r="CM33" t="s">
        <v>6470</v>
      </c>
      <c r="CN33" t="s">
        <v>1634</v>
      </c>
      <c r="CO33" t="s">
        <v>6471</v>
      </c>
      <c r="CP33" t="s">
        <v>6373</v>
      </c>
      <c r="CQ33" t="s">
        <v>6472</v>
      </c>
      <c r="CR33" t="s">
        <v>6147</v>
      </c>
      <c r="CS33" t="s">
        <v>6473</v>
      </c>
      <c r="CT33" t="s">
        <v>6252</v>
      </c>
      <c r="CU33" t="s">
        <v>1634</v>
      </c>
      <c r="CV33" t="s">
        <v>6474</v>
      </c>
      <c r="CW33" t="s">
        <v>6310</v>
      </c>
      <c r="CX33" t="s">
        <v>6014</v>
      </c>
      <c r="CY33" t="s">
        <v>6014</v>
      </c>
      <c r="CZ33" t="s">
        <v>6046</v>
      </c>
      <c r="DA33" t="s">
        <v>6046</v>
      </c>
      <c r="DB33" t="s">
        <v>6014</v>
      </c>
      <c r="DC33" t="s">
        <v>6014</v>
      </c>
      <c r="DD33" t="s">
        <v>6013</v>
      </c>
      <c r="DE33" t="s">
        <v>6046</v>
      </c>
      <c r="DF33" t="s">
        <v>6475</v>
      </c>
      <c r="DH33" t="s">
        <v>6476</v>
      </c>
      <c r="DI33" t="s">
        <v>6100</v>
      </c>
      <c r="DJ33">
        <v>0</v>
      </c>
      <c r="DK33">
        <v>6</v>
      </c>
      <c r="DL33" t="s">
        <v>6049</v>
      </c>
      <c r="DM33" t="s">
        <v>1559</v>
      </c>
      <c r="DO33">
        <v>500</v>
      </c>
      <c r="DX33" t="s">
        <v>6477</v>
      </c>
      <c r="DY33" t="s">
        <v>6020</v>
      </c>
      <c r="DZ33" t="s">
        <v>6478</v>
      </c>
      <c r="EA33" t="s">
        <v>6022</v>
      </c>
      <c r="EB33">
        <v>0</v>
      </c>
      <c r="ER33" t="s">
        <v>6129</v>
      </c>
      <c r="ES33" t="s">
        <v>6479</v>
      </c>
      <c r="ET33" t="s">
        <v>1556</v>
      </c>
      <c r="EU33" t="s">
        <v>1556</v>
      </c>
      <c r="EV33" t="s">
        <v>6024</v>
      </c>
      <c r="EW33" t="s">
        <v>6480</v>
      </c>
      <c r="EX33" t="s">
        <v>6481</v>
      </c>
      <c r="EY33">
        <v>75277947</v>
      </c>
      <c r="EZ33">
        <v>63148941</v>
      </c>
      <c r="FA33" t="s">
        <v>6482</v>
      </c>
      <c r="FD33" s="57">
        <v>43665.646412037036</v>
      </c>
      <c r="FE33" s="57">
        <v>43665.650787037041</v>
      </c>
    </row>
    <row r="34" spans="1:161" ht="12" customHeight="1">
      <c r="A34">
        <v>273</v>
      </c>
      <c r="B34">
        <v>18</v>
      </c>
      <c r="C34">
        <v>333306</v>
      </c>
      <c r="D34" s="57">
        <v>43671.861863425926</v>
      </c>
      <c r="E34" t="s">
        <v>6202</v>
      </c>
      <c r="F34" t="s">
        <v>6855</v>
      </c>
      <c r="G34" t="s">
        <v>940</v>
      </c>
      <c r="H34" t="s">
        <v>4449</v>
      </c>
      <c r="I34" t="s">
        <v>4860</v>
      </c>
      <c r="J34">
        <v>66192036</v>
      </c>
      <c r="K34" t="s">
        <v>6028</v>
      </c>
      <c r="L34" t="s">
        <v>6029</v>
      </c>
      <c r="M34" t="s">
        <v>186</v>
      </c>
      <c r="O34" t="s">
        <v>6856</v>
      </c>
      <c r="P34" t="s">
        <v>1634</v>
      </c>
      <c r="Q34" t="s">
        <v>399</v>
      </c>
      <c r="R34" t="s">
        <v>2338</v>
      </c>
      <c r="S34" t="s">
        <v>1548</v>
      </c>
      <c r="U34" t="s">
        <v>2282</v>
      </c>
      <c r="V34">
        <v>52</v>
      </c>
      <c r="W34" t="s">
        <v>1634</v>
      </c>
      <c r="X34" t="s">
        <v>5997</v>
      </c>
      <c r="Y34" t="s">
        <v>6033</v>
      </c>
      <c r="Z34" t="s">
        <v>1548</v>
      </c>
      <c r="AA34" t="s">
        <v>6033</v>
      </c>
      <c r="AB34" t="s">
        <v>1634</v>
      </c>
      <c r="AC34" t="s">
        <v>6032</v>
      </c>
      <c r="AD34" t="s">
        <v>6032</v>
      </c>
      <c r="AE34" t="s">
        <v>1548</v>
      </c>
      <c r="AF34" t="s">
        <v>6084</v>
      </c>
      <c r="AG34" t="s">
        <v>6113</v>
      </c>
      <c r="AH34" t="s">
        <v>1561</v>
      </c>
      <c r="AI34">
        <v>0</v>
      </c>
      <c r="AJ34">
        <v>0</v>
      </c>
      <c r="AK34">
        <v>0</v>
      </c>
      <c r="AL34">
        <v>0</v>
      </c>
      <c r="AM34" t="s">
        <v>6026</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4</v>
      </c>
      <c r="BI34">
        <v>0</v>
      </c>
      <c r="BJ34">
        <v>0</v>
      </c>
      <c r="BK34">
        <v>2</v>
      </c>
      <c r="BL34">
        <v>0</v>
      </c>
      <c r="BM34">
        <v>0</v>
      </c>
      <c r="BN34">
        <v>1</v>
      </c>
      <c r="BO34">
        <v>0</v>
      </c>
      <c r="BP34">
        <v>0</v>
      </c>
      <c r="BQ34">
        <v>26</v>
      </c>
      <c r="BR34">
        <v>11</v>
      </c>
      <c r="BS34" t="s">
        <v>6026</v>
      </c>
      <c r="BT34" t="s">
        <v>6026</v>
      </c>
      <c r="BU34" t="s">
        <v>6026</v>
      </c>
      <c r="BV34" t="s">
        <v>6026</v>
      </c>
      <c r="BW34" t="s">
        <v>6026</v>
      </c>
      <c r="BX34" t="s">
        <v>6026</v>
      </c>
      <c r="BY34" t="s">
        <v>6026</v>
      </c>
      <c r="BZ34" t="s">
        <v>6026</v>
      </c>
      <c r="CA34" t="s">
        <v>6026</v>
      </c>
      <c r="CB34" t="s">
        <v>6026</v>
      </c>
      <c r="CC34" t="s">
        <v>6026</v>
      </c>
      <c r="CD34" t="s">
        <v>6026</v>
      </c>
      <c r="CE34" t="s">
        <v>1856</v>
      </c>
      <c r="CF34" t="s">
        <v>6559</v>
      </c>
      <c r="CG34" t="s">
        <v>6857</v>
      </c>
      <c r="CH34" t="s">
        <v>6561</v>
      </c>
      <c r="CI34" t="s">
        <v>6858</v>
      </c>
      <c r="CJ34" t="s">
        <v>6859</v>
      </c>
      <c r="CK34" t="s">
        <v>1548</v>
      </c>
      <c r="CL34" t="s">
        <v>6860</v>
      </c>
      <c r="CM34" t="s">
        <v>6007</v>
      </c>
      <c r="CN34" t="s">
        <v>1548</v>
      </c>
      <c r="CO34" t="s">
        <v>6861</v>
      </c>
      <c r="CP34" t="s">
        <v>6007</v>
      </c>
      <c r="CQ34" t="s">
        <v>6862</v>
      </c>
      <c r="CR34" t="s">
        <v>6459</v>
      </c>
      <c r="CS34" t="s">
        <v>6863</v>
      </c>
      <c r="CT34" t="s">
        <v>6356</v>
      </c>
      <c r="CU34" t="s">
        <v>1634</v>
      </c>
      <c r="CV34" t="s">
        <v>6864</v>
      </c>
      <c r="CW34" t="s">
        <v>6310</v>
      </c>
      <c r="CY34" t="s">
        <v>6014</v>
      </c>
      <c r="CZ34" t="s">
        <v>6013</v>
      </c>
      <c r="DA34" t="s">
        <v>6013</v>
      </c>
      <c r="DC34" t="s">
        <v>6014</v>
      </c>
      <c r="DD34" t="s">
        <v>6013</v>
      </c>
      <c r="DE34" t="s">
        <v>6013</v>
      </c>
      <c r="DF34" t="s">
        <v>6218</v>
      </c>
      <c r="DG34" t="s">
        <v>6015</v>
      </c>
      <c r="DH34" t="s">
        <v>6218</v>
      </c>
      <c r="DI34" t="s">
        <v>6016</v>
      </c>
      <c r="DJ34" t="s">
        <v>6360</v>
      </c>
      <c r="DK34">
        <v>1</v>
      </c>
      <c r="DL34" t="s">
        <v>6049</v>
      </c>
      <c r="DM34" t="s">
        <v>1559</v>
      </c>
      <c r="DO34">
        <v>33</v>
      </c>
      <c r="DX34" t="s">
        <v>6218</v>
      </c>
      <c r="DY34" t="s">
        <v>6015</v>
      </c>
      <c r="DZ34" t="s">
        <v>6218</v>
      </c>
      <c r="EA34" t="s">
        <v>6015</v>
      </c>
      <c r="EB34">
        <v>0</v>
      </c>
      <c r="ER34" t="s">
        <v>6023</v>
      </c>
      <c r="ES34" t="s">
        <v>6865</v>
      </c>
      <c r="ET34" t="s">
        <v>6219</v>
      </c>
      <c r="EU34" t="s">
        <v>6219</v>
      </c>
      <c r="EV34" t="s">
        <v>6074</v>
      </c>
      <c r="EY34" t="s">
        <v>6026</v>
      </c>
      <c r="EZ34" t="s">
        <v>6026</v>
      </c>
      <c r="FD34" s="57">
        <v>43671.858958333331</v>
      </c>
      <c r="FE34" s="57">
        <v>43671.861817129633</v>
      </c>
    </row>
    <row r="35" spans="1:161" ht="12" customHeight="1">
      <c r="A35">
        <v>274</v>
      </c>
      <c r="B35">
        <v>20</v>
      </c>
      <c r="C35">
        <v>333270</v>
      </c>
      <c r="D35" s="57">
        <v>43671.839814814812</v>
      </c>
      <c r="E35" t="s">
        <v>6202</v>
      </c>
      <c r="F35" t="s">
        <v>941</v>
      </c>
      <c r="G35" t="s">
        <v>942</v>
      </c>
      <c r="H35" t="s">
        <v>4449</v>
      </c>
      <c r="I35" t="s">
        <v>4860</v>
      </c>
      <c r="J35">
        <v>54741615</v>
      </c>
      <c r="K35" t="s">
        <v>6028</v>
      </c>
      <c r="L35" t="s">
        <v>6029</v>
      </c>
      <c r="M35" t="s">
        <v>186</v>
      </c>
      <c r="O35" t="s">
        <v>6447</v>
      </c>
      <c r="P35" t="s">
        <v>1634</v>
      </c>
      <c r="Q35" t="s">
        <v>6448</v>
      </c>
      <c r="R35" t="s">
        <v>2338</v>
      </c>
      <c r="S35" t="s">
        <v>1548</v>
      </c>
      <c r="U35" t="s">
        <v>1541</v>
      </c>
      <c r="V35">
        <v>53</v>
      </c>
      <c r="W35" t="s">
        <v>1634</v>
      </c>
      <c r="X35" t="s">
        <v>5997</v>
      </c>
      <c r="Y35" t="s">
        <v>6033</v>
      </c>
      <c r="Z35" t="s">
        <v>1548</v>
      </c>
      <c r="AA35" t="s">
        <v>6033</v>
      </c>
      <c r="AB35" t="s">
        <v>1634</v>
      </c>
      <c r="AC35" t="s">
        <v>6032</v>
      </c>
      <c r="AD35" t="s">
        <v>6032</v>
      </c>
      <c r="AE35" t="s">
        <v>1634</v>
      </c>
      <c r="AF35" t="s">
        <v>6084</v>
      </c>
      <c r="AG35" t="s">
        <v>6113</v>
      </c>
      <c r="AH35" t="s">
        <v>1561</v>
      </c>
      <c r="AI35" t="s">
        <v>6026</v>
      </c>
      <c r="AJ35" t="s">
        <v>6026</v>
      </c>
      <c r="AK35" t="s">
        <v>6026</v>
      </c>
      <c r="AL35" t="s">
        <v>6026</v>
      </c>
      <c r="AM35" t="s">
        <v>6026</v>
      </c>
      <c r="AN35" t="s">
        <v>6026</v>
      </c>
      <c r="AO35" t="s">
        <v>6026</v>
      </c>
      <c r="AP35" t="s">
        <v>6026</v>
      </c>
      <c r="AQ35" t="s">
        <v>6026</v>
      </c>
      <c r="AR35" t="s">
        <v>6026</v>
      </c>
      <c r="AS35" t="s">
        <v>6026</v>
      </c>
      <c r="AT35" t="s">
        <v>6026</v>
      </c>
      <c r="AU35" t="s">
        <v>6026</v>
      </c>
      <c r="AV35" t="s">
        <v>6026</v>
      </c>
      <c r="AW35" t="s">
        <v>6026</v>
      </c>
      <c r="AX35" t="s">
        <v>6026</v>
      </c>
      <c r="AY35" t="s">
        <v>6026</v>
      </c>
      <c r="AZ35" t="s">
        <v>6026</v>
      </c>
      <c r="BA35" t="s">
        <v>6026</v>
      </c>
      <c r="BB35" t="s">
        <v>6026</v>
      </c>
      <c r="BC35" t="s">
        <v>6026</v>
      </c>
      <c r="BD35" t="s">
        <v>6026</v>
      </c>
      <c r="BE35" t="s">
        <v>6026</v>
      </c>
      <c r="BF35" t="s">
        <v>6026</v>
      </c>
      <c r="BG35">
        <v>0</v>
      </c>
      <c r="BH35">
        <v>1.5</v>
      </c>
      <c r="BI35">
        <v>1.5</v>
      </c>
      <c r="BJ35">
        <v>0</v>
      </c>
      <c r="BK35">
        <v>3</v>
      </c>
      <c r="BL35">
        <v>3</v>
      </c>
      <c r="BM35">
        <v>0</v>
      </c>
      <c r="BN35">
        <v>0.5</v>
      </c>
      <c r="BO35" t="s">
        <v>6026</v>
      </c>
      <c r="BP35">
        <v>0</v>
      </c>
      <c r="BQ35">
        <v>50</v>
      </c>
      <c r="BR35">
        <v>100</v>
      </c>
      <c r="BS35" t="s">
        <v>6026</v>
      </c>
      <c r="BT35" t="s">
        <v>6026</v>
      </c>
      <c r="BU35" t="s">
        <v>6026</v>
      </c>
      <c r="BV35" t="s">
        <v>6026</v>
      </c>
      <c r="BW35" t="s">
        <v>6026</v>
      </c>
      <c r="BX35" t="s">
        <v>6026</v>
      </c>
      <c r="BY35" t="s">
        <v>6026</v>
      </c>
      <c r="BZ35" t="s">
        <v>6026</v>
      </c>
      <c r="CA35" t="s">
        <v>6026</v>
      </c>
      <c r="CB35" t="s">
        <v>6026</v>
      </c>
      <c r="CC35" t="s">
        <v>6026</v>
      </c>
      <c r="CD35" t="s">
        <v>6026</v>
      </c>
      <c r="CE35" t="s">
        <v>6449</v>
      </c>
      <c r="CF35" t="s">
        <v>6450</v>
      </c>
      <c r="CG35" t="s">
        <v>6451</v>
      </c>
      <c r="CH35" t="s">
        <v>6452</v>
      </c>
      <c r="CI35" t="s">
        <v>6453</v>
      </c>
      <c r="CJ35" t="s">
        <v>6454</v>
      </c>
      <c r="CK35" t="s">
        <v>1634</v>
      </c>
      <c r="CL35" t="s">
        <v>6455</v>
      </c>
      <c r="CM35" t="s">
        <v>6456</v>
      </c>
      <c r="CN35" t="s">
        <v>1634</v>
      </c>
      <c r="CO35" t="s">
        <v>6457</v>
      </c>
      <c r="CP35" t="s">
        <v>6144</v>
      </c>
      <c r="CQ35" t="s">
        <v>6458</v>
      </c>
      <c r="CR35" t="s">
        <v>6459</v>
      </c>
      <c r="CS35" t="s">
        <v>6215</v>
      </c>
      <c r="CT35" t="s">
        <v>6413</v>
      </c>
      <c r="CU35" t="s">
        <v>1634</v>
      </c>
      <c r="CV35" t="s">
        <v>6460</v>
      </c>
      <c r="CW35" t="s">
        <v>6415</v>
      </c>
      <c r="CX35" t="s">
        <v>6014</v>
      </c>
      <c r="CY35" t="s">
        <v>6014</v>
      </c>
      <c r="CZ35" t="s">
        <v>6013</v>
      </c>
      <c r="DA35" t="s">
        <v>6166</v>
      </c>
      <c r="DB35" t="s">
        <v>6014</v>
      </c>
      <c r="DC35" t="s">
        <v>6014</v>
      </c>
      <c r="DD35" t="s">
        <v>6013</v>
      </c>
      <c r="DE35" t="s">
        <v>6013</v>
      </c>
      <c r="DF35" t="s">
        <v>6218</v>
      </c>
      <c r="DG35" t="s">
        <v>6015</v>
      </c>
      <c r="DH35" t="s">
        <v>6461</v>
      </c>
      <c r="DI35" t="s">
        <v>6016</v>
      </c>
      <c r="DJ35">
        <v>0</v>
      </c>
      <c r="DK35">
        <v>0</v>
      </c>
      <c r="DL35" t="s">
        <v>6049</v>
      </c>
      <c r="DM35" t="s">
        <v>1559</v>
      </c>
      <c r="DO35">
        <v>45</v>
      </c>
      <c r="DX35" t="s">
        <v>6218</v>
      </c>
      <c r="DY35" t="s">
        <v>6015</v>
      </c>
      <c r="DZ35" t="s">
        <v>6361</v>
      </c>
      <c r="EA35" t="s">
        <v>6015</v>
      </c>
      <c r="EB35">
        <v>0</v>
      </c>
      <c r="ER35" t="s">
        <v>6023</v>
      </c>
      <c r="ES35" t="s">
        <v>6462</v>
      </c>
      <c r="ET35" t="s">
        <v>6052</v>
      </c>
      <c r="EU35" t="s">
        <v>6052</v>
      </c>
      <c r="EV35" t="s">
        <v>6074</v>
      </c>
      <c r="EY35" t="s">
        <v>6026</v>
      </c>
      <c r="EZ35" t="s">
        <v>6026</v>
      </c>
      <c r="FD35" s="57">
        <v>43671.832719907405</v>
      </c>
      <c r="FE35" s="57">
        <v>43671.839768518519</v>
      </c>
    </row>
    <row r="36" spans="1:161" ht="12" customHeight="1">
      <c r="A36">
        <v>275</v>
      </c>
      <c r="B36">
        <v>53</v>
      </c>
      <c r="C36">
        <v>312767</v>
      </c>
      <c r="D36" s="57">
        <v>43666.0155787037</v>
      </c>
      <c r="E36" t="s">
        <v>5991</v>
      </c>
      <c r="F36" t="s">
        <v>719</v>
      </c>
      <c r="G36" t="s">
        <v>943</v>
      </c>
      <c r="H36" t="s">
        <v>4449</v>
      </c>
      <c r="I36" t="s">
        <v>4860</v>
      </c>
      <c r="J36">
        <v>52146933</v>
      </c>
      <c r="K36" t="s">
        <v>6028</v>
      </c>
      <c r="L36" t="s">
        <v>6029</v>
      </c>
      <c r="M36" t="s">
        <v>186</v>
      </c>
      <c r="O36" t="s">
        <v>1107</v>
      </c>
      <c r="P36" t="s">
        <v>1548</v>
      </c>
      <c r="Q36" t="s">
        <v>7084</v>
      </c>
      <c r="R36" t="s">
        <v>6030</v>
      </c>
      <c r="S36" t="s">
        <v>1634</v>
      </c>
      <c r="T36" t="s">
        <v>6742</v>
      </c>
      <c r="U36" t="s">
        <v>1541</v>
      </c>
      <c r="V36">
        <v>35</v>
      </c>
      <c r="W36" t="s">
        <v>1634</v>
      </c>
      <c r="X36" t="s">
        <v>5997</v>
      </c>
      <c r="Y36" t="s">
        <v>6033</v>
      </c>
      <c r="Z36" t="s">
        <v>1548</v>
      </c>
      <c r="AA36" t="s">
        <v>6033</v>
      </c>
      <c r="AB36" t="s">
        <v>1548</v>
      </c>
      <c r="AC36" t="s">
        <v>6033</v>
      </c>
      <c r="AD36" t="s">
        <v>6033</v>
      </c>
      <c r="AE36" t="s">
        <v>1548</v>
      </c>
      <c r="AF36" t="s">
        <v>6084</v>
      </c>
      <c r="AG36" t="s">
        <v>6113</v>
      </c>
      <c r="AH36" t="s">
        <v>1561</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1</v>
      </c>
      <c r="BQ36">
        <v>0</v>
      </c>
      <c r="BR36">
        <v>1</v>
      </c>
      <c r="BS36">
        <v>0</v>
      </c>
      <c r="BT36">
        <v>0</v>
      </c>
      <c r="BU36">
        <v>0</v>
      </c>
      <c r="BV36">
        <v>0</v>
      </c>
      <c r="BW36">
        <v>0</v>
      </c>
      <c r="BX36">
        <v>0</v>
      </c>
      <c r="BY36">
        <v>0</v>
      </c>
      <c r="BZ36">
        <v>0</v>
      </c>
      <c r="CA36">
        <v>0</v>
      </c>
      <c r="CB36">
        <v>0</v>
      </c>
      <c r="CC36">
        <v>0</v>
      </c>
      <c r="CD36">
        <v>0</v>
      </c>
      <c r="CE36" t="s">
        <v>6743</v>
      </c>
      <c r="CF36" t="s">
        <v>6592</v>
      </c>
      <c r="CG36" t="s">
        <v>6744</v>
      </c>
      <c r="CH36" t="s">
        <v>6139</v>
      </c>
      <c r="CI36" t="s">
        <v>2289</v>
      </c>
      <c r="CJ36" t="s">
        <v>6642</v>
      </c>
      <c r="CK36" t="s">
        <v>1548</v>
      </c>
      <c r="CL36" t="s">
        <v>6745</v>
      </c>
      <c r="CM36" t="s">
        <v>6007</v>
      </c>
      <c r="CN36" t="s">
        <v>1548</v>
      </c>
      <c r="CO36" t="s">
        <v>6746</v>
      </c>
      <c r="CP36" t="s">
        <v>6007</v>
      </c>
      <c r="CQ36" t="s">
        <v>6747</v>
      </c>
      <c r="CR36" t="s">
        <v>6009</v>
      </c>
      <c r="CS36" t="s">
        <v>6748</v>
      </c>
      <c r="CT36" t="s">
        <v>6009</v>
      </c>
      <c r="CU36" t="s">
        <v>1548</v>
      </c>
      <c r="CV36" t="s">
        <v>6749</v>
      </c>
      <c r="CW36" t="s">
        <v>6009</v>
      </c>
      <c r="CX36" t="s">
        <v>6014</v>
      </c>
      <c r="CY36" t="s">
        <v>6014</v>
      </c>
      <c r="CZ36" t="s">
        <v>6013</v>
      </c>
      <c r="DA36" t="s">
        <v>6013</v>
      </c>
      <c r="DB36" t="s">
        <v>6498</v>
      </c>
      <c r="DC36" t="s">
        <v>6014</v>
      </c>
      <c r="DD36" t="s">
        <v>6012</v>
      </c>
      <c r="DE36" t="s">
        <v>6012</v>
      </c>
      <c r="DF36" t="s">
        <v>2289</v>
      </c>
      <c r="DG36" t="s">
        <v>6015</v>
      </c>
      <c r="DH36" t="s">
        <v>2289</v>
      </c>
      <c r="DI36" t="s">
        <v>6016</v>
      </c>
      <c r="DJ36" t="s">
        <v>6750</v>
      </c>
      <c r="DK36" t="s">
        <v>6751</v>
      </c>
      <c r="DL36" t="s">
        <v>6049</v>
      </c>
      <c r="DM36" t="s">
        <v>6289</v>
      </c>
      <c r="DN36">
        <v>5</v>
      </c>
      <c r="DQ36">
        <v>700</v>
      </c>
      <c r="DX36" t="s">
        <v>2289</v>
      </c>
      <c r="DY36" t="s">
        <v>6015</v>
      </c>
      <c r="DZ36" t="s">
        <v>2289</v>
      </c>
      <c r="EA36" t="s">
        <v>6015</v>
      </c>
      <c r="EB36">
        <v>0</v>
      </c>
      <c r="ER36" t="s">
        <v>6129</v>
      </c>
      <c r="ES36" t="s">
        <v>2289</v>
      </c>
      <c r="ET36" t="s">
        <v>2289</v>
      </c>
      <c r="EU36" t="s">
        <v>2289</v>
      </c>
      <c r="EV36" t="s">
        <v>6024</v>
      </c>
      <c r="EW36" t="s">
        <v>725</v>
      </c>
      <c r="EX36" t="s">
        <v>556</v>
      </c>
      <c r="EY36">
        <v>73295636</v>
      </c>
      <c r="EZ36">
        <v>65189104</v>
      </c>
      <c r="FA36" t="s">
        <v>6752</v>
      </c>
      <c r="FD36" s="57">
        <v>43665.746342592596</v>
      </c>
      <c r="FE36" s="57">
        <v>43666.015520833331</v>
      </c>
    </row>
    <row r="37" spans="1:161" ht="12" customHeight="1">
      <c r="A37">
        <v>295</v>
      </c>
      <c r="B37">
        <v>42</v>
      </c>
      <c r="C37">
        <v>351841</v>
      </c>
      <c r="D37" s="57">
        <v>43666.546423611115</v>
      </c>
      <c r="E37" t="s">
        <v>6110</v>
      </c>
      <c r="F37" t="s">
        <v>4941</v>
      </c>
      <c r="G37" t="s">
        <v>6398</v>
      </c>
      <c r="H37" t="s">
        <v>4449</v>
      </c>
      <c r="I37" t="s">
        <v>4860</v>
      </c>
      <c r="J37">
        <v>70267008</v>
      </c>
      <c r="K37" t="s">
        <v>5992</v>
      </c>
      <c r="L37" t="s">
        <v>5993</v>
      </c>
      <c r="M37" t="s">
        <v>424</v>
      </c>
      <c r="O37" t="s">
        <v>6399</v>
      </c>
      <c r="P37" t="s">
        <v>1634</v>
      </c>
      <c r="Q37" t="s">
        <v>6400</v>
      </c>
      <c r="R37" t="s">
        <v>2338</v>
      </c>
      <c r="S37" t="s">
        <v>1634</v>
      </c>
      <c r="T37" t="s">
        <v>6401</v>
      </c>
      <c r="U37" t="s">
        <v>4892</v>
      </c>
      <c r="V37">
        <v>40</v>
      </c>
      <c r="W37" t="s">
        <v>1634</v>
      </c>
      <c r="X37" t="s">
        <v>6031</v>
      </c>
      <c r="Y37" t="s">
        <v>5998</v>
      </c>
      <c r="Z37" t="s">
        <v>1634</v>
      </c>
      <c r="AA37" t="s">
        <v>5998</v>
      </c>
      <c r="AB37" t="s">
        <v>1634</v>
      </c>
      <c r="AC37" t="s">
        <v>5999</v>
      </c>
      <c r="AD37" t="s">
        <v>5999</v>
      </c>
      <c r="AE37" t="s">
        <v>1634</v>
      </c>
      <c r="AF37" t="s">
        <v>1561</v>
      </c>
      <c r="AG37" t="s">
        <v>1561</v>
      </c>
      <c r="AH37" t="s">
        <v>6057</v>
      </c>
      <c r="AI37" t="s">
        <v>6026</v>
      </c>
      <c r="AJ37" t="s">
        <v>6026</v>
      </c>
      <c r="AK37" t="s">
        <v>6026</v>
      </c>
      <c r="AL37" t="s">
        <v>6026</v>
      </c>
      <c r="AM37" t="s">
        <v>6026</v>
      </c>
      <c r="AN37" t="s">
        <v>6026</v>
      </c>
      <c r="AO37" t="s">
        <v>6026</v>
      </c>
      <c r="AP37" t="s">
        <v>6026</v>
      </c>
      <c r="AQ37" t="s">
        <v>6026</v>
      </c>
      <c r="AR37" t="s">
        <v>6026</v>
      </c>
      <c r="AS37" t="s">
        <v>6026</v>
      </c>
      <c r="AT37" t="s">
        <v>6026</v>
      </c>
      <c r="AU37" t="s">
        <v>6026</v>
      </c>
      <c r="AV37" t="s">
        <v>6026</v>
      </c>
      <c r="AW37" t="s">
        <v>6026</v>
      </c>
      <c r="AX37" t="s">
        <v>6026</v>
      </c>
      <c r="AY37" t="s">
        <v>6026</v>
      </c>
      <c r="AZ37" t="s">
        <v>6026</v>
      </c>
      <c r="BA37" t="s">
        <v>6026</v>
      </c>
      <c r="BB37" t="s">
        <v>6026</v>
      </c>
      <c r="BC37" t="s">
        <v>6026</v>
      </c>
      <c r="BD37" t="s">
        <v>6026</v>
      </c>
      <c r="BE37" t="s">
        <v>6026</v>
      </c>
      <c r="BF37" t="s">
        <v>6026</v>
      </c>
      <c r="BG37">
        <v>6</v>
      </c>
      <c r="BH37">
        <v>6</v>
      </c>
      <c r="BI37" t="s">
        <v>6026</v>
      </c>
      <c r="BJ37" t="s">
        <v>6026</v>
      </c>
      <c r="BK37" t="s">
        <v>6026</v>
      </c>
      <c r="BL37" t="s">
        <v>6026</v>
      </c>
      <c r="BM37" t="s">
        <v>6026</v>
      </c>
      <c r="BN37" t="s">
        <v>6026</v>
      </c>
      <c r="BO37" t="s">
        <v>6026</v>
      </c>
      <c r="BP37" t="s">
        <v>6026</v>
      </c>
      <c r="BQ37" t="s">
        <v>6026</v>
      </c>
      <c r="BR37" t="s">
        <v>6026</v>
      </c>
      <c r="BS37" t="s">
        <v>6026</v>
      </c>
      <c r="BT37">
        <v>15</v>
      </c>
      <c r="BU37" t="s">
        <v>6026</v>
      </c>
      <c r="BV37" t="s">
        <v>6026</v>
      </c>
      <c r="BW37">
        <v>10</v>
      </c>
      <c r="BX37" t="s">
        <v>6026</v>
      </c>
      <c r="BY37" t="s">
        <v>6026</v>
      </c>
      <c r="BZ37">
        <v>30</v>
      </c>
      <c r="CA37" t="s">
        <v>6026</v>
      </c>
      <c r="CB37" t="s">
        <v>6026</v>
      </c>
      <c r="CC37" t="s">
        <v>6026</v>
      </c>
      <c r="CD37">
        <v>100</v>
      </c>
      <c r="CE37" t="s">
        <v>6402</v>
      </c>
      <c r="CF37" t="s">
        <v>6403</v>
      </c>
      <c r="CG37" t="s">
        <v>6404</v>
      </c>
      <c r="CH37" t="s">
        <v>6405</v>
      </c>
      <c r="CI37" t="s">
        <v>6406</v>
      </c>
      <c r="CJ37" t="s">
        <v>6407</v>
      </c>
      <c r="CK37" t="s">
        <v>1634</v>
      </c>
      <c r="CL37" t="s">
        <v>6408</v>
      </c>
      <c r="CM37" t="s">
        <v>6164</v>
      </c>
      <c r="CN37" t="s">
        <v>1634</v>
      </c>
      <c r="CO37" t="s">
        <v>6409</v>
      </c>
      <c r="CP37" t="s">
        <v>6373</v>
      </c>
      <c r="CQ37" t="s">
        <v>6410</v>
      </c>
      <c r="CR37" t="s">
        <v>6411</v>
      </c>
      <c r="CS37" t="s">
        <v>6412</v>
      </c>
      <c r="CT37" t="s">
        <v>6413</v>
      </c>
      <c r="CU37" t="s">
        <v>1634</v>
      </c>
      <c r="CV37" t="s">
        <v>6414</v>
      </c>
      <c r="CW37" t="s">
        <v>6415</v>
      </c>
      <c r="CX37" t="s">
        <v>6416</v>
      </c>
      <c r="CY37" t="s">
        <v>6011</v>
      </c>
      <c r="CZ37" t="s">
        <v>6013</v>
      </c>
      <c r="DA37" t="s">
        <v>6012</v>
      </c>
      <c r="DB37" t="s">
        <v>6014</v>
      </c>
      <c r="DC37" t="s">
        <v>6014</v>
      </c>
      <c r="DD37" t="s">
        <v>6068</v>
      </c>
      <c r="DE37" t="s">
        <v>6013</v>
      </c>
      <c r="DF37" t="s">
        <v>6417</v>
      </c>
      <c r="DG37" t="s">
        <v>6047</v>
      </c>
      <c r="DH37" t="s">
        <v>6418</v>
      </c>
      <c r="DI37" t="s">
        <v>6419</v>
      </c>
      <c r="DJ37">
        <v>1</v>
      </c>
      <c r="DK37">
        <v>1</v>
      </c>
      <c r="DL37" t="s">
        <v>6049</v>
      </c>
      <c r="DM37" t="s">
        <v>6018</v>
      </c>
      <c r="DT37">
        <v>200</v>
      </c>
      <c r="DX37" s="58" t="s">
        <v>6420</v>
      </c>
      <c r="DY37" t="s">
        <v>6421</v>
      </c>
      <c r="DZ37" t="s">
        <v>6422</v>
      </c>
      <c r="EA37" t="s">
        <v>6022</v>
      </c>
      <c r="EB37">
        <v>3</v>
      </c>
      <c r="EC37" t="s">
        <v>6423</v>
      </c>
      <c r="ED37" t="s">
        <v>1634</v>
      </c>
      <c r="EE37">
        <v>60000</v>
      </c>
      <c r="EF37" t="s">
        <v>6423</v>
      </c>
      <c r="EG37" t="s">
        <v>1634</v>
      </c>
      <c r="EH37">
        <v>100000</v>
      </c>
      <c r="EI37" t="s">
        <v>6423</v>
      </c>
      <c r="EJ37" t="s">
        <v>1634</v>
      </c>
      <c r="EK37">
        <v>60000</v>
      </c>
      <c r="ER37" t="s">
        <v>6051</v>
      </c>
      <c r="ES37" t="s">
        <v>6424</v>
      </c>
      <c r="ET37" t="s">
        <v>6425</v>
      </c>
      <c r="EU37" t="s">
        <v>6219</v>
      </c>
      <c r="EV37" t="s">
        <v>6074</v>
      </c>
      <c r="EW37" t="s">
        <v>6426</v>
      </c>
      <c r="EX37" t="s">
        <v>6427</v>
      </c>
      <c r="EY37">
        <v>70259407</v>
      </c>
      <c r="EZ37" t="s">
        <v>6026</v>
      </c>
      <c r="FA37" t="s">
        <v>6428</v>
      </c>
      <c r="FB37" t="s">
        <v>6429</v>
      </c>
      <c r="FD37" s="57">
        <v>43666.490474537037</v>
      </c>
      <c r="FE37" s="57">
        <v>43666.495358796295</v>
      </c>
    </row>
    <row r="38" spans="1:161" ht="12" customHeight="1">
      <c r="A38">
        <v>298</v>
      </c>
      <c r="B38">
        <v>41</v>
      </c>
      <c r="C38">
        <v>314561</v>
      </c>
      <c r="D38" s="57">
        <v>43666.651805555557</v>
      </c>
      <c r="E38" t="s">
        <v>6110</v>
      </c>
      <c r="F38" t="s">
        <v>577</v>
      </c>
      <c r="G38" t="s">
        <v>6707</v>
      </c>
      <c r="H38" t="s">
        <v>4449</v>
      </c>
      <c r="I38" t="s">
        <v>4860</v>
      </c>
      <c r="J38" t="s">
        <v>973</v>
      </c>
      <c r="K38" t="s">
        <v>5992</v>
      </c>
      <c r="L38" t="s">
        <v>5993</v>
      </c>
      <c r="M38" t="s">
        <v>6708</v>
      </c>
      <c r="O38" t="s">
        <v>1155</v>
      </c>
      <c r="P38" t="s">
        <v>1548</v>
      </c>
      <c r="Q38" t="s">
        <v>6709</v>
      </c>
      <c r="R38" t="s">
        <v>2338</v>
      </c>
      <c r="S38" t="s">
        <v>1634</v>
      </c>
      <c r="T38" t="s">
        <v>6710</v>
      </c>
      <c r="U38" t="s">
        <v>4892</v>
      </c>
      <c r="V38">
        <v>107</v>
      </c>
      <c r="W38" t="s">
        <v>1634</v>
      </c>
      <c r="X38" t="s">
        <v>6031</v>
      </c>
      <c r="Y38" t="s">
        <v>6033</v>
      </c>
      <c r="Z38" t="s">
        <v>1548</v>
      </c>
      <c r="AA38" t="s">
        <v>6033</v>
      </c>
      <c r="AB38" t="s">
        <v>1634</v>
      </c>
      <c r="AC38" t="s">
        <v>5998</v>
      </c>
      <c r="AD38" t="s">
        <v>5998</v>
      </c>
      <c r="AE38" t="s">
        <v>1634</v>
      </c>
      <c r="AF38" t="s">
        <v>6000</v>
      </c>
      <c r="AG38" t="s">
        <v>6711</v>
      </c>
      <c r="BG38">
        <v>7</v>
      </c>
      <c r="BH38">
        <v>0</v>
      </c>
      <c r="BS38">
        <v>0</v>
      </c>
      <c r="BT38">
        <v>1</v>
      </c>
      <c r="BU38">
        <v>1</v>
      </c>
      <c r="BV38">
        <v>0</v>
      </c>
      <c r="BW38">
        <v>2</v>
      </c>
      <c r="BX38">
        <v>2</v>
      </c>
      <c r="BY38">
        <v>0</v>
      </c>
      <c r="BZ38">
        <v>3</v>
      </c>
      <c r="CA38">
        <v>3</v>
      </c>
      <c r="CB38">
        <v>0</v>
      </c>
      <c r="CC38">
        <v>0</v>
      </c>
      <c r="CD38">
        <v>6</v>
      </c>
      <c r="CE38" t="s">
        <v>6712</v>
      </c>
      <c r="CF38" t="s">
        <v>6713</v>
      </c>
      <c r="CG38" t="s">
        <v>6714</v>
      </c>
      <c r="CH38" t="s">
        <v>6715</v>
      </c>
      <c r="CI38" t="s">
        <v>6716</v>
      </c>
      <c r="CJ38" t="s">
        <v>6717</v>
      </c>
      <c r="CK38" t="s">
        <v>1548</v>
      </c>
      <c r="CL38" t="s">
        <v>6718</v>
      </c>
      <c r="CM38" t="s">
        <v>6007</v>
      </c>
      <c r="CN38" t="s">
        <v>1548</v>
      </c>
      <c r="CO38" t="s">
        <v>1856</v>
      </c>
      <c r="CQ38" t="s">
        <v>6719</v>
      </c>
      <c r="CR38" t="s">
        <v>6009</v>
      </c>
      <c r="CS38" t="s">
        <v>6720</v>
      </c>
      <c r="CT38" t="s">
        <v>6413</v>
      </c>
      <c r="CU38" t="s">
        <v>1634</v>
      </c>
      <c r="CV38" t="s">
        <v>1856</v>
      </c>
      <c r="CW38" t="s">
        <v>6009</v>
      </c>
      <c r="CX38" t="s">
        <v>6067</v>
      </c>
      <c r="CY38" t="s">
        <v>6067</v>
      </c>
      <c r="CZ38" t="s">
        <v>6013</v>
      </c>
      <c r="DA38" t="s">
        <v>6166</v>
      </c>
      <c r="DC38" t="s">
        <v>6014</v>
      </c>
      <c r="DD38" t="s">
        <v>6013</v>
      </c>
      <c r="DE38" t="s">
        <v>6013</v>
      </c>
      <c r="DF38" t="s">
        <v>1366</v>
      </c>
      <c r="DG38" t="s">
        <v>6015</v>
      </c>
      <c r="DH38" t="s">
        <v>1366</v>
      </c>
      <c r="DI38" t="s">
        <v>6016</v>
      </c>
      <c r="DJ38">
        <v>1</v>
      </c>
      <c r="DK38">
        <v>1</v>
      </c>
      <c r="DL38" t="s">
        <v>6049</v>
      </c>
      <c r="DM38" t="s">
        <v>6101</v>
      </c>
      <c r="DV38">
        <v>90</v>
      </c>
      <c r="DW38">
        <v>3000</v>
      </c>
      <c r="DX38" t="s">
        <v>6273</v>
      </c>
      <c r="DY38" t="s">
        <v>6574</v>
      </c>
      <c r="DZ38" t="s">
        <v>6721</v>
      </c>
      <c r="EA38" t="s">
        <v>6260</v>
      </c>
      <c r="EB38">
        <v>2</v>
      </c>
      <c r="EC38" t="s">
        <v>6722</v>
      </c>
      <c r="ED38" t="s">
        <v>1634</v>
      </c>
      <c r="EE38">
        <v>20000</v>
      </c>
      <c r="EF38" t="s">
        <v>6722</v>
      </c>
      <c r="EG38" t="s">
        <v>1634</v>
      </c>
      <c r="EH38">
        <v>3000</v>
      </c>
      <c r="ER38" t="s">
        <v>6023</v>
      </c>
      <c r="ES38" t="s">
        <v>6723</v>
      </c>
      <c r="ET38" t="s">
        <v>6723</v>
      </c>
      <c r="EV38" t="s">
        <v>6074</v>
      </c>
      <c r="EW38" t="s">
        <v>6724</v>
      </c>
      <c r="EX38" t="s">
        <v>4612</v>
      </c>
      <c r="EY38">
        <v>78286013</v>
      </c>
      <c r="EZ38" t="s">
        <v>6026</v>
      </c>
      <c r="FD38" s="57">
        <v>43665.798217592594</v>
      </c>
      <c r="FE38" s="57">
        <v>43665.801261574074</v>
      </c>
    </row>
    <row r="39" spans="1:161" ht="12" customHeight="1">
      <c r="A39">
        <v>301</v>
      </c>
      <c r="B39">
        <v>35</v>
      </c>
      <c r="C39">
        <v>318332</v>
      </c>
      <c r="D39" s="57">
        <v>43668.45103009259</v>
      </c>
      <c r="E39" t="s">
        <v>6110</v>
      </c>
      <c r="F39" t="s">
        <v>527</v>
      </c>
      <c r="G39" t="s">
        <v>785</v>
      </c>
      <c r="H39" t="s">
        <v>4449</v>
      </c>
      <c r="I39" t="s">
        <v>4860</v>
      </c>
      <c r="J39">
        <v>58156523</v>
      </c>
      <c r="K39" t="s">
        <v>6079</v>
      </c>
      <c r="L39" t="s">
        <v>6080</v>
      </c>
      <c r="M39" t="s">
        <v>52</v>
      </c>
      <c r="O39" t="s">
        <v>3951</v>
      </c>
      <c r="P39" t="s">
        <v>1548</v>
      </c>
      <c r="Q39" t="s">
        <v>6386</v>
      </c>
      <c r="R39" t="s">
        <v>2338</v>
      </c>
      <c r="S39" t="s">
        <v>1634</v>
      </c>
      <c r="U39" t="s">
        <v>2282</v>
      </c>
      <c r="V39">
        <v>65</v>
      </c>
      <c r="W39" t="s">
        <v>1634</v>
      </c>
      <c r="X39" t="s">
        <v>6031</v>
      </c>
      <c r="Y39" t="s">
        <v>6032</v>
      </c>
      <c r="Z39" t="s">
        <v>1634</v>
      </c>
      <c r="AA39" t="s">
        <v>5999</v>
      </c>
      <c r="AB39" t="s">
        <v>1634</v>
      </c>
      <c r="AC39" t="s">
        <v>5998</v>
      </c>
      <c r="AD39" t="s">
        <v>6033</v>
      </c>
      <c r="AE39" t="s">
        <v>1634</v>
      </c>
      <c r="AF39" t="s">
        <v>1561</v>
      </c>
      <c r="AG39" t="s">
        <v>6113</v>
      </c>
      <c r="BG39">
        <v>20</v>
      </c>
      <c r="BH39">
        <v>15</v>
      </c>
      <c r="BI39">
        <v>15</v>
      </c>
      <c r="BJ39">
        <v>15</v>
      </c>
      <c r="BK39">
        <v>15</v>
      </c>
      <c r="BL39">
        <v>15</v>
      </c>
      <c r="BM39">
        <v>10</v>
      </c>
      <c r="BN39">
        <v>10</v>
      </c>
      <c r="BO39">
        <v>10</v>
      </c>
      <c r="BP39">
        <v>25</v>
      </c>
      <c r="BQ39">
        <v>5</v>
      </c>
      <c r="BR39">
        <v>20</v>
      </c>
      <c r="BS39">
        <v>0</v>
      </c>
      <c r="BT39">
        <v>2</v>
      </c>
      <c r="BU39">
        <v>2</v>
      </c>
      <c r="BV39">
        <v>1</v>
      </c>
      <c r="BW39">
        <v>1</v>
      </c>
      <c r="BX39">
        <v>3</v>
      </c>
      <c r="BY39">
        <v>1</v>
      </c>
      <c r="BZ39">
        <v>2</v>
      </c>
      <c r="CA39">
        <v>2</v>
      </c>
      <c r="CB39">
        <v>1</v>
      </c>
      <c r="CC39">
        <v>1</v>
      </c>
      <c r="CD39">
        <v>1</v>
      </c>
      <c r="CE39" t="s">
        <v>6387</v>
      </c>
      <c r="CG39" t="s">
        <v>6388</v>
      </c>
      <c r="CI39" t="s">
        <v>6389</v>
      </c>
      <c r="CK39" t="s">
        <v>1548</v>
      </c>
      <c r="CL39" t="s">
        <v>6066</v>
      </c>
      <c r="CN39" t="s">
        <v>1548</v>
      </c>
      <c r="CO39" t="s">
        <v>6390</v>
      </c>
      <c r="CP39" t="s">
        <v>6007</v>
      </c>
      <c r="CQ39" t="s">
        <v>6391</v>
      </c>
      <c r="CS39" t="s">
        <v>1856</v>
      </c>
      <c r="CU39" t="s">
        <v>1548</v>
      </c>
      <c r="CV39" t="s">
        <v>6390</v>
      </c>
      <c r="CX39" t="s">
        <v>6392</v>
      </c>
      <c r="CY39" t="s">
        <v>6338</v>
      </c>
      <c r="CZ39" t="s">
        <v>6046</v>
      </c>
      <c r="DA39" t="s">
        <v>6046</v>
      </c>
      <c r="DB39" t="s">
        <v>6338</v>
      </c>
      <c r="DC39" t="s">
        <v>6011</v>
      </c>
      <c r="DD39" t="s">
        <v>6013</v>
      </c>
      <c r="DE39" t="s">
        <v>6046</v>
      </c>
      <c r="DF39" t="s">
        <v>6393</v>
      </c>
      <c r="DH39" t="s">
        <v>6394</v>
      </c>
      <c r="DJ39">
        <v>0</v>
      </c>
      <c r="DK39">
        <v>1</v>
      </c>
      <c r="DL39" t="s">
        <v>6049</v>
      </c>
      <c r="DM39" t="s">
        <v>6018</v>
      </c>
      <c r="DT39">
        <v>50</v>
      </c>
      <c r="DU39">
        <v>500</v>
      </c>
      <c r="DX39" t="s">
        <v>6273</v>
      </c>
      <c r="DZ39" t="s">
        <v>6395</v>
      </c>
      <c r="EB39">
        <v>0</v>
      </c>
      <c r="ER39" t="s">
        <v>6106</v>
      </c>
      <c r="ES39" t="s">
        <v>6396</v>
      </c>
      <c r="ET39" t="s">
        <v>6396</v>
      </c>
      <c r="EU39" t="s">
        <v>6396</v>
      </c>
      <c r="EV39" t="s">
        <v>6238</v>
      </c>
      <c r="EW39" t="s">
        <v>710</v>
      </c>
      <c r="EX39" t="s">
        <v>6397</v>
      </c>
      <c r="EY39">
        <v>58156523</v>
      </c>
      <c r="EZ39" t="s">
        <v>6026</v>
      </c>
      <c r="FD39" s="57">
        <v>43668.485671296294</v>
      </c>
      <c r="FE39" s="57">
        <v>43668.492638888885</v>
      </c>
    </row>
    <row r="40" spans="1:161" ht="12" customHeight="1">
      <c r="A40">
        <v>317</v>
      </c>
      <c r="B40">
        <v>1</v>
      </c>
      <c r="C40">
        <v>354572</v>
      </c>
      <c r="D40" s="57">
        <v>43678.725601851853</v>
      </c>
      <c r="E40" t="s">
        <v>6110</v>
      </c>
      <c r="F40" t="s">
        <v>860</v>
      </c>
      <c r="G40" t="s">
        <v>996</v>
      </c>
      <c r="H40" t="s">
        <v>4449</v>
      </c>
      <c r="I40" t="s">
        <v>4860</v>
      </c>
      <c r="J40">
        <v>78353320</v>
      </c>
      <c r="K40" t="s">
        <v>6028</v>
      </c>
      <c r="L40" t="s">
        <v>6204</v>
      </c>
      <c r="M40" t="s">
        <v>58</v>
      </c>
      <c r="O40" t="s">
        <v>6363</v>
      </c>
      <c r="P40" t="s">
        <v>1548</v>
      </c>
      <c r="Q40" t="s">
        <v>449</v>
      </c>
      <c r="R40" t="s">
        <v>6030</v>
      </c>
      <c r="S40" t="s">
        <v>1634</v>
      </c>
      <c r="T40" t="s">
        <v>6364</v>
      </c>
      <c r="U40" t="s">
        <v>2282</v>
      </c>
      <c r="V40">
        <v>25</v>
      </c>
      <c r="W40" t="s">
        <v>1548</v>
      </c>
      <c r="X40" t="s">
        <v>5997</v>
      </c>
      <c r="Y40" t="s">
        <v>5999</v>
      </c>
      <c r="Z40" t="s">
        <v>1548</v>
      </c>
      <c r="AA40" t="s">
        <v>6033</v>
      </c>
      <c r="AB40" t="s">
        <v>1634</v>
      </c>
      <c r="AC40" t="s">
        <v>6032</v>
      </c>
      <c r="AD40" t="s">
        <v>6032</v>
      </c>
      <c r="AE40" t="s">
        <v>1634</v>
      </c>
      <c r="AF40" t="s">
        <v>1561</v>
      </c>
      <c r="AG40" t="s">
        <v>1561</v>
      </c>
      <c r="AH40" t="s">
        <v>6085</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40</v>
      </c>
      <c r="BH40">
        <v>40</v>
      </c>
      <c r="BI40">
        <v>40</v>
      </c>
      <c r="BJ40">
        <v>0</v>
      </c>
      <c r="BK40">
        <v>0</v>
      </c>
      <c r="BL40">
        <v>0</v>
      </c>
      <c r="BM40">
        <v>0</v>
      </c>
      <c r="BN40">
        <v>0</v>
      </c>
      <c r="BO40">
        <v>0</v>
      </c>
      <c r="BP40">
        <v>70</v>
      </c>
      <c r="BQ40">
        <v>70</v>
      </c>
      <c r="BR40">
        <v>25</v>
      </c>
      <c r="BS40">
        <v>40</v>
      </c>
      <c r="BT40">
        <v>40</v>
      </c>
      <c r="BU40">
        <v>40</v>
      </c>
      <c r="BV40">
        <v>0</v>
      </c>
      <c r="BW40">
        <v>0</v>
      </c>
      <c r="BX40">
        <v>0</v>
      </c>
      <c r="BY40">
        <v>0</v>
      </c>
      <c r="BZ40">
        <v>0</v>
      </c>
      <c r="CA40">
        <v>0</v>
      </c>
      <c r="CB40">
        <v>50</v>
      </c>
      <c r="CC40">
        <v>50</v>
      </c>
      <c r="CD40">
        <v>20</v>
      </c>
      <c r="CE40" t="s">
        <v>6365</v>
      </c>
      <c r="CF40" t="s">
        <v>6087</v>
      </c>
      <c r="CG40" t="s">
        <v>6366</v>
      </c>
      <c r="CH40" t="s">
        <v>6367</v>
      </c>
      <c r="CI40" t="s">
        <v>6368</v>
      </c>
      <c r="CJ40" t="s">
        <v>6369</v>
      </c>
      <c r="CK40" t="s">
        <v>1634</v>
      </c>
      <c r="CL40" t="s">
        <v>6370</v>
      </c>
      <c r="CM40" t="s">
        <v>6371</v>
      </c>
      <c r="CN40" t="s">
        <v>1634</v>
      </c>
      <c r="CO40" t="s">
        <v>6372</v>
      </c>
      <c r="CP40" t="s">
        <v>6373</v>
      </c>
      <c r="CQ40" t="s">
        <v>6374</v>
      </c>
      <c r="CR40" t="s">
        <v>6375</v>
      </c>
      <c r="CS40" t="s">
        <v>6376</v>
      </c>
      <c r="CT40" t="s">
        <v>6377</v>
      </c>
      <c r="CU40" t="s">
        <v>1634</v>
      </c>
      <c r="CV40" t="s">
        <v>6378</v>
      </c>
      <c r="CW40" t="s">
        <v>6310</v>
      </c>
      <c r="CX40" t="s">
        <v>6011</v>
      </c>
      <c r="CY40" t="s">
        <v>6014</v>
      </c>
      <c r="CZ40" t="s">
        <v>6013</v>
      </c>
      <c r="DA40" t="s">
        <v>6013</v>
      </c>
      <c r="DB40" t="s">
        <v>6014</v>
      </c>
      <c r="DC40" t="s">
        <v>6014</v>
      </c>
      <c r="DD40" t="s">
        <v>6013</v>
      </c>
      <c r="DE40" t="s">
        <v>6013</v>
      </c>
      <c r="DF40" t="s">
        <v>6379</v>
      </c>
      <c r="DG40" t="s">
        <v>6047</v>
      </c>
      <c r="DH40" t="s">
        <v>6380</v>
      </c>
      <c r="DI40" t="s">
        <v>6313</v>
      </c>
      <c r="DJ40">
        <v>2</v>
      </c>
      <c r="DK40">
        <v>1</v>
      </c>
      <c r="DL40" t="s">
        <v>6017</v>
      </c>
      <c r="DM40" t="s">
        <v>6018</v>
      </c>
      <c r="DT40">
        <v>120</v>
      </c>
      <c r="DU40">
        <v>1000</v>
      </c>
      <c r="DX40" t="s">
        <v>6381</v>
      </c>
      <c r="DY40" t="s">
        <v>6382</v>
      </c>
      <c r="DZ40" t="s">
        <v>6273</v>
      </c>
      <c r="EA40" t="s">
        <v>6022</v>
      </c>
      <c r="EB40">
        <v>0</v>
      </c>
      <c r="ER40" t="s">
        <v>6129</v>
      </c>
      <c r="ES40" t="s">
        <v>6383</v>
      </c>
      <c r="ET40" t="s">
        <v>6384</v>
      </c>
      <c r="EV40" t="s">
        <v>6074</v>
      </c>
      <c r="EW40" t="s">
        <v>6385</v>
      </c>
      <c r="EX40" t="s">
        <v>712</v>
      </c>
      <c r="EY40">
        <v>54458508</v>
      </c>
      <c r="EZ40" t="s">
        <v>6026</v>
      </c>
      <c r="FD40" s="57">
        <v>43678.749085648145</v>
      </c>
      <c r="FE40" s="57">
        <v>43678.767210648148</v>
      </c>
    </row>
    <row r="41" spans="1:161" ht="12" customHeight="1">
      <c r="A41">
        <v>329</v>
      </c>
      <c r="B41">
        <v>21</v>
      </c>
      <c r="C41">
        <v>333151</v>
      </c>
      <c r="D41" s="57">
        <v>43671.80872685185</v>
      </c>
      <c r="E41" t="s">
        <v>6202</v>
      </c>
      <c r="F41" t="s">
        <v>653</v>
      </c>
      <c r="G41" t="s">
        <v>1019</v>
      </c>
      <c r="H41" t="s">
        <v>4449</v>
      </c>
      <c r="I41" t="s">
        <v>4860</v>
      </c>
      <c r="J41">
        <v>65553487</v>
      </c>
      <c r="K41" t="s">
        <v>6028</v>
      </c>
      <c r="L41" t="s">
        <v>6204</v>
      </c>
      <c r="M41" t="s">
        <v>461</v>
      </c>
      <c r="O41" t="s">
        <v>514</v>
      </c>
      <c r="P41" t="s">
        <v>1548</v>
      </c>
      <c r="Q41" t="s">
        <v>6347</v>
      </c>
      <c r="R41" t="s">
        <v>2338</v>
      </c>
      <c r="S41" t="s">
        <v>1548</v>
      </c>
      <c r="U41" t="s">
        <v>1180</v>
      </c>
      <c r="V41">
        <v>170</v>
      </c>
      <c r="W41" t="s">
        <v>1548</v>
      </c>
      <c r="X41" t="s">
        <v>5997</v>
      </c>
      <c r="Y41" t="s">
        <v>6033</v>
      </c>
      <c r="Z41" t="s">
        <v>1548</v>
      </c>
      <c r="AA41" t="s">
        <v>6033</v>
      </c>
      <c r="AB41" t="s">
        <v>1634</v>
      </c>
      <c r="AC41" t="s">
        <v>6033</v>
      </c>
      <c r="AD41" t="s">
        <v>6033</v>
      </c>
      <c r="AE41" t="s">
        <v>1548</v>
      </c>
      <c r="AF41" t="s">
        <v>6084</v>
      </c>
      <c r="AG41" t="s">
        <v>6113</v>
      </c>
      <c r="AH41" t="s">
        <v>1561</v>
      </c>
      <c r="AI41" t="s">
        <v>6026</v>
      </c>
      <c r="AJ41" t="s">
        <v>6026</v>
      </c>
      <c r="AK41" t="s">
        <v>6026</v>
      </c>
      <c r="AL41" t="s">
        <v>6026</v>
      </c>
      <c r="AM41" t="s">
        <v>6026</v>
      </c>
      <c r="AN41" t="s">
        <v>6026</v>
      </c>
      <c r="AO41">
        <v>0</v>
      </c>
      <c r="AP41">
        <v>0</v>
      </c>
      <c r="AQ41" t="s">
        <v>6026</v>
      </c>
      <c r="AR41">
        <v>0</v>
      </c>
      <c r="AS41">
        <v>0</v>
      </c>
      <c r="AT41">
        <v>0</v>
      </c>
      <c r="AU41" t="s">
        <v>6026</v>
      </c>
      <c r="AV41" t="s">
        <v>6026</v>
      </c>
      <c r="AW41" t="s">
        <v>6026</v>
      </c>
      <c r="AX41" t="s">
        <v>6026</v>
      </c>
      <c r="AY41" t="s">
        <v>6026</v>
      </c>
      <c r="AZ41" t="s">
        <v>6026</v>
      </c>
      <c r="BA41" t="s">
        <v>6026</v>
      </c>
      <c r="BB41" t="s">
        <v>6026</v>
      </c>
      <c r="BC41" t="s">
        <v>6026</v>
      </c>
      <c r="BD41" t="s">
        <v>6026</v>
      </c>
      <c r="BE41" t="s">
        <v>6026</v>
      </c>
      <c r="BF41" t="s">
        <v>6026</v>
      </c>
      <c r="BG41">
        <v>0</v>
      </c>
      <c r="BH41">
        <v>0</v>
      </c>
      <c r="BI41">
        <v>0</v>
      </c>
      <c r="BJ41">
        <v>0</v>
      </c>
      <c r="BK41">
        <v>0</v>
      </c>
      <c r="BL41">
        <v>0</v>
      </c>
      <c r="BM41">
        <v>0</v>
      </c>
      <c r="BN41">
        <v>0</v>
      </c>
      <c r="BO41">
        <v>0</v>
      </c>
      <c r="BP41">
        <v>3</v>
      </c>
      <c r="BQ41">
        <v>10</v>
      </c>
      <c r="BR41">
        <v>10</v>
      </c>
      <c r="BS41" t="s">
        <v>6026</v>
      </c>
      <c r="BT41" t="s">
        <v>6026</v>
      </c>
      <c r="BU41" t="s">
        <v>6026</v>
      </c>
      <c r="BV41" t="s">
        <v>6026</v>
      </c>
      <c r="BW41" t="s">
        <v>6026</v>
      </c>
      <c r="BX41" t="s">
        <v>6026</v>
      </c>
      <c r="BY41" t="s">
        <v>6026</v>
      </c>
      <c r="BZ41" t="s">
        <v>6026</v>
      </c>
      <c r="CA41" t="s">
        <v>6026</v>
      </c>
      <c r="CB41" t="s">
        <v>6026</v>
      </c>
      <c r="CC41" t="s">
        <v>6026</v>
      </c>
      <c r="CD41">
        <v>3</v>
      </c>
      <c r="CE41" t="s">
        <v>6348</v>
      </c>
      <c r="CF41" t="s">
        <v>6206</v>
      </c>
      <c r="CG41" t="s">
        <v>6349</v>
      </c>
      <c r="CH41" t="s">
        <v>6350</v>
      </c>
      <c r="CI41" t="s">
        <v>6351</v>
      </c>
      <c r="CJ41" t="s">
        <v>6210</v>
      </c>
      <c r="CK41" t="s">
        <v>1548</v>
      </c>
      <c r="CL41" t="s">
        <v>6352</v>
      </c>
      <c r="CM41" t="s">
        <v>6007</v>
      </c>
      <c r="CN41" t="s">
        <v>1634</v>
      </c>
      <c r="CO41" t="s">
        <v>6353</v>
      </c>
      <c r="CP41" t="s">
        <v>6144</v>
      </c>
      <c r="CQ41" t="s">
        <v>6354</v>
      </c>
      <c r="CR41" t="s">
        <v>6355</v>
      </c>
      <c r="CS41" t="s">
        <v>6354</v>
      </c>
      <c r="CT41" t="s">
        <v>6356</v>
      </c>
      <c r="CU41" t="s">
        <v>1548</v>
      </c>
      <c r="CV41" t="s">
        <v>2289</v>
      </c>
      <c r="CW41" t="s">
        <v>6009</v>
      </c>
      <c r="CX41" t="s">
        <v>6014</v>
      </c>
      <c r="CY41" t="s">
        <v>6011</v>
      </c>
      <c r="CZ41" t="s">
        <v>6013</v>
      </c>
      <c r="DA41" t="s">
        <v>6013</v>
      </c>
      <c r="DB41" t="s">
        <v>6014</v>
      </c>
      <c r="DC41" t="s">
        <v>6014</v>
      </c>
      <c r="DD41" t="s">
        <v>6013</v>
      </c>
      <c r="DE41" t="s">
        <v>6013</v>
      </c>
      <c r="DF41" t="s">
        <v>6357</v>
      </c>
      <c r="DG41" t="s">
        <v>6015</v>
      </c>
      <c r="DH41" t="s">
        <v>6358</v>
      </c>
      <c r="DI41" t="s">
        <v>6016</v>
      </c>
      <c r="DJ41" t="s">
        <v>6359</v>
      </c>
      <c r="DK41" t="s">
        <v>6360</v>
      </c>
      <c r="DL41" t="s">
        <v>6017</v>
      </c>
      <c r="DM41" t="s">
        <v>1559</v>
      </c>
      <c r="DO41">
        <v>15</v>
      </c>
      <c r="DX41" t="s">
        <v>6218</v>
      </c>
      <c r="DY41" t="s">
        <v>6015</v>
      </c>
      <c r="DZ41" t="s">
        <v>6361</v>
      </c>
      <c r="EA41" t="s">
        <v>6015</v>
      </c>
      <c r="EB41">
        <v>0</v>
      </c>
      <c r="ER41" t="s">
        <v>6023</v>
      </c>
      <c r="ES41" t="s">
        <v>6362</v>
      </c>
      <c r="ET41" t="s">
        <v>6219</v>
      </c>
      <c r="EU41" t="s">
        <v>6219</v>
      </c>
      <c r="EV41" t="s">
        <v>6074</v>
      </c>
      <c r="EY41" t="s">
        <v>6026</v>
      </c>
      <c r="EZ41" t="s">
        <v>6026</v>
      </c>
      <c r="FD41" s="57">
        <v>43671.798807870371</v>
      </c>
      <c r="FE41" s="57">
        <v>43671.808680555558</v>
      </c>
    </row>
    <row r="42" spans="1:161" ht="12" customHeight="1">
      <c r="A42">
        <v>333</v>
      </c>
      <c r="B42">
        <v>33</v>
      </c>
      <c r="C42">
        <v>328308</v>
      </c>
      <c r="D42" s="57">
        <v>43670.590937499997</v>
      </c>
      <c r="E42" t="s">
        <v>6110</v>
      </c>
      <c r="F42" t="s">
        <v>6504</v>
      </c>
      <c r="G42" t="s">
        <v>3149</v>
      </c>
      <c r="H42" t="s">
        <v>4449</v>
      </c>
      <c r="I42" t="s">
        <v>4860</v>
      </c>
      <c r="J42">
        <v>70417032</v>
      </c>
      <c r="K42" t="s">
        <v>6028</v>
      </c>
      <c r="L42" t="s">
        <v>6204</v>
      </c>
      <c r="M42" t="s">
        <v>58</v>
      </c>
      <c r="O42" t="s">
        <v>6837</v>
      </c>
      <c r="P42" t="s">
        <v>1548</v>
      </c>
      <c r="Q42" t="s">
        <v>466</v>
      </c>
      <c r="R42" t="s">
        <v>6030</v>
      </c>
      <c r="S42" t="s">
        <v>1548</v>
      </c>
      <c r="U42" t="s">
        <v>1541</v>
      </c>
      <c r="V42">
        <v>38</v>
      </c>
      <c r="W42" t="s">
        <v>1548</v>
      </c>
      <c r="X42" t="s">
        <v>6031</v>
      </c>
      <c r="Y42" t="s">
        <v>5999</v>
      </c>
      <c r="Z42" t="s">
        <v>1634</v>
      </c>
      <c r="AA42" t="s">
        <v>5999</v>
      </c>
      <c r="AB42" t="s">
        <v>1548</v>
      </c>
      <c r="AC42" t="s">
        <v>6033</v>
      </c>
      <c r="AD42" t="s">
        <v>5999</v>
      </c>
      <c r="AE42" t="s">
        <v>1634</v>
      </c>
      <c r="AF42" t="s">
        <v>1561</v>
      </c>
      <c r="AG42" t="s">
        <v>1561</v>
      </c>
      <c r="AH42" t="s">
        <v>6057</v>
      </c>
      <c r="AI42">
        <v>0</v>
      </c>
      <c r="AJ42">
        <v>0</v>
      </c>
      <c r="AK42">
        <v>0</v>
      </c>
      <c r="AL42">
        <v>0</v>
      </c>
      <c r="AM42">
        <v>0</v>
      </c>
      <c r="AN42">
        <v>0</v>
      </c>
      <c r="AO42">
        <v>0</v>
      </c>
      <c r="AP42">
        <v>0</v>
      </c>
      <c r="AQ42">
        <v>0</v>
      </c>
      <c r="AR42">
        <v>0</v>
      </c>
      <c r="AS42">
        <v>0</v>
      </c>
      <c r="AT42" t="s">
        <v>6026</v>
      </c>
      <c r="AU42" t="s">
        <v>6026</v>
      </c>
      <c r="AV42" t="s">
        <v>6026</v>
      </c>
      <c r="AW42" t="s">
        <v>6026</v>
      </c>
      <c r="AX42" t="s">
        <v>6026</v>
      </c>
      <c r="AY42" t="s">
        <v>6026</v>
      </c>
      <c r="AZ42" t="s">
        <v>6026</v>
      </c>
      <c r="BA42" t="s">
        <v>6026</v>
      </c>
      <c r="BB42" t="s">
        <v>6026</v>
      </c>
      <c r="BC42">
        <v>0</v>
      </c>
      <c r="BD42">
        <v>0</v>
      </c>
      <c r="BE42" t="s">
        <v>6026</v>
      </c>
      <c r="BF42">
        <v>0</v>
      </c>
      <c r="BG42">
        <v>5</v>
      </c>
      <c r="BH42">
        <v>3</v>
      </c>
      <c r="BI42">
        <v>3</v>
      </c>
      <c r="BJ42">
        <v>6</v>
      </c>
      <c r="BK42">
        <v>4</v>
      </c>
      <c r="BL42">
        <v>4</v>
      </c>
      <c r="BM42">
        <v>154</v>
      </c>
      <c r="BN42">
        <v>4</v>
      </c>
      <c r="BO42">
        <v>44</v>
      </c>
      <c r="BP42">
        <v>12</v>
      </c>
      <c r="BQ42">
        <v>12</v>
      </c>
      <c r="BR42">
        <v>17</v>
      </c>
      <c r="BS42">
        <v>2</v>
      </c>
      <c r="BT42">
        <v>7</v>
      </c>
      <c r="BU42">
        <v>7</v>
      </c>
      <c r="BV42">
        <v>12</v>
      </c>
      <c r="BW42">
        <v>12</v>
      </c>
      <c r="BX42">
        <v>12</v>
      </c>
      <c r="BY42">
        <v>4</v>
      </c>
      <c r="BZ42">
        <v>7</v>
      </c>
      <c r="CA42">
        <v>7</v>
      </c>
      <c r="CB42">
        <v>10</v>
      </c>
      <c r="CC42">
        <v>7</v>
      </c>
      <c r="CD42">
        <v>10</v>
      </c>
      <c r="CE42" t="s">
        <v>6838</v>
      </c>
      <c r="CF42" t="s">
        <v>6465</v>
      </c>
      <c r="CG42" t="s">
        <v>6839</v>
      </c>
      <c r="CH42" t="s">
        <v>6840</v>
      </c>
      <c r="CJ42" t="s">
        <v>6841</v>
      </c>
      <c r="CK42" t="s">
        <v>1634</v>
      </c>
      <c r="CL42" t="s">
        <v>6842</v>
      </c>
      <c r="CM42" t="s">
        <v>6065</v>
      </c>
      <c r="CN42" t="s">
        <v>1634</v>
      </c>
      <c r="CO42" t="s">
        <v>6843</v>
      </c>
      <c r="CP42" t="s">
        <v>6373</v>
      </c>
      <c r="CQ42" t="s">
        <v>6844</v>
      </c>
      <c r="CR42" t="s">
        <v>6845</v>
      </c>
      <c r="CS42" t="s">
        <v>6846</v>
      </c>
      <c r="CT42" t="s">
        <v>6847</v>
      </c>
      <c r="CU42" t="s">
        <v>1634</v>
      </c>
      <c r="CV42" t="s">
        <v>6848</v>
      </c>
      <c r="CW42" t="s">
        <v>6415</v>
      </c>
      <c r="CX42" t="s">
        <v>6338</v>
      </c>
      <c r="CY42" t="s">
        <v>6014</v>
      </c>
      <c r="CZ42" t="s">
        <v>6013</v>
      </c>
      <c r="DA42" t="s">
        <v>6013</v>
      </c>
      <c r="DB42" t="s">
        <v>6014</v>
      </c>
      <c r="DC42" t="s">
        <v>6014</v>
      </c>
      <c r="DD42" t="s">
        <v>6013</v>
      </c>
      <c r="DE42" t="s">
        <v>6013</v>
      </c>
      <c r="DF42" t="s">
        <v>6849</v>
      </c>
      <c r="DG42" t="s">
        <v>6047</v>
      </c>
      <c r="DI42" t="s">
        <v>6048</v>
      </c>
      <c r="DJ42">
        <v>3</v>
      </c>
      <c r="DK42">
        <v>1</v>
      </c>
      <c r="DL42" t="s">
        <v>6017</v>
      </c>
      <c r="DM42" t="s">
        <v>6018</v>
      </c>
      <c r="DT42">
        <v>100</v>
      </c>
      <c r="DU42">
        <v>1000</v>
      </c>
      <c r="DX42" t="s">
        <v>6850</v>
      </c>
      <c r="DY42" t="s">
        <v>6574</v>
      </c>
      <c r="EA42" t="s">
        <v>6260</v>
      </c>
      <c r="EB42">
        <v>0</v>
      </c>
      <c r="ER42" t="s">
        <v>6851</v>
      </c>
      <c r="ES42" t="s">
        <v>6852</v>
      </c>
      <c r="ET42" t="s">
        <v>6853</v>
      </c>
      <c r="EU42" t="s">
        <v>6853</v>
      </c>
      <c r="EV42" t="s">
        <v>6074</v>
      </c>
      <c r="EW42" t="s">
        <v>6504</v>
      </c>
      <c r="EX42" t="s">
        <v>5061</v>
      </c>
      <c r="EY42">
        <v>72840583</v>
      </c>
      <c r="EZ42" t="s">
        <v>6026</v>
      </c>
      <c r="FA42" t="s">
        <v>6854</v>
      </c>
      <c r="FD42" s="57">
        <v>43670.575868055559</v>
      </c>
      <c r="FE42" s="57">
        <v>43670.590879629628</v>
      </c>
    </row>
    <row r="43" spans="1:161" ht="12" customHeight="1">
      <c r="A43">
        <v>339</v>
      </c>
      <c r="B43">
        <v>10</v>
      </c>
      <c r="C43">
        <v>340520</v>
      </c>
      <c r="D43" s="57">
        <v>43675.468159722222</v>
      </c>
      <c r="E43" t="s">
        <v>6220</v>
      </c>
      <c r="F43" t="s">
        <v>6818</v>
      </c>
      <c r="G43" t="s">
        <v>1036</v>
      </c>
      <c r="H43" t="s">
        <v>4449</v>
      </c>
      <c r="I43" t="s">
        <v>4860</v>
      </c>
      <c r="J43">
        <v>72424315</v>
      </c>
      <c r="K43" t="s">
        <v>6028</v>
      </c>
      <c r="L43" t="s">
        <v>6204</v>
      </c>
      <c r="M43" t="s">
        <v>58</v>
      </c>
      <c r="O43" t="s">
        <v>6819</v>
      </c>
      <c r="P43" t="s">
        <v>1548</v>
      </c>
      <c r="Q43" t="s">
        <v>474</v>
      </c>
      <c r="R43" t="s">
        <v>2338</v>
      </c>
      <c r="S43" t="s">
        <v>1634</v>
      </c>
      <c r="T43" t="s">
        <v>6820</v>
      </c>
      <c r="U43" t="s">
        <v>2282</v>
      </c>
      <c r="V43">
        <v>45</v>
      </c>
      <c r="W43" t="s">
        <v>1634</v>
      </c>
      <c r="X43" t="s">
        <v>6031</v>
      </c>
      <c r="Y43" t="s">
        <v>5999</v>
      </c>
      <c r="Z43" t="s">
        <v>1634</v>
      </c>
      <c r="AA43" t="s">
        <v>6032</v>
      </c>
      <c r="AB43" t="s">
        <v>1548</v>
      </c>
      <c r="AC43" t="s">
        <v>6033</v>
      </c>
      <c r="AD43" t="s">
        <v>6033</v>
      </c>
      <c r="AE43" t="s">
        <v>1548</v>
      </c>
      <c r="AF43" t="s">
        <v>6084</v>
      </c>
      <c r="AG43" t="s">
        <v>6113</v>
      </c>
      <c r="BG43">
        <v>15</v>
      </c>
      <c r="BH43">
        <v>0</v>
      </c>
      <c r="BI43">
        <v>0</v>
      </c>
      <c r="BJ43">
        <v>0</v>
      </c>
      <c r="BK43">
        <v>0</v>
      </c>
      <c r="BL43">
        <v>0</v>
      </c>
      <c r="BM43">
        <v>0</v>
      </c>
      <c r="BN43">
        <v>0</v>
      </c>
      <c r="BO43">
        <v>0</v>
      </c>
      <c r="BP43">
        <v>0</v>
      </c>
      <c r="BQ43">
        <v>0</v>
      </c>
      <c r="BR43">
        <v>0</v>
      </c>
      <c r="BS43">
        <v>5</v>
      </c>
      <c r="BT43">
        <v>5</v>
      </c>
      <c r="BU43">
        <v>5</v>
      </c>
      <c r="BV43">
        <v>10</v>
      </c>
      <c r="BW43">
        <v>10</v>
      </c>
      <c r="BX43">
        <v>10</v>
      </c>
      <c r="BY43">
        <v>7</v>
      </c>
      <c r="BZ43">
        <v>7</v>
      </c>
      <c r="CA43">
        <v>7</v>
      </c>
      <c r="CB43">
        <v>0</v>
      </c>
      <c r="CC43">
        <v>0</v>
      </c>
      <c r="CD43">
        <v>0</v>
      </c>
      <c r="CE43" s="58" t="s">
        <v>6821</v>
      </c>
      <c r="CF43" t="s">
        <v>6450</v>
      </c>
      <c r="CG43" t="s">
        <v>6822</v>
      </c>
      <c r="CH43" t="s">
        <v>6823</v>
      </c>
      <c r="CI43" t="s">
        <v>6824</v>
      </c>
      <c r="CJ43" t="s">
        <v>6825</v>
      </c>
      <c r="CK43" t="s">
        <v>1548</v>
      </c>
      <c r="CL43" t="s">
        <v>6826</v>
      </c>
      <c r="CM43" t="s">
        <v>6007</v>
      </c>
      <c r="CN43" t="s">
        <v>1548</v>
      </c>
      <c r="CO43" t="s">
        <v>6827</v>
      </c>
      <c r="CP43" t="s">
        <v>6373</v>
      </c>
      <c r="CQ43" t="s">
        <v>6828</v>
      </c>
      <c r="CR43" t="s">
        <v>6829</v>
      </c>
      <c r="CS43" t="s">
        <v>6828</v>
      </c>
      <c r="CT43" t="s">
        <v>6830</v>
      </c>
      <c r="CU43" t="s">
        <v>1548</v>
      </c>
      <c r="CV43" t="s">
        <v>6831</v>
      </c>
      <c r="CW43" t="s">
        <v>6234</v>
      </c>
      <c r="CX43" t="s">
        <v>6067</v>
      </c>
      <c r="CY43" t="s">
        <v>6067</v>
      </c>
      <c r="DA43" t="s">
        <v>6046</v>
      </c>
      <c r="DB43" t="s">
        <v>6067</v>
      </c>
      <c r="DC43" t="s">
        <v>6014</v>
      </c>
      <c r="DD43" t="s">
        <v>6012</v>
      </c>
      <c r="DE43" t="s">
        <v>6012</v>
      </c>
      <c r="DF43" t="s">
        <v>6832</v>
      </c>
      <c r="DG43" t="s">
        <v>6015</v>
      </c>
      <c r="DH43" t="s">
        <v>6042</v>
      </c>
      <c r="DI43" t="s">
        <v>6313</v>
      </c>
      <c r="DJ43">
        <v>4</v>
      </c>
      <c r="DK43">
        <v>6</v>
      </c>
      <c r="DL43" t="s">
        <v>6049</v>
      </c>
      <c r="DM43" t="s">
        <v>6018</v>
      </c>
      <c r="DT43">
        <v>1000</v>
      </c>
      <c r="DU43">
        <v>10000</v>
      </c>
      <c r="DX43" t="s">
        <v>6069</v>
      </c>
      <c r="DY43" t="s">
        <v>6235</v>
      </c>
      <c r="DZ43" t="s">
        <v>6833</v>
      </c>
      <c r="EA43" t="s">
        <v>6022</v>
      </c>
      <c r="EB43">
        <v>0</v>
      </c>
      <c r="ER43" t="s">
        <v>6129</v>
      </c>
      <c r="ES43" t="s">
        <v>6834</v>
      </c>
      <c r="ET43" t="s">
        <v>1556</v>
      </c>
      <c r="EU43" t="s">
        <v>1556</v>
      </c>
      <c r="EV43" t="s">
        <v>6024</v>
      </c>
      <c r="EW43" t="s">
        <v>6835</v>
      </c>
      <c r="EX43" t="s">
        <v>6836</v>
      </c>
      <c r="EY43">
        <v>76655012</v>
      </c>
      <c r="EZ43" t="s">
        <v>6026</v>
      </c>
      <c r="FD43" s="57">
        <v>43675.467800925922</v>
      </c>
      <c r="FE43" s="57">
        <v>43675.468113425923</v>
      </c>
    </row>
    <row r="44" spans="1:161" ht="12" customHeight="1">
      <c r="A44">
        <v>401</v>
      </c>
      <c r="B44">
        <v>47</v>
      </c>
      <c r="C44">
        <v>313890</v>
      </c>
      <c r="D44" s="57">
        <v>43666.546412037038</v>
      </c>
      <c r="E44" t="s">
        <v>6294</v>
      </c>
      <c r="F44" t="s">
        <v>6323</v>
      </c>
      <c r="G44" t="s">
        <v>6324</v>
      </c>
      <c r="H44" t="s">
        <v>4449</v>
      </c>
      <c r="I44" t="s">
        <v>4860</v>
      </c>
      <c r="J44">
        <v>79603200</v>
      </c>
      <c r="K44" t="s">
        <v>6079</v>
      </c>
      <c r="L44" t="s">
        <v>481</v>
      </c>
      <c r="M44" t="s">
        <v>481</v>
      </c>
      <c r="O44" t="s">
        <v>6325</v>
      </c>
      <c r="P44" t="s">
        <v>1548</v>
      </c>
      <c r="Q44" t="s">
        <v>480</v>
      </c>
      <c r="R44" t="s">
        <v>6030</v>
      </c>
      <c r="S44" t="s">
        <v>1634</v>
      </c>
      <c r="T44" t="s">
        <v>6326</v>
      </c>
      <c r="U44" t="s">
        <v>1541</v>
      </c>
      <c r="V44">
        <v>29</v>
      </c>
      <c r="W44" t="s">
        <v>1634</v>
      </c>
      <c r="X44" t="s">
        <v>5997</v>
      </c>
      <c r="Y44" t="s">
        <v>6033</v>
      </c>
      <c r="Z44" t="s">
        <v>1548</v>
      </c>
      <c r="AA44" t="s">
        <v>6033</v>
      </c>
      <c r="AB44" t="s">
        <v>1634</v>
      </c>
      <c r="AC44" t="s">
        <v>5999</v>
      </c>
      <c r="AD44" t="s">
        <v>5999</v>
      </c>
      <c r="AE44" t="s">
        <v>1634</v>
      </c>
      <c r="AF44" t="s">
        <v>1561</v>
      </c>
      <c r="AG44" t="s">
        <v>6113</v>
      </c>
      <c r="AH44" t="s">
        <v>6057</v>
      </c>
      <c r="AI44" t="s">
        <v>6026</v>
      </c>
      <c r="AJ44" t="s">
        <v>6026</v>
      </c>
      <c r="AK44" t="s">
        <v>6026</v>
      </c>
      <c r="AL44" t="s">
        <v>6026</v>
      </c>
      <c r="AM44" t="s">
        <v>6026</v>
      </c>
      <c r="AN44" t="s">
        <v>6026</v>
      </c>
      <c r="AO44" t="s">
        <v>6026</v>
      </c>
      <c r="AP44" t="s">
        <v>6026</v>
      </c>
      <c r="AQ44" t="s">
        <v>6026</v>
      </c>
      <c r="AR44" t="s">
        <v>6026</v>
      </c>
      <c r="AS44" t="s">
        <v>6026</v>
      </c>
      <c r="AT44" t="s">
        <v>6026</v>
      </c>
      <c r="AU44" t="s">
        <v>6026</v>
      </c>
      <c r="AV44" t="s">
        <v>6026</v>
      </c>
      <c r="AW44" t="s">
        <v>6026</v>
      </c>
      <c r="AX44" t="s">
        <v>6026</v>
      </c>
      <c r="AY44" t="s">
        <v>6026</v>
      </c>
      <c r="AZ44" t="s">
        <v>6026</v>
      </c>
      <c r="BA44" t="s">
        <v>6026</v>
      </c>
      <c r="BB44" t="s">
        <v>6026</v>
      </c>
      <c r="BC44" t="s">
        <v>6026</v>
      </c>
      <c r="BD44" t="s">
        <v>6026</v>
      </c>
      <c r="BE44" t="s">
        <v>6026</v>
      </c>
      <c r="BF44" t="s">
        <v>6026</v>
      </c>
      <c r="BG44">
        <v>6</v>
      </c>
      <c r="BH44" t="s">
        <v>6026</v>
      </c>
      <c r="BI44" t="s">
        <v>6026</v>
      </c>
      <c r="BJ44" t="s">
        <v>6026</v>
      </c>
      <c r="BK44" t="s">
        <v>6026</v>
      </c>
      <c r="BL44" t="s">
        <v>6026</v>
      </c>
      <c r="BM44" t="s">
        <v>6026</v>
      </c>
      <c r="BN44" t="s">
        <v>6026</v>
      </c>
      <c r="BO44" t="s">
        <v>6026</v>
      </c>
      <c r="BP44" t="s">
        <v>6026</v>
      </c>
      <c r="BQ44" t="s">
        <v>6026</v>
      </c>
      <c r="BR44" t="s">
        <v>6026</v>
      </c>
      <c r="BS44" t="s">
        <v>6026</v>
      </c>
      <c r="BT44">
        <v>2</v>
      </c>
      <c r="BU44" t="s">
        <v>6026</v>
      </c>
      <c r="BV44" t="s">
        <v>6026</v>
      </c>
      <c r="BW44">
        <v>1</v>
      </c>
      <c r="BX44" t="s">
        <v>6026</v>
      </c>
      <c r="BY44" t="s">
        <v>6026</v>
      </c>
      <c r="BZ44">
        <v>3</v>
      </c>
      <c r="CA44" t="s">
        <v>6026</v>
      </c>
      <c r="CB44" t="s">
        <v>6026</v>
      </c>
      <c r="CC44" t="s">
        <v>6026</v>
      </c>
      <c r="CD44">
        <v>10</v>
      </c>
      <c r="CE44" t="s">
        <v>6327</v>
      </c>
      <c r="CF44" t="s">
        <v>6328</v>
      </c>
      <c r="CG44" t="s">
        <v>6329</v>
      </c>
      <c r="CH44" t="s">
        <v>6330</v>
      </c>
      <c r="CI44" t="s">
        <v>6331</v>
      </c>
      <c r="CJ44" t="s">
        <v>6332</v>
      </c>
      <c r="CK44" t="s">
        <v>1548</v>
      </c>
      <c r="CL44" t="s">
        <v>6333</v>
      </c>
      <c r="CM44" t="s">
        <v>6007</v>
      </c>
      <c r="CN44" t="s">
        <v>1548</v>
      </c>
      <c r="CO44" t="s">
        <v>6334</v>
      </c>
      <c r="CP44" t="s">
        <v>6007</v>
      </c>
      <c r="CQ44" t="s">
        <v>6335</v>
      </c>
      <c r="CR44" t="s">
        <v>6009</v>
      </c>
      <c r="CS44" t="s">
        <v>6336</v>
      </c>
      <c r="CT44" t="s">
        <v>6009</v>
      </c>
      <c r="CU44" t="s">
        <v>1548</v>
      </c>
      <c r="CV44" t="s">
        <v>6337</v>
      </c>
      <c r="CW44" t="s">
        <v>6009</v>
      </c>
      <c r="CX44" t="s">
        <v>6338</v>
      </c>
      <c r="CY44" t="s">
        <v>6014</v>
      </c>
      <c r="CZ44" t="s">
        <v>6012</v>
      </c>
      <c r="DA44" t="s">
        <v>6046</v>
      </c>
      <c r="DB44" t="s">
        <v>6014</v>
      </c>
      <c r="DC44" t="s">
        <v>6014</v>
      </c>
      <c r="DD44" t="s">
        <v>6012</v>
      </c>
      <c r="DE44" t="s">
        <v>6012</v>
      </c>
      <c r="DF44" t="s">
        <v>6339</v>
      </c>
      <c r="DG44" t="s">
        <v>6047</v>
      </c>
      <c r="DH44" t="s">
        <v>6340</v>
      </c>
      <c r="DI44" t="s">
        <v>6313</v>
      </c>
      <c r="DJ44">
        <v>1</v>
      </c>
      <c r="DK44">
        <v>1</v>
      </c>
      <c r="DL44" t="s">
        <v>6049</v>
      </c>
      <c r="DM44" t="s">
        <v>1559</v>
      </c>
      <c r="DO44">
        <v>1</v>
      </c>
      <c r="DX44" t="s">
        <v>6341</v>
      </c>
      <c r="DY44" t="s">
        <v>6020</v>
      </c>
      <c r="DZ44" t="s">
        <v>6342</v>
      </c>
      <c r="EA44" t="s">
        <v>6022</v>
      </c>
      <c r="EB44">
        <v>0</v>
      </c>
      <c r="ER44" t="s">
        <v>6051</v>
      </c>
      <c r="ES44" t="s">
        <v>6343</v>
      </c>
      <c r="ET44" t="s">
        <v>6344</v>
      </c>
      <c r="EV44" t="s">
        <v>6074</v>
      </c>
      <c r="EW44" t="s">
        <v>6345</v>
      </c>
      <c r="EX44" t="s">
        <v>905</v>
      </c>
      <c r="EY44">
        <v>79894653</v>
      </c>
      <c r="EZ44" t="s">
        <v>6026</v>
      </c>
      <c r="FA44" t="s">
        <v>6346</v>
      </c>
      <c r="FD44" s="57">
        <v>43666.483368055553</v>
      </c>
      <c r="FE44" s="57">
        <v>43666.490416666667</v>
      </c>
    </row>
    <row r="45" spans="1:161" ht="12" customHeight="1">
      <c r="A45">
        <v>402</v>
      </c>
      <c r="B45">
        <v>48</v>
      </c>
      <c r="C45">
        <v>313888</v>
      </c>
      <c r="D45" s="57">
        <v>43666.546412037038</v>
      </c>
      <c r="E45" t="s">
        <v>6294</v>
      </c>
      <c r="F45" t="s">
        <v>616</v>
      </c>
      <c r="G45" t="s">
        <v>6295</v>
      </c>
      <c r="H45" t="s">
        <v>4449</v>
      </c>
      <c r="I45" t="s">
        <v>4860</v>
      </c>
      <c r="J45">
        <v>75278933</v>
      </c>
      <c r="K45" t="s">
        <v>6079</v>
      </c>
      <c r="L45" t="s">
        <v>481</v>
      </c>
      <c r="M45" t="s">
        <v>481</v>
      </c>
      <c r="O45" t="s">
        <v>6296</v>
      </c>
      <c r="P45" t="s">
        <v>1548</v>
      </c>
      <c r="Q45" t="s">
        <v>483</v>
      </c>
      <c r="R45" t="s">
        <v>6030</v>
      </c>
      <c r="S45" t="s">
        <v>1634</v>
      </c>
      <c r="T45" t="s">
        <v>6297</v>
      </c>
      <c r="U45" t="s">
        <v>2282</v>
      </c>
      <c r="V45">
        <v>50</v>
      </c>
      <c r="W45" t="s">
        <v>1634</v>
      </c>
      <c r="X45" t="s">
        <v>5997</v>
      </c>
      <c r="Y45" t="s">
        <v>6033</v>
      </c>
      <c r="Z45" t="s">
        <v>1548</v>
      </c>
      <c r="AA45" t="s">
        <v>6033</v>
      </c>
      <c r="AB45" t="s">
        <v>1634</v>
      </c>
      <c r="AC45" t="s">
        <v>5999</v>
      </c>
      <c r="AD45" t="s">
        <v>5999</v>
      </c>
      <c r="AE45" t="s">
        <v>1634</v>
      </c>
      <c r="AF45" t="s">
        <v>6085</v>
      </c>
      <c r="AG45" t="s">
        <v>6085</v>
      </c>
      <c r="AH45" t="s">
        <v>6057</v>
      </c>
      <c r="AI45" t="s">
        <v>6026</v>
      </c>
      <c r="AJ45" t="s">
        <v>6026</v>
      </c>
      <c r="AK45" t="s">
        <v>6026</v>
      </c>
      <c r="AL45" t="s">
        <v>6026</v>
      </c>
      <c r="AM45" t="s">
        <v>6026</v>
      </c>
      <c r="AN45" t="s">
        <v>6026</v>
      </c>
      <c r="AO45" t="s">
        <v>6026</v>
      </c>
      <c r="AP45" t="s">
        <v>6026</v>
      </c>
      <c r="AQ45" t="s">
        <v>6026</v>
      </c>
      <c r="AR45" t="s">
        <v>6026</v>
      </c>
      <c r="AS45" t="s">
        <v>6026</v>
      </c>
      <c r="AT45" t="s">
        <v>6026</v>
      </c>
      <c r="AU45" t="s">
        <v>6026</v>
      </c>
      <c r="AV45" t="s">
        <v>6026</v>
      </c>
      <c r="AW45" t="s">
        <v>6026</v>
      </c>
      <c r="AX45" t="s">
        <v>6026</v>
      </c>
      <c r="AY45" t="s">
        <v>6026</v>
      </c>
      <c r="AZ45" t="s">
        <v>6026</v>
      </c>
      <c r="BA45" t="s">
        <v>6026</v>
      </c>
      <c r="BB45" t="s">
        <v>6026</v>
      </c>
      <c r="BC45" t="s">
        <v>6026</v>
      </c>
      <c r="BD45" t="s">
        <v>6026</v>
      </c>
      <c r="BE45" t="s">
        <v>6026</v>
      </c>
      <c r="BF45" t="s">
        <v>6026</v>
      </c>
      <c r="BG45">
        <v>10</v>
      </c>
      <c r="BH45">
        <v>10</v>
      </c>
      <c r="BI45" t="s">
        <v>6026</v>
      </c>
      <c r="BJ45">
        <v>15</v>
      </c>
      <c r="BK45">
        <v>10</v>
      </c>
      <c r="BL45" t="s">
        <v>6026</v>
      </c>
      <c r="BM45">
        <v>11</v>
      </c>
      <c r="BN45">
        <v>11</v>
      </c>
      <c r="BO45" t="s">
        <v>6026</v>
      </c>
      <c r="BP45">
        <v>20</v>
      </c>
      <c r="BQ45">
        <v>10</v>
      </c>
      <c r="BR45" t="s">
        <v>6026</v>
      </c>
      <c r="BS45">
        <v>3</v>
      </c>
      <c r="BT45">
        <v>2</v>
      </c>
      <c r="BU45" t="s">
        <v>6026</v>
      </c>
      <c r="BV45">
        <v>2</v>
      </c>
      <c r="BW45">
        <v>2</v>
      </c>
      <c r="BX45" t="s">
        <v>6026</v>
      </c>
      <c r="BY45">
        <v>2</v>
      </c>
      <c r="BZ45">
        <v>2</v>
      </c>
      <c r="CA45" t="s">
        <v>6026</v>
      </c>
      <c r="CB45">
        <v>7</v>
      </c>
      <c r="CC45">
        <v>5</v>
      </c>
      <c r="CD45">
        <v>11</v>
      </c>
      <c r="CE45" t="s">
        <v>6298</v>
      </c>
      <c r="CF45" t="s">
        <v>6299</v>
      </c>
      <c r="CG45" t="s">
        <v>6300</v>
      </c>
      <c r="CH45" t="s">
        <v>6301</v>
      </c>
      <c r="CI45" t="s">
        <v>6302</v>
      </c>
      <c r="CJ45" t="s">
        <v>6039</v>
      </c>
      <c r="CK45" t="s">
        <v>1548</v>
      </c>
      <c r="CL45" t="s">
        <v>6303</v>
      </c>
      <c r="CM45" t="s">
        <v>6007</v>
      </c>
      <c r="CN45" t="s">
        <v>1634</v>
      </c>
      <c r="CO45" t="s">
        <v>6304</v>
      </c>
      <c r="CP45" t="s">
        <v>6144</v>
      </c>
      <c r="CQ45" t="s">
        <v>6305</v>
      </c>
      <c r="CR45" t="s">
        <v>6306</v>
      </c>
      <c r="CS45" t="s">
        <v>6307</v>
      </c>
      <c r="CT45" t="s">
        <v>6308</v>
      </c>
      <c r="CU45" t="s">
        <v>1634</v>
      </c>
      <c r="CV45" t="s">
        <v>6309</v>
      </c>
      <c r="CW45" t="s">
        <v>6310</v>
      </c>
      <c r="CX45" t="s">
        <v>6014</v>
      </c>
      <c r="CY45" t="s">
        <v>6014</v>
      </c>
      <c r="CZ45" t="s">
        <v>6046</v>
      </c>
      <c r="DA45" t="s">
        <v>6046</v>
      </c>
      <c r="DB45" t="s">
        <v>6014</v>
      </c>
      <c r="DC45" t="s">
        <v>6014</v>
      </c>
      <c r="DD45" t="s">
        <v>6012</v>
      </c>
      <c r="DE45" t="s">
        <v>6012</v>
      </c>
      <c r="DF45" t="s">
        <v>6311</v>
      </c>
      <c r="DG45" t="s">
        <v>6047</v>
      </c>
      <c r="DH45" t="s">
        <v>6312</v>
      </c>
      <c r="DI45" t="s">
        <v>6313</v>
      </c>
      <c r="DJ45">
        <v>1</v>
      </c>
      <c r="DK45">
        <v>1</v>
      </c>
      <c r="DL45" t="s">
        <v>6049</v>
      </c>
      <c r="DM45" t="s">
        <v>6257</v>
      </c>
      <c r="DR45">
        <v>2</v>
      </c>
      <c r="DS45">
        <v>30</v>
      </c>
      <c r="DX45" t="s">
        <v>6314</v>
      </c>
      <c r="DY45" t="s">
        <v>6315</v>
      </c>
      <c r="DZ45" t="s">
        <v>6316</v>
      </c>
      <c r="EB45">
        <v>1</v>
      </c>
      <c r="EC45" t="s">
        <v>6317</v>
      </c>
      <c r="ED45" t="s">
        <v>1634</v>
      </c>
      <c r="EE45">
        <v>300000</v>
      </c>
      <c r="ER45" t="s">
        <v>6023</v>
      </c>
      <c r="ES45" t="s">
        <v>6318</v>
      </c>
      <c r="ET45" t="s">
        <v>6319</v>
      </c>
      <c r="EV45" t="s">
        <v>6074</v>
      </c>
      <c r="EW45" t="s">
        <v>6320</v>
      </c>
      <c r="EX45" t="s">
        <v>4061</v>
      </c>
      <c r="EY45">
        <v>58645885</v>
      </c>
      <c r="EZ45">
        <v>66994488</v>
      </c>
      <c r="FA45" t="s">
        <v>6321</v>
      </c>
      <c r="FB45" t="s">
        <v>6322</v>
      </c>
      <c r="FD45" s="57">
        <v>43666.527326388888</v>
      </c>
      <c r="FE45" s="57">
        <v>43666.533217592594</v>
      </c>
    </row>
    <row r="46" spans="1:161" ht="12" customHeight="1">
      <c r="A46">
        <v>404</v>
      </c>
      <c r="B46">
        <v>4</v>
      </c>
      <c r="C46">
        <v>351348</v>
      </c>
      <c r="D46" s="57">
        <v>43678.418796296297</v>
      </c>
      <c r="E46" t="s">
        <v>5991</v>
      </c>
      <c r="F46" t="s">
        <v>670</v>
      </c>
      <c r="G46" t="s">
        <v>6280</v>
      </c>
      <c r="H46" t="s">
        <v>4449</v>
      </c>
      <c r="I46" t="s">
        <v>4860</v>
      </c>
      <c r="J46">
        <v>70297624</v>
      </c>
      <c r="K46" t="s">
        <v>5992</v>
      </c>
      <c r="L46" t="s">
        <v>6281</v>
      </c>
      <c r="M46" t="s">
        <v>485</v>
      </c>
      <c r="O46" t="s">
        <v>1097</v>
      </c>
      <c r="P46" t="s">
        <v>1548</v>
      </c>
      <c r="Q46" t="s">
        <v>484</v>
      </c>
      <c r="R46" t="s">
        <v>2338</v>
      </c>
      <c r="S46" t="s">
        <v>1634</v>
      </c>
      <c r="T46" t="s">
        <v>6282</v>
      </c>
      <c r="U46" t="s">
        <v>2282</v>
      </c>
      <c r="V46">
        <v>28</v>
      </c>
      <c r="W46" t="s">
        <v>1634</v>
      </c>
      <c r="X46" t="s">
        <v>6031</v>
      </c>
      <c r="Y46" t="s">
        <v>6083</v>
      </c>
      <c r="Z46" t="s">
        <v>1634</v>
      </c>
      <c r="AA46" t="s">
        <v>6083</v>
      </c>
      <c r="AB46" t="s">
        <v>1634</v>
      </c>
      <c r="AC46" t="s">
        <v>5999</v>
      </c>
      <c r="AD46" t="s">
        <v>5999</v>
      </c>
      <c r="AE46" t="s">
        <v>1634</v>
      </c>
      <c r="AF46" t="s">
        <v>6084</v>
      </c>
      <c r="AG46" t="s">
        <v>6271</v>
      </c>
      <c r="AH46" t="s">
        <v>6057</v>
      </c>
      <c r="AI46" t="s">
        <v>6026</v>
      </c>
      <c r="AJ46" t="s">
        <v>6026</v>
      </c>
      <c r="AK46" t="s">
        <v>6026</v>
      </c>
      <c r="AL46" t="s">
        <v>6026</v>
      </c>
      <c r="AM46" t="s">
        <v>6026</v>
      </c>
      <c r="AN46" t="s">
        <v>6026</v>
      </c>
      <c r="AO46" t="s">
        <v>6026</v>
      </c>
      <c r="AP46" t="s">
        <v>6026</v>
      </c>
      <c r="AQ46" t="s">
        <v>6026</v>
      </c>
      <c r="AR46" t="s">
        <v>6026</v>
      </c>
      <c r="AS46" t="s">
        <v>6026</v>
      </c>
      <c r="AT46" t="s">
        <v>6026</v>
      </c>
      <c r="AU46" t="s">
        <v>6026</v>
      </c>
      <c r="AV46" t="s">
        <v>6026</v>
      </c>
      <c r="AW46" t="s">
        <v>6026</v>
      </c>
      <c r="AX46" t="s">
        <v>6026</v>
      </c>
      <c r="AY46" t="s">
        <v>6026</v>
      </c>
      <c r="AZ46">
        <v>0</v>
      </c>
      <c r="BA46" t="s">
        <v>6026</v>
      </c>
      <c r="BB46" t="s">
        <v>6026</v>
      </c>
      <c r="BC46" t="s">
        <v>6026</v>
      </c>
      <c r="BD46" t="s">
        <v>6026</v>
      </c>
      <c r="BE46">
        <v>12</v>
      </c>
      <c r="BF46" t="s">
        <v>6026</v>
      </c>
      <c r="BG46">
        <v>0</v>
      </c>
      <c r="BH46">
        <v>0</v>
      </c>
      <c r="BI46">
        <v>0</v>
      </c>
      <c r="BJ46">
        <v>0</v>
      </c>
      <c r="BK46">
        <v>0</v>
      </c>
      <c r="BL46">
        <v>0</v>
      </c>
      <c r="BM46">
        <v>0</v>
      </c>
      <c r="BN46">
        <v>0</v>
      </c>
      <c r="BO46">
        <v>0</v>
      </c>
      <c r="BP46">
        <v>0</v>
      </c>
      <c r="BQ46">
        <v>7</v>
      </c>
      <c r="BR46">
        <v>0</v>
      </c>
      <c r="BS46">
        <v>0</v>
      </c>
      <c r="BT46">
        <v>1</v>
      </c>
      <c r="BU46">
        <v>1</v>
      </c>
      <c r="BV46">
        <v>0</v>
      </c>
      <c r="BW46">
        <v>2</v>
      </c>
      <c r="BX46">
        <v>2</v>
      </c>
      <c r="BY46">
        <v>0</v>
      </c>
      <c r="BZ46">
        <v>1</v>
      </c>
      <c r="CA46">
        <v>1</v>
      </c>
      <c r="CB46">
        <v>0</v>
      </c>
      <c r="CC46">
        <v>0</v>
      </c>
      <c r="CD46">
        <v>3</v>
      </c>
      <c r="CE46" s="58" t="s">
        <v>6283</v>
      </c>
      <c r="CF46" t="s">
        <v>6115</v>
      </c>
      <c r="CG46" t="s">
        <v>6284</v>
      </c>
      <c r="CH46" t="s">
        <v>6285</v>
      </c>
      <c r="CI46" t="s">
        <v>6286</v>
      </c>
      <c r="CJ46" t="s">
        <v>6287</v>
      </c>
      <c r="CK46" t="s">
        <v>1548</v>
      </c>
      <c r="CL46" t="s">
        <v>1856</v>
      </c>
      <c r="CM46" t="s">
        <v>6007</v>
      </c>
      <c r="CN46" t="s">
        <v>1548</v>
      </c>
      <c r="CO46" t="s">
        <v>1856</v>
      </c>
      <c r="CP46" t="s">
        <v>6007</v>
      </c>
      <c r="CQ46" t="s">
        <v>1856</v>
      </c>
      <c r="CR46" t="s">
        <v>6009</v>
      </c>
      <c r="CS46" t="s">
        <v>1856</v>
      </c>
      <c r="CT46" t="s">
        <v>6009</v>
      </c>
      <c r="CU46" t="s">
        <v>1548</v>
      </c>
      <c r="CV46" t="s">
        <v>6288</v>
      </c>
      <c r="CW46" t="s">
        <v>6234</v>
      </c>
      <c r="CX46" t="s">
        <v>6014</v>
      </c>
      <c r="CY46" t="s">
        <v>6067</v>
      </c>
      <c r="CZ46" t="s">
        <v>6013</v>
      </c>
      <c r="DA46" t="s">
        <v>6013</v>
      </c>
      <c r="DB46" t="s">
        <v>6011</v>
      </c>
      <c r="DC46" t="s">
        <v>6014</v>
      </c>
      <c r="DD46" t="s">
        <v>6013</v>
      </c>
      <c r="DE46" t="s">
        <v>6013</v>
      </c>
      <c r="DF46" t="s">
        <v>1565</v>
      </c>
      <c r="DG46" t="s">
        <v>6015</v>
      </c>
      <c r="DH46" t="s">
        <v>1366</v>
      </c>
      <c r="DI46" t="s">
        <v>6016</v>
      </c>
      <c r="DJ46">
        <v>1</v>
      </c>
      <c r="DK46">
        <v>1</v>
      </c>
      <c r="DL46" t="s">
        <v>6017</v>
      </c>
      <c r="DM46" t="s">
        <v>6289</v>
      </c>
      <c r="DQ46">
        <v>1000</v>
      </c>
      <c r="DX46" t="s">
        <v>6290</v>
      </c>
      <c r="DY46" t="s">
        <v>6291</v>
      </c>
      <c r="DZ46" t="s">
        <v>6292</v>
      </c>
      <c r="EA46" t="s">
        <v>6022</v>
      </c>
      <c r="EB46">
        <v>1</v>
      </c>
      <c r="EC46" t="s">
        <v>1097</v>
      </c>
      <c r="ED46" t="s">
        <v>1634</v>
      </c>
      <c r="EE46">
        <v>25000</v>
      </c>
      <c r="ER46" t="s">
        <v>6023</v>
      </c>
      <c r="ES46" t="s">
        <v>6293</v>
      </c>
      <c r="ET46" t="s">
        <v>6293</v>
      </c>
      <c r="EV46" t="s">
        <v>6024</v>
      </c>
      <c r="EW46" t="s">
        <v>527</v>
      </c>
      <c r="EX46" t="s">
        <v>609</v>
      </c>
      <c r="EY46">
        <v>70651028</v>
      </c>
      <c r="EZ46">
        <v>67761473</v>
      </c>
      <c r="FD46" s="57">
        <v>43678.398032407407</v>
      </c>
      <c r="FE46" s="57">
        <v>43678.414733796293</v>
      </c>
    </row>
    <row r="47" spans="1:161" ht="12" customHeight="1">
      <c r="A47">
        <v>405</v>
      </c>
      <c r="B47">
        <v>3</v>
      </c>
      <c r="C47">
        <v>351662</v>
      </c>
      <c r="D47" s="57">
        <v>43678.440682870372</v>
      </c>
      <c r="E47" t="s">
        <v>5991</v>
      </c>
      <c r="F47" t="s">
        <v>888</v>
      </c>
      <c r="G47" t="s">
        <v>6265</v>
      </c>
      <c r="H47" t="s">
        <v>6266</v>
      </c>
      <c r="I47" t="s">
        <v>4860</v>
      </c>
      <c r="J47">
        <v>68841830</v>
      </c>
      <c r="K47" t="s">
        <v>6267</v>
      </c>
      <c r="L47" t="s">
        <v>6268</v>
      </c>
      <c r="M47" t="s">
        <v>487</v>
      </c>
      <c r="O47" t="s">
        <v>6269</v>
      </c>
      <c r="P47" t="s">
        <v>1548</v>
      </c>
      <c r="Q47" t="s">
        <v>486</v>
      </c>
      <c r="R47" t="s">
        <v>1920</v>
      </c>
      <c r="S47" t="s">
        <v>1634</v>
      </c>
      <c r="T47" t="s">
        <v>6270</v>
      </c>
      <c r="U47" t="s">
        <v>2282</v>
      </c>
      <c r="V47">
        <v>70</v>
      </c>
      <c r="W47" t="s">
        <v>1634</v>
      </c>
      <c r="X47" t="s">
        <v>6031</v>
      </c>
      <c r="Y47" t="s">
        <v>5998</v>
      </c>
      <c r="Z47" t="s">
        <v>1634</v>
      </c>
      <c r="AA47" t="s">
        <v>5998</v>
      </c>
      <c r="AB47" t="s">
        <v>1634</v>
      </c>
      <c r="AC47" t="s">
        <v>5998</v>
      </c>
      <c r="AD47" t="s">
        <v>6083</v>
      </c>
      <c r="AE47" t="s">
        <v>1634</v>
      </c>
      <c r="AF47" t="s">
        <v>6271</v>
      </c>
      <c r="AG47" t="s">
        <v>6113</v>
      </c>
      <c r="AH47" t="s">
        <v>6057</v>
      </c>
      <c r="AI47">
        <v>0</v>
      </c>
      <c r="AJ47">
        <v>0</v>
      </c>
      <c r="AK47">
        <v>0</v>
      </c>
      <c r="AL47">
        <v>0</v>
      </c>
      <c r="AM47">
        <v>0</v>
      </c>
      <c r="AN47">
        <v>0</v>
      </c>
      <c r="AO47">
        <v>0</v>
      </c>
      <c r="AP47">
        <v>0</v>
      </c>
      <c r="AQ47">
        <v>0</v>
      </c>
      <c r="AR47">
        <v>0</v>
      </c>
      <c r="AS47">
        <v>0</v>
      </c>
      <c r="AT47">
        <v>0</v>
      </c>
      <c r="AU47">
        <v>5</v>
      </c>
      <c r="AV47">
        <v>0</v>
      </c>
      <c r="AW47">
        <v>0</v>
      </c>
      <c r="AX47">
        <v>6</v>
      </c>
      <c r="AY47">
        <v>0</v>
      </c>
      <c r="AZ47">
        <v>0</v>
      </c>
      <c r="BA47">
        <v>7</v>
      </c>
      <c r="BB47">
        <v>0</v>
      </c>
      <c r="BC47">
        <v>0</v>
      </c>
      <c r="BD47">
        <v>12</v>
      </c>
      <c r="BE47">
        <v>0</v>
      </c>
      <c r="BF47">
        <v>0</v>
      </c>
      <c r="BG47">
        <v>9</v>
      </c>
      <c r="BH47">
        <v>0</v>
      </c>
      <c r="BI47">
        <v>0</v>
      </c>
      <c r="BJ47">
        <v>10</v>
      </c>
      <c r="BK47">
        <v>0</v>
      </c>
      <c r="BL47">
        <v>0</v>
      </c>
      <c r="BM47">
        <v>11</v>
      </c>
      <c r="BN47">
        <v>0</v>
      </c>
      <c r="BO47">
        <v>0</v>
      </c>
      <c r="BP47">
        <v>16</v>
      </c>
      <c r="BQ47">
        <v>0</v>
      </c>
      <c r="BR47">
        <v>0</v>
      </c>
      <c r="BS47">
        <v>0</v>
      </c>
      <c r="BT47">
        <v>0</v>
      </c>
      <c r="BU47">
        <v>0</v>
      </c>
      <c r="BV47">
        <v>0</v>
      </c>
      <c r="BW47">
        <v>0</v>
      </c>
      <c r="BX47">
        <v>0</v>
      </c>
      <c r="BY47">
        <v>0</v>
      </c>
      <c r="BZ47">
        <v>0</v>
      </c>
      <c r="CA47">
        <v>0</v>
      </c>
      <c r="CB47">
        <v>0</v>
      </c>
      <c r="CC47">
        <v>0</v>
      </c>
      <c r="CD47">
        <v>0</v>
      </c>
      <c r="CE47" t="s">
        <v>6272</v>
      </c>
      <c r="CF47" t="s">
        <v>6115</v>
      </c>
      <c r="CG47" t="s">
        <v>6273</v>
      </c>
      <c r="CH47" t="s">
        <v>6020</v>
      </c>
      <c r="CI47" t="s">
        <v>6274</v>
      </c>
      <c r="CJ47" t="s">
        <v>6275</v>
      </c>
      <c r="CK47" t="s">
        <v>1548</v>
      </c>
      <c r="CL47" t="s">
        <v>6276</v>
      </c>
      <c r="CM47" t="s">
        <v>6007</v>
      </c>
      <c r="CN47" t="s">
        <v>1548</v>
      </c>
      <c r="CO47" t="s">
        <v>1856</v>
      </c>
      <c r="CP47" t="s">
        <v>6007</v>
      </c>
      <c r="CQ47" t="s">
        <v>1366</v>
      </c>
      <c r="CR47" t="s">
        <v>6009</v>
      </c>
      <c r="CS47" t="s">
        <v>1366</v>
      </c>
      <c r="CT47" t="s">
        <v>6009</v>
      </c>
      <c r="CU47" t="s">
        <v>1548</v>
      </c>
      <c r="CV47" t="s">
        <v>6010</v>
      </c>
      <c r="CW47" t="s">
        <v>6009</v>
      </c>
      <c r="CX47" t="s">
        <v>6277</v>
      </c>
      <c r="CY47" t="s">
        <v>6011</v>
      </c>
      <c r="CZ47" t="s">
        <v>6013</v>
      </c>
      <c r="DA47" t="s">
        <v>6013</v>
      </c>
      <c r="DB47" t="s">
        <v>6014</v>
      </c>
      <c r="DC47" t="s">
        <v>6014</v>
      </c>
      <c r="DD47" t="s">
        <v>6013</v>
      </c>
      <c r="DE47" t="s">
        <v>6013</v>
      </c>
      <c r="DF47" t="s">
        <v>1366</v>
      </c>
      <c r="DG47" t="s">
        <v>6015</v>
      </c>
      <c r="DH47" t="s">
        <v>1366</v>
      </c>
      <c r="DI47" t="s">
        <v>6016</v>
      </c>
      <c r="DJ47">
        <v>2</v>
      </c>
      <c r="DK47">
        <v>2</v>
      </c>
      <c r="DL47" t="s">
        <v>6017</v>
      </c>
      <c r="DM47" t="s">
        <v>6101</v>
      </c>
      <c r="DV47">
        <v>110</v>
      </c>
      <c r="DW47">
        <v>6000</v>
      </c>
      <c r="DX47" t="s">
        <v>6273</v>
      </c>
      <c r="DY47" t="s">
        <v>6020</v>
      </c>
      <c r="DZ47" t="s">
        <v>6278</v>
      </c>
      <c r="EA47" t="s">
        <v>6022</v>
      </c>
      <c r="EB47">
        <v>2</v>
      </c>
      <c r="EC47" t="s">
        <v>6279</v>
      </c>
      <c r="ED47" t="s">
        <v>1634</v>
      </c>
      <c r="EE47">
        <v>40000</v>
      </c>
      <c r="EF47" t="s">
        <v>6279</v>
      </c>
      <c r="EG47" t="s">
        <v>1634</v>
      </c>
      <c r="EH47">
        <v>60000</v>
      </c>
      <c r="ER47" t="s">
        <v>6023</v>
      </c>
      <c r="ES47" t="s">
        <v>6279</v>
      </c>
      <c r="EV47" t="s">
        <v>6238</v>
      </c>
      <c r="EW47" t="s">
        <v>616</v>
      </c>
      <c r="EX47" t="s">
        <v>686</v>
      </c>
      <c r="EY47">
        <v>78846362</v>
      </c>
      <c r="EZ47" t="s">
        <v>6026</v>
      </c>
      <c r="FD47" s="57">
        <v>43678.427870370368</v>
      </c>
      <c r="FE47" s="57">
        <v>43678.440648148149</v>
      </c>
    </row>
    <row r="48" spans="1:161" ht="12" customHeight="1">
      <c r="A48">
        <v>406</v>
      </c>
      <c r="B48">
        <v>61</v>
      </c>
      <c r="C48">
        <v>311982</v>
      </c>
      <c r="D48" s="57">
        <v>43665.631828703707</v>
      </c>
      <c r="E48" t="s">
        <v>6077</v>
      </c>
      <c r="F48" t="s">
        <v>541</v>
      </c>
      <c r="G48" t="s">
        <v>6240</v>
      </c>
      <c r="H48" t="s">
        <v>4449</v>
      </c>
      <c r="I48" t="s">
        <v>4860</v>
      </c>
      <c r="J48">
        <v>65822235</v>
      </c>
      <c r="K48" t="s">
        <v>6028</v>
      </c>
      <c r="L48" t="s">
        <v>6204</v>
      </c>
      <c r="M48" t="s">
        <v>489</v>
      </c>
      <c r="O48" t="s">
        <v>6241</v>
      </c>
      <c r="P48" t="s">
        <v>1548</v>
      </c>
      <c r="Q48" t="s">
        <v>488</v>
      </c>
      <c r="R48" t="s">
        <v>2338</v>
      </c>
      <c r="S48" t="s">
        <v>1634</v>
      </c>
      <c r="T48" t="s">
        <v>6242</v>
      </c>
      <c r="U48" t="s">
        <v>1180</v>
      </c>
      <c r="V48">
        <v>105</v>
      </c>
      <c r="W48" t="s">
        <v>1634</v>
      </c>
      <c r="X48" t="s">
        <v>6031</v>
      </c>
      <c r="Y48" t="s">
        <v>5999</v>
      </c>
      <c r="Z48" t="s">
        <v>1548</v>
      </c>
      <c r="AA48" t="s">
        <v>6033</v>
      </c>
      <c r="AB48" t="s">
        <v>1634</v>
      </c>
      <c r="AC48" t="s">
        <v>6033</v>
      </c>
      <c r="AD48" t="s">
        <v>5998</v>
      </c>
      <c r="AE48" t="s">
        <v>1634</v>
      </c>
      <c r="AF48" t="s">
        <v>1561</v>
      </c>
      <c r="AG48" t="s">
        <v>1561</v>
      </c>
      <c r="AH48" t="s">
        <v>1561</v>
      </c>
      <c r="AI48" t="s">
        <v>6026</v>
      </c>
      <c r="AJ48" t="s">
        <v>6026</v>
      </c>
      <c r="AK48" t="s">
        <v>6026</v>
      </c>
      <c r="AL48" t="s">
        <v>6026</v>
      </c>
      <c r="AM48" t="s">
        <v>6026</v>
      </c>
      <c r="AN48" t="s">
        <v>6026</v>
      </c>
      <c r="AO48" t="s">
        <v>6026</v>
      </c>
      <c r="AP48" t="s">
        <v>6026</v>
      </c>
      <c r="AQ48" t="s">
        <v>6026</v>
      </c>
      <c r="AR48" t="s">
        <v>6026</v>
      </c>
      <c r="AS48" t="s">
        <v>6026</v>
      </c>
      <c r="AT48" t="s">
        <v>6026</v>
      </c>
      <c r="AU48" t="s">
        <v>6026</v>
      </c>
      <c r="AV48" t="s">
        <v>6026</v>
      </c>
      <c r="AW48" t="s">
        <v>6026</v>
      </c>
      <c r="AX48" t="s">
        <v>6026</v>
      </c>
      <c r="AY48" t="s">
        <v>6026</v>
      </c>
      <c r="AZ48" t="s">
        <v>6026</v>
      </c>
      <c r="BA48" t="s">
        <v>6026</v>
      </c>
      <c r="BB48" t="s">
        <v>6026</v>
      </c>
      <c r="BC48" t="s">
        <v>6026</v>
      </c>
      <c r="BD48" t="s">
        <v>6026</v>
      </c>
      <c r="BE48" t="s">
        <v>6026</v>
      </c>
      <c r="BF48" t="s">
        <v>6026</v>
      </c>
      <c r="BG48">
        <v>20</v>
      </c>
      <c r="BH48">
        <v>15</v>
      </c>
      <c r="BI48">
        <v>15</v>
      </c>
      <c r="BJ48">
        <v>20</v>
      </c>
      <c r="BK48">
        <v>15</v>
      </c>
      <c r="BL48">
        <v>15</v>
      </c>
      <c r="BM48">
        <v>11</v>
      </c>
      <c r="BN48">
        <v>9</v>
      </c>
      <c r="BO48">
        <v>9</v>
      </c>
      <c r="BP48">
        <v>20</v>
      </c>
      <c r="BQ48">
        <v>80</v>
      </c>
      <c r="BR48">
        <v>80</v>
      </c>
      <c r="BS48" t="s">
        <v>6026</v>
      </c>
      <c r="BT48" t="s">
        <v>6026</v>
      </c>
      <c r="BU48" t="s">
        <v>6026</v>
      </c>
      <c r="BV48" t="s">
        <v>6026</v>
      </c>
      <c r="BW48" t="s">
        <v>6026</v>
      </c>
      <c r="BX48" t="s">
        <v>6026</v>
      </c>
      <c r="BY48" t="s">
        <v>6026</v>
      </c>
      <c r="BZ48" t="s">
        <v>6026</v>
      </c>
      <c r="CA48" t="s">
        <v>6026</v>
      </c>
      <c r="CB48" t="s">
        <v>6026</v>
      </c>
      <c r="CC48" t="s">
        <v>6026</v>
      </c>
      <c r="CD48" t="s">
        <v>6026</v>
      </c>
      <c r="CE48" t="s">
        <v>6243</v>
      </c>
      <c r="CF48" t="s">
        <v>6244</v>
      </c>
      <c r="CG48" t="s">
        <v>6245</v>
      </c>
      <c r="CH48" t="s">
        <v>6117</v>
      </c>
      <c r="CI48" t="s">
        <v>6246</v>
      </c>
      <c r="CJ48" t="s">
        <v>6119</v>
      </c>
      <c r="CK48" t="s">
        <v>1634</v>
      </c>
      <c r="CL48" t="s">
        <v>6247</v>
      </c>
      <c r="CM48" t="s">
        <v>6248</v>
      </c>
      <c r="CN48" t="s">
        <v>1634</v>
      </c>
      <c r="CO48" t="s">
        <v>6249</v>
      </c>
      <c r="CP48" t="s">
        <v>6041</v>
      </c>
      <c r="CQ48" t="s">
        <v>6250</v>
      </c>
      <c r="CR48" t="s">
        <v>6009</v>
      </c>
      <c r="CS48" t="s">
        <v>6251</v>
      </c>
      <c r="CT48" t="s">
        <v>6252</v>
      </c>
      <c r="CU48" t="s">
        <v>1548</v>
      </c>
      <c r="CV48" t="s">
        <v>6253</v>
      </c>
      <c r="CW48" t="s">
        <v>6009</v>
      </c>
      <c r="CX48" t="s">
        <v>6014</v>
      </c>
      <c r="CY48" t="s">
        <v>6014</v>
      </c>
      <c r="CZ48" t="s">
        <v>6046</v>
      </c>
      <c r="DA48" t="s">
        <v>6046</v>
      </c>
      <c r="DB48" t="s">
        <v>6014</v>
      </c>
      <c r="DC48" t="s">
        <v>6014</v>
      </c>
      <c r="DD48" t="s">
        <v>6046</v>
      </c>
      <c r="DE48" t="s">
        <v>6046</v>
      </c>
      <c r="DF48" t="s">
        <v>6254</v>
      </c>
      <c r="DH48" t="s">
        <v>6255</v>
      </c>
      <c r="DI48" t="s">
        <v>6256</v>
      </c>
      <c r="DJ48">
        <v>4</v>
      </c>
      <c r="DK48">
        <v>6</v>
      </c>
      <c r="DL48" t="s">
        <v>6049</v>
      </c>
      <c r="DM48" t="s">
        <v>6257</v>
      </c>
      <c r="DR48">
        <v>5</v>
      </c>
      <c r="DS48">
        <v>100</v>
      </c>
      <c r="DX48" t="s">
        <v>6258</v>
      </c>
      <c r="DY48" t="s">
        <v>6020</v>
      </c>
      <c r="DZ48" t="s">
        <v>6259</v>
      </c>
      <c r="EA48" t="s">
        <v>6260</v>
      </c>
      <c r="EB48">
        <v>1</v>
      </c>
      <c r="EC48" t="s">
        <v>6261</v>
      </c>
      <c r="ED48" t="s">
        <v>1548</v>
      </c>
      <c r="EE48">
        <v>2000</v>
      </c>
      <c r="ER48" t="s">
        <v>6129</v>
      </c>
      <c r="ES48" t="s">
        <v>6262</v>
      </c>
      <c r="ET48" t="s">
        <v>1556</v>
      </c>
      <c r="EU48" t="s">
        <v>1556</v>
      </c>
      <c r="EV48" t="s">
        <v>6024</v>
      </c>
      <c r="EW48" t="s">
        <v>541</v>
      </c>
      <c r="EX48" t="s">
        <v>6263</v>
      </c>
      <c r="EY48">
        <v>70139298</v>
      </c>
      <c r="EZ48">
        <v>74624657</v>
      </c>
      <c r="FB48" t="s">
        <v>6264</v>
      </c>
      <c r="FD48" s="57">
        <v>43665.625972222224</v>
      </c>
      <c r="FE48" s="57">
        <v>43665.63177083333</v>
      </c>
    </row>
    <row r="49" spans="1:161" ht="12" customHeight="1">
      <c r="A49">
        <v>407</v>
      </c>
      <c r="B49">
        <v>14</v>
      </c>
      <c r="C49">
        <v>340515</v>
      </c>
      <c r="D49" s="57">
        <v>43675.466365740744</v>
      </c>
      <c r="E49" t="s">
        <v>6220</v>
      </c>
      <c r="F49" t="s">
        <v>6221</v>
      </c>
      <c r="G49" t="s">
        <v>6222</v>
      </c>
      <c r="H49" t="s">
        <v>4449</v>
      </c>
      <c r="I49" t="s">
        <v>4860</v>
      </c>
      <c r="J49">
        <v>70175052</v>
      </c>
      <c r="K49" t="s">
        <v>6028</v>
      </c>
      <c r="L49" t="s">
        <v>6204</v>
      </c>
      <c r="M49" t="s">
        <v>58</v>
      </c>
      <c r="O49" t="s">
        <v>1164</v>
      </c>
      <c r="P49" t="s">
        <v>1548</v>
      </c>
      <c r="Q49" t="s">
        <v>490</v>
      </c>
      <c r="R49" t="s">
        <v>6030</v>
      </c>
      <c r="S49" t="s">
        <v>1634</v>
      </c>
      <c r="T49" t="s">
        <v>6223</v>
      </c>
      <c r="U49" t="s">
        <v>2282</v>
      </c>
      <c r="V49">
        <v>22</v>
      </c>
      <c r="W49" t="s">
        <v>1634</v>
      </c>
      <c r="X49" t="s">
        <v>6031</v>
      </c>
      <c r="Y49" t="s">
        <v>6032</v>
      </c>
      <c r="Z49" t="s">
        <v>1548</v>
      </c>
      <c r="AA49" t="s">
        <v>6033</v>
      </c>
      <c r="AB49" t="s">
        <v>1634</v>
      </c>
      <c r="AC49" t="s">
        <v>6033</v>
      </c>
      <c r="AD49" t="s">
        <v>6032</v>
      </c>
      <c r="AE49" t="s">
        <v>1634</v>
      </c>
      <c r="BG49">
        <v>0</v>
      </c>
      <c r="BH49">
        <v>0</v>
      </c>
      <c r="BI49">
        <v>0</v>
      </c>
      <c r="BJ49">
        <v>0</v>
      </c>
      <c r="BK49">
        <v>1</v>
      </c>
      <c r="BL49">
        <v>1</v>
      </c>
      <c r="BM49">
        <v>0</v>
      </c>
      <c r="BN49">
        <v>1</v>
      </c>
      <c r="BO49">
        <v>1</v>
      </c>
      <c r="BP49">
        <v>1</v>
      </c>
      <c r="BQ49">
        <v>2</v>
      </c>
      <c r="BR49">
        <v>3</v>
      </c>
      <c r="BS49">
        <v>0</v>
      </c>
      <c r="BT49">
        <v>0</v>
      </c>
      <c r="BU49">
        <v>0</v>
      </c>
      <c r="BV49">
        <v>0</v>
      </c>
      <c r="BW49">
        <v>0</v>
      </c>
      <c r="BX49">
        <v>0</v>
      </c>
      <c r="BY49">
        <v>0</v>
      </c>
      <c r="BZ49">
        <v>0</v>
      </c>
      <c r="CA49">
        <v>0</v>
      </c>
      <c r="CB49">
        <v>0</v>
      </c>
      <c r="CC49">
        <v>1</v>
      </c>
      <c r="CD49">
        <v>2</v>
      </c>
      <c r="CE49" t="s">
        <v>6224</v>
      </c>
      <c r="CF49" t="s">
        <v>6087</v>
      </c>
      <c r="CG49" s="58" t="s">
        <v>6225</v>
      </c>
      <c r="CH49" t="s">
        <v>6226</v>
      </c>
      <c r="CI49" t="s">
        <v>6227</v>
      </c>
      <c r="CJ49" t="s">
        <v>6228</v>
      </c>
      <c r="CK49" t="s">
        <v>1548</v>
      </c>
      <c r="CL49" t="s">
        <v>6229</v>
      </c>
      <c r="CM49" t="s">
        <v>6007</v>
      </c>
      <c r="CN49" t="s">
        <v>1548</v>
      </c>
      <c r="CO49" t="s">
        <v>6230</v>
      </c>
      <c r="CP49" t="s">
        <v>6007</v>
      </c>
      <c r="CQ49" t="s">
        <v>6231</v>
      </c>
      <c r="CR49" t="s">
        <v>6009</v>
      </c>
      <c r="CS49" t="s">
        <v>6232</v>
      </c>
      <c r="CT49" t="s">
        <v>6009</v>
      </c>
      <c r="CU49" t="s">
        <v>1634</v>
      </c>
      <c r="CV49" t="s">
        <v>6233</v>
      </c>
      <c r="CW49" t="s">
        <v>6234</v>
      </c>
      <c r="CX49" t="s">
        <v>6067</v>
      </c>
      <c r="CY49" t="s">
        <v>6067</v>
      </c>
      <c r="DA49" t="s">
        <v>6046</v>
      </c>
      <c r="DC49" t="s">
        <v>6014</v>
      </c>
      <c r="DE49" t="s">
        <v>6046</v>
      </c>
      <c r="DF49" t="s">
        <v>6015</v>
      </c>
      <c r="DH49" t="s">
        <v>6015</v>
      </c>
      <c r="DI49" t="s">
        <v>6016</v>
      </c>
      <c r="DJ49">
        <v>4</v>
      </c>
      <c r="DK49">
        <v>6</v>
      </c>
      <c r="DL49" t="s">
        <v>6049</v>
      </c>
      <c r="DM49" t="s">
        <v>6018</v>
      </c>
      <c r="DT49">
        <v>50</v>
      </c>
      <c r="DU49">
        <v>10000</v>
      </c>
      <c r="DX49" t="s">
        <v>6069</v>
      </c>
      <c r="DY49" t="s">
        <v>6235</v>
      </c>
      <c r="DZ49" t="s">
        <v>6236</v>
      </c>
      <c r="EA49" t="s">
        <v>6022</v>
      </c>
      <c r="EB49">
        <v>0</v>
      </c>
      <c r="ER49" t="s">
        <v>6129</v>
      </c>
      <c r="ES49" t="s">
        <v>6237</v>
      </c>
      <c r="ET49" t="s">
        <v>2643</v>
      </c>
      <c r="EU49" t="s">
        <v>2643</v>
      </c>
      <c r="EV49" t="s">
        <v>6238</v>
      </c>
      <c r="EW49" t="s">
        <v>6239</v>
      </c>
      <c r="EX49" t="s">
        <v>6222</v>
      </c>
      <c r="EY49">
        <v>70175052</v>
      </c>
      <c r="EZ49">
        <v>76210423</v>
      </c>
      <c r="FD49" s="57">
        <v>43675.464421296296</v>
      </c>
      <c r="FE49" s="57">
        <v>43675.466307870367</v>
      </c>
    </row>
    <row r="50" spans="1:161" ht="12" customHeight="1">
      <c r="A50">
        <v>408</v>
      </c>
      <c r="B50">
        <v>19</v>
      </c>
      <c r="C50">
        <v>333305</v>
      </c>
      <c r="D50" s="57">
        <v>43671.858923611115</v>
      </c>
      <c r="E50" t="s">
        <v>6202</v>
      </c>
      <c r="F50" t="s">
        <v>6203</v>
      </c>
      <c r="G50" t="s">
        <v>630</v>
      </c>
      <c r="H50" t="s">
        <v>4449</v>
      </c>
      <c r="I50" t="s">
        <v>4860</v>
      </c>
      <c r="J50">
        <v>70421848</v>
      </c>
      <c r="K50" t="s">
        <v>6028</v>
      </c>
      <c r="L50" t="s">
        <v>6204</v>
      </c>
      <c r="M50" t="s">
        <v>58</v>
      </c>
      <c r="O50" t="s">
        <v>89</v>
      </c>
      <c r="P50" t="s">
        <v>1634</v>
      </c>
      <c r="Q50" t="s">
        <v>491</v>
      </c>
      <c r="R50" t="s">
        <v>2338</v>
      </c>
      <c r="S50" t="s">
        <v>1548</v>
      </c>
      <c r="U50" t="s">
        <v>1541</v>
      </c>
      <c r="V50">
        <v>36</v>
      </c>
      <c r="W50" t="s">
        <v>1634</v>
      </c>
      <c r="X50" t="s">
        <v>5997</v>
      </c>
      <c r="Y50" t="s">
        <v>6083</v>
      </c>
      <c r="Z50" t="s">
        <v>1548</v>
      </c>
      <c r="AA50" t="s">
        <v>6033</v>
      </c>
      <c r="AB50" t="s">
        <v>1634</v>
      </c>
      <c r="AC50" t="s">
        <v>6032</v>
      </c>
      <c r="AD50" t="s">
        <v>6032</v>
      </c>
      <c r="AE50" t="s">
        <v>1548</v>
      </c>
      <c r="AF50" t="s">
        <v>1561</v>
      </c>
      <c r="AG50" t="s">
        <v>1561</v>
      </c>
      <c r="AH50" t="s">
        <v>6085</v>
      </c>
      <c r="AI50">
        <v>0</v>
      </c>
      <c r="AJ50">
        <v>0</v>
      </c>
      <c r="AK50">
        <v>0</v>
      </c>
      <c r="AL50">
        <v>0</v>
      </c>
      <c r="AM50" t="s">
        <v>6026</v>
      </c>
      <c r="AN50" t="s">
        <v>6026</v>
      </c>
      <c r="AO50" t="s">
        <v>6026</v>
      </c>
      <c r="AP50" t="s">
        <v>6026</v>
      </c>
      <c r="AQ50" t="s">
        <v>6026</v>
      </c>
      <c r="AR50" t="s">
        <v>6026</v>
      </c>
      <c r="AS50" t="s">
        <v>6026</v>
      </c>
      <c r="AT50" t="s">
        <v>6026</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0</v>
      </c>
      <c r="BP50">
        <v>0</v>
      </c>
      <c r="BQ50">
        <v>300</v>
      </c>
      <c r="BR50">
        <v>0</v>
      </c>
      <c r="BS50">
        <v>1</v>
      </c>
      <c r="BT50">
        <v>1</v>
      </c>
      <c r="BU50">
        <v>0</v>
      </c>
      <c r="BV50">
        <v>1</v>
      </c>
      <c r="BW50">
        <v>1</v>
      </c>
      <c r="BX50">
        <v>0</v>
      </c>
      <c r="BY50">
        <v>0</v>
      </c>
      <c r="BZ50">
        <v>3</v>
      </c>
      <c r="CA50">
        <v>0</v>
      </c>
      <c r="CB50">
        <v>0</v>
      </c>
      <c r="CC50">
        <v>0</v>
      </c>
      <c r="CD50">
        <v>500</v>
      </c>
      <c r="CE50" t="s">
        <v>6205</v>
      </c>
      <c r="CF50" t="s">
        <v>6206</v>
      </c>
      <c r="CG50" t="s">
        <v>6207</v>
      </c>
      <c r="CH50" t="s">
        <v>6208</v>
      </c>
      <c r="CI50" t="s">
        <v>6209</v>
      </c>
      <c r="CJ50" t="s">
        <v>6210</v>
      </c>
      <c r="CK50" t="s">
        <v>1548</v>
      </c>
      <c r="CL50" t="s">
        <v>6211</v>
      </c>
      <c r="CM50" t="s">
        <v>6007</v>
      </c>
      <c r="CN50" t="s">
        <v>1548</v>
      </c>
      <c r="CO50" t="s">
        <v>6212</v>
      </c>
      <c r="CP50" t="s">
        <v>6007</v>
      </c>
      <c r="CQ50" t="s">
        <v>6213</v>
      </c>
      <c r="CR50" t="s">
        <v>6214</v>
      </c>
      <c r="CS50" t="s">
        <v>6215</v>
      </c>
      <c r="CT50" t="s">
        <v>6216</v>
      </c>
      <c r="CU50" t="s">
        <v>1548</v>
      </c>
      <c r="CV50" t="s">
        <v>6217</v>
      </c>
      <c r="CW50" t="s">
        <v>6009</v>
      </c>
      <c r="CX50" t="s">
        <v>6014</v>
      </c>
      <c r="CY50" t="s">
        <v>6014</v>
      </c>
      <c r="CZ50" t="s">
        <v>6013</v>
      </c>
      <c r="DA50" t="s">
        <v>6013</v>
      </c>
      <c r="DB50" t="s">
        <v>6014</v>
      </c>
      <c r="DC50" t="s">
        <v>6014</v>
      </c>
      <c r="DD50" t="s">
        <v>6013</v>
      </c>
      <c r="DE50" t="s">
        <v>6046</v>
      </c>
      <c r="DF50" t="s">
        <v>6218</v>
      </c>
      <c r="DG50" t="s">
        <v>6015</v>
      </c>
      <c r="DH50" t="s">
        <v>6218</v>
      </c>
      <c r="DI50" t="s">
        <v>6016</v>
      </c>
      <c r="DJ50">
        <v>0</v>
      </c>
      <c r="DK50">
        <v>0</v>
      </c>
      <c r="DL50" t="s">
        <v>6049</v>
      </c>
      <c r="DM50" t="s">
        <v>1559</v>
      </c>
      <c r="DO50">
        <v>39</v>
      </c>
      <c r="DX50" t="s">
        <v>6218</v>
      </c>
      <c r="DY50" t="s">
        <v>6015</v>
      </c>
      <c r="DZ50" t="s">
        <v>6218</v>
      </c>
      <c r="EA50" t="s">
        <v>6015</v>
      </c>
      <c r="EB50">
        <v>1</v>
      </c>
      <c r="EC50" t="s">
        <v>89</v>
      </c>
      <c r="ED50" t="s">
        <v>1634</v>
      </c>
      <c r="EE50">
        <v>1000</v>
      </c>
      <c r="ER50" t="s">
        <v>6106</v>
      </c>
      <c r="ES50" t="s">
        <v>6219</v>
      </c>
      <c r="ET50" t="s">
        <v>6219</v>
      </c>
      <c r="EU50" t="s">
        <v>6219</v>
      </c>
      <c r="EV50" t="s">
        <v>6074</v>
      </c>
      <c r="EY50" t="s">
        <v>6026</v>
      </c>
      <c r="EZ50" t="s">
        <v>6026</v>
      </c>
      <c r="FD50" s="57">
        <v>43671.8518287037</v>
      </c>
      <c r="FE50" s="57">
        <v>43671.858877314815</v>
      </c>
    </row>
    <row r="51" spans="1:161" ht="12" customHeight="1">
      <c r="A51">
        <v>409</v>
      </c>
      <c r="B51">
        <v>23</v>
      </c>
      <c r="C51">
        <v>330527</v>
      </c>
      <c r="D51" s="57">
        <v>43671.286412037036</v>
      </c>
      <c r="E51" t="s">
        <v>6027</v>
      </c>
      <c r="F51" t="s">
        <v>6195</v>
      </c>
      <c r="G51" t="s">
        <v>6196</v>
      </c>
      <c r="H51" t="s">
        <v>4449</v>
      </c>
      <c r="I51" t="s">
        <v>4860</v>
      </c>
      <c r="J51">
        <v>52139468</v>
      </c>
      <c r="K51" t="s">
        <v>6028</v>
      </c>
      <c r="L51" t="s">
        <v>6029</v>
      </c>
      <c r="M51" t="s">
        <v>108</v>
      </c>
      <c r="O51" t="s">
        <v>3198</v>
      </c>
      <c r="P51" t="s">
        <v>1548</v>
      </c>
      <c r="Q51" t="s">
        <v>492</v>
      </c>
      <c r="R51" t="s">
        <v>6030</v>
      </c>
      <c r="S51" t="s">
        <v>1634</v>
      </c>
      <c r="T51">
        <v>3</v>
      </c>
      <c r="U51" t="s">
        <v>1180</v>
      </c>
      <c r="V51">
        <v>45</v>
      </c>
      <c r="W51" t="s">
        <v>1634</v>
      </c>
      <c r="X51" t="s">
        <v>5997</v>
      </c>
      <c r="Y51" t="s">
        <v>6033</v>
      </c>
      <c r="Z51" t="s">
        <v>1548</v>
      </c>
      <c r="AA51" t="s">
        <v>6033</v>
      </c>
      <c r="AB51" t="s">
        <v>1548</v>
      </c>
      <c r="AC51" t="s">
        <v>6033</v>
      </c>
      <c r="AD51" t="s">
        <v>5999</v>
      </c>
      <c r="AE51" t="s">
        <v>1634</v>
      </c>
      <c r="AF51" t="s">
        <v>1561</v>
      </c>
      <c r="AG51" t="s">
        <v>1561</v>
      </c>
      <c r="AH51" t="s">
        <v>1561</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8</v>
      </c>
      <c r="BH51">
        <v>7</v>
      </c>
      <c r="BI51">
        <v>7</v>
      </c>
      <c r="BJ51">
        <v>8</v>
      </c>
      <c r="BK51">
        <v>7</v>
      </c>
      <c r="BL51">
        <v>7</v>
      </c>
      <c r="BM51">
        <v>11</v>
      </c>
      <c r="BN51">
        <v>10</v>
      </c>
      <c r="BO51">
        <v>10</v>
      </c>
      <c r="BP51">
        <v>3</v>
      </c>
      <c r="BQ51">
        <v>1</v>
      </c>
      <c r="BR51">
        <v>3</v>
      </c>
      <c r="BS51">
        <v>0</v>
      </c>
      <c r="BT51">
        <v>1</v>
      </c>
      <c r="BU51">
        <v>1</v>
      </c>
      <c r="BV51">
        <v>0</v>
      </c>
      <c r="BW51">
        <v>1</v>
      </c>
      <c r="BX51">
        <v>1</v>
      </c>
      <c r="BY51">
        <v>0</v>
      </c>
      <c r="BZ51">
        <v>1</v>
      </c>
      <c r="CA51">
        <v>1</v>
      </c>
      <c r="CB51">
        <v>0</v>
      </c>
      <c r="CC51">
        <v>0</v>
      </c>
      <c r="CD51">
        <v>1</v>
      </c>
      <c r="CE51" t="s">
        <v>4007</v>
      </c>
      <c r="CF51" t="s">
        <v>6115</v>
      </c>
      <c r="CG51" t="s">
        <v>6197</v>
      </c>
      <c r="CH51" t="s">
        <v>6188</v>
      </c>
      <c r="CI51" t="s">
        <v>6198</v>
      </c>
      <c r="CJ51" t="s">
        <v>6199</v>
      </c>
      <c r="CK51" t="s">
        <v>1634</v>
      </c>
      <c r="CL51" t="s">
        <v>6200</v>
      </c>
      <c r="CM51" t="s">
        <v>6121</v>
      </c>
      <c r="CN51" t="s">
        <v>1634</v>
      </c>
      <c r="CO51" t="s">
        <v>6040</v>
      </c>
      <c r="CP51" t="s">
        <v>6041</v>
      </c>
      <c r="CQ51" t="s">
        <v>6040</v>
      </c>
      <c r="CR51" t="s">
        <v>6041</v>
      </c>
      <c r="CS51" t="s">
        <v>6040</v>
      </c>
      <c r="CT51" t="s">
        <v>6041</v>
      </c>
      <c r="CU51" t="s">
        <v>1548</v>
      </c>
      <c r="CV51" t="s">
        <v>6045</v>
      </c>
      <c r="CW51" t="s">
        <v>6009</v>
      </c>
      <c r="CX51" t="s">
        <v>6014</v>
      </c>
      <c r="CY51" t="s">
        <v>6014</v>
      </c>
      <c r="CZ51" t="s">
        <v>6192</v>
      </c>
      <c r="DA51" t="s">
        <v>6046</v>
      </c>
      <c r="DB51" t="s">
        <v>6014</v>
      </c>
      <c r="DC51" t="s">
        <v>6014</v>
      </c>
      <c r="DD51" t="s">
        <v>6166</v>
      </c>
      <c r="DE51" t="s">
        <v>6166</v>
      </c>
      <c r="DF51" t="s">
        <v>6052</v>
      </c>
      <c r="DG51" t="s">
        <v>6015</v>
      </c>
      <c r="DH51" t="s">
        <v>6052</v>
      </c>
      <c r="DI51" t="s">
        <v>6016</v>
      </c>
      <c r="DJ51">
        <v>2</v>
      </c>
      <c r="DK51">
        <v>2</v>
      </c>
      <c r="DL51" t="s">
        <v>6049</v>
      </c>
      <c r="DM51" t="s">
        <v>1559</v>
      </c>
      <c r="DO51">
        <v>10</v>
      </c>
      <c r="DX51" t="s">
        <v>6069</v>
      </c>
      <c r="DY51" t="s">
        <v>6020</v>
      </c>
      <c r="DZ51" t="s">
        <v>6070</v>
      </c>
      <c r="EA51" t="s">
        <v>6071</v>
      </c>
      <c r="EB51">
        <v>0</v>
      </c>
      <c r="ER51" t="s">
        <v>6051</v>
      </c>
      <c r="ES51" t="s">
        <v>6052</v>
      </c>
      <c r="ET51" t="s">
        <v>6201</v>
      </c>
      <c r="EU51" t="s">
        <v>1080</v>
      </c>
      <c r="EV51" t="s">
        <v>6024</v>
      </c>
      <c r="EW51" t="s">
        <v>6054</v>
      </c>
      <c r="EX51" t="s">
        <v>6055</v>
      </c>
      <c r="EY51">
        <v>70851509</v>
      </c>
      <c r="EZ51">
        <v>71676046</v>
      </c>
      <c r="FD51" s="57">
        <v>43669.370358796295</v>
      </c>
      <c r="FE51" s="57">
        <v>43669.388657407406</v>
      </c>
    </row>
    <row r="52" spans="1:161" ht="12" customHeight="1">
      <c r="A52">
        <v>410</v>
      </c>
      <c r="B52">
        <v>26</v>
      </c>
      <c r="C52">
        <v>330523</v>
      </c>
      <c r="D52" s="57">
        <v>43671.286400462966</v>
      </c>
      <c r="E52" t="s">
        <v>6027</v>
      </c>
      <c r="F52" t="s">
        <v>663</v>
      </c>
      <c r="G52" t="s">
        <v>6185</v>
      </c>
      <c r="H52" t="s">
        <v>4449</v>
      </c>
      <c r="I52" t="s">
        <v>4860</v>
      </c>
      <c r="J52">
        <v>70346822</v>
      </c>
      <c r="K52" t="s">
        <v>6028</v>
      </c>
      <c r="L52" t="s">
        <v>6029</v>
      </c>
      <c r="M52" t="s">
        <v>108</v>
      </c>
      <c r="O52" t="s">
        <v>1080</v>
      </c>
      <c r="P52" t="s">
        <v>1548</v>
      </c>
      <c r="Q52" t="s">
        <v>493</v>
      </c>
      <c r="R52" t="s">
        <v>6030</v>
      </c>
      <c r="S52" t="s">
        <v>1634</v>
      </c>
      <c r="U52" t="s">
        <v>1180</v>
      </c>
      <c r="V52">
        <v>31</v>
      </c>
      <c r="W52" t="s">
        <v>1634</v>
      </c>
      <c r="X52" t="s">
        <v>5997</v>
      </c>
      <c r="Y52" t="s">
        <v>6033</v>
      </c>
      <c r="Z52" t="s">
        <v>1548</v>
      </c>
      <c r="AA52" t="s">
        <v>6033</v>
      </c>
      <c r="AB52" t="s">
        <v>1548</v>
      </c>
      <c r="AC52" t="s">
        <v>6033</v>
      </c>
      <c r="AD52" t="s">
        <v>6032</v>
      </c>
      <c r="AE52" t="s">
        <v>1634</v>
      </c>
      <c r="AF52" t="s">
        <v>1561</v>
      </c>
      <c r="AG52" t="s">
        <v>6113</v>
      </c>
      <c r="AH52" t="s">
        <v>1561</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1</v>
      </c>
      <c r="BK52">
        <v>1</v>
      </c>
      <c r="BL52">
        <v>1</v>
      </c>
      <c r="BM52">
        <v>1</v>
      </c>
      <c r="BN52">
        <v>1</v>
      </c>
      <c r="BO52">
        <v>1</v>
      </c>
      <c r="BP52">
        <v>1</v>
      </c>
      <c r="BQ52">
        <v>0</v>
      </c>
      <c r="BR52">
        <v>1</v>
      </c>
      <c r="BS52">
        <v>0</v>
      </c>
      <c r="BT52">
        <v>0</v>
      </c>
      <c r="BU52">
        <v>0</v>
      </c>
      <c r="BV52">
        <v>0</v>
      </c>
      <c r="BW52">
        <v>0</v>
      </c>
      <c r="BX52">
        <v>0</v>
      </c>
      <c r="BY52">
        <v>0</v>
      </c>
      <c r="BZ52">
        <v>0</v>
      </c>
      <c r="CA52">
        <v>0</v>
      </c>
      <c r="CB52">
        <v>0</v>
      </c>
      <c r="CC52">
        <v>0</v>
      </c>
      <c r="CD52">
        <v>0</v>
      </c>
      <c r="CE52" t="s">
        <v>6186</v>
      </c>
      <c r="CF52" t="s">
        <v>6186</v>
      </c>
      <c r="CG52" t="s">
        <v>6187</v>
      </c>
      <c r="CH52" t="s">
        <v>6188</v>
      </c>
      <c r="CI52" t="s">
        <v>6189</v>
      </c>
      <c r="CJ52" t="s">
        <v>6190</v>
      </c>
      <c r="CK52" t="s">
        <v>1634</v>
      </c>
      <c r="CL52" t="s">
        <v>6174</v>
      </c>
      <c r="CM52" t="s">
        <v>6191</v>
      </c>
      <c r="CN52" t="s">
        <v>1634</v>
      </c>
      <c r="CO52" t="s">
        <v>6040</v>
      </c>
      <c r="CP52" t="s">
        <v>6041</v>
      </c>
      <c r="CQ52" t="s">
        <v>6040</v>
      </c>
      <c r="CR52" t="s">
        <v>6041</v>
      </c>
      <c r="CS52" t="s">
        <v>6040</v>
      </c>
      <c r="CT52" t="s">
        <v>6041</v>
      </c>
      <c r="CU52" t="s">
        <v>1548</v>
      </c>
      <c r="CV52" t="s">
        <v>6045</v>
      </c>
      <c r="CW52" t="s">
        <v>6009</v>
      </c>
      <c r="CX52" t="s">
        <v>6014</v>
      </c>
      <c r="CY52" t="s">
        <v>6014</v>
      </c>
      <c r="CZ52" t="s">
        <v>6046</v>
      </c>
      <c r="DA52" t="s">
        <v>6046</v>
      </c>
      <c r="DB52" t="s">
        <v>6014</v>
      </c>
      <c r="DC52" t="s">
        <v>6014</v>
      </c>
      <c r="DD52" t="s">
        <v>6192</v>
      </c>
      <c r="DE52" t="s">
        <v>6013</v>
      </c>
      <c r="DF52" t="s">
        <v>6193</v>
      </c>
      <c r="DG52" t="s">
        <v>6047</v>
      </c>
      <c r="DH52" t="s">
        <v>6167</v>
      </c>
      <c r="DI52" t="s">
        <v>6048</v>
      </c>
      <c r="DJ52">
        <v>2</v>
      </c>
      <c r="DK52">
        <v>2</v>
      </c>
      <c r="DL52" t="s">
        <v>6049</v>
      </c>
      <c r="DM52" t="s">
        <v>1559</v>
      </c>
      <c r="DO52">
        <v>6</v>
      </c>
      <c r="DX52" t="s">
        <v>6069</v>
      </c>
      <c r="DY52" t="s">
        <v>6020</v>
      </c>
      <c r="DZ52" t="s">
        <v>6194</v>
      </c>
      <c r="EA52" t="s">
        <v>6071</v>
      </c>
      <c r="EB52">
        <v>0</v>
      </c>
      <c r="ER52" t="s">
        <v>6180</v>
      </c>
      <c r="ES52" t="s">
        <v>6052</v>
      </c>
      <c r="ET52" t="s">
        <v>6052</v>
      </c>
      <c r="EU52" t="s">
        <v>1080</v>
      </c>
      <c r="EV52" t="s">
        <v>6024</v>
      </c>
      <c r="EW52" t="s">
        <v>663</v>
      </c>
      <c r="EX52" t="s">
        <v>6185</v>
      </c>
      <c r="EY52">
        <v>70346822</v>
      </c>
      <c r="EZ52" t="s">
        <v>6026</v>
      </c>
      <c r="FD52" s="57">
        <v>43669.526226851849</v>
      </c>
      <c r="FE52" s="57">
        <v>43669.560185185182</v>
      </c>
    </row>
    <row r="53" spans="1:161" ht="12" customHeight="1">
      <c r="A53">
        <v>411</v>
      </c>
      <c r="B53">
        <v>24</v>
      </c>
      <c r="C53">
        <v>330528</v>
      </c>
      <c r="D53" s="57">
        <v>43671.286412037036</v>
      </c>
      <c r="E53" t="s">
        <v>6027</v>
      </c>
      <c r="F53" t="s">
        <v>6168</v>
      </c>
      <c r="G53" t="s">
        <v>611</v>
      </c>
      <c r="H53" t="s">
        <v>4449</v>
      </c>
      <c r="I53" t="s">
        <v>4860</v>
      </c>
      <c r="J53">
        <v>72264661</v>
      </c>
      <c r="K53" t="s">
        <v>6028</v>
      </c>
      <c r="L53" t="s">
        <v>6029</v>
      </c>
      <c r="M53" t="s">
        <v>108</v>
      </c>
      <c r="O53" t="s">
        <v>1080</v>
      </c>
      <c r="P53" t="s">
        <v>1548</v>
      </c>
      <c r="Q53" t="s">
        <v>316</v>
      </c>
      <c r="R53" t="s">
        <v>6030</v>
      </c>
      <c r="S53" t="s">
        <v>1634</v>
      </c>
      <c r="T53">
        <v>2002</v>
      </c>
      <c r="U53" t="s">
        <v>1180</v>
      </c>
      <c r="V53">
        <v>80</v>
      </c>
      <c r="W53" t="s">
        <v>1634</v>
      </c>
      <c r="X53" t="s">
        <v>5997</v>
      </c>
      <c r="Y53" t="s">
        <v>6033</v>
      </c>
      <c r="Z53" t="s">
        <v>1548</v>
      </c>
      <c r="AA53" t="s">
        <v>6033</v>
      </c>
      <c r="AB53" t="s">
        <v>1634</v>
      </c>
      <c r="AC53" t="s">
        <v>6033</v>
      </c>
      <c r="AD53" t="s">
        <v>5999</v>
      </c>
      <c r="AE53" t="s">
        <v>1634</v>
      </c>
      <c r="AF53" t="s">
        <v>1561</v>
      </c>
      <c r="AG53" t="s">
        <v>6113</v>
      </c>
      <c r="AH53" t="s">
        <v>6085</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2</v>
      </c>
      <c r="BH53">
        <v>1</v>
      </c>
      <c r="BI53">
        <v>1</v>
      </c>
      <c r="BJ53">
        <v>2</v>
      </c>
      <c r="BK53">
        <v>1</v>
      </c>
      <c r="BL53">
        <v>1</v>
      </c>
      <c r="BM53">
        <v>2</v>
      </c>
      <c r="BN53">
        <v>2</v>
      </c>
      <c r="BO53">
        <v>2</v>
      </c>
      <c r="BP53">
        <v>0</v>
      </c>
      <c r="BQ53">
        <v>0</v>
      </c>
      <c r="BR53">
        <v>0</v>
      </c>
      <c r="BS53">
        <v>0</v>
      </c>
      <c r="BT53">
        <v>0</v>
      </c>
      <c r="BU53">
        <v>0</v>
      </c>
      <c r="BV53">
        <v>0</v>
      </c>
      <c r="BW53">
        <v>1</v>
      </c>
      <c r="BX53">
        <v>1</v>
      </c>
      <c r="BY53">
        <v>0</v>
      </c>
      <c r="BZ53">
        <v>1</v>
      </c>
      <c r="CA53">
        <v>1</v>
      </c>
      <c r="CB53">
        <v>0</v>
      </c>
      <c r="CC53">
        <v>0</v>
      </c>
      <c r="CD53">
        <v>0</v>
      </c>
      <c r="CE53" t="s">
        <v>6059</v>
      </c>
      <c r="CF53" t="s">
        <v>6059</v>
      </c>
      <c r="CG53" t="s">
        <v>6170</v>
      </c>
      <c r="CH53" t="s">
        <v>6171</v>
      </c>
      <c r="CI53" t="s">
        <v>6172</v>
      </c>
      <c r="CJ53" t="s">
        <v>6173</v>
      </c>
      <c r="CK53" t="s">
        <v>1634</v>
      </c>
      <c r="CL53" t="s">
        <v>6174</v>
      </c>
      <c r="CM53" t="s">
        <v>6164</v>
      </c>
      <c r="CN53" t="s">
        <v>1634</v>
      </c>
      <c r="CO53" t="s">
        <v>6175</v>
      </c>
      <c r="CP53" t="s">
        <v>6041</v>
      </c>
      <c r="CQ53" t="s">
        <v>6040</v>
      </c>
      <c r="CR53" t="s">
        <v>6044</v>
      </c>
      <c r="CS53" t="s">
        <v>6176</v>
      </c>
      <c r="CT53" t="s">
        <v>6177</v>
      </c>
      <c r="CU53" t="s">
        <v>1548</v>
      </c>
      <c r="CV53" t="s">
        <v>6178</v>
      </c>
      <c r="CW53" t="s">
        <v>6009</v>
      </c>
      <c r="CX53" t="s">
        <v>6014</v>
      </c>
      <c r="CY53" t="s">
        <v>6014</v>
      </c>
      <c r="CZ53" t="s">
        <v>6013</v>
      </c>
      <c r="DA53" t="s">
        <v>6013</v>
      </c>
      <c r="DB53" t="s">
        <v>6014</v>
      </c>
      <c r="DC53" t="s">
        <v>6014</v>
      </c>
      <c r="DD53" t="s">
        <v>6013</v>
      </c>
      <c r="DE53" t="s">
        <v>6166</v>
      </c>
      <c r="DF53" t="s">
        <v>6015</v>
      </c>
      <c r="DG53" t="s">
        <v>6015</v>
      </c>
      <c r="DH53" t="s">
        <v>6016</v>
      </c>
      <c r="DI53" t="s">
        <v>6016</v>
      </c>
      <c r="DJ53">
        <v>2</v>
      </c>
      <c r="DK53">
        <v>2</v>
      </c>
      <c r="DL53" t="s">
        <v>6049</v>
      </c>
      <c r="DM53" t="s">
        <v>1559</v>
      </c>
      <c r="DO53">
        <v>5</v>
      </c>
      <c r="DX53" t="s">
        <v>6069</v>
      </c>
      <c r="DY53" t="s">
        <v>6020</v>
      </c>
      <c r="DZ53" t="s">
        <v>6179</v>
      </c>
      <c r="EA53" t="s">
        <v>6022</v>
      </c>
      <c r="EB53">
        <v>0</v>
      </c>
      <c r="ER53" t="s">
        <v>6180</v>
      </c>
      <c r="ES53" t="s">
        <v>6181</v>
      </c>
      <c r="ET53" t="s">
        <v>6182</v>
      </c>
      <c r="EU53" t="s">
        <v>1080</v>
      </c>
      <c r="EV53" t="s">
        <v>6024</v>
      </c>
      <c r="EW53" t="s">
        <v>6183</v>
      </c>
      <c r="EX53" t="s">
        <v>6184</v>
      </c>
      <c r="EY53">
        <v>70039658</v>
      </c>
      <c r="EZ53">
        <v>73055696</v>
      </c>
      <c r="FD53" s="57">
        <v>43669.327986111108</v>
      </c>
      <c r="FE53" s="57">
        <v>43669.348865740743</v>
      </c>
    </row>
    <row r="54" spans="1:161" ht="12" customHeight="1">
      <c r="A54">
        <v>412</v>
      </c>
      <c r="B54">
        <v>28</v>
      </c>
      <c r="C54">
        <v>330524</v>
      </c>
      <c r="D54" s="57">
        <v>43671.286400462966</v>
      </c>
      <c r="E54" t="s">
        <v>6027</v>
      </c>
      <c r="F54" t="s">
        <v>6156</v>
      </c>
      <c r="G54" t="s">
        <v>6157</v>
      </c>
      <c r="H54" t="s">
        <v>4449</v>
      </c>
      <c r="I54" t="s">
        <v>4860</v>
      </c>
      <c r="J54">
        <v>51324660</v>
      </c>
      <c r="K54" t="s">
        <v>6028</v>
      </c>
      <c r="L54" t="s">
        <v>6029</v>
      </c>
      <c r="M54" t="s">
        <v>108</v>
      </c>
      <c r="O54" t="s">
        <v>6158</v>
      </c>
      <c r="P54" t="s">
        <v>1548</v>
      </c>
      <c r="Q54" t="s">
        <v>494</v>
      </c>
      <c r="R54" t="s">
        <v>6030</v>
      </c>
      <c r="S54" t="s">
        <v>1634</v>
      </c>
      <c r="U54" t="s">
        <v>1180</v>
      </c>
      <c r="V54">
        <v>93</v>
      </c>
      <c r="W54" t="s">
        <v>1634</v>
      </c>
      <c r="X54" t="s">
        <v>5997</v>
      </c>
      <c r="Y54" t="s">
        <v>6033</v>
      </c>
      <c r="Z54" t="s">
        <v>1548</v>
      </c>
      <c r="AA54" t="s">
        <v>6033</v>
      </c>
      <c r="AB54" t="s">
        <v>1548</v>
      </c>
      <c r="AC54" t="s">
        <v>6033</v>
      </c>
      <c r="AD54" t="s">
        <v>5999</v>
      </c>
      <c r="AE54" t="s">
        <v>1634</v>
      </c>
      <c r="AF54" t="s">
        <v>1561</v>
      </c>
      <c r="AG54" t="s">
        <v>6113</v>
      </c>
      <c r="AH54" t="s">
        <v>1561</v>
      </c>
      <c r="AI54">
        <v>0</v>
      </c>
      <c r="AJ54">
        <v>0</v>
      </c>
      <c r="AK54" t="s">
        <v>6026</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8</v>
      </c>
      <c r="BK54">
        <v>8</v>
      </c>
      <c r="BL54">
        <v>8</v>
      </c>
      <c r="BM54">
        <v>8</v>
      </c>
      <c r="BN54">
        <v>8</v>
      </c>
      <c r="BO54">
        <v>8</v>
      </c>
      <c r="BP54">
        <v>2</v>
      </c>
      <c r="BQ54">
        <v>0</v>
      </c>
      <c r="BR54">
        <v>20</v>
      </c>
      <c r="BS54">
        <v>0</v>
      </c>
      <c r="BT54">
        <v>0</v>
      </c>
      <c r="BU54">
        <v>0</v>
      </c>
      <c r="BV54">
        <v>0</v>
      </c>
      <c r="BW54">
        <v>0</v>
      </c>
      <c r="BX54">
        <v>0</v>
      </c>
      <c r="BY54">
        <v>0</v>
      </c>
      <c r="BZ54">
        <v>0</v>
      </c>
      <c r="CA54">
        <v>0</v>
      </c>
      <c r="CB54">
        <v>0</v>
      </c>
      <c r="CC54">
        <v>0</v>
      </c>
      <c r="CD54">
        <v>0</v>
      </c>
      <c r="CE54" t="s">
        <v>4007</v>
      </c>
      <c r="CF54" t="s">
        <v>6115</v>
      </c>
      <c r="CG54" t="s">
        <v>6159</v>
      </c>
      <c r="CH54" t="s">
        <v>6160</v>
      </c>
      <c r="CI54" t="s">
        <v>6161</v>
      </c>
      <c r="CJ54" t="s">
        <v>6162</v>
      </c>
      <c r="CK54" t="s">
        <v>1634</v>
      </c>
      <c r="CL54" t="s">
        <v>6163</v>
      </c>
      <c r="CM54" t="s">
        <v>6164</v>
      </c>
      <c r="CN54" t="s">
        <v>1634</v>
      </c>
      <c r="CO54" t="s">
        <v>6165</v>
      </c>
      <c r="CP54" t="s">
        <v>6041</v>
      </c>
      <c r="CQ54" t="s">
        <v>6165</v>
      </c>
      <c r="CR54" t="s">
        <v>6041</v>
      </c>
      <c r="CS54" t="s">
        <v>6040</v>
      </c>
      <c r="CT54" t="s">
        <v>6041</v>
      </c>
      <c r="CU54" t="s">
        <v>1548</v>
      </c>
      <c r="CV54" t="s">
        <v>6045</v>
      </c>
      <c r="CW54" t="s">
        <v>6009</v>
      </c>
      <c r="CX54" t="s">
        <v>6067</v>
      </c>
      <c r="CY54" t="s">
        <v>6014</v>
      </c>
      <c r="CZ54" t="s">
        <v>6166</v>
      </c>
      <c r="DA54" t="s">
        <v>6166</v>
      </c>
      <c r="DB54" t="s">
        <v>6014</v>
      </c>
      <c r="DC54" t="s">
        <v>6014</v>
      </c>
      <c r="DD54" t="s">
        <v>6013</v>
      </c>
      <c r="DE54" t="s">
        <v>6013</v>
      </c>
      <c r="DF54" t="s">
        <v>6052</v>
      </c>
      <c r="DG54" t="s">
        <v>6015</v>
      </c>
      <c r="DH54" t="s">
        <v>6167</v>
      </c>
      <c r="DI54" t="s">
        <v>6048</v>
      </c>
      <c r="DJ54">
        <v>3</v>
      </c>
      <c r="DK54">
        <v>3</v>
      </c>
      <c r="DL54" t="s">
        <v>6049</v>
      </c>
      <c r="DM54" t="s">
        <v>1559</v>
      </c>
      <c r="DO54">
        <v>6</v>
      </c>
      <c r="DX54" t="s">
        <v>6069</v>
      </c>
      <c r="DY54" t="s">
        <v>6020</v>
      </c>
      <c r="DZ54" t="s">
        <v>6070</v>
      </c>
      <c r="EA54" t="s">
        <v>6071</v>
      </c>
      <c r="EB54">
        <v>0</v>
      </c>
      <c r="ER54" t="s">
        <v>6129</v>
      </c>
      <c r="ES54" t="s">
        <v>6158</v>
      </c>
      <c r="ET54" t="s">
        <v>6158</v>
      </c>
      <c r="EU54" t="s">
        <v>6052</v>
      </c>
      <c r="EV54" t="s">
        <v>6074</v>
      </c>
      <c r="EW54" t="s">
        <v>6168</v>
      </c>
      <c r="EX54" t="s">
        <v>6169</v>
      </c>
      <c r="EY54">
        <v>55948112</v>
      </c>
      <c r="EZ54" t="s">
        <v>6026</v>
      </c>
      <c r="FD54" s="57">
        <v>43669.388703703706</v>
      </c>
      <c r="FE54" s="57">
        <v>43669.407569444447</v>
      </c>
    </row>
    <row r="55" spans="1:161" ht="12" customHeight="1">
      <c r="A55">
        <v>414</v>
      </c>
      <c r="B55">
        <v>8</v>
      </c>
      <c r="C55">
        <v>346470</v>
      </c>
      <c r="D55" s="57">
        <v>43677.518831018519</v>
      </c>
      <c r="E55" t="s">
        <v>6110</v>
      </c>
      <c r="F55" t="s">
        <v>3088</v>
      </c>
      <c r="G55" t="s">
        <v>3089</v>
      </c>
      <c r="H55" t="s">
        <v>4449</v>
      </c>
      <c r="I55" t="s">
        <v>4860</v>
      </c>
      <c r="J55">
        <v>72928417</v>
      </c>
      <c r="K55" t="s">
        <v>6028</v>
      </c>
      <c r="L55" t="s">
        <v>6029</v>
      </c>
      <c r="M55" t="s">
        <v>496</v>
      </c>
      <c r="O55" t="s">
        <v>3087</v>
      </c>
      <c r="P55" t="s">
        <v>1548</v>
      </c>
      <c r="Q55" t="s">
        <v>495</v>
      </c>
      <c r="R55" t="s">
        <v>2338</v>
      </c>
      <c r="S55" t="s">
        <v>1634</v>
      </c>
      <c r="T55" t="s">
        <v>6135</v>
      </c>
      <c r="U55" t="s">
        <v>1180</v>
      </c>
      <c r="V55">
        <v>47</v>
      </c>
      <c r="W55" t="s">
        <v>1634</v>
      </c>
      <c r="X55" t="s">
        <v>5997</v>
      </c>
      <c r="Y55" t="s">
        <v>6033</v>
      </c>
      <c r="Z55" t="s">
        <v>1548</v>
      </c>
      <c r="AA55" t="s">
        <v>6033</v>
      </c>
      <c r="AB55" t="s">
        <v>1548</v>
      </c>
      <c r="AC55" t="s">
        <v>6033</v>
      </c>
      <c r="AD55" t="s">
        <v>6033</v>
      </c>
      <c r="AE55" t="s">
        <v>1548</v>
      </c>
      <c r="AG55" t="s">
        <v>6113</v>
      </c>
      <c r="BG55">
        <v>0</v>
      </c>
      <c r="BH55">
        <v>0</v>
      </c>
      <c r="BS55">
        <v>0</v>
      </c>
      <c r="BT55">
        <v>0</v>
      </c>
      <c r="BU55">
        <v>0</v>
      </c>
      <c r="BV55">
        <v>0</v>
      </c>
      <c r="BW55">
        <v>0</v>
      </c>
      <c r="BX55">
        <v>0</v>
      </c>
      <c r="BY55">
        <v>0</v>
      </c>
      <c r="BZ55">
        <v>64</v>
      </c>
      <c r="CA55">
        <v>64</v>
      </c>
      <c r="CB55">
        <v>0</v>
      </c>
      <c r="CC55">
        <v>0</v>
      </c>
      <c r="CD55">
        <v>80</v>
      </c>
      <c r="CE55" t="s">
        <v>6136</v>
      </c>
      <c r="CF55" t="s">
        <v>6137</v>
      </c>
      <c r="CG55" t="s">
        <v>6138</v>
      </c>
      <c r="CH55" t="s">
        <v>6139</v>
      </c>
      <c r="CI55" t="s">
        <v>6140</v>
      </c>
      <c r="CJ55" t="s">
        <v>6141</v>
      </c>
      <c r="CK55" t="s">
        <v>1634</v>
      </c>
      <c r="CL55" t="s">
        <v>6142</v>
      </c>
      <c r="CM55" t="s">
        <v>6121</v>
      </c>
      <c r="CN55" t="s">
        <v>1634</v>
      </c>
      <c r="CO55" t="s">
        <v>6143</v>
      </c>
      <c r="CP55" t="s">
        <v>6144</v>
      </c>
      <c r="CQ55" t="s">
        <v>6145</v>
      </c>
      <c r="CR55" t="s">
        <v>6146</v>
      </c>
      <c r="CS55" t="s">
        <v>6145</v>
      </c>
      <c r="CT55" t="s">
        <v>6147</v>
      </c>
      <c r="CU55" t="s">
        <v>1548</v>
      </c>
      <c r="CV55" t="s">
        <v>6148</v>
      </c>
      <c r="CW55" t="s">
        <v>6009</v>
      </c>
      <c r="CY55" t="s">
        <v>6014</v>
      </c>
      <c r="CZ55" t="s">
        <v>6013</v>
      </c>
      <c r="DA55" t="s">
        <v>6046</v>
      </c>
      <c r="DC55" t="s">
        <v>6014</v>
      </c>
      <c r="DD55" t="s">
        <v>6013</v>
      </c>
      <c r="DE55" t="s">
        <v>6013</v>
      </c>
      <c r="DF55" t="s">
        <v>1358</v>
      </c>
      <c r="DH55" t="s">
        <v>1366</v>
      </c>
      <c r="DJ55" s="59">
        <v>43834</v>
      </c>
      <c r="DK55" s="59">
        <v>43834</v>
      </c>
      <c r="DL55" t="s">
        <v>6049</v>
      </c>
      <c r="DM55" t="s">
        <v>1559</v>
      </c>
      <c r="DX55" t="s">
        <v>6149</v>
      </c>
      <c r="DY55" t="s">
        <v>6015</v>
      </c>
      <c r="DZ55" t="s">
        <v>1358</v>
      </c>
      <c r="EA55" t="s">
        <v>6015</v>
      </c>
      <c r="EB55">
        <v>0</v>
      </c>
      <c r="ER55" t="s">
        <v>6129</v>
      </c>
      <c r="ES55" s="58" t="s">
        <v>6150</v>
      </c>
      <c r="ET55" s="58" t="s">
        <v>6151</v>
      </c>
      <c r="EU55" t="s">
        <v>6152</v>
      </c>
      <c r="EV55" t="s">
        <v>6074</v>
      </c>
      <c r="EW55" t="s">
        <v>6153</v>
      </c>
      <c r="EX55" t="s">
        <v>6154</v>
      </c>
      <c r="EY55">
        <v>71093447</v>
      </c>
      <c r="EZ55" t="s">
        <v>6026</v>
      </c>
      <c r="FA55" t="s">
        <v>6155</v>
      </c>
      <c r="FD55" s="57">
        <v>43677.517083333332</v>
      </c>
      <c r="FE55" s="57">
        <v>43677.519641203704</v>
      </c>
    </row>
    <row r="56" spans="1:161" ht="12" customHeight="1">
      <c r="A56">
        <v>415</v>
      </c>
      <c r="B56">
        <v>9</v>
      </c>
      <c r="C56">
        <v>346462</v>
      </c>
      <c r="D56" s="57">
        <v>43677.515983796293</v>
      </c>
      <c r="E56" t="s">
        <v>6110</v>
      </c>
      <c r="F56" t="s">
        <v>3088</v>
      </c>
      <c r="G56" t="s">
        <v>6111</v>
      </c>
      <c r="H56" t="s">
        <v>4449</v>
      </c>
      <c r="I56" t="s">
        <v>4860</v>
      </c>
      <c r="J56">
        <v>51320301</v>
      </c>
      <c r="K56" t="s">
        <v>6028</v>
      </c>
      <c r="L56" t="s">
        <v>6029</v>
      </c>
      <c r="M56" t="s">
        <v>496</v>
      </c>
      <c r="O56" t="s">
        <v>6112</v>
      </c>
      <c r="P56" t="s">
        <v>1548</v>
      </c>
      <c r="Q56" t="s">
        <v>497</v>
      </c>
      <c r="R56" t="s">
        <v>2338</v>
      </c>
      <c r="S56" t="s">
        <v>1634</v>
      </c>
      <c r="T56">
        <v>22</v>
      </c>
      <c r="U56" t="s">
        <v>1180</v>
      </c>
      <c r="V56">
        <v>34</v>
      </c>
      <c r="W56" t="s">
        <v>1634</v>
      </c>
      <c r="X56" t="s">
        <v>5997</v>
      </c>
      <c r="Y56" t="s">
        <v>6033</v>
      </c>
      <c r="Z56" t="s">
        <v>1548</v>
      </c>
      <c r="AA56" t="s">
        <v>6033</v>
      </c>
      <c r="AB56" t="s">
        <v>1548</v>
      </c>
      <c r="AC56" t="s">
        <v>6033</v>
      </c>
      <c r="AD56" t="s">
        <v>6033</v>
      </c>
      <c r="AE56" t="s">
        <v>1548</v>
      </c>
      <c r="AG56" t="s">
        <v>6113</v>
      </c>
      <c r="BG56">
        <v>0</v>
      </c>
      <c r="BH56">
        <v>0</v>
      </c>
      <c r="BS56">
        <v>0</v>
      </c>
      <c r="BT56">
        <v>0</v>
      </c>
      <c r="BU56">
        <v>0</v>
      </c>
      <c r="BV56">
        <v>0</v>
      </c>
      <c r="BW56">
        <v>0</v>
      </c>
      <c r="BX56">
        <v>0</v>
      </c>
      <c r="BY56">
        <v>0</v>
      </c>
      <c r="BZ56">
        <v>21</v>
      </c>
      <c r="CA56">
        <v>21</v>
      </c>
      <c r="CB56">
        <v>50</v>
      </c>
      <c r="CC56">
        <v>0</v>
      </c>
      <c r="CD56">
        <v>100</v>
      </c>
      <c r="CE56" t="s">
        <v>6114</v>
      </c>
      <c r="CF56" t="s">
        <v>6115</v>
      </c>
      <c r="CG56" t="s">
        <v>6116</v>
      </c>
      <c r="CH56" t="s">
        <v>6117</v>
      </c>
      <c r="CI56" t="s">
        <v>6118</v>
      </c>
      <c r="CJ56" t="s">
        <v>6119</v>
      </c>
      <c r="CK56" t="s">
        <v>1634</v>
      </c>
      <c r="CL56" t="s">
        <v>6120</v>
      </c>
      <c r="CM56" t="s">
        <v>6121</v>
      </c>
      <c r="CN56" t="s">
        <v>1634</v>
      </c>
      <c r="CO56" t="s">
        <v>6122</v>
      </c>
      <c r="CP56" t="s">
        <v>6007</v>
      </c>
      <c r="CQ56" t="s">
        <v>6123</v>
      </c>
      <c r="CR56" t="s">
        <v>6124</v>
      </c>
      <c r="CS56" t="s">
        <v>6125</v>
      </c>
      <c r="CT56" t="s">
        <v>6124</v>
      </c>
      <c r="CU56" t="s">
        <v>1548</v>
      </c>
      <c r="CV56" t="s">
        <v>6126</v>
      </c>
      <c r="CW56" t="s">
        <v>6009</v>
      </c>
      <c r="CY56" t="s">
        <v>6014</v>
      </c>
      <c r="CZ56" t="s">
        <v>6013</v>
      </c>
      <c r="DA56" t="s">
        <v>6013</v>
      </c>
      <c r="DC56" t="s">
        <v>6014</v>
      </c>
      <c r="DD56" t="s">
        <v>6013</v>
      </c>
      <c r="DE56" t="s">
        <v>6013</v>
      </c>
      <c r="DF56" t="s">
        <v>6127</v>
      </c>
      <c r="DG56" t="s">
        <v>6015</v>
      </c>
      <c r="DH56" t="s">
        <v>6128</v>
      </c>
      <c r="DI56" t="s">
        <v>6016</v>
      </c>
      <c r="DJ56" s="59">
        <v>43834</v>
      </c>
      <c r="DK56" s="59">
        <v>43834</v>
      </c>
      <c r="DL56" t="s">
        <v>6049</v>
      </c>
      <c r="DM56" t="s">
        <v>1559</v>
      </c>
      <c r="DX56" t="s">
        <v>1358</v>
      </c>
      <c r="DY56" t="s">
        <v>6015</v>
      </c>
      <c r="DZ56" t="s">
        <v>1366</v>
      </c>
      <c r="EA56" t="s">
        <v>6015</v>
      </c>
      <c r="EB56">
        <v>0</v>
      </c>
      <c r="ER56" t="s">
        <v>6129</v>
      </c>
      <c r="ES56" s="58" t="s">
        <v>6130</v>
      </c>
      <c r="ET56" s="58" t="s">
        <v>6131</v>
      </c>
      <c r="EU56" t="s">
        <v>6132</v>
      </c>
      <c r="EV56" t="s">
        <v>6074</v>
      </c>
      <c r="EW56" t="s">
        <v>3059</v>
      </c>
      <c r="EX56" t="s">
        <v>6133</v>
      </c>
      <c r="EY56">
        <v>70386077</v>
      </c>
      <c r="EZ56" t="s">
        <v>6026</v>
      </c>
      <c r="FA56" t="s">
        <v>6134</v>
      </c>
      <c r="FD56" s="57">
        <v>43677.514247685183</v>
      </c>
      <c r="FE56" s="57">
        <v>43677.516736111109</v>
      </c>
    </row>
    <row r="57" spans="1:161" ht="12" customHeight="1">
      <c r="A57">
        <v>416</v>
      </c>
      <c r="B57">
        <v>27</v>
      </c>
      <c r="C57">
        <v>330525</v>
      </c>
      <c r="D57" s="57">
        <v>43671.286400462966</v>
      </c>
      <c r="E57" t="s">
        <v>6027</v>
      </c>
      <c r="F57" t="s">
        <v>6803</v>
      </c>
      <c r="G57" t="s">
        <v>6804</v>
      </c>
      <c r="H57" t="s">
        <v>4449</v>
      </c>
      <c r="I57" t="s">
        <v>4860</v>
      </c>
      <c r="J57">
        <v>71750314</v>
      </c>
      <c r="K57" t="s">
        <v>6805</v>
      </c>
      <c r="L57" t="s">
        <v>6806</v>
      </c>
      <c r="M57" t="s">
        <v>499</v>
      </c>
      <c r="O57" t="s">
        <v>6807</v>
      </c>
      <c r="P57" t="s">
        <v>1548</v>
      </c>
      <c r="Q57" t="s">
        <v>498</v>
      </c>
      <c r="R57" t="s">
        <v>1920</v>
      </c>
      <c r="S57" t="s">
        <v>1548</v>
      </c>
      <c r="U57" t="s">
        <v>1180</v>
      </c>
      <c r="V57">
        <v>20</v>
      </c>
      <c r="W57" t="s">
        <v>1634</v>
      </c>
      <c r="X57" t="s">
        <v>5997</v>
      </c>
      <c r="Y57" t="s">
        <v>6033</v>
      </c>
      <c r="Z57" t="s">
        <v>1548</v>
      </c>
      <c r="AA57" t="s">
        <v>6033</v>
      </c>
      <c r="AB57" t="s">
        <v>1634</v>
      </c>
      <c r="AC57" t="s">
        <v>6033</v>
      </c>
      <c r="AD57" t="s">
        <v>6033</v>
      </c>
      <c r="AE57" t="s">
        <v>1634</v>
      </c>
      <c r="AF57" t="s">
        <v>6057</v>
      </c>
      <c r="AG57" t="s">
        <v>6113</v>
      </c>
      <c r="AH57" t="s">
        <v>6057</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t="s">
        <v>6808</v>
      </c>
      <c r="CF57" t="s">
        <v>6115</v>
      </c>
      <c r="CG57" t="s">
        <v>6809</v>
      </c>
      <c r="CH57" t="s">
        <v>6188</v>
      </c>
      <c r="CI57" t="s">
        <v>6810</v>
      </c>
      <c r="CJ57" t="s">
        <v>6811</v>
      </c>
      <c r="CK57" t="s">
        <v>1634</v>
      </c>
      <c r="CL57" t="s">
        <v>6174</v>
      </c>
      <c r="CM57" t="s">
        <v>6174</v>
      </c>
      <c r="CN57" t="s">
        <v>1634</v>
      </c>
      <c r="CO57" t="s">
        <v>6144</v>
      </c>
      <c r="CP57" t="s">
        <v>6144</v>
      </c>
      <c r="CQ57" t="s">
        <v>6812</v>
      </c>
      <c r="CR57" t="s">
        <v>6534</v>
      </c>
      <c r="CS57" t="s">
        <v>6813</v>
      </c>
      <c r="CT57" t="s">
        <v>6041</v>
      </c>
      <c r="CU57" t="s">
        <v>1548</v>
      </c>
      <c r="CV57" t="s">
        <v>6045</v>
      </c>
      <c r="CW57" t="s">
        <v>6009</v>
      </c>
      <c r="CX57" t="s">
        <v>6014</v>
      </c>
      <c r="CY57" t="s">
        <v>6014</v>
      </c>
      <c r="CZ57" t="s">
        <v>6013</v>
      </c>
      <c r="DA57" t="s">
        <v>6013</v>
      </c>
      <c r="DB57" t="s">
        <v>6014</v>
      </c>
      <c r="DC57" t="s">
        <v>6014</v>
      </c>
      <c r="DD57" t="s">
        <v>6013</v>
      </c>
      <c r="DE57" t="s">
        <v>6013</v>
      </c>
      <c r="DF57" t="s">
        <v>6015</v>
      </c>
      <c r="DG57" t="s">
        <v>6015</v>
      </c>
      <c r="DH57" t="s">
        <v>6814</v>
      </c>
      <c r="DI57" t="s">
        <v>6016</v>
      </c>
      <c r="DJ57">
        <v>0</v>
      </c>
      <c r="DK57">
        <v>1</v>
      </c>
      <c r="DL57" t="s">
        <v>6017</v>
      </c>
      <c r="DM57" t="s">
        <v>1559</v>
      </c>
      <c r="DO57">
        <v>0</v>
      </c>
      <c r="DX57" t="s">
        <v>6815</v>
      </c>
      <c r="DY57" t="s">
        <v>6020</v>
      </c>
      <c r="DZ57" t="s">
        <v>6052</v>
      </c>
      <c r="EA57" t="s">
        <v>6015</v>
      </c>
      <c r="EB57">
        <v>0</v>
      </c>
      <c r="ER57" t="s">
        <v>6106</v>
      </c>
      <c r="ES57" t="s">
        <v>6816</v>
      </c>
      <c r="ET57" t="s">
        <v>6052</v>
      </c>
      <c r="EU57" t="s">
        <v>6052</v>
      </c>
      <c r="EV57" t="s">
        <v>6074</v>
      </c>
      <c r="EW57" t="s">
        <v>6553</v>
      </c>
      <c r="EX57" t="s">
        <v>6817</v>
      </c>
      <c r="EY57">
        <v>72055200</v>
      </c>
      <c r="EZ57">
        <v>71750314</v>
      </c>
      <c r="FD57" s="57">
        <v>43668.98678240741</v>
      </c>
      <c r="FE57" s="57">
        <v>43669.013611111113</v>
      </c>
    </row>
    <row r="58" spans="1:161" ht="12" customHeight="1">
      <c r="A58">
        <v>417</v>
      </c>
      <c r="B58">
        <v>17</v>
      </c>
      <c r="C58">
        <v>333312</v>
      </c>
      <c r="D58" s="57">
        <v>43671.865624999999</v>
      </c>
      <c r="E58" t="s">
        <v>6202</v>
      </c>
      <c r="F58" t="s">
        <v>706</v>
      </c>
      <c r="G58" t="s">
        <v>6792</v>
      </c>
      <c r="H58" t="s">
        <v>4449</v>
      </c>
      <c r="I58" t="s">
        <v>4860</v>
      </c>
      <c r="J58">
        <v>74288492</v>
      </c>
      <c r="K58" t="s">
        <v>6028</v>
      </c>
      <c r="L58" t="s">
        <v>6204</v>
      </c>
      <c r="M58" t="s">
        <v>501</v>
      </c>
      <c r="O58" t="s">
        <v>6793</v>
      </c>
      <c r="P58" t="s">
        <v>1548</v>
      </c>
      <c r="Q58" t="s">
        <v>500</v>
      </c>
      <c r="R58" t="s">
        <v>2338</v>
      </c>
      <c r="S58" t="s">
        <v>1548</v>
      </c>
      <c r="U58" t="s">
        <v>1541</v>
      </c>
      <c r="V58">
        <v>100</v>
      </c>
      <c r="W58" t="s">
        <v>1634</v>
      </c>
      <c r="X58" t="s">
        <v>5997</v>
      </c>
      <c r="Y58" t="s">
        <v>6033</v>
      </c>
      <c r="Z58" t="s">
        <v>1548</v>
      </c>
      <c r="AA58" t="s">
        <v>6033</v>
      </c>
      <c r="AB58" t="s">
        <v>1548</v>
      </c>
      <c r="AC58" t="s">
        <v>6033</v>
      </c>
      <c r="AD58" t="s">
        <v>6033</v>
      </c>
      <c r="AE58" t="s">
        <v>1634</v>
      </c>
      <c r="AF58" t="s">
        <v>6084</v>
      </c>
      <c r="AG58" t="s">
        <v>6113</v>
      </c>
      <c r="BG58">
        <v>7</v>
      </c>
      <c r="BH58">
        <v>7</v>
      </c>
      <c r="BI58">
        <v>0</v>
      </c>
      <c r="BJ58">
        <v>8</v>
      </c>
      <c r="BK58">
        <v>8</v>
      </c>
      <c r="BL58">
        <v>0</v>
      </c>
      <c r="BM58">
        <v>3</v>
      </c>
      <c r="BN58">
        <v>3</v>
      </c>
      <c r="BO58">
        <v>0</v>
      </c>
      <c r="BP58">
        <v>8</v>
      </c>
      <c r="BQ58">
        <v>20</v>
      </c>
      <c r="BR58">
        <v>10</v>
      </c>
      <c r="CE58" t="s">
        <v>6794</v>
      </c>
      <c r="CF58" t="s">
        <v>6206</v>
      </c>
      <c r="CG58" t="s">
        <v>6795</v>
      </c>
      <c r="CH58" t="s">
        <v>6796</v>
      </c>
      <c r="CI58" t="s">
        <v>6797</v>
      </c>
      <c r="CJ58" t="s">
        <v>6798</v>
      </c>
      <c r="CK58" t="s">
        <v>1548</v>
      </c>
      <c r="CL58" t="s">
        <v>6799</v>
      </c>
      <c r="CM58" t="s">
        <v>6007</v>
      </c>
      <c r="CN58" t="s">
        <v>1548</v>
      </c>
      <c r="CO58" t="s">
        <v>2289</v>
      </c>
      <c r="CP58" t="s">
        <v>6007</v>
      </c>
      <c r="CQ58" t="s">
        <v>2289</v>
      </c>
      <c r="CR58" t="s">
        <v>6009</v>
      </c>
      <c r="CS58" t="s">
        <v>2289</v>
      </c>
      <c r="CT58" t="s">
        <v>6009</v>
      </c>
      <c r="CU58" t="s">
        <v>1548</v>
      </c>
      <c r="CV58" t="s">
        <v>1856</v>
      </c>
      <c r="CW58" t="s">
        <v>6009</v>
      </c>
      <c r="CX58" t="s">
        <v>6011</v>
      </c>
      <c r="CY58" t="s">
        <v>6011</v>
      </c>
      <c r="CZ58" t="s">
        <v>6013</v>
      </c>
      <c r="DA58" t="s">
        <v>6013</v>
      </c>
      <c r="DB58" t="s">
        <v>6014</v>
      </c>
      <c r="DC58" t="s">
        <v>6014</v>
      </c>
      <c r="DD58" t="s">
        <v>6013</v>
      </c>
      <c r="DE58" t="s">
        <v>6013</v>
      </c>
      <c r="DF58" t="s">
        <v>6800</v>
      </c>
      <c r="DG58" t="s">
        <v>6047</v>
      </c>
      <c r="DH58" t="s">
        <v>6801</v>
      </c>
      <c r="DI58" t="s">
        <v>6419</v>
      </c>
      <c r="DJ58">
        <v>3</v>
      </c>
      <c r="DK58">
        <v>1</v>
      </c>
      <c r="DL58" t="s">
        <v>6049</v>
      </c>
      <c r="DM58" t="s">
        <v>1559</v>
      </c>
      <c r="DO58">
        <v>12</v>
      </c>
      <c r="DX58" t="s">
        <v>6218</v>
      </c>
      <c r="DY58" t="s">
        <v>6015</v>
      </c>
      <c r="DZ58" t="s">
        <v>6802</v>
      </c>
      <c r="EA58" t="s">
        <v>6015</v>
      </c>
      <c r="EB58">
        <v>0</v>
      </c>
      <c r="ER58" t="s">
        <v>6023</v>
      </c>
      <c r="ES58" t="s">
        <v>6793</v>
      </c>
      <c r="ET58" t="s">
        <v>6219</v>
      </c>
      <c r="EU58" t="s">
        <v>6219</v>
      </c>
      <c r="EV58" t="s">
        <v>6074</v>
      </c>
      <c r="EY58" t="s">
        <v>6026</v>
      </c>
      <c r="EZ58" t="s">
        <v>6026</v>
      </c>
      <c r="FD58" s="57">
        <v>43671.861909722225</v>
      </c>
      <c r="FE58" s="57">
        <v>43671.865578703706</v>
      </c>
    </row>
    <row r="59" spans="1:161" ht="12" customHeight="1">
      <c r="A59">
        <v>418</v>
      </c>
      <c r="B59">
        <v>60</v>
      </c>
      <c r="C59">
        <v>312026</v>
      </c>
      <c r="D59" s="57">
        <v>43665.64634259259</v>
      </c>
      <c r="E59" t="s">
        <v>6077</v>
      </c>
      <c r="F59" t="s">
        <v>592</v>
      </c>
      <c r="G59" t="s">
        <v>6771</v>
      </c>
      <c r="H59" t="s">
        <v>4449</v>
      </c>
      <c r="I59" t="s">
        <v>6772</v>
      </c>
      <c r="J59">
        <v>79682986</v>
      </c>
      <c r="K59" t="s">
        <v>6028</v>
      </c>
      <c r="L59" t="s">
        <v>6204</v>
      </c>
      <c r="M59" t="s">
        <v>503</v>
      </c>
      <c r="O59" t="s">
        <v>6786</v>
      </c>
      <c r="P59" t="s">
        <v>1548</v>
      </c>
      <c r="Q59" t="s">
        <v>502</v>
      </c>
      <c r="R59" t="s">
        <v>2338</v>
      </c>
      <c r="S59" t="s">
        <v>1634</v>
      </c>
      <c r="T59" t="s">
        <v>6773</v>
      </c>
      <c r="U59" t="s">
        <v>1541</v>
      </c>
      <c r="V59">
        <v>25</v>
      </c>
      <c r="W59" t="s">
        <v>1634</v>
      </c>
      <c r="X59" t="s">
        <v>5997</v>
      </c>
      <c r="Y59" t="s">
        <v>6033</v>
      </c>
      <c r="Z59" t="s">
        <v>1548</v>
      </c>
      <c r="AA59" t="s">
        <v>6033</v>
      </c>
      <c r="AB59" t="s">
        <v>1634</v>
      </c>
      <c r="AC59" t="s">
        <v>6033</v>
      </c>
      <c r="AD59" t="s">
        <v>5998</v>
      </c>
      <c r="AE59" t="s">
        <v>1634</v>
      </c>
      <c r="AF59" t="s">
        <v>1561</v>
      </c>
      <c r="AG59" t="s">
        <v>1561</v>
      </c>
      <c r="AH59" t="s">
        <v>1561</v>
      </c>
      <c r="AI59" t="s">
        <v>6026</v>
      </c>
      <c r="AJ59" t="s">
        <v>6026</v>
      </c>
      <c r="AK59" t="s">
        <v>6026</v>
      </c>
      <c r="AL59" t="s">
        <v>6026</v>
      </c>
      <c r="AM59" t="s">
        <v>6026</v>
      </c>
      <c r="AN59" t="s">
        <v>6026</v>
      </c>
      <c r="AO59" t="s">
        <v>6026</v>
      </c>
      <c r="AP59" t="s">
        <v>6026</v>
      </c>
      <c r="AQ59" t="s">
        <v>6026</v>
      </c>
      <c r="AR59" t="s">
        <v>6026</v>
      </c>
      <c r="AS59" t="s">
        <v>6026</v>
      </c>
      <c r="AT59" t="s">
        <v>6026</v>
      </c>
      <c r="AU59" t="s">
        <v>6026</v>
      </c>
      <c r="AV59" t="s">
        <v>6026</v>
      </c>
      <c r="AW59" t="s">
        <v>6026</v>
      </c>
      <c r="AX59" t="s">
        <v>6026</v>
      </c>
      <c r="AY59" t="s">
        <v>6026</v>
      </c>
      <c r="AZ59" t="s">
        <v>6026</v>
      </c>
      <c r="BA59" t="s">
        <v>6026</v>
      </c>
      <c r="BB59" t="s">
        <v>6026</v>
      </c>
      <c r="BC59" t="s">
        <v>6026</v>
      </c>
      <c r="BD59" t="s">
        <v>6026</v>
      </c>
      <c r="BE59" t="s">
        <v>6026</v>
      </c>
      <c r="BF59" t="s">
        <v>6026</v>
      </c>
      <c r="BG59">
        <v>20</v>
      </c>
      <c r="BH59">
        <v>0</v>
      </c>
      <c r="BI59">
        <v>0</v>
      </c>
      <c r="BJ59">
        <v>25</v>
      </c>
      <c r="BK59">
        <v>19</v>
      </c>
      <c r="BL59">
        <v>19</v>
      </c>
      <c r="BM59">
        <v>15</v>
      </c>
      <c r="BN59">
        <v>10</v>
      </c>
      <c r="BO59">
        <v>10</v>
      </c>
      <c r="BP59">
        <v>60</v>
      </c>
      <c r="BQ59">
        <v>40</v>
      </c>
      <c r="BR59">
        <v>30</v>
      </c>
      <c r="BS59">
        <v>20</v>
      </c>
      <c r="BT59">
        <v>20</v>
      </c>
      <c r="BU59">
        <v>20</v>
      </c>
      <c r="BV59">
        <v>0</v>
      </c>
      <c r="BW59">
        <v>2</v>
      </c>
      <c r="BX59">
        <v>2</v>
      </c>
      <c r="BY59">
        <v>0</v>
      </c>
      <c r="BZ59">
        <v>2</v>
      </c>
      <c r="CA59">
        <v>2</v>
      </c>
      <c r="CB59">
        <v>0</v>
      </c>
      <c r="CC59">
        <v>0</v>
      </c>
      <c r="CD59">
        <v>33</v>
      </c>
      <c r="CE59" t="s">
        <v>6774</v>
      </c>
      <c r="CF59" t="s">
        <v>6465</v>
      </c>
      <c r="CG59" t="s">
        <v>6775</v>
      </c>
      <c r="CH59" t="s">
        <v>6117</v>
      </c>
      <c r="CI59" t="s">
        <v>6776</v>
      </c>
      <c r="CJ59" t="s">
        <v>6141</v>
      </c>
      <c r="CK59" t="s">
        <v>1634</v>
      </c>
      <c r="CL59" t="s">
        <v>6777</v>
      </c>
      <c r="CM59" t="s">
        <v>6470</v>
      </c>
      <c r="CN59" t="s">
        <v>1634</v>
      </c>
      <c r="CO59" t="s">
        <v>6778</v>
      </c>
      <c r="CP59" t="s">
        <v>6373</v>
      </c>
      <c r="CQ59" t="s">
        <v>6779</v>
      </c>
      <c r="CR59" t="s">
        <v>6252</v>
      </c>
      <c r="CS59" t="s">
        <v>6780</v>
      </c>
      <c r="CT59" t="s">
        <v>6252</v>
      </c>
      <c r="CU59" t="s">
        <v>1548</v>
      </c>
      <c r="CV59" t="s">
        <v>6781</v>
      </c>
      <c r="CW59" t="s">
        <v>6009</v>
      </c>
      <c r="CX59" t="s">
        <v>6014</v>
      </c>
      <c r="CY59" t="s">
        <v>6014</v>
      </c>
      <c r="CZ59" t="s">
        <v>6046</v>
      </c>
      <c r="DA59" t="s">
        <v>6046</v>
      </c>
      <c r="DB59" t="s">
        <v>6014</v>
      </c>
      <c r="DC59" t="s">
        <v>6014</v>
      </c>
      <c r="DD59" t="s">
        <v>6046</v>
      </c>
      <c r="DE59" t="s">
        <v>6046</v>
      </c>
      <c r="DF59" t="s">
        <v>6782</v>
      </c>
      <c r="DH59" t="s">
        <v>6783</v>
      </c>
      <c r="DI59" t="s">
        <v>6100</v>
      </c>
      <c r="DJ59">
        <v>4</v>
      </c>
      <c r="DK59">
        <v>6</v>
      </c>
      <c r="DL59" t="s">
        <v>6049</v>
      </c>
      <c r="DM59" t="s">
        <v>1559</v>
      </c>
      <c r="DO59">
        <v>500</v>
      </c>
      <c r="DX59" t="s">
        <v>6784</v>
      </c>
      <c r="DY59" t="s">
        <v>6020</v>
      </c>
      <c r="DZ59" t="s">
        <v>6785</v>
      </c>
      <c r="EA59" t="s">
        <v>6260</v>
      </c>
      <c r="EB59">
        <v>1</v>
      </c>
      <c r="EC59" t="s">
        <v>6786</v>
      </c>
      <c r="ED59" t="s">
        <v>1634</v>
      </c>
      <c r="EE59">
        <v>4000</v>
      </c>
      <c r="ER59" t="s">
        <v>6051</v>
      </c>
      <c r="ES59" t="s">
        <v>6787</v>
      </c>
      <c r="ET59" t="s">
        <v>6788</v>
      </c>
      <c r="EU59" t="s">
        <v>1556</v>
      </c>
      <c r="EV59" t="s">
        <v>6074</v>
      </c>
      <c r="EW59" t="s">
        <v>541</v>
      </c>
      <c r="EX59" t="s">
        <v>6789</v>
      </c>
      <c r="EY59">
        <v>79153647</v>
      </c>
      <c r="EZ59" t="s">
        <v>6026</v>
      </c>
      <c r="FA59" t="s">
        <v>6790</v>
      </c>
      <c r="FB59" t="s">
        <v>6791</v>
      </c>
      <c r="FD59" s="57">
        <v>43665.641851851855</v>
      </c>
      <c r="FE59" s="57">
        <v>43665.646273148152</v>
      </c>
    </row>
    <row r="60" spans="1:161" ht="12" customHeight="1">
      <c r="A60">
        <v>419</v>
      </c>
      <c r="B60">
        <v>7</v>
      </c>
      <c r="C60">
        <v>346629</v>
      </c>
      <c r="D60" s="57">
        <v>43677.565254629626</v>
      </c>
      <c r="E60" t="s">
        <v>6294</v>
      </c>
      <c r="F60" t="s">
        <v>670</v>
      </c>
      <c r="G60" t="s">
        <v>877</v>
      </c>
      <c r="H60" t="s">
        <v>4449</v>
      </c>
      <c r="I60" t="s">
        <v>4860</v>
      </c>
      <c r="J60">
        <v>72454198</v>
      </c>
      <c r="K60" t="s">
        <v>6079</v>
      </c>
      <c r="L60" t="s">
        <v>6080</v>
      </c>
      <c r="M60" t="s">
        <v>329</v>
      </c>
      <c r="O60" t="s">
        <v>6753</v>
      </c>
      <c r="P60" t="s">
        <v>1548</v>
      </c>
      <c r="Q60" t="s">
        <v>345</v>
      </c>
      <c r="R60" t="s">
        <v>6030</v>
      </c>
      <c r="S60" t="s">
        <v>1634</v>
      </c>
      <c r="U60" t="s">
        <v>4803</v>
      </c>
      <c r="V60">
        <v>120</v>
      </c>
      <c r="W60" t="s">
        <v>1634</v>
      </c>
      <c r="X60" t="s">
        <v>6031</v>
      </c>
      <c r="Y60" t="s">
        <v>5999</v>
      </c>
      <c r="Z60" t="s">
        <v>1634</v>
      </c>
      <c r="AA60" t="s">
        <v>6033</v>
      </c>
      <c r="AB60" t="s">
        <v>1634</v>
      </c>
      <c r="AC60" t="s">
        <v>5999</v>
      </c>
      <c r="AD60" t="s">
        <v>5999</v>
      </c>
      <c r="AE60" t="s">
        <v>1634</v>
      </c>
      <c r="BG60">
        <v>4</v>
      </c>
      <c r="BH60">
        <v>3</v>
      </c>
      <c r="BI60" t="s">
        <v>6026</v>
      </c>
      <c r="BJ60">
        <v>5</v>
      </c>
      <c r="BK60">
        <v>4</v>
      </c>
      <c r="BL60" t="s">
        <v>6026</v>
      </c>
      <c r="BM60">
        <v>6</v>
      </c>
      <c r="BN60">
        <v>5</v>
      </c>
      <c r="BO60" t="s">
        <v>6026</v>
      </c>
      <c r="BP60">
        <v>7</v>
      </c>
      <c r="BQ60">
        <v>2</v>
      </c>
      <c r="BR60">
        <v>8</v>
      </c>
      <c r="BS60" t="s">
        <v>6026</v>
      </c>
      <c r="BT60" t="s">
        <v>6026</v>
      </c>
      <c r="BU60" t="s">
        <v>6026</v>
      </c>
      <c r="BV60" t="s">
        <v>6026</v>
      </c>
      <c r="BW60" t="s">
        <v>6026</v>
      </c>
      <c r="BX60" t="s">
        <v>6026</v>
      </c>
      <c r="BY60" t="s">
        <v>6026</v>
      </c>
      <c r="BZ60" t="s">
        <v>6026</v>
      </c>
      <c r="CA60" t="s">
        <v>6026</v>
      </c>
      <c r="CB60" t="s">
        <v>6026</v>
      </c>
      <c r="CC60" t="s">
        <v>6026</v>
      </c>
      <c r="CD60" t="s">
        <v>6026</v>
      </c>
      <c r="CE60" t="s">
        <v>6754</v>
      </c>
      <c r="CF60" t="s">
        <v>6087</v>
      </c>
      <c r="CG60" t="s">
        <v>6755</v>
      </c>
      <c r="CH60" t="s">
        <v>6756</v>
      </c>
      <c r="CI60" t="s">
        <v>6757</v>
      </c>
      <c r="CJ60" t="s">
        <v>6758</v>
      </c>
      <c r="CK60" t="s">
        <v>1634</v>
      </c>
      <c r="CL60" t="s">
        <v>6759</v>
      </c>
      <c r="CM60" t="s">
        <v>6760</v>
      </c>
      <c r="CN60" t="s">
        <v>1634</v>
      </c>
      <c r="CO60" t="s">
        <v>6761</v>
      </c>
      <c r="CP60" t="s">
        <v>6373</v>
      </c>
      <c r="CQ60" t="s">
        <v>6762</v>
      </c>
      <c r="CR60" t="s">
        <v>6413</v>
      </c>
      <c r="CS60" t="s">
        <v>6763</v>
      </c>
      <c r="CT60" t="s">
        <v>6413</v>
      </c>
      <c r="CU60" t="s">
        <v>1634</v>
      </c>
      <c r="CV60" t="s">
        <v>6353</v>
      </c>
      <c r="CW60" t="s">
        <v>6310</v>
      </c>
      <c r="CY60" t="s">
        <v>6014</v>
      </c>
      <c r="CZ60" t="s">
        <v>6012</v>
      </c>
      <c r="DA60" t="s">
        <v>6012</v>
      </c>
      <c r="DC60" t="s">
        <v>6014</v>
      </c>
      <c r="DD60" t="s">
        <v>6012</v>
      </c>
      <c r="DE60" t="s">
        <v>6012</v>
      </c>
      <c r="DF60" t="s">
        <v>6764</v>
      </c>
      <c r="DG60" t="s">
        <v>6015</v>
      </c>
      <c r="DH60" t="s">
        <v>6765</v>
      </c>
      <c r="DI60" t="s">
        <v>6256</v>
      </c>
      <c r="DJ60">
        <v>1</v>
      </c>
      <c r="DK60">
        <v>1</v>
      </c>
      <c r="DL60" t="s">
        <v>6017</v>
      </c>
      <c r="DM60" t="s">
        <v>6101</v>
      </c>
      <c r="DV60">
        <v>2000</v>
      </c>
      <c r="DW60">
        <v>5</v>
      </c>
      <c r="DX60" t="s">
        <v>6766</v>
      </c>
      <c r="DZ60" t="s">
        <v>6767</v>
      </c>
      <c r="EB60">
        <v>1</v>
      </c>
      <c r="EC60" t="s">
        <v>6753</v>
      </c>
      <c r="ED60" t="s">
        <v>1634</v>
      </c>
      <c r="EE60">
        <v>1000</v>
      </c>
      <c r="ER60" t="s">
        <v>6129</v>
      </c>
      <c r="ES60" t="s">
        <v>6768</v>
      </c>
      <c r="EV60" t="s">
        <v>6074</v>
      </c>
      <c r="EW60" t="s">
        <v>651</v>
      </c>
      <c r="EX60" t="s">
        <v>693</v>
      </c>
      <c r="EY60">
        <v>69056683</v>
      </c>
      <c r="EZ60">
        <v>58411804</v>
      </c>
      <c r="FA60" t="s">
        <v>6769</v>
      </c>
      <c r="FB60" t="s">
        <v>6770</v>
      </c>
      <c r="FD60" s="57">
        <v>43677.562731481485</v>
      </c>
      <c r="FE60" s="57">
        <v>43677.565115740741</v>
      </c>
    </row>
    <row r="61" spans="1:161" ht="12" customHeight="1">
      <c r="A61">
        <v>421</v>
      </c>
      <c r="B61">
        <v>11</v>
      </c>
      <c r="C61">
        <v>340518</v>
      </c>
      <c r="D61" s="57">
        <v>43675.467418981483</v>
      </c>
      <c r="E61" t="s">
        <v>6220</v>
      </c>
      <c r="F61" t="s">
        <v>6725</v>
      </c>
      <c r="G61" t="s">
        <v>6726</v>
      </c>
      <c r="H61" t="s">
        <v>4449</v>
      </c>
      <c r="I61" t="s">
        <v>4860</v>
      </c>
      <c r="J61">
        <v>72608867</v>
      </c>
      <c r="K61" t="s">
        <v>6028</v>
      </c>
      <c r="L61" t="s">
        <v>6204</v>
      </c>
      <c r="M61" t="s">
        <v>58</v>
      </c>
      <c r="O61" t="s">
        <v>1174</v>
      </c>
      <c r="P61" t="s">
        <v>1548</v>
      </c>
      <c r="Q61" t="s">
        <v>395</v>
      </c>
      <c r="R61" t="s">
        <v>2338</v>
      </c>
      <c r="S61" t="s">
        <v>1634</v>
      </c>
      <c r="T61" t="s">
        <v>6727</v>
      </c>
      <c r="U61" t="s">
        <v>2282</v>
      </c>
      <c r="V61">
        <v>18</v>
      </c>
      <c r="W61" t="s">
        <v>1634</v>
      </c>
      <c r="X61" t="s">
        <v>6031</v>
      </c>
      <c r="Y61" t="s">
        <v>6032</v>
      </c>
      <c r="Z61" t="s">
        <v>1634</v>
      </c>
      <c r="AA61" t="s">
        <v>5999</v>
      </c>
      <c r="AB61" t="s">
        <v>1634</v>
      </c>
      <c r="AC61" t="s">
        <v>6083</v>
      </c>
      <c r="AD61" t="s">
        <v>6083</v>
      </c>
      <c r="AE61" t="s">
        <v>1634</v>
      </c>
      <c r="BG61">
        <v>0</v>
      </c>
      <c r="BH61">
        <v>2</v>
      </c>
      <c r="BI61">
        <v>2</v>
      </c>
      <c r="BJ61">
        <v>1</v>
      </c>
      <c r="BK61">
        <v>4</v>
      </c>
      <c r="BL61">
        <v>5</v>
      </c>
      <c r="BM61">
        <v>1</v>
      </c>
      <c r="BN61">
        <v>14</v>
      </c>
      <c r="BO61">
        <v>14</v>
      </c>
      <c r="BP61">
        <v>2</v>
      </c>
      <c r="BQ61">
        <v>100</v>
      </c>
      <c r="BR61">
        <v>100</v>
      </c>
      <c r="BS61">
        <v>0</v>
      </c>
      <c r="BT61">
        <v>1</v>
      </c>
      <c r="BU61">
        <v>1</v>
      </c>
      <c r="BV61">
        <v>0</v>
      </c>
      <c r="BW61">
        <v>0</v>
      </c>
      <c r="BX61">
        <v>3</v>
      </c>
      <c r="BY61">
        <v>4</v>
      </c>
      <c r="BZ61">
        <v>0</v>
      </c>
      <c r="CA61">
        <v>14</v>
      </c>
      <c r="CB61">
        <v>0</v>
      </c>
      <c r="CC61">
        <v>100</v>
      </c>
      <c r="CD61">
        <v>100</v>
      </c>
      <c r="CE61" t="s">
        <v>6728</v>
      </c>
      <c r="CF61" t="s">
        <v>6244</v>
      </c>
      <c r="CG61" t="s">
        <v>6729</v>
      </c>
      <c r="CH61" t="s">
        <v>6730</v>
      </c>
      <c r="CI61" t="s">
        <v>6731</v>
      </c>
      <c r="CJ61" t="s">
        <v>6732</v>
      </c>
      <c r="CK61" t="s">
        <v>1548</v>
      </c>
      <c r="CL61" t="s">
        <v>6733</v>
      </c>
      <c r="CM61" t="s">
        <v>6007</v>
      </c>
      <c r="CN61" t="s">
        <v>1548</v>
      </c>
      <c r="CO61" t="s">
        <v>6734</v>
      </c>
      <c r="CQ61" t="s">
        <v>6042</v>
      </c>
      <c r="CR61" t="s">
        <v>6009</v>
      </c>
      <c r="CS61" t="s">
        <v>6042</v>
      </c>
      <c r="CT61" t="s">
        <v>6009</v>
      </c>
      <c r="CU61" t="s">
        <v>1634</v>
      </c>
      <c r="CV61" t="s">
        <v>6735</v>
      </c>
      <c r="CW61" t="s">
        <v>6009</v>
      </c>
      <c r="CX61" t="s">
        <v>6067</v>
      </c>
      <c r="CY61" t="s">
        <v>6014</v>
      </c>
      <c r="DA61" t="s">
        <v>6046</v>
      </c>
      <c r="DC61" t="s">
        <v>6014</v>
      </c>
      <c r="DD61" t="s">
        <v>6013</v>
      </c>
      <c r="DE61" t="s">
        <v>6013</v>
      </c>
      <c r="DF61" t="s">
        <v>6736</v>
      </c>
      <c r="DH61" t="s">
        <v>6737</v>
      </c>
      <c r="DI61" t="s">
        <v>6256</v>
      </c>
      <c r="DJ61">
        <v>4</v>
      </c>
      <c r="DK61">
        <v>6</v>
      </c>
      <c r="DL61" t="s">
        <v>6049</v>
      </c>
      <c r="DM61" t="s">
        <v>6018</v>
      </c>
      <c r="DT61">
        <v>50</v>
      </c>
      <c r="DU61">
        <v>20</v>
      </c>
      <c r="DX61" s="58" t="s">
        <v>6738</v>
      </c>
      <c r="DY61" t="s">
        <v>6235</v>
      </c>
      <c r="DZ61" t="s">
        <v>6236</v>
      </c>
      <c r="EA61" t="s">
        <v>6022</v>
      </c>
      <c r="EB61">
        <v>1</v>
      </c>
      <c r="EC61" t="s">
        <v>1174</v>
      </c>
      <c r="ED61" t="s">
        <v>1548</v>
      </c>
      <c r="EE61">
        <v>100000</v>
      </c>
      <c r="ER61" t="s">
        <v>6129</v>
      </c>
      <c r="ES61" t="s">
        <v>6739</v>
      </c>
      <c r="ET61" t="s">
        <v>2643</v>
      </c>
      <c r="EU61" t="s">
        <v>2643</v>
      </c>
      <c r="EV61" t="s">
        <v>6238</v>
      </c>
      <c r="EW61" t="s">
        <v>6740</v>
      </c>
      <c r="EX61" t="s">
        <v>6741</v>
      </c>
      <c r="EY61">
        <v>60388682</v>
      </c>
      <c r="EZ61" t="s">
        <v>6026</v>
      </c>
      <c r="FD61" s="57">
        <v>43675.467199074075</v>
      </c>
      <c r="FE61" s="57">
        <v>43675.467372685183</v>
      </c>
    </row>
  </sheetData>
  <sortState xmlns:xlrd2="http://schemas.microsoft.com/office/spreadsheetml/2017/richdata2" ref="A2:FE61">
    <sortCondition ref="A2:A61"/>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0E642-87E4-4E07-AF4C-B6C7E3AB4401}">
  <dimension ref="A1:FZ10"/>
  <sheetViews>
    <sheetView workbookViewId="0">
      <selection activeCell="G13" sqref="G13"/>
    </sheetView>
  </sheetViews>
  <sheetFormatPr defaultRowHeight="12" customHeight="1"/>
  <cols>
    <col min="4" max="4" width="8.73046875" customWidth="1"/>
  </cols>
  <sheetData>
    <row r="1" spans="1:182" s="80" customFormat="1" ht="12" customHeight="1">
      <c r="A1" s="80" t="s">
        <v>0</v>
      </c>
      <c r="B1" s="80" t="s">
        <v>5843</v>
      </c>
      <c r="C1" s="80" t="s">
        <v>5844</v>
      </c>
      <c r="D1" s="80" t="s">
        <v>5845</v>
      </c>
      <c r="E1" s="80" t="s">
        <v>5846</v>
      </c>
      <c r="F1" s="80" t="s">
        <v>5847</v>
      </c>
      <c r="G1" s="80" t="s">
        <v>5848</v>
      </c>
      <c r="H1" s="80" t="s">
        <v>5849</v>
      </c>
      <c r="I1" s="80" t="s">
        <v>5850</v>
      </c>
      <c r="J1" s="80" t="s">
        <v>5851</v>
      </c>
      <c r="K1" s="80" t="s">
        <v>5852</v>
      </c>
      <c r="L1" s="80" t="s">
        <v>5853</v>
      </c>
      <c r="M1" s="80" t="s">
        <v>5854</v>
      </c>
      <c r="N1" s="80" t="s">
        <v>5855</v>
      </c>
      <c r="O1" s="80" t="s">
        <v>7148</v>
      </c>
      <c r="P1" s="80" t="s">
        <v>7149</v>
      </c>
      <c r="Q1" s="80" t="s">
        <v>5858</v>
      </c>
      <c r="R1" s="80" t="s">
        <v>5859</v>
      </c>
      <c r="S1" s="80" t="s">
        <v>5860</v>
      </c>
      <c r="T1" s="80" t="s">
        <v>7150</v>
      </c>
      <c r="U1" s="80" t="s">
        <v>5862</v>
      </c>
      <c r="V1" s="80" t="s">
        <v>7151</v>
      </c>
      <c r="W1" s="80" t="s">
        <v>7152</v>
      </c>
      <c r="X1" s="80" t="s">
        <v>7153</v>
      </c>
      <c r="Y1" s="80" t="s">
        <v>7154</v>
      </c>
      <c r="Z1" s="80" t="s">
        <v>7155</v>
      </c>
      <c r="AA1" s="80" t="s">
        <v>7156</v>
      </c>
      <c r="AB1" s="80" t="s">
        <v>7157</v>
      </c>
      <c r="AC1" s="80" t="s">
        <v>7158</v>
      </c>
      <c r="AD1" s="80" t="s">
        <v>7159</v>
      </c>
      <c r="AE1" s="80" t="s">
        <v>7160</v>
      </c>
      <c r="AF1" s="80" t="s">
        <v>7161</v>
      </c>
      <c r="AG1" s="80" t="s">
        <v>7162</v>
      </c>
      <c r="AH1" s="80" t="s">
        <v>7163</v>
      </c>
      <c r="AI1" s="80" t="s">
        <v>7164</v>
      </c>
      <c r="AJ1" s="80" t="s">
        <v>7165</v>
      </c>
      <c r="AK1" s="80" t="s">
        <v>7166</v>
      </c>
      <c r="AL1" s="80" t="s">
        <v>7167</v>
      </c>
      <c r="AM1" s="80" t="s">
        <v>7168</v>
      </c>
      <c r="AN1" s="80" t="s">
        <v>7169</v>
      </c>
      <c r="AO1" s="80" t="s">
        <v>7170</v>
      </c>
      <c r="AP1" s="80" t="s">
        <v>7171</v>
      </c>
      <c r="AQ1" s="80" t="s">
        <v>5864</v>
      </c>
      <c r="AR1" s="80" t="s">
        <v>7172</v>
      </c>
      <c r="AS1" s="80" t="s">
        <v>7173</v>
      </c>
      <c r="AT1" s="80" t="s">
        <v>5867</v>
      </c>
      <c r="AU1" s="80" t="s">
        <v>5868</v>
      </c>
      <c r="AV1" s="80" t="s">
        <v>5869</v>
      </c>
      <c r="AW1" s="80" t="s">
        <v>5870</v>
      </c>
      <c r="AX1" s="80" t="s">
        <v>5871</v>
      </c>
      <c r="AY1" s="80" t="s">
        <v>5872</v>
      </c>
      <c r="AZ1" s="80" t="s">
        <v>7174</v>
      </c>
      <c r="BA1" s="80" t="s">
        <v>7175</v>
      </c>
      <c r="BB1" s="80" t="s">
        <v>7176</v>
      </c>
      <c r="BC1" s="80" t="s">
        <v>7177</v>
      </c>
      <c r="BD1" s="80" t="s">
        <v>7178</v>
      </c>
      <c r="BE1" s="80" t="s">
        <v>7179</v>
      </c>
      <c r="BF1" s="80" t="s">
        <v>7180</v>
      </c>
      <c r="BG1" s="80" t="s">
        <v>7181</v>
      </c>
      <c r="BH1" s="80" t="s">
        <v>7182</v>
      </c>
      <c r="BI1" s="80" t="s">
        <v>7183</v>
      </c>
      <c r="BJ1" s="80" t="s">
        <v>7184</v>
      </c>
      <c r="BK1" s="80" t="s">
        <v>7185</v>
      </c>
      <c r="BL1" s="80" t="s">
        <v>7186</v>
      </c>
      <c r="BM1" s="80" t="s">
        <v>7187</v>
      </c>
      <c r="BN1" s="80" t="s">
        <v>7188</v>
      </c>
      <c r="BO1" s="80" t="s">
        <v>7189</v>
      </c>
      <c r="BP1" s="80" t="s">
        <v>7190</v>
      </c>
      <c r="BQ1" s="80" t="s">
        <v>7191</v>
      </c>
      <c r="BR1" s="80" t="s">
        <v>7192</v>
      </c>
      <c r="BS1" s="80" t="s">
        <v>7193</v>
      </c>
      <c r="BT1" s="80" t="s">
        <v>7194</v>
      </c>
      <c r="BU1" s="80" t="s">
        <v>7195</v>
      </c>
      <c r="BV1" s="80" t="s">
        <v>7196</v>
      </c>
      <c r="BW1" s="80" t="s">
        <v>7197</v>
      </c>
      <c r="BX1" s="80" t="s">
        <v>7198</v>
      </c>
      <c r="BY1" s="80" t="s">
        <v>7199</v>
      </c>
      <c r="BZ1" s="80" t="s">
        <v>7200</v>
      </c>
      <c r="CA1" s="80" t="s">
        <v>7201</v>
      </c>
      <c r="CB1" s="80" t="s">
        <v>7202</v>
      </c>
      <c r="CC1" s="80" t="s">
        <v>7203</v>
      </c>
      <c r="CD1" s="80" t="s">
        <v>7204</v>
      </c>
      <c r="CE1" s="80" t="s">
        <v>7205</v>
      </c>
      <c r="CF1" s="80" t="s">
        <v>7206</v>
      </c>
      <c r="CG1" s="80" t="s">
        <v>7207</v>
      </c>
      <c r="CH1" s="80" t="s">
        <v>7208</v>
      </c>
      <c r="CI1" s="80" t="s">
        <v>7209</v>
      </c>
      <c r="CJ1" s="80" t="s">
        <v>7210</v>
      </c>
      <c r="CK1" s="80" t="s">
        <v>7211</v>
      </c>
      <c r="CL1" s="80" t="s">
        <v>7212</v>
      </c>
      <c r="CM1" s="80" t="s">
        <v>7213</v>
      </c>
      <c r="CN1" s="80" t="s">
        <v>7214</v>
      </c>
      <c r="CO1" s="80" t="s">
        <v>7215</v>
      </c>
      <c r="CP1" s="80" t="s">
        <v>7216</v>
      </c>
      <c r="CQ1" s="80" t="s">
        <v>7217</v>
      </c>
      <c r="CR1" s="80" t="s">
        <v>7218</v>
      </c>
      <c r="CS1" s="80" t="s">
        <v>7219</v>
      </c>
      <c r="CT1" s="80" t="s">
        <v>7220</v>
      </c>
      <c r="CU1" s="80" t="s">
        <v>7221</v>
      </c>
      <c r="CV1" s="80" t="s">
        <v>7222</v>
      </c>
      <c r="CW1" s="80" t="s">
        <v>7223</v>
      </c>
      <c r="CX1" s="80" t="s">
        <v>7224</v>
      </c>
      <c r="CY1" s="80" t="s">
        <v>7225</v>
      </c>
      <c r="CZ1" s="80" t="s">
        <v>5924</v>
      </c>
      <c r="DA1" s="80" t="s">
        <v>5924</v>
      </c>
      <c r="DB1" s="80" t="s">
        <v>5925</v>
      </c>
      <c r="DC1" s="80" t="s">
        <v>5925</v>
      </c>
      <c r="DD1" s="80" t="s">
        <v>5926</v>
      </c>
      <c r="DE1" s="80" t="s">
        <v>5926</v>
      </c>
      <c r="DF1" s="80" t="s">
        <v>5927</v>
      </c>
      <c r="DG1" s="80" t="s">
        <v>5928</v>
      </c>
      <c r="DH1" s="80" t="s">
        <v>5928</v>
      </c>
      <c r="DI1" s="80" t="s">
        <v>5929</v>
      </c>
      <c r="DJ1" s="80" t="s">
        <v>5930</v>
      </c>
      <c r="DK1" s="80" t="s">
        <v>5930</v>
      </c>
      <c r="DL1" s="80" t="s">
        <v>5931</v>
      </c>
      <c r="DM1" s="80" t="s">
        <v>5931</v>
      </c>
      <c r="DN1" s="80" t="s">
        <v>5932</v>
      </c>
      <c r="DO1" s="80" t="s">
        <v>5932</v>
      </c>
      <c r="DP1" s="80" t="s">
        <v>5933</v>
      </c>
      <c r="DQ1" s="80" t="s">
        <v>5934</v>
      </c>
      <c r="DR1" s="80" t="s">
        <v>5934</v>
      </c>
      <c r="DS1" s="80" t="s">
        <v>5935</v>
      </c>
      <c r="DT1" s="80" t="s">
        <v>5936</v>
      </c>
      <c r="DU1" s="80" t="s">
        <v>5937</v>
      </c>
      <c r="DV1" s="80" t="s">
        <v>5938</v>
      </c>
      <c r="DW1" s="80" t="s">
        <v>7226</v>
      </c>
      <c r="DX1" s="80" t="s">
        <v>7227</v>
      </c>
      <c r="DY1" s="80" t="s">
        <v>7228</v>
      </c>
      <c r="DZ1" s="80" t="s">
        <v>7229</v>
      </c>
      <c r="EA1" s="80" t="s">
        <v>5943</v>
      </c>
      <c r="EB1" s="80" t="s">
        <v>5944</v>
      </c>
      <c r="EC1" s="80" t="s">
        <v>5945</v>
      </c>
      <c r="ED1" s="80" t="s">
        <v>5945</v>
      </c>
      <c r="EE1" s="80" t="s">
        <v>5946</v>
      </c>
      <c r="EF1" s="80" t="s">
        <v>5947</v>
      </c>
      <c r="EG1" s="80" t="s">
        <v>5948</v>
      </c>
      <c r="EH1" s="80" t="s">
        <v>7230</v>
      </c>
      <c r="EI1" s="80" t="s">
        <v>7231</v>
      </c>
      <c r="EJ1" s="80" t="s">
        <v>7232</v>
      </c>
      <c r="EK1" s="80" t="s">
        <v>7233</v>
      </c>
      <c r="EL1" s="80" t="s">
        <v>7234</v>
      </c>
      <c r="EM1" s="80" t="s">
        <v>7235</v>
      </c>
      <c r="EN1" s="80" t="s">
        <v>7236</v>
      </c>
      <c r="EO1" s="80" t="s">
        <v>7237</v>
      </c>
      <c r="EP1" s="80" t="s">
        <v>7238</v>
      </c>
      <c r="EQ1" s="80" t="s">
        <v>7239</v>
      </c>
      <c r="ER1" s="80" t="s">
        <v>7240</v>
      </c>
      <c r="ES1" s="80" t="s">
        <v>7241</v>
      </c>
      <c r="ET1" s="80" t="s">
        <v>7242</v>
      </c>
      <c r="EU1" s="80" t="s">
        <v>7243</v>
      </c>
      <c r="EV1" s="80" t="s">
        <v>7244</v>
      </c>
      <c r="EW1" s="80" t="s">
        <v>7245</v>
      </c>
      <c r="EX1" s="80" t="s">
        <v>7246</v>
      </c>
      <c r="EY1" s="80" t="s">
        <v>7247</v>
      </c>
      <c r="EZ1" s="80" t="s">
        <v>7248</v>
      </c>
      <c r="FA1" s="80" t="s">
        <v>7249</v>
      </c>
      <c r="FB1" s="80" t="s">
        <v>7250</v>
      </c>
      <c r="FC1" s="80" t="s">
        <v>7251</v>
      </c>
      <c r="FD1" s="80" t="s">
        <v>7252</v>
      </c>
      <c r="FE1" s="80" t="s">
        <v>7253</v>
      </c>
      <c r="FF1" s="80" t="s">
        <v>7254</v>
      </c>
      <c r="FG1" s="80" t="s">
        <v>7255</v>
      </c>
      <c r="FH1" s="80" t="s">
        <v>7256</v>
      </c>
      <c r="FI1" s="80" t="s">
        <v>7257</v>
      </c>
      <c r="FJ1" s="80" t="s">
        <v>7258</v>
      </c>
      <c r="FK1" s="80" t="s">
        <v>7259</v>
      </c>
      <c r="FL1" s="80" t="s">
        <v>7260</v>
      </c>
      <c r="FM1" s="80" t="s">
        <v>7261</v>
      </c>
      <c r="FN1" s="80" t="s">
        <v>5980</v>
      </c>
      <c r="FO1" s="80" t="s">
        <v>7262</v>
      </c>
      <c r="FP1" s="80" t="s">
        <v>5982</v>
      </c>
      <c r="FQ1" s="80" t="s">
        <v>5983</v>
      </c>
      <c r="FR1" s="80" t="s">
        <v>5985</v>
      </c>
      <c r="FS1" s="80" t="s">
        <v>5986</v>
      </c>
      <c r="FT1" s="80" t="s">
        <v>5987</v>
      </c>
      <c r="FU1" s="80" t="s">
        <v>7263</v>
      </c>
      <c r="FV1" s="80" t="s">
        <v>5989</v>
      </c>
      <c r="FW1" s="80" t="s">
        <v>5990</v>
      </c>
      <c r="FX1" s="80" t="s">
        <v>4443</v>
      </c>
      <c r="FY1" s="80" t="s">
        <v>4444</v>
      </c>
      <c r="FZ1" s="80" t="s">
        <v>4445</v>
      </c>
    </row>
    <row r="2" spans="1:182" ht="12" customHeight="1">
      <c r="A2">
        <v>30</v>
      </c>
      <c r="B2">
        <v>1</v>
      </c>
      <c r="C2">
        <v>340559</v>
      </c>
      <c r="D2" s="57">
        <v>43675.480624999997</v>
      </c>
      <c r="E2" t="s">
        <v>6110</v>
      </c>
      <c r="F2" t="s">
        <v>573</v>
      </c>
      <c r="G2" t="s">
        <v>574</v>
      </c>
      <c r="H2" t="s">
        <v>4449</v>
      </c>
      <c r="I2" t="s">
        <v>4860</v>
      </c>
      <c r="J2">
        <v>55550908</v>
      </c>
      <c r="K2" t="s">
        <v>6028</v>
      </c>
      <c r="L2" t="s">
        <v>6029</v>
      </c>
      <c r="M2" t="s">
        <v>496</v>
      </c>
      <c r="O2" t="s">
        <v>3086</v>
      </c>
      <c r="P2" t="s">
        <v>1548</v>
      </c>
      <c r="Q2" t="s">
        <v>7510</v>
      </c>
      <c r="R2" t="s">
        <v>7266</v>
      </c>
      <c r="S2" t="s">
        <v>1634</v>
      </c>
      <c r="T2" t="s">
        <v>7511</v>
      </c>
      <c r="U2" t="s">
        <v>1541</v>
      </c>
      <c r="V2">
        <v>7</v>
      </c>
      <c r="W2" t="s">
        <v>7512</v>
      </c>
      <c r="X2" t="s">
        <v>7513</v>
      </c>
      <c r="Y2" t="s">
        <v>7514</v>
      </c>
      <c r="Z2" t="s">
        <v>7515</v>
      </c>
      <c r="AA2" t="s">
        <v>7516</v>
      </c>
      <c r="AB2" t="s">
        <v>7517</v>
      </c>
      <c r="AC2" t="s">
        <v>7518</v>
      </c>
      <c r="AD2" t="s">
        <v>7519</v>
      </c>
      <c r="AE2" t="s">
        <v>7520</v>
      </c>
      <c r="AF2" t="s">
        <v>3086</v>
      </c>
      <c r="AG2" t="s">
        <v>3170</v>
      </c>
      <c r="AH2" t="s">
        <v>7521</v>
      </c>
      <c r="AI2" t="s">
        <v>7522</v>
      </c>
      <c r="AJ2" t="s">
        <v>3182</v>
      </c>
      <c r="AQ2" t="s">
        <v>1634</v>
      </c>
      <c r="AR2" t="s">
        <v>5997</v>
      </c>
      <c r="AS2" t="s">
        <v>6033</v>
      </c>
      <c r="AT2" t="s">
        <v>1548</v>
      </c>
      <c r="AU2" t="s">
        <v>6033</v>
      </c>
      <c r="AV2" t="s">
        <v>1548</v>
      </c>
      <c r="AW2" t="s">
        <v>6033</v>
      </c>
      <c r="AX2" t="s">
        <v>6033</v>
      </c>
      <c r="AY2" t="s">
        <v>1548</v>
      </c>
      <c r="BC2" t="s">
        <v>6057</v>
      </c>
      <c r="CN2">
        <v>700</v>
      </c>
      <c r="CO2">
        <v>0</v>
      </c>
      <c r="CP2">
        <v>1000</v>
      </c>
      <c r="CQ2">
        <v>650</v>
      </c>
      <c r="CR2">
        <v>0</v>
      </c>
      <c r="CS2">
        <v>1500</v>
      </c>
      <c r="CT2">
        <v>600</v>
      </c>
      <c r="CU2">
        <v>0</v>
      </c>
      <c r="CV2">
        <v>2000</v>
      </c>
      <c r="CW2">
        <v>500</v>
      </c>
      <c r="CX2">
        <v>0</v>
      </c>
      <c r="CY2">
        <v>3000</v>
      </c>
      <c r="CZ2" t="s">
        <v>7523</v>
      </c>
      <c r="DA2" t="s">
        <v>7524</v>
      </c>
      <c r="DB2" t="s">
        <v>7525</v>
      </c>
      <c r="DC2" t="s">
        <v>7526</v>
      </c>
      <c r="DD2" t="s">
        <v>7527</v>
      </c>
      <c r="DE2" t="s">
        <v>7528</v>
      </c>
      <c r="DF2" t="s">
        <v>1634</v>
      </c>
      <c r="DG2" t="s">
        <v>7529</v>
      </c>
      <c r="DH2" t="s">
        <v>7418</v>
      </c>
      <c r="DI2" t="s">
        <v>1634</v>
      </c>
      <c r="DJ2" t="s">
        <v>7530</v>
      </c>
      <c r="DK2" t="s">
        <v>6613</v>
      </c>
      <c r="DL2" t="s">
        <v>7531</v>
      </c>
      <c r="DM2" t="s">
        <v>6124</v>
      </c>
      <c r="DN2" t="s">
        <v>7532</v>
      </c>
      <c r="DO2" t="s">
        <v>7533</v>
      </c>
      <c r="DP2" t="s">
        <v>1548</v>
      </c>
      <c r="DQ2" t="s">
        <v>7534</v>
      </c>
      <c r="DS2" t="s">
        <v>6338</v>
      </c>
      <c r="DT2" t="s">
        <v>6014</v>
      </c>
      <c r="DU2" t="s">
        <v>6013</v>
      </c>
      <c r="DV2" t="s">
        <v>6166</v>
      </c>
      <c r="DX2" t="s">
        <v>6014</v>
      </c>
      <c r="DY2" t="s">
        <v>6013</v>
      </c>
      <c r="DZ2" t="s">
        <v>6013</v>
      </c>
      <c r="EA2" t="s">
        <v>7535</v>
      </c>
      <c r="EB2" t="s">
        <v>6015</v>
      </c>
      <c r="EC2" t="s">
        <v>6128</v>
      </c>
      <c r="ED2" t="s">
        <v>6016</v>
      </c>
      <c r="EE2">
        <v>1</v>
      </c>
      <c r="EF2" s="59">
        <v>43834</v>
      </c>
      <c r="EG2" t="s">
        <v>6049</v>
      </c>
      <c r="EH2" t="s">
        <v>7293</v>
      </c>
      <c r="EI2" t="s">
        <v>1559</v>
      </c>
      <c r="EJ2" t="s">
        <v>6026</v>
      </c>
      <c r="EK2" t="s">
        <v>6026</v>
      </c>
      <c r="ET2" t="s">
        <v>7536</v>
      </c>
      <c r="EV2" t="s">
        <v>1366</v>
      </c>
      <c r="EW2" t="s">
        <v>6071</v>
      </c>
      <c r="EX2">
        <v>0</v>
      </c>
      <c r="FN2" t="s">
        <v>7537</v>
      </c>
      <c r="FO2" t="s">
        <v>7538</v>
      </c>
      <c r="FP2" t="s">
        <v>7539</v>
      </c>
      <c r="FQ2" t="s">
        <v>3154</v>
      </c>
      <c r="FR2" t="s">
        <v>936</v>
      </c>
      <c r="FS2" t="s">
        <v>7540</v>
      </c>
      <c r="FT2">
        <v>70856229</v>
      </c>
      <c r="FU2" t="s">
        <v>6026</v>
      </c>
      <c r="FY2" s="57">
        <v>43666.695439814815</v>
      </c>
      <c r="FZ2" s="57">
        <v>43666.695868055554</v>
      </c>
    </row>
    <row r="3" spans="1:182" ht="12" customHeight="1">
      <c r="A3">
        <v>109</v>
      </c>
      <c r="B3">
        <v>8</v>
      </c>
      <c r="C3">
        <v>311906</v>
      </c>
      <c r="D3" s="57">
        <v>43665.597754629627</v>
      </c>
      <c r="E3" t="s">
        <v>6077</v>
      </c>
      <c r="F3" t="s">
        <v>6664</v>
      </c>
      <c r="G3" t="s">
        <v>712</v>
      </c>
      <c r="H3" t="s">
        <v>4449</v>
      </c>
      <c r="I3" t="s">
        <v>4860</v>
      </c>
      <c r="J3">
        <v>70739030</v>
      </c>
      <c r="K3" t="s">
        <v>6028</v>
      </c>
      <c r="M3" t="s">
        <v>58</v>
      </c>
      <c r="O3" t="s">
        <v>89</v>
      </c>
      <c r="P3" t="s">
        <v>1634</v>
      </c>
      <c r="Q3" t="s">
        <v>7404</v>
      </c>
      <c r="R3" t="s">
        <v>7266</v>
      </c>
      <c r="S3" t="s">
        <v>1634</v>
      </c>
      <c r="T3" t="s">
        <v>7405</v>
      </c>
      <c r="U3" t="s">
        <v>2282</v>
      </c>
      <c r="V3">
        <v>4</v>
      </c>
      <c r="W3" t="s">
        <v>7406</v>
      </c>
      <c r="X3" t="s">
        <v>58</v>
      </c>
      <c r="Y3" t="s">
        <v>7407</v>
      </c>
      <c r="Z3" t="s">
        <v>7408</v>
      </c>
      <c r="AA3" t="s">
        <v>7409</v>
      </c>
      <c r="AB3" t="s">
        <v>7410</v>
      </c>
      <c r="AC3" t="s">
        <v>7411</v>
      </c>
      <c r="AD3" t="s">
        <v>7412</v>
      </c>
      <c r="AQ3" t="s">
        <v>1634</v>
      </c>
      <c r="AR3" t="s">
        <v>6031</v>
      </c>
      <c r="AS3" t="s">
        <v>6032</v>
      </c>
      <c r="AT3" t="s">
        <v>1634</v>
      </c>
      <c r="AU3" t="s">
        <v>6032</v>
      </c>
      <c r="AV3" t="s">
        <v>1548</v>
      </c>
      <c r="AW3" t="s">
        <v>6033</v>
      </c>
      <c r="AX3" t="s">
        <v>6033</v>
      </c>
      <c r="AY3" t="s">
        <v>1548</v>
      </c>
      <c r="AZ3" t="s">
        <v>6085</v>
      </c>
      <c r="BA3" t="s">
        <v>1561</v>
      </c>
      <c r="BB3" t="s">
        <v>6085</v>
      </c>
      <c r="BC3" t="s">
        <v>7283</v>
      </c>
      <c r="CB3">
        <v>141</v>
      </c>
      <c r="CC3">
        <v>0</v>
      </c>
      <c r="CD3">
        <v>141</v>
      </c>
      <c r="CE3">
        <v>282</v>
      </c>
      <c r="CF3">
        <v>0</v>
      </c>
      <c r="CG3">
        <v>282</v>
      </c>
      <c r="CH3">
        <v>90</v>
      </c>
      <c r="CI3">
        <v>0</v>
      </c>
      <c r="CJ3">
        <v>90</v>
      </c>
      <c r="CK3">
        <v>230</v>
      </c>
      <c r="CL3">
        <v>0</v>
      </c>
      <c r="CM3">
        <v>230</v>
      </c>
      <c r="CN3">
        <v>5</v>
      </c>
      <c r="CO3">
        <v>0</v>
      </c>
      <c r="CP3">
        <v>5</v>
      </c>
      <c r="CQ3">
        <v>25</v>
      </c>
      <c r="CR3">
        <v>0</v>
      </c>
      <c r="CS3">
        <v>25</v>
      </c>
      <c r="CT3">
        <v>17</v>
      </c>
      <c r="CU3">
        <v>0</v>
      </c>
      <c r="CV3">
        <v>17</v>
      </c>
      <c r="CW3">
        <v>100</v>
      </c>
      <c r="CX3">
        <v>0</v>
      </c>
      <c r="CY3">
        <v>100</v>
      </c>
      <c r="CZ3" t="s">
        <v>7413</v>
      </c>
      <c r="DA3" t="s">
        <v>7414</v>
      </c>
      <c r="DB3" t="s">
        <v>7415</v>
      </c>
      <c r="DC3" t="s">
        <v>6669</v>
      </c>
      <c r="DD3" t="s">
        <v>7416</v>
      </c>
      <c r="DE3" t="s">
        <v>6141</v>
      </c>
      <c r="DF3" t="s">
        <v>1634</v>
      </c>
      <c r="DG3" t="s">
        <v>7417</v>
      </c>
      <c r="DH3" t="s">
        <v>7418</v>
      </c>
      <c r="DI3" t="s">
        <v>1634</v>
      </c>
      <c r="DJ3" t="s">
        <v>7419</v>
      </c>
      <c r="DK3" t="s">
        <v>6041</v>
      </c>
      <c r="DL3" t="s">
        <v>7420</v>
      </c>
      <c r="DN3" t="s">
        <v>7421</v>
      </c>
      <c r="DO3" t="s">
        <v>6252</v>
      </c>
      <c r="DP3" t="s">
        <v>1548</v>
      </c>
      <c r="DQ3" t="s">
        <v>7422</v>
      </c>
      <c r="DR3" t="s">
        <v>6009</v>
      </c>
      <c r="DS3" t="s">
        <v>6067</v>
      </c>
      <c r="DT3" t="s">
        <v>6067</v>
      </c>
      <c r="DU3" t="s">
        <v>6046</v>
      </c>
      <c r="DV3" t="s">
        <v>6046</v>
      </c>
      <c r="DW3" t="s">
        <v>6014</v>
      </c>
      <c r="DX3" t="s">
        <v>6014</v>
      </c>
      <c r="DY3" t="s">
        <v>6046</v>
      </c>
      <c r="DZ3" t="s">
        <v>6046</v>
      </c>
      <c r="EA3" t="s">
        <v>7423</v>
      </c>
      <c r="EC3" t="s">
        <v>7424</v>
      </c>
      <c r="ED3" t="s">
        <v>6100</v>
      </c>
      <c r="EE3">
        <v>6</v>
      </c>
      <c r="EF3">
        <v>8</v>
      </c>
      <c r="EG3" t="s">
        <v>6049</v>
      </c>
      <c r="EH3" t="s">
        <v>7293</v>
      </c>
      <c r="EI3" t="s">
        <v>6101</v>
      </c>
      <c r="ER3">
        <v>150</v>
      </c>
      <c r="ES3">
        <v>6000</v>
      </c>
      <c r="ET3" t="s">
        <v>7425</v>
      </c>
      <c r="EU3" t="s">
        <v>6235</v>
      </c>
      <c r="EV3" t="s">
        <v>7426</v>
      </c>
      <c r="EW3" t="s">
        <v>6071</v>
      </c>
      <c r="EX3">
        <v>1</v>
      </c>
      <c r="EY3" t="s">
        <v>58</v>
      </c>
      <c r="EZ3" t="s">
        <v>1634</v>
      </c>
      <c r="FA3">
        <v>600000</v>
      </c>
      <c r="FN3" t="s">
        <v>6106</v>
      </c>
      <c r="FO3" t="s">
        <v>1556</v>
      </c>
      <c r="FP3" t="s">
        <v>1556</v>
      </c>
      <c r="FQ3" t="s">
        <v>1556</v>
      </c>
      <c r="FT3" t="s">
        <v>6026</v>
      </c>
      <c r="FU3" t="s">
        <v>6026</v>
      </c>
      <c r="FW3" t="s">
        <v>7427</v>
      </c>
      <c r="FY3" s="57">
        <v>43665.585578703707</v>
      </c>
      <c r="FZ3" s="57">
        <v>43665.597685185188</v>
      </c>
    </row>
    <row r="4" spans="1:182" ht="12" customHeight="1">
      <c r="A4">
        <v>285</v>
      </c>
      <c r="B4">
        <v>3</v>
      </c>
      <c r="C4">
        <v>333291</v>
      </c>
      <c r="D4" s="57">
        <v>43671.851168981484</v>
      </c>
      <c r="E4" t="s">
        <v>6202</v>
      </c>
      <c r="F4" t="s">
        <v>653</v>
      </c>
      <c r="G4" t="s">
        <v>954</v>
      </c>
      <c r="H4" t="s">
        <v>4449</v>
      </c>
      <c r="I4" t="s">
        <v>4860</v>
      </c>
      <c r="J4">
        <v>57260562</v>
      </c>
      <c r="K4" t="s">
        <v>6028</v>
      </c>
      <c r="L4" t="s">
        <v>6204</v>
      </c>
      <c r="M4" t="s">
        <v>461</v>
      </c>
      <c r="O4" t="s">
        <v>2600</v>
      </c>
      <c r="P4" t="s">
        <v>1548</v>
      </c>
      <c r="Q4" t="s">
        <v>7079</v>
      </c>
      <c r="R4" t="s">
        <v>7266</v>
      </c>
      <c r="S4" t="s">
        <v>1548</v>
      </c>
      <c r="U4" t="s">
        <v>1541</v>
      </c>
      <c r="V4">
        <v>2</v>
      </c>
      <c r="W4" t="s">
        <v>7389</v>
      </c>
      <c r="X4" t="s">
        <v>7390</v>
      </c>
      <c r="Y4" t="s">
        <v>7391</v>
      </c>
      <c r="Z4" t="s">
        <v>7391</v>
      </c>
      <c r="AQ4" t="s">
        <v>1548</v>
      </c>
      <c r="AR4" t="s">
        <v>5997</v>
      </c>
      <c r="AS4" t="s">
        <v>6033</v>
      </c>
      <c r="AT4" t="s">
        <v>1548</v>
      </c>
      <c r="AU4" t="s">
        <v>6033</v>
      </c>
      <c r="AV4" t="s">
        <v>1634</v>
      </c>
      <c r="AW4" t="s">
        <v>6033</v>
      </c>
      <c r="AX4" t="s">
        <v>6032</v>
      </c>
      <c r="AY4" t="s">
        <v>1634</v>
      </c>
      <c r="AZ4" t="s">
        <v>1561</v>
      </c>
      <c r="BA4" t="s">
        <v>1561</v>
      </c>
      <c r="BB4" t="s">
        <v>6085</v>
      </c>
      <c r="BC4" t="s">
        <v>7283</v>
      </c>
      <c r="CB4">
        <v>30</v>
      </c>
      <c r="CC4">
        <v>40</v>
      </c>
      <c r="CD4">
        <v>20</v>
      </c>
      <c r="CE4">
        <v>50</v>
      </c>
      <c r="CF4">
        <v>60</v>
      </c>
      <c r="CG4">
        <v>50</v>
      </c>
      <c r="CH4">
        <v>100</v>
      </c>
      <c r="CI4">
        <v>200</v>
      </c>
      <c r="CJ4">
        <v>0</v>
      </c>
      <c r="CK4">
        <v>300</v>
      </c>
      <c r="CL4">
        <v>450</v>
      </c>
      <c r="CM4">
        <v>50</v>
      </c>
      <c r="CN4" t="s">
        <v>6026</v>
      </c>
      <c r="CO4">
        <v>0</v>
      </c>
      <c r="CP4">
        <v>0</v>
      </c>
      <c r="CQ4">
        <v>0</v>
      </c>
      <c r="CR4">
        <v>0</v>
      </c>
      <c r="CS4">
        <v>0</v>
      </c>
      <c r="CT4">
        <v>0</v>
      </c>
      <c r="CU4">
        <v>0</v>
      </c>
      <c r="CV4">
        <v>300</v>
      </c>
      <c r="CW4">
        <v>0</v>
      </c>
      <c r="CX4">
        <v>0</v>
      </c>
      <c r="CY4">
        <v>700</v>
      </c>
      <c r="CZ4" t="s">
        <v>7392</v>
      </c>
      <c r="DA4" t="s">
        <v>7393</v>
      </c>
      <c r="DB4" t="s">
        <v>7394</v>
      </c>
      <c r="DC4" t="s">
        <v>6796</v>
      </c>
      <c r="DD4" t="s">
        <v>7395</v>
      </c>
      <c r="DE4" t="s">
        <v>7396</v>
      </c>
      <c r="DF4" t="s">
        <v>1548</v>
      </c>
      <c r="DG4" t="s">
        <v>7397</v>
      </c>
      <c r="DH4" t="s">
        <v>6007</v>
      </c>
      <c r="DI4" t="s">
        <v>1548</v>
      </c>
      <c r="DJ4" t="s">
        <v>1856</v>
      </c>
      <c r="DK4" t="s">
        <v>6007</v>
      </c>
      <c r="DL4" t="s">
        <v>7398</v>
      </c>
      <c r="DM4" t="s">
        <v>6847</v>
      </c>
      <c r="DN4" t="s">
        <v>7399</v>
      </c>
      <c r="DO4" t="s">
        <v>7400</v>
      </c>
      <c r="DP4" t="s">
        <v>1548</v>
      </c>
      <c r="DQ4" t="s">
        <v>7401</v>
      </c>
      <c r="DR4" t="s">
        <v>6009</v>
      </c>
      <c r="DS4" t="s">
        <v>6338</v>
      </c>
      <c r="DT4" t="s">
        <v>6011</v>
      </c>
      <c r="DU4" t="s">
        <v>6013</v>
      </c>
      <c r="DV4" t="s">
        <v>6013</v>
      </c>
      <c r="DW4" t="s">
        <v>6014</v>
      </c>
      <c r="DX4" t="s">
        <v>6014</v>
      </c>
      <c r="DY4" t="s">
        <v>6012</v>
      </c>
      <c r="DZ4" t="s">
        <v>6012</v>
      </c>
      <c r="EA4" t="s">
        <v>6802</v>
      </c>
      <c r="EB4" t="s">
        <v>6015</v>
      </c>
      <c r="EC4" t="s">
        <v>6361</v>
      </c>
      <c r="ED4" t="s">
        <v>6016</v>
      </c>
      <c r="EE4">
        <v>1</v>
      </c>
      <c r="EF4" t="s">
        <v>7402</v>
      </c>
      <c r="EG4" t="s">
        <v>6049</v>
      </c>
      <c r="EH4" t="s">
        <v>7293</v>
      </c>
      <c r="EI4" t="s">
        <v>1559</v>
      </c>
      <c r="EJ4">
        <v>15</v>
      </c>
      <c r="EK4">
        <v>36</v>
      </c>
      <c r="ET4" t="s">
        <v>6218</v>
      </c>
      <c r="EU4" t="s">
        <v>6015</v>
      </c>
      <c r="EV4" t="s">
        <v>6361</v>
      </c>
      <c r="EX4">
        <v>0</v>
      </c>
      <c r="FN4" t="s">
        <v>6023</v>
      </c>
      <c r="FO4" t="s">
        <v>7403</v>
      </c>
      <c r="FP4" t="s">
        <v>6219</v>
      </c>
      <c r="FQ4" t="s">
        <v>6219</v>
      </c>
      <c r="FT4" t="s">
        <v>6026</v>
      </c>
      <c r="FU4" t="s">
        <v>6026</v>
      </c>
      <c r="FY4" s="57">
        <v>43671.84003472222</v>
      </c>
      <c r="FZ4" s="57">
        <v>43671.851122685184</v>
      </c>
    </row>
    <row r="5" spans="1:182" ht="12" customHeight="1">
      <c r="A5">
        <v>290</v>
      </c>
      <c r="B5">
        <v>7</v>
      </c>
      <c r="C5">
        <v>314859</v>
      </c>
      <c r="D5" s="57">
        <v>43666.750590277778</v>
      </c>
      <c r="E5" t="s">
        <v>6938</v>
      </c>
      <c r="F5" t="s">
        <v>7474</v>
      </c>
      <c r="G5" t="s">
        <v>584</v>
      </c>
      <c r="H5" t="s">
        <v>4449</v>
      </c>
      <c r="I5" t="s">
        <v>4860</v>
      </c>
      <c r="J5" t="s">
        <v>7475</v>
      </c>
      <c r="K5" t="s">
        <v>6028</v>
      </c>
      <c r="L5" t="s">
        <v>6029</v>
      </c>
      <c r="M5" t="s">
        <v>186</v>
      </c>
      <c r="O5" t="s">
        <v>7476</v>
      </c>
      <c r="P5" t="s">
        <v>1548</v>
      </c>
      <c r="Q5" t="s">
        <v>7477</v>
      </c>
      <c r="R5" t="s">
        <v>7266</v>
      </c>
      <c r="S5" t="s">
        <v>1634</v>
      </c>
      <c r="T5" t="s">
        <v>7478</v>
      </c>
      <c r="U5" t="s">
        <v>2282</v>
      </c>
      <c r="V5">
        <v>7</v>
      </c>
      <c r="W5" t="s">
        <v>7479</v>
      </c>
      <c r="X5" t="s">
        <v>7480</v>
      </c>
      <c r="Y5" t="s">
        <v>7481</v>
      </c>
      <c r="Z5" t="s">
        <v>7482</v>
      </c>
      <c r="AA5" t="s">
        <v>7483</v>
      </c>
      <c r="AB5" t="s">
        <v>2738</v>
      </c>
      <c r="AC5" t="s">
        <v>7484</v>
      </c>
      <c r="AD5" t="s">
        <v>6447</v>
      </c>
      <c r="AE5" t="s">
        <v>7485</v>
      </c>
      <c r="AF5" t="s">
        <v>6483</v>
      </c>
      <c r="AG5" t="s">
        <v>7486</v>
      </c>
      <c r="AH5" t="s">
        <v>7487</v>
      </c>
      <c r="AI5" t="s">
        <v>7488</v>
      </c>
      <c r="AJ5" t="s">
        <v>2894</v>
      </c>
      <c r="AQ5" t="s">
        <v>1634</v>
      </c>
      <c r="AR5" t="s">
        <v>5997</v>
      </c>
      <c r="AS5" t="s">
        <v>6033</v>
      </c>
      <c r="AT5" t="s">
        <v>1548</v>
      </c>
      <c r="AU5" t="s">
        <v>6033</v>
      </c>
      <c r="AV5" t="s">
        <v>1634</v>
      </c>
      <c r="AW5" t="s">
        <v>5999</v>
      </c>
      <c r="AX5" t="s">
        <v>5999</v>
      </c>
      <c r="AY5" t="s">
        <v>1634</v>
      </c>
      <c r="AZ5" t="s">
        <v>6000</v>
      </c>
      <c r="BA5" t="s">
        <v>6000</v>
      </c>
      <c r="BB5" t="s">
        <v>6000</v>
      </c>
      <c r="BC5" t="s">
        <v>7489</v>
      </c>
      <c r="BP5">
        <v>6</v>
      </c>
      <c r="BQ5">
        <v>2</v>
      </c>
      <c r="BR5">
        <v>7</v>
      </c>
      <c r="BS5">
        <v>1</v>
      </c>
      <c r="BT5">
        <v>0</v>
      </c>
      <c r="BU5">
        <v>1</v>
      </c>
      <c r="BV5">
        <v>2</v>
      </c>
      <c r="BW5">
        <v>1</v>
      </c>
      <c r="BX5">
        <v>3</v>
      </c>
      <c r="BY5">
        <v>5</v>
      </c>
      <c r="BZ5">
        <v>2</v>
      </c>
      <c r="CA5">
        <v>10</v>
      </c>
      <c r="CB5" t="s">
        <v>6026</v>
      </c>
      <c r="CC5">
        <v>6</v>
      </c>
      <c r="CD5">
        <v>1</v>
      </c>
      <c r="CE5">
        <v>0</v>
      </c>
      <c r="CF5">
        <v>1</v>
      </c>
      <c r="CG5">
        <v>1</v>
      </c>
      <c r="CH5">
        <v>30</v>
      </c>
      <c r="CI5">
        <v>2</v>
      </c>
      <c r="CJ5">
        <v>33</v>
      </c>
      <c r="CK5">
        <v>50</v>
      </c>
      <c r="CL5">
        <v>5</v>
      </c>
      <c r="CM5">
        <v>60</v>
      </c>
      <c r="CN5">
        <v>2</v>
      </c>
      <c r="CO5">
        <v>0</v>
      </c>
      <c r="CP5">
        <v>2</v>
      </c>
      <c r="CQ5">
        <v>1</v>
      </c>
      <c r="CR5">
        <v>0</v>
      </c>
      <c r="CS5">
        <v>1</v>
      </c>
      <c r="CT5">
        <v>4</v>
      </c>
      <c r="CU5">
        <v>0</v>
      </c>
      <c r="CV5">
        <v>4</v>
      </c>
      <c r="CW5">
        <v>15</v>
      </c>
      <c r="CX5">
        <v>0</v>
      </c>
      <c r="CY5">
        <v>15</v>
      </c>
      <c r="CZ5" t="s">
        <v>7490</v>
      </c>
      <c r="DA5" t="s">
        <v>7491</v>
      </c>
      <c r="DB5" t="s">
        <v>7492</v>
      </c>
      <c r="DC5" t="s">
        <v>7493</v>
      </c>
      <c r="DD5" t="s">
        <v>7494</v>
      </c>
      <c r="DE5" t="s">
        <v>7374</v>
      </c>
      <c r="DF5" t="s">
        <v>1548</v>
      </c>
      <c r="DG5" t="s">
        <v>7495</v>
      </c>
      <c r="DH5" t="s">
        <v>6007</v>
      </c>
      <c r="DI5" t="s">
        <v>1548</v>
      </c>
      <c r="DJ5" t="s">
        <v>7496</v>
      </c>
      <c r="DK5" t="s">
        <v>6613</v>
      </c>
      <c r="DL5" t="s">
        <v>7497</v>
      </c>
      <c r="DM5" t="s">
        <v>6847</v>
      </c>
      <c r="DN5" t="s">
        <v>7498</v>
      </c>
      <c r="DO5" t="s">
        <v>6569</v>
      </c>
      <c r="DP5" t="s">
        <v>1548</v>
      </c>
      <c r="DQ5" t="s">
        <v>7499</v>
      </c>
      <c r="DR5" t="s">
        <v>6009</v>
      </c>
      <c r="DS5" t="s">
        <v>6014</v>
      </c>
      <c r="DT5" t="s">
        <v>6014</v>
      </c>
      <c r="DU5" t="s">
        <v>6013</v>
      </c>
      <c r="DV5" t="s">
        <v>6013</v>
      </c>
      <c r="DW5" t="s">
        <v>6014</v>
      </c>
      <c r="DX5" t="s">
        <v>6014</v>
      </c>
      <c r="DY5" t="s">
        <v>6013</v>
      </c>
      <c r="DZ5" t="s">
        <v>6013</v>
      </c>
      <c r="EA5" t="s">
        <v>6571</v>
      </c>
      <c r="EB5" t="s">
        <v>6015</v>
      </c>
      <c r="EC5" t="s">
        <v>7500</v>
      </c>
      <c r="ED5" t="s">
        <v>6048</v>
      </c>
      <c r="EE5">
        <v>0</v>
      </c>
      <c r="EF5">
        <v>0</v>
      </c>
      <c r="EG5" t="s">
        <v>6049</v>
      </c>
      <c r="EH5" t="s">
        <v>7293</v>
      </c>
      <c r="EI5" t="s">
        <v>6101</v>
      </c>
      <c r="ER5">
        <v>50</v>
      </c>
      <c r="ES5">
        <v>50000</v>
      </c>
      <c r="ET5" t="s">
        <v>7501</v>
      </c>
      <c r="EU5" t="s">
        <v>6574</v>
      </c>
      <c r="EV5" t="s">
        <v>7502</v>
      </c>
      <c r="EW5" t="s">
        <v>6260</v>
      </c>
      <c r="EX5">
        <v>1</v>
      </c>
      <c r="EY5" t="s">
        <v>7503</v>
      </c>
      <c r="EZ5" t="s">
        <v>1634</v>
      </c>
      <c r="FA5">
        <v>70000</v>
      </c>
      <c r="FN5" t="s">
        <v>7504</v>
      </c>
      <c r="FO5" s="58" t="s">
        <v>7505</v>
      </c>
      <c r="FP5" s="58" t="s">
        <v>7506</v>
      </c>
      <c r="FQ5" s="58" t="s">
        <v>7506</v>
      </c>
      <c r="FR5" t="s">
        <v>6974</v>
      </c>
      <c r="FS5" t="s">
        <v>7507</v>
      </c>
      <c r="FT5">
        <v>54741615</v>
      </c>
      <c r="FU5">
        <v>61390866</v>
      </c>
      <c r="FV5" t="s">
        <v>7508</v>
      </c>
      <c r="FW5" t="s">
        <v>7509</v>
      </c>
      <c r="FY5" s="57">
        <v>43666.149016203701</v>
      </c>
      <c r="FZ5" s="57">
        <v>43666.170706018522</v>
      </c>
    </row>
    <row r="6" spans="1:182" ht="12" customHeight="1">
      <c r="A6">
        <v>292</v>
      </c>
      <c r="B6">
        <v>2</v>
      </c>
      <c r="C6">
        <v>340527</v>
      </c>
      <c r="D6" s="57">
        <v>43675.47079861111</v>
      </c>
      <c r="E6" t="s">
        <v>6220</v>
      </c>
      <c r="F6" t="s">
        <v>7350</v>
      </c>
      <c r="G6" t="s">
        <v>7351</v>
      </c>
      <c r="H6" t="s">
        <v>4449</v>
      </c>
      <c r="I6" t="s">
        <v>4860</v>
      </c>
      <c r="J6">
        <v>70738750</v>
      </c>
      <c r="K6" t="s">
        <v>6028</v>
      </c>
      <c r="L6" t="s">
        <v>6204</v>
      </c>
      <c r="M6" t="s">
        <v>58</v>
      </c>
      <c r="O6" t="s">
        <v>7352</v>
      </c>
      <c r="P6" t="s">
        <v>1548</v>
      </c>
      <c r="Q6" t="s">
        <v>7081</v>
      </c>
      <c r="R6" t="s">
        <v>7266</v>
      </c>
      <c r="S6" t="s">
        <v>1634</v>
      </c>
      <c r="T6" t="s">
        <v>7353</v>
      </c>
      <c r="U6" t="s">
        <v>4892</v>
      </c>
      <c r="V6">
        <v>10</v>
      </c>
      <c r="W6" t="s">
        <v>7354</v>
      </c>
      <c r="X6" t="s">
        <v>7355</v>
      </c>
      <c r="Y6" t="s">
        <v>505</v>
      </c>
      <c r="Z6" t="s">
        <v>7356</v>
      </c>
      <c r="AA6" t="s">
        <v>362</v>
      </c>
      <c r="AB6" t="s">
        <v>7357</v>
      </c>
      <c r="AC6" t="s">
        <v>7358</v>
      </c>
      <c r="AD6" t="s">
        <v>7357</v>
      </c>
      <c r="AE6" t="s">
        <v>7359</v>
      </c>
      <c r="AF6" t="s">
        <v>7360</v>
      </c>
      <c r="AG6" t="s">
        <v>7361</v>
      </c>
      <c r="AH6" t="s">
        <v>7362</v>
      </c>
      <c r="AI6" t="s">
        <v>7363</v>
      </c>
      <c r="AJ6" t="s">
        <v>7362</v>
      </c>
      <c r="AK6" t="s">
        <v>7364</v>
      </c>
      <c r="AL6" t="s">
        <v>7365</v>
      </c>
      <c r="AM6" t="s">
        <v>7366</v>
      </c>
      <c r="AN6" t="s">
        <v>7357</v>
      </c>
      <c r="AO6" t="s">
        <v>7367</v>
      </c>
      <c r="AP6" t="s">
        <v>7368</v>
      </c>
      <c r="AQ6" t="s">
        <v>1634</v>
      </c>
      <c r="AR6" t="s">
        <v>6031</v>
      </c>
      <c r="AS6" t="s">
        <v>6032</v>
      </c>
      <c r="AT6" t="s">
        <v>1634</v>
      </c>
      <c r="AU6" t="s">
        <v>6032</v>
      </c>
      <c r="AV6" t="s">
        <v>1548</v>
      </c>
      <c r="AW6" t="s">
        <v>5999</v>
      </c>
      <c r="AX6" t="s">
        <v>5999</v>
      </c>
      <c r="AY6" t="s">
        <v>1634</v>
      </c>
      <c r="BC6" t="s">
        <v>7283</v>
      </c>
      <c r="CB6">
        <v>10</v>
      </c>
      <c r="CC6">
        <v>40</v>
      </c>
      <c r="CD6">
        <v>30</v>
      </c>
      <c r="CE6">
        <v>1</v>
      </c>
      <c r="CF6">
        <v>150</v>
      </c>
      <c r="CG6">
        <v>10</v>
      </c>
      <c r="CH6">
        <v>15</v>
      </c>
      <c r="CI6">
        <v>185</v>
      </c>
      <c r="CJ6">
        <v>15</v>
      </c>
      <c r="CK6">
        <v>10</v>
      </c>
      <c r="CL6">
        <v>1000</v>
      </c>
      <c r="CM6">
        <v>200</v>
      </c>
      <c r="CN6">
        <v>0</v>
      </c>
      <c r="CO6">
        <v>0</v>
      </c>
      <c r="CP6">
        <v>50</v>
      </c>
      <c r="CQ6">
        <v>0</v>
      </c>
      <c r="CR6">
        <v>0</v>
      </c>
      <c r="CS6">
        <v>60</v>
      </c>
      <c r="CT6">
        <v>0</v>
      </c>
      <c r="CU6">
        <v>0</v>
      </c>
      <c r="CV6">
        <v>104</v>
      </c>
      <c r="CW6">
        <v>0</v>
      </c>
      <c r="CX6">
        <v>0</v>
      </c>
      <c r="CY6">
        <v>500</v>
      </c>
      <c r="CZ6" s="58" t="s">
        <v>7369</v>
      </c>
      <c r="DA6" t="s">
        <v>7370</v>
      </c>
      <c r="DB6" t="s">
        <v>7371</v>
      </c>
      <c r="DC6" t="s">
        <v>7372</v>
      </c>
      <c r="DD6" t="s">
        <v>7373</v>
      </c>
      <c r="DE6" t="s">
        <v>7374</v>
      </c>
      <c r="DF6" t="s">
        <v>1548</v>
      </c>
      <c r="DG6" t="s">
        <v>7375</v>
      </c>
      <c r="DH6" t="s">
        <v>6007</v>
      </c>
      <c r="DI6" t="s">
        <v>1548</v>
      </c>
      <c r="DJ6" t="s">
        <v>7376</v>
      </c>
      <c r="DK6" t="s">
        <v>6007</v>
      </c>
      <c r="DL6" t="s">
        <v>7377</v>
      </c>
      <c r="DM6" t="s">
        <v>6847</v>
      </c>
      <c r="DN6" t="s">
        <v>7378</v>
      </c>
      <c r="DO6" t="s">
        <v>7379</v>
      </c>
      <c r="DP6" t="s">
        <v>1634</v>
      </c>
      <c r="DQ6" t="s">
        <v>7380</v>
      </c>
      <c r="DR6" t="s">
        <v>6234</v>
      </c>
      <c r="DS6" t="s">
        <v>6067</v>
      </c>
      <c r="DT6" t="s">
        <v>6014</v>
      </c>
      <c r="DV6" t="s">
        <v>6046</v>
      </c>
      <c r="DX6" t="s">
        <v>6014</v>
      </c>
      <c r="DY6" t="s">
        <v>6012</v>
      </c>
      <c r="DZ6" t="s">
        <v>6012</v>
      </c>
      <c r="EA6" t="s">
        <v>6736</v>
      </c>
      <c r="EC6" t="s">
        <v>7381</v>
      </c>
      <c r="EE6">
        <v>6</v>
      </c>
      <c r="EF6">
        <v>6</v>
      </c>
      <c r="EG6" t="s">
        <v>7343</v>
      </c>
      <c r="EH6" t="s">
        <v>7293</v>
      </c>
      <c r="EI6" t="s">
        <v>6101</v>
      </c>
      <c r="ER6">
        <v>1000</v>
      </c>
      <c r="ES6">
        <v>400</v>
      </c>
      <c r="ET6" t="s">
        <v>7382</v>
      </c>
      <c r="EU6" t="s">
        <v>6235</v>
      </c>
      <c r="EV6" t="s">
        <v>7383</v>
      </c>
      <c r="EW6" t="s">
        <v>6022</v>
      </c>
      <c r="EX6">
        <v>1</v>
      </c>
      <c r="EY6" t="s">
        <v>6899</v>
      </c>
      <c r="EZ6" t="s">
        <v>1548</v>
      </c>
      <c r="FA6">
        <v>100</v>
      </c>
      <c r="FN6" t="s">
        <v>7384</v>
      </c>
      <c r="FO6" t="s">
        <v>7385</v>
      </c>
      <c r="FP6" t="s">
        <v>7386</v>
      </c>
      <c r="FQ6" t="s">
        <v>1556</v>
      </c>
      <c r="FR6" t="s">
        <v>7387</v>
      </c>
      <c r="FS6" t="s">
        <v>7388</v>
      </c>
      <c r="FT6">
        <v>0</v>
      </c>
      <c r="FU6">
        <v>0</v>
      </c>
      <c r="FY6" s="57">
        <v>43675.468252314815</v>
      </c>
      <c r="FZ6" s="57">
        <v>43675.470752314817</v>
      </c>
    </row>
    <row r="7" spans="1:182" ht="12" customHeight="1">
      <c r="A7">
        <v>299</v>
      </c>
      <c r="B7">
        <v>9</v>
      </c>
      <c r="C7">
        <v>311837</v>
      </c>
      <c r="D7" s="57">
        <v>43665.576793981483</v>
      </c>
      <c r="E7" t="s">
        <v>6110</v>
      </c>
      <c r="F7" t="s">
        <v>537</v>
      </c>
      <c r="G7" t="s">
        <v>724</v>
      </c>
      <c r="H7" t="s">
        <v>4449</v>
      </c>
      <c r="I7" t="s">
        <v>4860</v>
      </c>
      <c r="J7">
        <v>76656592</v>
      </c>
      <c r="K7" t="s">
        <v>6267</v>
      </c>
      <c r="L7" t="s">
        <v>6268</v>
      </c>
      <c r="M7" t="s">
        <v>487</v>
      </c>
      <c r="O7" t="s">
        <v>7327</v>
      </c>
      <c r="P7" t="s">
        <v>1548</v>
      </c>
      <c r="Q7" t="s">
        <v>7078</v>
      </c>
      <c r="R7" t="s">
        <v>7266</v>
      </c>
      <c r="S7" t="s">
        <v>1634</v>
      </c>
      <c r="T7" t="s">
        <v>7328</v>
      </c>
      <c r="U7" t="s">
        <v>4892</v>
      </c>
      <c r="V7">
        <v>3</v>
      </c>
      <c r="W7" t="s">
        <v>7329</v>
      </c>
      <c r="X7" t="s">
        <v>7330</v>
      </c>
      <c r="Y7" t="s">
        <v>7331</v>
      </c>
      <c r="Z7" t="s">
        <v>7332</v>
      </c>
      <c r="AA7" t="s">
        <v>7333</v>
      </c>
      <c r="AB7" t="s">
        <v>7334</v>
      </c>
      <c r="AQ7" t="s">
        <v>1634</v>
      </c>
      <c r="AR7" t="s">
        <v>6031</v>
      </c>
      <c r="AS7" t="s">
        <v>5999</v>
      </c>
      <c r="AT7" t="s">
        <v>1634</v>
      </c>
      <c r="AU7" t="s">
        <v>5999</v>
      </c>
      <c r="AV7" t="s">
        <v>1634</v>
      </c>
      <c r="AW7" t="s">
        <v>5998</v>
      </c>
      <c r="AX7" t="s">
        <v>5998</v>
      </c>
      <c r="AY7" t="s">
        <v>1634</v>
      </c>
      <c r="AZ7" t="s">
        <v>6000</v>
      </c>
      <c r="BA7" t="s">
        <v>7335</v>
      </c>
      <c r="BC7" t="s">
        <v>6057</v>
      </c>
      <c r="BD7">
        <v>0</v>
      </c>
      <c r="BE7">
        <v>4</v>
      </c>
      <c r="BF7">
        <v>0</v>
      </c>
      <c r="BG7">
        <v>0</v>
      </c>
      <c r="BH7">
        <v>5</v>
      </c>
      <c r="BI7">
        <v>0</v>
      </c>
      <c r="BJ7">
        <v>0</v>
      </c>
      <c r="BK7">
        <v>4.5</v>
      </c>
      <c r="BL7" t="s">
        <v>6026</v>
      </c>
      <c r="BM7" t="s">
        <v>6026</v>
      </c>
      <c r="BN7" t="s">
        <v>6026</v>
      </c>
      <c r="BO7" t="s">
        <v>6026</v>
      </c>
      <c r="BP7">
        <v>3.5</v>
      </c>
      <c r="BQ7" t="s">
        <v>6026</v>
      </c>
      <c r="BR7" t="s">
        <v>6026</v>
      </c>
      <c r="BS7">
        <v>2.5</v>
      </c>
      <c r="BT7" t="s">
        <v>6026</v>
      </c>
      <c r="BU7" t="s">
        <v>6026</v>
      </c>
      <c r="BV7">
        <v>2</v>
      </c>
      <c r="BW7" t="s">
        <v>6026</v>
      </c>
      <c r="BX7" t="s">
        <v>6026</v>
      </c>
      <c r="BY7" t="s">
        <v>6026</v>
      </c>
      <c r="BZ7" t="s">
        <v>6026</v>
      </c>
      <c r="CA7" t="s">
        <v>6026</v>
      </c>
      <c r="CN7">
        <v>0</v>
      </c>
      <c r="CO7">
        <v>0</v>
      </c>
      <c r="CP7">
        <v>6</v>
      </c>
      <c r="CQ7">
        <v>0</v>
      </c>
      <c r="CR7">
        <v>0</v>
      </c>
      <c r="CS7">
        <v>7</v>
      </c>
      <c r="CT7">
        <v>0</v>
      </c>
      <c r="CU7">
        <v>0</v>
      </c>
      <c r="CV7">
        <v>8</v>
      </c>
      <c r="CW7">
        <v>0</v>
      </c>
      <c r="CX7">
        <v>0</v>
      </c>
      <c r="CY7">
        <v>12</v>
      </c>
      <c r="CZ7" t="s">
        <v>7336</v>
      </c>
      <c r="DA7" t="s">
        <v>7337</v>
      </c>
      <c r="DB7" t="s">
        <v>7338</v>
      </c>
      <c r="DC7" t="s">
        <v>7339</v>
      </c>
      <c r="DD7" t="s">
        <v>7340</v>
      </c>
      <c r="DE7" t="s">
        <v>7341</v>
      </c>
      <c r="DF7" t="s">
        <v>1548</v>
      </c>
      <c r="DG7" t="s">
        <v>6276</v>
      </c>
      <c r="DH7" t="s">
        <v>6007</v>
      </c>
      <c r="DI7" t="s">
        <v>1548</v>
      </c>
      <c r="DJ7" t="s">
        <v>1856</v>
      </c>
      <c r="DK7" t="s">
        <v>6007</v>
      </c>
      <c r="DL7" t="s">
        <v>1856</v>
      </c>
      <c r="DM7" t="s">
        <v>6007</v>
      </c>
      <c r="DN7" t="s">
        <v>1856</v>
      </c>
      <c r="DO7" t="s">
        <v>6009</v>
      </c>
      <c r="DP7" t="s">
        <v>1548</v>
      </c>
      <c r="DQ7" t="s">
        <v>7342</v>
      </c>
      <c r="DR7" t="s">
        <v>6009</v>
      </c>
      <c r="DS7" t="s">
        <v>6392</v>
      </c>
      <c r="DT7" t="s">
        <v>6011</v>
      </c>
      <c r="DU7" t="s">
        <v>6013</v>
      </c>
      <c r="DV7" t="s">
        <v>6013</v>
      </c>
      <c r="DW7" t="s">
        <v>6067</v>
      </c>
      <c r="DX7" t="s">
        <v>6014</v>
      </c>
      <c r="DY7" t="s">
        <v>6013</v>
      </c>
      <c r="DZ7" t="s">
        <v>6013</v>
      </c>
      <c r="EA7" t="s">
        <v>1366</v>
      </c>
      <c r="EB7" t="s">
        <v>6015</v>
      </c>
      <c r="EC7" t="s">
        <v>1366</v>
      </c>
      <c r="ED7" t="s">
        <v>6016</v>
      </c>
      <c r="EE7">
        <v>2</v>
      </c>
      <c r="EF7">
        <v>1</v>
      </c>
      <c r="EG7" t="s">
        <v>7343</v>
      </c>
      <c r="EH7" t="s">
        <v>7293</v>
      </c>
      <c r="EI7" t="s">
        <v>7319</v>
      </c>
      <c r="EP7">
        <v>70</v>
      </c>
      <c r="EQ7">
        <v>1100</v>
      </c>
      <c r="ER7">
        <v>180</v>
      </c>
      <c r="ES7">
        <v>5800</v>
      </c>
      <c r="ET7" t="s">
        <v>7344</v>
      </c>
      <c r="EU7" t="s">
        <v>6235</v>
      </c>
      <c r="EV7" t="s">
        <v>7345</v>
      </c>
      <c r="EW7" t="s">
        <v>6022</v>
      </c>
      <c r="EX7">
        <v>2</v>
      </c>
      <c r="EY7" t="s">
        <v>6837</v>
      </c>
      <c r="EZ7" t="s">
        <v>1634</v>
      </c>
      <c r="FA7">
        <v>80000</v>
      </c>
      <c r="FB7" t="s">
        <v>6837</v>
      </c>
      <c r="FC7" t="s">
        <v>1634</v>
      </c>
      <c r="FD7">
        <v>60000</v>
      </c>
      <c r="FN7" t="s">
        <v>7346</v>
      </c>
      <c r="FO7" t="s">
        <v>7347</v>
      </c>
      <c r="FP7" t="s">
        <v>7348</v>
      </c>
      <c r="FQ7" t="s">
        <v>7349</v>
      </c>
      <c r="FR7" t="s">
        <v>651</v>
      </c>
      <c r="FS7" t="s">
        <v>693</v>
      </c>
      <c r="FT7">
        <v>68398913</v>
      </c>
      <c r="FU7" t="s">
        <v>6026</v>
      </c>
      <c r="FY7" s="57">
        <v>43665.575821759259</v>
      </c>
      <c r="FZ7" s="57">
        <v>43665.577604166669</v>
      </c>
    </row>
    <row r="8" spans="1:182" ht="12" customHeight="1">
      <c r="A8">
        <v>303</v>
      </c>
      <c r="B8">
        <v>6</v>
      </c>
      <c r="C8">
        <v>317067</v>
      </c>
      <c r="D8" s="57">
        <v>43667.944884259261</v>
      </c>
      <c r="E8" t="s">
        <v>6294</v>
      </c>
      <c r="F8" t="s">
        <v>537</v>
      </c>
      <c r="G8" t="s">
        <v>7428</v>
      </c>
      <c r="H8" t="s">
        <v>4449</v>
      </c>
      <c r="I8" t="s">
        <v>4860</v>
      </c>
      <c r="J8">
        <v>70741637</v>
      </c>
      <c r="K8" t="s">
        <v>6079</v>
      </c>
      <c r="L8" t="s">
        <v>6080</v>
      </c>
      <c r="M8" t="s">
        <v>52</v>
      </c>
      <c r="O8" t="s">
        <v>7429</v>
      </c>
      <c r="P8" t="s">
        <v>1634</v>
      </c>
      <c r="Q8" t="s">
        <v>7430</v>
      </c>
      <c r="R8" t="s">
        <v>7266</v>
      </c>
      <c r="S8" t="s">
        <v>1634</v>
      </c>
      <c r="T8" t="s">
        <v>7431</v>
      </c>
      <c r="U8" t="s">
        <v>4892</v>
      </c>
      <c r="V8">
        <v>10</v>
      </c>
      <c r="W8" t="s">
        <v>7432</v>
      </c>
      <c r="X8" t="s">
        <v>7433</v>
      </c>
      <c r="Y8" t="s">
        <v>7434</v>
      </c>
      <c r="Z8" t="s">
        <v>7435</v>
      </c>
      <c r="AA8" t="s">
        <v>7436</v>
      </c>
      <c r="AB8" t="s">
        <v>7437</v>
      </c>
      <c r="AC8" t="s">
        <v>7438</v>
      </c>
      <c r="AD8" t="s">
        <v>7439</v>
      </c>
      <c r="AE8" t="s">
        <v>7440</v>
      </c>
      <c r="AF8" t="s">
        <v>7441</v>
      </c>
      <c r="AG8" t="s">
        <v>7442</v>
      </c>
      <c r="AH8" t="s">
        <v>7443</v>
      </c>
      <c r="AI8" t="s">
        <v>7444</v>
      </c>
      <c r="AJ8" t="s">
        <v>7445</v>
      </c>
      <c r="AK8" t="s">
        <v>7446</v>
      </c>
      <c r="AL8" t="s">
        <v>7447</v>
      </c>
      <c r="AM8" t="s">
        <v>7448</v>
      </c>
      <c r="AN8" t="s">
        <v>7447</v>
      </c>
      <c r="AO8" t="s">
        <v>7449</v>
      </c>
      <c r="AP8" t="s">
        <v>7450</v>
      </c>
      <c r="AQ8" t="s">
        <v>1634</v>
      </c>
      <c r="AR8" t="s">
        <v>6031</v>
      </c>
      <c r="AS8" t="s">
        <v>5998</v>
      </c>
      <c r="AT8" t="s">
        <v>1634</v>
      </c>
      <c r="AU8" t="s">
        <v>6083</v>
      </c>
      <c r="AV8" t="s">
        <v>1634</v>
      </c>
      <c r="AW8" t="s">
        <v>5999</v>
      </c>
      <c r="AX8" t="s">
        <v>5999</v>
      </c>
      <c r="AY8" t="s">
        <v>1634</v>
      </c>
      <c r="AZ8" t="s">
        <v>1561</v>
      </c>
      <c r="BA8" t="s">
        <v>1561</v>
      </c>
      <c r="BB8" t="s">
        <v>6057</v>
      </c>
      <c r="BC8" t="s">
        <v>6057</v>
      </c>
      <c r="CB8">
        <v>64</v>
      </c>
      <c r="CC8">
        <v>20</v>
      </c>
      <c r="CD8" t="s">
        <v>6026</v>
      </c>
      <c r="CE8">
        <v>70</v>
      </c>
      <c r="CF8">
        <v>22</v>
      </c>
      <c r="CG8" t="s">
        <v>6026</v>
      </c>
      <c r="CH8">
        <v>73</v>
      </c>
      <c r="CI8">
        <v>25</v>
      </c>
      <c r="CJ8" t="s">
        <v>6026</v>
      </c>
      <c r="CK8">
        <v>150</v>
      </c>
      <c r="CL8">
        <v>90</v>
      </c>
      <c r="CM8" t="s">
        <v>6026</v>
      </c>
      <c r="CP8">
        <v>80</v>
      </c>
      <c r="CQ8">
        <v>0</v>
      </c>
      <c r="CR8">
        <v>0</v>
      </c>
      <c r="CS8">
        <v>85</v>
      </c>
      <c r="CT8">
        <v>0</v>
      </c>
      <c r="CU8">
        <v>0</v>
      </c>
      <c r="CV8">
        <v>90</v>
      </c>
      <c r="CW8">
        <v>0</v>
      </c>
      <c r="CX8">
        <v>0</v>
      </c>
      <c r="CY8">
        <v>100</v>
      </c>
      <c r="CZ8" t="s">
        <v>7451</v>
      </c>
      <c r="DA8" t="s">
        <v>7452</v>
      </c>
      <c r="DB8" t="s">
        <v>7453</v>
      </c>
      <c r="DC8" t="s">
        <v>7454</v>
      </c>
      <c r="DD8" t="s">
        <v>7455</v>
      </c>
      <c r="DE8" t="s">
        <v>7456</v>
      </c>
      <c r="DF8" t="s">
        <v>1634</v>
      </c>
      <c r="DG8" t="s">
        <v>7457</v>
      </c>
      <c r="DH8" t="s">
        <v>6174</v>
      </c>
      <c r="DI8" t="s">
        <v>1548</v>
      </c>
      <c r="DJ8" t="s">
        <v>7458</v>
      </c>
      <c r="DK8" t="s">
        <v>6007</v>
      </c>
      <c r="DL8" t="s">
        <v>7459</v>
      </c>
      <c r="DM8" t="s">
        <v>6007</v>
      </c>
      <c r="DN8" t="s">
        <v>7460</v>
      </c>
      <c r="DO8" t="s">
        <v>6009</v>
      </c>
      <c r="DP8" t="s">
        <v>1548</v>
      </c>
      <c r="DQ8" t="s">
        <v>7461</v>
      </c>
      <c r="DR8" t="s">
        <v>6009</v>
      </c>
      <c r="DS8" t="s">
        <v>6011</v>
      </c>
      <c r="DT8" t="s">
        <v>6014</v>
      </c>
      <c r="DU8" t="s">
        <v>6046</v>
      </c>
      <c r="DV8" t="s">
        <v>6046</v>
      </c>
      <c r="DW8" t="s">
        <v>6011</v>
      </c>
      <c r="DX8" t="s">
        <v>6067</v>
      </c>
      <c r="DY8" t="s">
        <v>6013</v>
      </c>
      <c r="DZ8" t="s">
        <v>6013</v>
      </c>
      <c r="EA8" t="s">
        <v>7462</v>
      </c>
      <c r="EB8" t="s">
        <v>7463</v>
      </c>
      <c r="EC8" t="s">
        <v>7464</v>
      </c>
      <c r="ED8" t="s">
        <v>7465</v>
      </c>
      <c r="EE8">
        <v>1</v>
      </c>
      <c r="EF8">
        <v>1</v>
      </c>
      <c r="EG8" t="s">
        <v>6017</v>
      </c>
      <c r="EH8" t="s">
        <v>7293</v>
      </c>
      <c r="EI8" t="s">
        <v>6101</v>
      </c>
      <c r="ER8">
        <v>200</v>
      </c>
      <c r="ES8">
        <v>20</v>
      </c>
      <c r="ET8" t="s">
        <v>6219</v>
      </c>
      <c r="EU8" t="s">
        <v>6015</v>
      </c>
      <c r="EV8" t="s">
        <v>7466</v>
      </c>
      <c r="EW8" t="s">
        <v>6022</v>
      </c>
      <c r="EX8">
        <v>4</v>
      </c>
      <c r="EY8" t="s">
        <v>7445</v>
      </c>
      <c r="EZ8" t="s">
        <v>1634</v>
      </c>
      <c r="FA8">
        <v>15000</v>
      </c>
      <c r="FB8" t="s">
        <v>7445</v>
      </c>
      <c r="FC8" t="s">
        <v>1634</v>
      </c>
      <c r="FD8">
        <v>10000</v>
      </c>
      <c r="FE8" t="s">
        <v>7445</v>
      </c>
      <c r="FF8" t="s">
        <v>1634</v>
      </c>
      <c r="FG8">
        <v>100000</v>
      </c>
      <c r="FH8" t="s">
        <v>7445</v>
      </c>
      <c r="FI8" t="s">
        <v>1634</v>
      </c>
      <c r="FJ8">
        <v>40000</v>
      </c>
      <c r="FN8" t="s">
        <v>7467</v>
      </c>
      <c r="FO8" t="s">
        <v>7468</v>
      </c>
      <c r="FP8" t="s">
        <v>7469</v>
      </c>
      <c r="FQ8" t="s">
        <v>6219</v>
      </c>
      <c r="FR8" t="s">
        <v>7470</v>
      </c>
      <c r="FS8" t="s">
        <v>7471</v>
      </c>
      <c r="FT8">
        <v>68664959</v>
      </c>
      <c r="FU8" t="s">
        <v>6026</v>
      </c>
      <c r="FV8" t="s">
        <v>7472</v>
      </c>
      <c r="FW8" t="s">
        <v>7473</v>
      </c>
      <c r="FY8" s="57">
        <v>43667.941238425927</v>
      </c>
      <c r="FZ8" s="57">
        <v>43667.944814814815</v>
      </c>
    </row>
    <row r="9" spans="1:182" ht="12" customHeight="1">
      <c r="A9">
        <v>328</v>
      </c>
      <c r="B9">
        <v>5</v>
      </c>
      <c r="C9">
        <v>318345</v>
      </c>
      <c r="D9" s="57">
        <v>43668.455046296294</v>
      </c>
      <c r="E9" t="s">
        <v>6110</v>
      </c>
      <c r="F9" t="s">
        <v>7299</v>
      </c>
      <c r="G9" t="s">
        <v>859</v>
      </c>
      <c r="H9" t="s">
        <v>4449</v>
      </c>
      <c r="I9" t="s">
        <v>4860</v>
      </c>
      <c r="J9">
        <v>58156523</v>
      </c>
      <c r="K9" t="s">
        <v>6079</v>
      </c>
      <c r="L9" t="s">
        <v>6080</v>
      </c>
      <c r="M9" t="s">
        <v>52</v>
      </c>
      <c r="O9" t="s">
        <v>1157</v>
      </c>
      <c r="P9" t="s">
        <v>1548</v>
      </c>
      <c r="Q9" t="s">
        <v>7300</v>
      </c>
      <c r="R9" t="s">
        <v>7266</v>
      </c>
      <c r="S9" t="s">
        <v>1634</v>
      </c>
      <c r="U9" t="s">
        <v>2282</v>
      </c>
      <c r="V9">
        <v>10</v>
      </c>
      <c r="W9" t="s">
        <v>7301</v>
      </c>
      <c r="X9" t="s">
        <v>3951</v>
      </c>
      <c r="Y9" t="s">
        <v>7302</v>
      </c>
      <c r="Z9" t="s">
        <v>428</v>
      </c>
      <c r="AA9" t="s">
        <v>7303</v>
      </c>
      <c r="AB9" t="s">
        <v>1131</v>
      </c>
      <c r="AC9" t="s">
        <v>7304</v>
      </c>
      <c r="AD9" t="s">
        <v>7304</v>
      </c>
      <c r="AE9" t="s">
        <v>7305</v>
      </c>
      <c r="AF9" t="s">
        <v>7306</v>
      </c>
      <c r="AG9" t="s">
        <v>7307</v>
      </c>
      <c r="AH9" t="s">
        <v>7308</v>
      </c>
      <c r="AI9" t="s">
        <v>7309</v>
      </c>
      <c r="AJ9" t="s">
        <v>60</v>
      </c>
      <c r="AK9" t="s">
        <v>500</v>
      </c>
      <c r="AL9" t="s">
        <v>7310</v>
      </c>
      <c r="AM9" t="s">
        <v>486</v>
      </c>
      <c r="AN9" t="s">
        <v>7311</v>
      </c>
      <c r="AO9" t="s">
        <v>7312</v>
      </c>
      <c r="AP9" t="s">
        <v>125</v>
      </c>
      <c r="AQ9" t="s">
        <v>1548</v>
      </c>
      <c r="AR9" t="s">
        <v>6031</v>
      </c>
      <c r="AS9" t="s">
        <v>6083</v>
      </c>
      <c r="AT9" t="s">
        <v>1634</v>
      </c>
      <c r="AU9" t="s">
        <v>6033</v>
      </c>
      <c r="AV9" t="s">
        <v>1634</v>
      </c>
      <c r="AW9" t="s">
        <v>6032</v>
      </c>
      <c r="AX9" t="s">
        <v>6032</v>
      </c>
      <c r="AY9" t="s">
        <v>1634</v>
      </c>
      <c r="AZ9" t="s">
        <v>6085</v>
      </c>
      <c r="BA9" t="s">
        <v>6085</v>
      </c>
      <c r="BB9" t="s">
        <v>6057</v>
      </c>
      <c r="BC9" t="s">
        <v>6057</v>
      </c>
      <c r="CN9">
        <v>200</v>
      </c>
      <c r="CO9">
        <v>0</v>
      </c>
      <c r="CP9">
        <v>200</v>
      </c>
      <c r="CQ9">
        <v>300</v>
      </c>
      <c r="CR9">
        <v>50</v>
      </c>
      <c r="CS9">
        <v>250</v>
      </c>
      <c r="CT9">
        <v>400</v>
      </c>
      <c r="CU9">
        <v>0</v>
      </c>
      <c r="CV9">
        <v>350</v>
      </c>
      <c r="CW9">
        <v>50</v>
      </c>
      <c r="CX9">
        <v>0</v>
      </c>
      <c r="CY9">
        <v>500</v>
      </c>
      <c r="CZ9" t="s">
        <v>7313</v>
      </c>
      <c r="DB9" t="s">
        <v>7314</v>
      </c>
      <c r="DD9" t="s">
        <v>7315</v>
      </c>
      <c r="DF9" t="s">
        <v>1548</v>
      </c>
      <c r="DG9" t="s">
        <v>7316</v>
      </c>
      <c r="DI9" t="s">
        <v>1548</v>
      </c>
      <c r="DJ9" t="s">
        <v>1856</v>
      </c>
      <c r="DL9" t="s">
        <v>6390</v>
      </c>
      <c r="DN9" t="s">
        <v>1856</v>
      </c>
      <c r="DP9" t="s">
        <v>1548</v>
      </c>
      <c r="DQ9" t="s">
        <v>6390</v>
      </c>
      <c r="DS9" t="s">
        <v>6392</v>
      </c>
      <c r="DT9" t="s">
        <v>6011</v>
      </c>
      <c r="DU9" t="s">
        <v>6012</v>
      </c>
      <c r="DV9" t="s">
        <v>6046</v>
      </c>
      <c r="DW9" t="s">
        <v>6011</v>
      </c>
      <c r="DX9" t="s">
        <v>6338</v>
      </c>
      <c r="DY9" t="s">
        <v>6012</v>
      </c>
      <c r="DZ9" t="s">
        <v>6046</v>
      </c>
      <c r="EA9" t="s">
        <v>7317</v>
      </c>
      <c r="EC9" t="s">
        <v>7318</v>
      </c>
      <c r="EE9">
        <v>0</v>
      </c>
      <c r="EF9">
        <v>0</v>
      </c>
      <c r="EG9" t="s">
        <v>6017</v>
      </c>
      <c r="EH9" t="s">
        <v>7293</v>
      </c>
      <c r="EI9" t="s">
        <v>7319</v>
      </c>
      <c r="EP9">
        <v>50</v>
      </c>
      <c r="EQ9">
        <v>3000</v>
      </c>
      <c r="ER9">
        <v>1000</v>
      </c>
      <c r="ES9">
        <v>10000</v>
      </c>
      <c r="ET9" t="s">
        <v>7320</v>
      </c>
      <c r="EV9" t="s">
        <v>7321</v>
      </c>
      <c r="EX9">
        <v>3</v>
      </c>
      <c r="EY9" t="s">
        <v>3951</v>
      </c>
      <c r="EZ9" t="s">
        <v>1634</v>
      </c>
      <c r="FA9">
        <v>1000000</v>
      </c>
      <c r="FB9" t="s">
        <v>3951</v>
      </c>
      <c r="FC9" t="s">
        <v>1634</v>
      </c>
      <c r="FD9">
        <v>600000</v>
      </c>
      <c r="FE9" t="s">
        <v>3951</v>
      </c>
      <c r="FF9" t="s">
        <v>1634</v>
      </c>
      <c r="FG9">
        <v>500000</v>
      </c>
      <c r="FN9" t="s">
        <v>6106</v>
      </c>
      <c r="FO9" t="s">
        <v>7322</v>
      </c>
      <c r="FP9" t="s">
        <v>7322</v>
      </c>
      <c r="FQ9" t="s">
        <v>7323</v>
      </c>
      <c r="FR9" t="s">
        <v>710</v>
      </c>
      <c r="FS9" t="s">
        <v>7324</v>
      </c>
      <c r="FT9">
        <v>70232777</v>
      </c>
      <c r="FU9" t="s">
        <v>6026</v>
      </c>
      <c r="FV9" t="s">
        <v>7325</v>
      </c>
      <c r="FW9" t="s">
        <v>7326</v>
      </c>
      <c r="FY9" s="57">
        <v>43668.49291666667</v>
      </c>
      <c r="FZ9" s="57">
        <v>43668.496655092589</v>
      </c>
    </row>
    <row r="10" spans="1:182" ht="12" customHeight="1">
      <c r="A10">
        <v>413</v>
      </c>
      <c r="B10">
        <v>4</v>
      </c>
      <c r="C10">
        <v>327305</v>
      </c>
      <c r="D10" s="57">
        <v>43670.431956018518</v>
      </c>
      <c r="E10" t="s">
        <v>6027</v>
      </c>
      <c r="F10" t="s">
        <v>7264</v>
      </c>
      <c r="G10" t="s">
        <v>4952</v>
      </c>
      <c r="H10" t="s">
        <v>4449</v>
      </c>
      <c r="I10" t="s">
        <v>4860</v>
      </c>
      <c r="J10">
        <v>71324852</v>
      </c>
      <c r="K10" t="s">
        <v>6028</v>
      </c>
      <c r="L10" t="s">
        <v>6029</v>
      </c>
      <c r="M10" t="s">
        <v>108</v>
      </c>
      <c r="O10" t="s">
        <v>507</v>
      </c>
      <c r="P10" t="s">
        <v>1548</v>
      </c>
      <c r="Q10" t="s">
        <v>7265</v>
      </c>
      <c r="R10" t="s">
        <v>7266</v>
      </c>
      <c r="S10" t="s">
        <v>1634</v>
      </c>
      <c r="T10">
        <v>2013</v>
      </c>
      <c r="U10" t="s">
        <v>1541</v>
      </c>
      <c r="V10">
        <v>10</v>
      </c>
      <c r="W10" t="s">
        <v>7267</v>
      </c>
      <c r="X10" t="s">
        <v>7268</v>
      </c>
      <c r="Y10" t="s">
        <v>7269</v>
      </c>
      <c r="Z10" t="s">
        <v>7270</v>
      </c>
      <c r="AA10" t="s">
        <v>7271</v>
      </c>
      <c r="AB10" t="s">
        <v>7272</v>
      </c>
      <c r="AC10" t="s">
        <v>7273</v>
      </c>
      <c r="AD10" t="s">
        <v>3137</v>
      </c>
      <c r="AE10" t="s">
        <v>7274</v>
      </c>
      <c r="AF10" t="s">
        <v>3198</v>
      </c>
      <c r="AG10" t="s">
        <v>7275</v>
      </c>
      <c r="AH10" t="s">
        <v>7276</v>
      </c>
      <c r="AI10" t="s">
        <v>7277</v>
      </c>
      <c r="AJ10" t="s">
        <v>3198</v>
      </c>
      <c r="AK10" t="s">
        <v>7278</v>
      </c>
      <c r="AL10" t="s">
        <v>7279</v>
      </c>
      <c r="AM10" t="s">
        <v>7280</v>
      </c>
      <c r="AN10" t="s">
        <v>7281</v>
      </c>
      <c r="AO10" t="s">
        <v>7282</v>
      </c>
      <c r="AP10" t="s">
        <v>7276</v>
      </c>
      <c r="AQ10" t="s">
        <v>1548</v>
      </c>
      <c r="AR10" t="s">
        <v>5997</v>
      </c>
      <c r="AS10" t="s">
        <v>6033</v>
      </c>
      <c r="AT10" t="s">
        <v>1548</v>
      </c>
      <c r="AU10" t="s">
        <v>6033</v>
      </c>
      <c r="AV10" t="s">
        <v>1634</v>
      </c>
      <c r="AW10" t="s">
        <v>5998</v>
      </c>
      <c r="AX10" t="s">
        <v>5998</v>
      </c>
      <c r="AY10" t="s">
        <v>1634</v>
      </c>
      <c r="AZ10" t="s">
        <v>6085</v>
      </c>
      <c r="BA10" t="s">
        <v>6085</v>
      </c>
      <c r="BB10" t="s">
        <v>6085</v>
      </c>
      <c r="BC10" t="s">
        <v>7283</v>
      </c>
      <c r="CB10">
        <v>20</v>
      </c>
      <c r="CC10">
        <v>5</v>
      </c>
      <c r="CD10">
        <v>22</v>
      </c>
      <c r="CE10">
        <v>21</v>
      </c>
      <c r="CF10">
        <v>1</v>
      </c>
      <c r="CG10">
        <v>21</v>
      </c>
      <c r="CH10">
        <v>21</v>
      </c>
      <c r="CI10">
        <v>1</v>
      </c>
      <c r="CJ10">
        <v>21</v>
      </c>
      <c r="CK10">
        <v>12</v>
      </c>
      <c r="CL10">
        <v>0</v>
      </c>
      <c r="CM10">
        <v>11</v>
      </c>
      <c r="CN10">
        <v>1</v>
      </c>
      <c r="CO10">
        <v>0</v>
      </c>
      <c r="CP10">
        <v>0</v>
      </c>
      <c r="CQ10">
        <v>1</v>
      </c>
      <c r="CR10">
        <v>0</v>
      </c>
      <c r="CS10">
        <v>0</v>
      </c>
      <c r="CT10">
        <v>1</v>
      </c>
      <c r="CU10">
        <v>8</v>
      </c>
      <c r="CV10">
        <v>0</v>
      </c>
      <c r="CW10">
        <v>1</v>
      </c>
      <c r="CX10">
        <v>0</v>
      </c>
      <c r="CY10">
        <v>0</v>
      </c>
      <c r="CZ10" t="s">
        <v>7284</v>
      </c>
      <c r="DA10" t="s">
        <v>7285</v>
      </c>
      <c r="DB10" t="s">
        <v>7286</v>
      </c>
      <c r="DC10" t="s">
        <v>7287</v>
      </c>
      <c r="DD10" t="s">
        <v>7288</v>
      </c>
      <c r="DE10" t="s">
        <v>7289</v>
      </c>
      <c r="DF10" t="s">
        <v>1634</v>
      </c>
      <c r="DG10" t="s">
        <v>6174</v>
      </c>
      <c r="DH10" t="s">
        <v>6174</v>
      </c>
      <c r="DI10" t="s">
        <v>1634</v>
      </c>
      <c r="DJ10" t="s">
        <v>7290</v>
      </c>
      <c r="DK10" t="s">
        <v>6373</v>
      </c>
      <c r="DL10" t="s">
        <v>7291</v>
      </c>
      <c r="DM10" t="s">
        <v>6878</v>
      </c>
      <c r="DN10" t="s">
        <v>7292</v>
      </c>
      <c r="DO10" t="s">
        <v>6041</v>
      </c>
      <c r="DP10" t="s">
        <v>1548</v>
      </c>
      <c r="DQ10" t="s">
        <v>6045</v>
      </c>
      <c r="DS10" t="s">
        <v>6014</v>
      </c>
      <c r="DT10" t="s">
        <v>6014</v>
      </c>
      <c r="DU10" t="s">
        <v>6013</v>
      </c>
      <c r="DV10" t="s">
        <v>6013</v>
      </c>
      <c r="DW10" t="s">
        <v>6014</v>
      </c>
      <c r="DX10" t="s">
        <v>6014</v>
      </c>
      <c r="DY10" t="s">
        <v>6013</v>
      </c>
      <c r="DZ10" t="s">
        <v>6013</v>
      </c>
      <c r="EA10" t="s">
        <v>6015</v>
      </c>
      <c r="EB10" t="s">
        <v>6015</v>
      </c>
      <c r="EC10" t="s">
        <v>6016</v>
      </c>
      <c r="ED10" t="s">
        <v>6016</v>
      </c>
      <c r="EE10">
        <v>0</v>
      </c>
      <c r="EF10">
        <v>1</v>
      </c>
      <c r="EG10" t="s">
        <v>6049</v>
      </c>
      <c r="EH10" t="s">
        <v>7293</v>
      </c>
      <c r="EI10" t="s">
        <v>1559</v>
      </c>
      <c r="EJ10">
        <v>4</v>
      </c>
      <c r="EK10">
        <v>24</v>
      </c>
      <c r="ET10" t="s">
        <v>6069</v>
      </c>
      <c r="EU10" t="s">
        <v>6020</v>
      </c>
      <c r="EV10" t="s">
        <v>7294</v>
      </c>
      <c r="EW10" t="s">
        <v>6022</v>
      </c>
      <c r="EX10">
        <v>1</v>
      </c>
      <c r="EY10" t="s">
        <v>507</v>
      </c>
      <c r="EZ10" t="s">
        <v>1548</v>
      </c>
      <c r="FA10">
        <v>10000</v>
      </c>
      <c r="FN10" t="s">
        <v>7295</v>
      </c>
      <c r="FO10" t="s">
        <v>7296</v>
      </c>
      <c r="FP10" t="s">
        <v>7297</v>
      </c>
      <c r="FQ10" t="s">
        <v>7298</v>
      </c>
      <c r="FR10" t="s">
        <v>6054</v>
      </c>
      <c r="FS10" t="s">
        <v>6055</v>
      </c>
      <c r="FT10">
        <v>70851509</v>
      </c>
      <c r="FU10">
        <v>71676046</v>
      </c>
      <c r="FY10" s="57">
        <v>43668.954513888886</v>
      </c>
      <c r="FZ10" s="57">
        <v>43668.981886574074</v>
      </c>
    </row>
  </sheetData>
  <sortState xmlns:xlrd2="http://schemas.microsoft.com/office/spreadsheetml/2017/richdata2" ref="A2:FZ10">
    <sortCondition ref="A2:A10"/>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F8783-F905-45D9-8063-6E1BD57EE60B}">
  <dimension ref="A1:FB86"/>
  <sheetViews>
    <sheetView workbookViewId="0">
      <selection activeCell="E14" sqref="E14"/>
    </sheetView>
  </sheetViews>
  <sheetFormatPr defaultColWidth="8.73046875" defaultRowHeight="12.75"/>
  <cols>
    <col min="1" max="3" width="8.73046875" style="17"/>
    <col min="4" max="4" width="12" style="17" customWidth="1"/>
    <col min="5" max="29" width="8.73046875" style="17"/>
    <col min="30" max="30" width="8.73046875" style="50"/>
    <col min="31" max="16384" width="8.73046875" style="17"/>
  </cols>
  <sheetData>
    <row r="1" spans="1:158" ht="13.9">
      <c r="A1" s="77" t="s">
        <v>0</v>
      </c>
      <c r="B1" s="5" t="s">
        <v>1182</v>
      </c>
      <c r="C1" s="5" t="s">
        <v>1183</v>
      </c>
      <c r="D1" s="5" t="s">
        <v>1184</v>
      </c>
      <c r="E1" s="5" t="s">
        <v>1185</v>
      </c>
      <c r="F1" s="15" t="s">
        <v>1186</v>
      </c>
      <c r="G1" s="15" t="s">
        <v>1187</v>
      </c>
      <c r="H1" s="5" t="s">
        <v>1188</v>
      </c>
      <c r="I1" s="5" t="s">
        <v>1189</v>
      </c>
      <c r="J1" s="5" t="s">
        <v>1190</v>
      </c>
      <c r="K1" s="5" t="s">
        <v>1191</v>
      </c>
      <c r="L1" s="5" t="s">
        <v>2635</v>
      </c>
      <c r="M1" s="5" t="s">
        <v>1193</v>
      </c>
      <c r="N1" s="5" t="s">
        <v>1194</v>
      </c>
      <c r="O1" s="5" t="s">
        <v>1195</v>
      </c>
      <c r="P1" s="5" t="s">
        <v>1196</v>
      </c>
      <c r="Q1" s="5" t="s">
        <v>1197</v>
      </c>
      <c r="R1" s="5" t="s">
        <v>1198</v>
      </c>
      <c r="S1" s="5" t="s">
        <v>1199</v>
      </c>
      <c r="T1" s="5" t="s">
        <v>1200</v>
      </c>
      <c r="U1" s="5" t="s">
        <v>1201</v>
      </c>
      <c r="V1" s="5" t="s">
        <v>1202</v>
      </c>
      <c r="W1" s="5" t="s">
        <v>1203</v>
      </c>
      <c r="X1" s="5" t="s">
        <v>1204</v>
      </c>
      <c r="Y1" s="5" t="s">
        <v>1205</v>
      </c>
      <c r="Z1" s="5" t="s">
        <v>1206</v>
      </c>
      <c r="AA1" s="5" t="s">
        <v>1207</v>
      </c>
      <c r="AB1" s="5" t="s">
        <v>1208</v>
      </c>
      <c r="AC1" s="5" t="s">
        <v>1209</v>
      </c>
      <c r="AD1" s="29" t="s">
        <v>1210</v>
      </c>
      <c r="AE1" s="5" t="s">
        <v>1211</v>
      </c>
      <c r="AF1" s="5" t="s">
        <v>1212</v>
      </c>
      <c r="AG1" s="5" t="s">
        <v>1213</v>
      </c>
      <c r="AH1" s="5" t="s">
        <v>1214</v>
      </c>
      <c r="AI1" s="5" t="s">
        <v>1215</v>
      </c>
      <c r="AJ1" s="5" t="s">
        <v>1216</v>
      </c>
      <c r="AK1" s="5" t="s">
        <v>1217</v>
      </c>
      <c r="AL1" s="5" t="s">
        <v>1218</v>
      </c>
      <c r="AM1" s="5" t="s">
        <v>1219</v>
      </c>
      <c r="AN1" s="16" t="s">
        <v>1220</v>
      </c>
      <c r="AO1" s="5" t="s">
        <v>1221</v>
      </c>
      <c r="AP1" s="5" t="s">
        <v>1222</v>
      </c>
      <c r="AQ1" s="5" t="s">
        <v>1223</v>
      </c>
      <c r="AR1" s="5" t="s">
        <v>1224</v>
      </c>
      <c r="AS1" s="5" t="s">
        <v>1225</v>
      </c>
      <c r="AT1" s="5" t="s">
        <v>1226</v>
      </c>
      <c r="AU1" s="5" t="s">
        <v>1227</v>
      </c>
      <c r="AV1" s="5" t="s">
        <v>1228</v>
      </c>
      <c r="AW1" s="5" t="s">
        <v>1229</v>
      </c>
      <c r="AX1" s="5" t="s">
        <v>1230</v>
      </c>
      <c r="AY1" s="5" t="s">
        <v>1231</v>
      </c>
      <c r="AZ1" s="5" t="s">
        <v>1232</v>
      </c>
      <c r="BA1" s="5" t="s">
        <v>1233</v>
      </c>
      <c r="BB1" s="5" t="s">
        <v>1234</v>
      </c>
      <c r="BC1" s="5" t="s">
        <v>1235</v>
      </c>
      <c r="BD1" s="5" t="s">
        <v>1236</v>
      </c>
      <c r="BE1" s="5" t="s">
        <v>1237</v>
      </c>
      <c r="BF1" s="5" t="s">
        <v>1238</v>
      </c>
      <c r="BG1" s="5" t="s">
        <v>1239</v>
      </c>
      <c r="BH1" s="5" t="s">
        <v>1240</v>
      </c>
      <c r="BI1" s="5" t="s">
        <v>1241</v>
      </c>
      <c r="BJ1" s="5" t="s">
        <v>1242</v>
      </c>
      <c r="BK1" s="5" t="s">
        <v>1243</v>
      </c>
      <c r="BL1" s="5" t="s">
        <v>1244</v>
      </c>
      <c r="BM1" s="5" t="s">
        <v>1245</v>
      </c>
      <c r="BN1" s="5" t="s">
        <v>1246</v>
      </c>
      <c r="BO1" s="5" t="s">
        <v>1247</v>
      </c>
      <c r="BP1" s="5" t="s">
        <v>1248</v>
      </c>
      <c r="BQ1" s="5" t="s">
        <v>1249</v>
      </c>
      <c r="BR1" s="5" t="s">
        <v>1250</v>
      </c>
      <c r="BS1" s="5" t="s">
        <v>1251</v>
      </c>
      <c r="BT1" s="5" t="s">
        <v>1252</v>
      </c>
      <c r="BU1" s="5" t="s">
        <v>1253</v>
      </c>
      <c r="BV1" s="5" t="s">
        <v>1254</v>
      </c>
      <c r="BW1" s="5" t="s">
        <v>1255</v>
      </c>
      <c r="BX1" s="5" t="s">
        <v>1256</v>
      </c>
      <c r="BY1" s="5" t="s">
        <v>1257</v>
      </c>
      <c r="BZ1" s="5" t="s">
        <v>1258</v>
      </c>
      <c r="CA1" s="5" t="s">
        <v>1259</v>
      </c>
      <c r="CB1" s="5" t="s">
        <v>1260</v>
      </c>
      <c r="CC1" s="5" t="s">
        <v>1261</v>
      </c>
      <c r="CD1" s="5" t="s">
        <v>1262</v>
      </c>
      <c r="CE1" s="5" t="s">
        <v>1263</v>
      </c>
      <c r="CF1" s="5" t="s">
        <v>1264</v>
      </c>
      <c r="CG1" s="5" t="s">
        <v>1265</v>
      </c>
      <c r="CH1" s="5" t="s">
        <v>1266</v>
      </c>
      <c r="CI1" s="5" t="s">
        <v>1267</v>
      </c>
      <c r="CJ1" s="5" t="s">
        <v>1268</v>
      </c>
      <c r="CK1" s="5" t="s">
        <v>1269</v>
      </c>
      <c r="CL1" s="5" t="s">
        <v>1270</v>
      </c>
      <c r="CM1" s="5" t="s">
        <v>1271</v>
      </c>
      <c r="CN1" s="5" t="s">
        <v>1272</v>
      </c>
      <c r="CO1" s="5" t="s">
        <v>1273</v>
      </c>
      <c r="CP1" s="5" t="s">
        <v>1274</v>
      </c>
      <c r="CQ1" s="5" t="s">
        <v>1275</v>
      </c>
      <c r="CR1" s="5" t="s">
        <v>7096</v>
      </c>
      <c r="CS1" s="5" t="s">
        <v>1277</v>
      </c>
      <c r="CT1" s="5" t="s">
        <v>1278</v>
      </c>
      <c r="CU1" s="5" t="s">
        <v>1279</v>
      </c>
      <c r="CV1" s="5" t="s">
        <v>1280</v>
      </c>
      <c r="CW1" s="5" t="s">
        <v>1281</v>
      </c>
      <c r="CX1" s="5" t="s">
        <v>1282</v>
      </c>
      <c r="CY1" s="5" t="s">
        <v>1283</v>
      </c>
      <c r="CZ1" s="5" t="s">
        <v>1284</v>
      </c>
      <c r="DA1" s="5" t="s">
        <v>1285</v>
      </c>
      <c r="DB1" s="5" t="s">
        <v>1286</v>
      </c>
      <c r="DC1" s="5" t="s">
        <v>1287</v>
      </c>
      <c r="DD1" s="5" t="s">
        <v>1288</v>
      </c>
      <c r="DE1" s="5" t="s">
        <v>1289</v>
      </c>
      <c r="DF1" s="5" t="s">
        <v>1290</v>
      </c>
      <c r="DG1" s="5" t="s">
        <v>1291</v>
      </c>
      <c r="DH1" s="5" t="s">
        <v>1292</v>
      </c>
      <c r="DI1" s="5" t="s">
        <v>1293</v>
      </c>
      <c r="DJ1" s="5" t="s">
        <v>1294</v>
      </c>
      <c r="DK1" s="5" t="s">
        <v>1295</v>
      </c>
      <c r="DL1" s="5" t="s">
        <v>1296</v>
      </c>
      <c r="DM1" s="5" t="s">
        <v>1297</v>
      </c>
      <c r="DN1" s="5" t="s">
        <v>1298</v>
      </c>
      <c r="DO1" s="5" t="s">
        <v>1299</v>
      </c>
      <c r="DP1" s="5" t="s">
        <v>1300</v>
      </c>
      <c r="DQ1" s="5" t="s">
        <v>1301</v>
      </c>
      <c r="DR1" s="5" t="s">
        <v>1302</v>
      </c>
      <c r="DS1" s="5" t="s">
        <v>1303</v>
      </c>
      <c r="DT1" s="5" t="s">
        <v>1304</v>
      </c>
      <c r="DU1" s="5" t="s">
        <v>1305</v>
      </c>
      <c r="DV1" s="5" t="s">
        <v>1306</v>
      </c>
      <c r="DW1" s="5" t="s">
        <v>1307</v>
      </c>
      <c r="DX1" s="5" t="s">
        <v>1308</v>
      </c>
      <c r="DY1" s="5" t="s">
        <v>1309</v>
      </c>
      <c r="DZ1" s="5" t="s">
        <v>1310</v>
      </c>
      <c r="EA1" s="5" t="s">
        <v>1311</v>
      </c>
      <c r="EB1" s="5" t="s">
        <v>1312</v>
      </c>
      <c r="EC1" s="5" t="s">
        <v>1313</v>
      </c>
      <c r="ED1" s="5" t="s">
        <v>1314</v>
      </c>
      <c r="EE1" s="5" t="s">
        <v>1315</v>
      </c>
      <c r="EF1" s="5" t="s">
        <v>1316</v>
      </c>
      <c r="EG1" s="5" t="s">
        <v>1317</v>
      </c>
      <c r="EH1" s="5" t="s">
        <v>1318</v>
      </c>
      <c r="EI1" s="5" t="s">
        <v>1319</v>
      </c>
      <c r="EJ1" s="5" t="s">
        <v>1320</v>
      </c>
      <c r="EK1" s="5" t="s">
        <v>1321</v>
      </c>
      <c r="EL1" s="5" t="s">
        <v>1322</v>
      </c>
      <c r="EM1" s="5" t="s">
        <v>1323</v>
      </c>
      <c r="EN1" s="5" t="s">
        <v>1324</v>
      </c>
      <c r="EO1" s="5" t="s">
        <v>1325</v>
      </c>
      <c r="EP1" s="5" t="s">
        <v>1326</v>
      </c>
      <c r="EQ1" s="5" t="s">
        <v>1327</v>
      </c>
      <c r="ER1" s="5" t="s">
        <v>1328</v>
      </c>
      <c r="ES1" s="5" t="s">
        <v>1329</v>
      </c>
      <c r="ET1" s="5" t="s">
        <v>1330</v>
      </c>
      <c r="EU1" s="5" t="s">
        <v>1331</v>
      </c>
      <c r="EV1" s="5" t="s">
        <v>1332</v>
      </c>
      <c r="EW1" s="5" t="s">
        <v>1333</v>
      </c>
      <c r="EX1" s="5" t="s">
        <v>1334</v>
      </c>
      <c r="EY1" s="5" t="s">
        <v>1335</v>
      </c>
      <c r="EZ1" s="5" t="s">
        <v>1336</v>
      </c>
      <c r="FA1" s="5"/>
    </row>
    <row r="2" spans="1:158" ht="15" customHeight="1">
      <c r="A2" s="17">
        <v>61</v>
      </c>
      <c r="B2" s="17">
        <v>53</v>
      </c>
      <c r="C2" s="23" t="s">
        <v>1337</v>
      </c>
      <c r="D2" s="24">
        <v>43759</v>
      </c>
      <c r="E2" s="23" t="s">
        <v>3197</v>
      </c>
      <c r="F2" s="25" t="e">
        <v>#N/A</v>
      </c>
      <c r="G2" s="25" t="s">
        <v>3198</v>
      </c>
      <c r="H2" s="23" t="s">
        <v>1086</v>
      </c>
      <c r="I2" s="23" t="s">
        <v>1065</v>
      </c>
      <c r="J2" s="23" t="s">
        <v>507</v>
      </c>
      <c r="K2" s="23" t="s">
        <v>3198</v>
      </c>
      <c r="L2" s="23">
        <v>1</v>
      </c>
      <c r="M2" s="23" t="s">
        <v>3199</v>
      </c>
      <c r="N2" s="23" t="s">
        <v>1541</v>
      </c>
      <c r="O2" s="23" t="s">
        <v>3200</v>
      </c>
      <c r="P2" s="23" t="s">
        <v>628</v>
      </c>
      <c r="Q2" s="23" t="s">
        <v>3201</v>
      </c>
      <c r="R2" s="23" t="s">
        <v>1345</v>
      </c>
      <c r="S2" s="23">
        <v>6</v>
      </c>
      <c r="T2" s="23" t="s">
        <v>1346</v>
      </c>
      <c r="U2" s="23">
        <v>2015</v>
      </c>
      <c r="V2" s="23" t="s">
        <v>3202</v>
      </c>
      <c r="W2" s="23" t="s">
        <v>3203</v>
      </c>
      <c r="X2" s="23" t="s">
        <v>1345</v>
      </c>
      <c r="Y2" s="23">
        <v>2019</v>
      </c>
      <c r="Z2" s="23" t="s">
        <v>1547</v>
      </c>
      <c r="AA2" s="32">
        <v>45</v>
      </c>
      <c r="AB2" s="23" t="s">
        <v>1349</v>
      </c>
      <c r="AC2" s="23" t="s">
        <v>3204</v>
      </c>
      <c r="AD2" s="32" t="s">
        <v>1345</v>
      </c>
      <c r="AE2" s="23" t="s">
        <v>1345</v>
      </c>
      <c r="AF2" s="23" t="s">
        <v>1349</v>
      </c>
      <c r="AG2" s="23" t="s">
        <v>1349</v>
      </c>
      <c r="AH2" s="22"/>
      <c r="AI2" s="23">
        <v>2017</v>
      </c>
      <c r="AJ2" s="23" t="s">
        <v>1349</v>
      </c>
      <c r="AK2" s="22" t="s">
        <v>3205</v>
      </c>
      <c r="AL2" s="22" t="s">
        <v>1802</v>
      </c>
      <c r="AM2" s="22" t="s">
        <v>1802</v>
      </c>
      <c r="AN2" s="22" t="s">
        <v>1802</v>
      </c>
      <c r="AO2" s="22" t="s">
        <v>1802</v>
      </c>
      <c r="AP2" s="22" t="s">
        <v>1802</v>
      </c>
      <c r="AQ2" s="22" t="s">
        <v>1352</v>
      </c>
      <c r="AR2" s="22" t="s">
        <v>1352</v>
      </c>
      <c r="AS2" s="22" t="s">
        <v>1802</v>
      </c>
      <c r="AT2" s="22"/>
      <c r="AU2" s="22" t="s">
        <v>3206</v>
      </c>
      <c r="AV2" s="22">
        <v>4000</v>
      </c>
      <c r="AW2" s="22" t="s">
        <v>3207</v>
      </c>
      <c r="AX2" s="22" t="s">
        <v>3208</v>
      </c>
      <c r="AY2" s="23"/>
      <c r="AZ2" s="22"/>
      <c r="BA2" s="22"/>
      <c r="BB2" s="22" t="s">
        <v>1358</v>
      </c>
      <c r="BC2" s="22"/>
      <c r="BD2" s="22"/>
      <c r="BE2" s="22" t="s">
        <v>3198</v>
      </c>
      <c r="BF2" s="22" t="s">
        <v>3198</v>
      </c>
      <c r="BG2" s="22" t="s">
        <v>3198</v>
      </c>
      <c r="BH2" s="22">
        <v>30</v>
      </c>
      <c r="BI2" s="22"/>
      <c r="BJ2" s="22">
        <v>27</v>
      </c>
      <c r="BK2" s="22" t="s">
        <v>3209</v>
      </c>
      <c r="BL2" s="22"/>
      <c r="BM2" s="22" t="s">
        <v>3209</v>
      </c>
      <c r="BN2" s="23" t="s">
        <v>1349</v>
      </c>
      <c r="BO2" s="22"/>
      <c r="BP2" s="22"/>
      <c r="BQ2" s="23" t="s">
        <v>1345</v>
      </c>
      <c r="BR2" s="23" t="s">
        <v>1345</v>
      </c>
      <c r="BS2" s="26">
        <v>0</v>
      </c>
      <c r="BT2" s="23" t="s">
        <v>1345</v>
      </c>
      <c r="BU2" s="23" t="s">
        <v>3210</v>
      </c>
      <c r="BV2" s="23" t="s">
        <v>1349</v>
      </c>
      <c r="BW2" s="22"/>
      <c r="BX2" s="23" t="s">
        <v>1345</v>
      </c>
      <c r="BY2" s="23" t="s">
        <v>1561</v>
      </c>
      <c r="BZ2" s="23" t="s">
        <v>3185</v>
      </c>
      <c r="CA2" s="23" t="s">
        <v>3211</v>
      </c>
      <c r="CB2" s="22" t="s">
        <v>1364</v>
      </c>
      <c r="CC2" s="22" t="s">
        <v>1364</v>
      </c>
      <c r="CD2" s="22" t="s">
        <v>1364</v>
      </c>
      <c r="CE2" s="35">
        <v>1200</v>
      </c>
      <c r="CF2" s="35">
        <v>1000</v>
      </c>
      <c r="CG2" s="35">
        <v>2000</v>
      </c>
      <c r="CH2" s="22">
        <v>100</v>
      </c>
      <c r="CI2" s="22">
        <v>120</v>
      </c>
      <c r="CJ2" s="22"/>
      <c r="CK2" s="27">
        <v>0.6</v>
      </c>
      <c r="CL2" s="27">
        <v>0.6</v>
      </c>
      <c r="CM2" s="27">
        <v>0.4</v>
      </c>
      <c r="CN2" s="27">
        <v>0.4</v>
      </c>
      <c r="CO2" s="22" t="s">
        <v>3186</v>
      </c>
      <c r="CP2" s="22"/>
      <c r="CQ2" s="22"/>
      <c r="CR2" s="22"/>
      <c r="CS2" s="22"/>
      <c r="CT2" s="22"/>
      <c r="CU2" s="23"/>
      <c r="CV2" s="22"/>
      <c r="CW2" s="23" t="s">
        <v>1349</v>
      </c>
      <c r="CX2" s="22"/>
      <c r="CY2" s="27">
        <v>1</v>
      </c>
      <c r="CZ2" s="22"/>
      <c r="DA2" s="22"/>
      <c r="DB2" s="22"/>
      <c r="DC2" s="22"/>
      <c r="DD2" s="22"/>
      <c r="DE2" s="22"/>
      <c r="DF2" s="22"/>
      <c r="DG2" s="22"/>
      <c r="DH2" s="22" t="s">
        <v>3212</v>
      </c>
      <c r="DI2" s="22" t="s">
        <v>3213</v>
      </c>
      <c r="DJ2" s="22"/>
      <c r="DK2" s="22"/>
      <c r="DL2" s="22" t="s">
        <v>3214</v>
      </c>
      <c r="DM2" s="22" t="s">
        <v>3213</v>
      </c>
      <c r="DN2" s="23"/>
      <c r="DO2" s="22"/>
      <c r="DP2" s="23" t="s">
        <v>1345</v>
      </c>
      <c r="DQ2" s="22" t="s">
        <v>3215</v>
      </c>
      <c r="DR2" s="23" t="s">
        <v>1349</v>
      </c>
      <c r="DS2" s="22"/>
      <c r="DT2" s="22"/>
      <c r="DU2" s="22"/>
      <c r="DV2" s="23" t="s">
        <v>1349</v>
      </c>
      <c r="DW2" s="22"/>
      <c r="DX2" s="23" t="s">
        <v>1345</v>
      </c>
      <c r="DY2" s="23" t="s">
        <v>1349</v>
      </c>
      <c r="DZ2" s="23" t="s">
        <v>3216</v>
      </c>
      <c r="EA2" s="23" t="s">
        <v>1345</v>
      </c>
      <c r="EB2" s="23" t="s">
        <v>1345</v>
      </c>
      <c r="EC2" s="23" t="s">
        <v>1345</v>
      </c>
      <c r="ED2" s="23" t="s">
        <v>3217</v>
      </c>
      <c r="EE2" s="23"/>
      <c r="EF2" s="23" t="s">
        <v>3218</v>
      </c>
      <c r="EG2" s="23" t="s">
        <v>1345</v>
      </c>
      <c r="EH2" s="22"/>
      <c r="EI2" s="23" t="s">
        <v>3219</v>
      </c>
      <c r="EJ2" s="23" t="s">
        <v>3220</v>
      </c>
      <c r="EK2" s="23" t="s">
        <v>3221</v>
      </c>
      <c r="EL2" s="23" t="s">
        <v>1389</v>
      </c>
      <c r="EM2" s="23">
        <v>3</v>
      </c>
      <c r="EN2" s="23" t="s">
        <v>3222</v>
      </c>
      <c r="EO2" s="23">
        <v>2</v>
      </c>
      <c r="EP2" s="23" t="s">
        <v>3223</v>
      </c>
      <c r="EQ2" s="23">
        <v>2</v>
      </c>
      <c r="ER2" s="22" t="s">
        <v>3224</v>
      </c>
      <c r="ES2" s="23">
        <v>4</v>
      </c>
      <c r="ET2" s="22" t="s">
        <v>3225</v>
      </c>
      <c r="EU2" s="23">
        <v>5</v>
      </c>
      <c r="EV2" s="22" t="s">
        <v>3226</v>
      </c>
      <c r="EW2" s="23">
        <v>3</v>
      </c>
      <c r="EX2" s="22" t="s">
        <v>3227</v>
      </c>
      <c r="EY2" s="23">
        <v>1</v>
      </c>
      <c r="EZ2" s="22" t="s">
        <v>3228</v>
      </c>
    </row>
    <row r="3" spans="1:158">
      <c r="A3" s="17">
        <v>112</v>
      </c>
      <c r="B3" s="17">
        <v>6</v>
      </c>
      <c r="C3" s="13" t="s">
        <v>2278</v>
      </c>
      <c r="D3" s="18">
        <v>43746</v>
      </c>
      <c r="E3" s="13" t="s">
        <v>2711</v>
      </c>
      <c r="F3" s="19"/>
      <c r="G3" s="19"/>
      <c r="H3" s="13" t="s">
        <v>1086</v>
      </c>
      <c r="I3" s="13" t="s">
        <v>1065</v>
      </c>
      <c r="J3" s="13" t="s">
        <v>184</v>
      </c>
      <c r="K3" s="13" t="s">
        <v>2712</v>
      </c>
      <c r="L3" s="13">
        <v>15</v>
      </c>
      <c r="M3" s="13" t="s">
        <v>2690</v>
      </c>
      <c r="N3" s="13" t="s">
        <v>2691</v>
      </c>
      <c r="O3" s="13" t="s">
        <v>2713</v>
      </c>
      <c r="P3" s="13" t="s">
        <v>718</v>
      </c>
      <c r="Q3" s="13" t="s">
        <v>2714</v>
      </c>
      <c r="R3" s="13" t="s">
        <v>1345</v>
      </c>
      <c r="S3" s="13">
        <v>6</v>
      </c>
      <c r="T3" s="13" t="s">
        <v>2715</v>
      </c>
      <c r="U3" s="13">
        <v>2018</v>
      </c>
      <c r="V3" s="13" t="s">
        <v>2680</v>
      </c>
      <c r="W3" s="13" t="s">
        <v>2693</v>
      </c>
      <c r="X3" s="13" t="s">
        <v>1345</v>
      </c>
      <c r="Y3" s="13">
        <v>2017</v>
      </c>
      <c r="Z3" s="13">
        <v>2018</v>
      </c>
      <c r="AA3" s="30">
        <v>54</v>
      </c>
      <c r="AB3" s="13" t="s">
        <v>1345</v>
      </c>
      <c r="AC3" s="13">
        <v>3</v>
      </c>
      <c r="AD3" s="30" t="s">
        <v>1345</v>
      </c>
      <c r="AE3" s="13" t="s">
        <v>1345</v>
      </c>
      <c r="AF3" s="13" t="s">
        <v>1345</v>
      </c>
      <c r="AG3" s="13" t="s">
        <v>1349</v>
      </c>
      <c r="AH3" s="13" t="s">
        <v>2300</v>
      </c>
      <c r="AI3" s="13">
        <v>2018</v>
      </c>
      <c r="AJ3" s="13" t="s">
        <v>1349</v>
      </c>
      <c r="AK3" s="13" t="s">
        <v>2642</v>
      </c>
      <c r="AL3" s="13" t="s">
        <v>1612</v>
      </c>
      <c r="AM3" s="13" t="s">
        <v>1612</v>
      </c>
      <c r="AN3" s="13" t="s">
        <v>1612</v>
      </c>
      <c r="AO3" s="13" t="s">
        <v>1612</v>
      </c>
      <c r="AP3" s="13" t="s">
        <v>1612</v>
      </c>
      <c r="AQ3" s="13" t="s">
        <v>2096</v>
      </c>
      <c r="AR3" s="13" t="s">
        <v>2096</v>
      </c>
      <c r="AS3" s="13" t="s">
        <v>1550</v>
      </c>
      <c r="AT3" s="13" t="s">
        <v>2643</v>
      </c>
      <c r="AU3" s="13" t="s">
        <v>2681</v>
      </c>
      <c r="AV3" s="13">
        <v>5000</v>
      </c>
      <c r="AW3" s="13" t="s">
        <v>2716</v>
      </c>
      <c r="AX3" s="13" t="s">
        <v>2646</v>
      </c>
      <c r="AY3" s="13" t="s">
        <v>1349</v>
      </c>
      <c r="AZ3" s="13" t="s">
        <v>2647</v>
      </c>
      <c r="BA3" s="13" t="s">
        <v>2647</v>
      </c>
      <c r="BB3" s="13" t="s">
        <v>2648</v>
      </c>
      <c r="BC3" s="13" t="s">
        <v>2648</v>
      </c>
      <c r="BD3" s="13" t="s">
        <v>2648</v>
      </c>
      <c r="BE3" s="13" t="s">
        <v>2712</v>
      </c>
      <c r="BF3" s="13" t="s">
        <v>2712</v>
      </c>
      <c r="BG3" s="13" t="s">
        <v>2712</v>
      </c>
      <c r="BH3" s="13">
        <v>3</v>
      </c>
      <c r="BI3" s="13">
        <v>3</v>
      </c>
      <c r="BJ3" s="13">
        <v>3</v>
      </c>
      <c r="BK3" s="13" t="s">
        <v>1702</v>
      </c>
      <c r="BL3" s="13" t="s">
        <v>1702</v>
      </c>
      <c r="BM3" s="13" t="s">
        <v>1702</v>
      </c>
      <c r="BN3" s="13" t="s">
        <v>1345</v>
      </c>
      <c r="BO3" s="13" t="s">
        <v>2706</v>
      </c>
      <c r="BP3" s="13" t="s">
        <v>2706</v>
      </c>
      <c r="BQ3" s="13" t="s">
        <v>1345</v>
      </c>
      <c r="BR3" s="13" t="s">
        <v>1349</v>
      </c>
      <c r="BS3" s="13" t="s">
        <v>2643</v>
      </c>
      <c r="BT3" s="13" t="s">
        <v>1345</v>
      </c>
      <c r="BU3" s="13" t="s">
        <v>2717</v>
      </c>
      <c r="BV3" s="13" t="s">
        <v>1349</v>
      </c>
      <c r="BW3" s="13" t="s">
        <v>2643</v>
      </c>
      <c r="BX3" s="13" t="s">
        <v>1345</v>
      </c>
      <c r="BY3" s="13" t="s">
        <v>2167</v>
      </c>
      <c r="BZ3" s="13" t="s">
        <v>2650</v>
      </c>
      <c r="CA3" s="13" t="s">
        <v>2712</v>
      </c>
      <c r="CB3" s="13" t="s">
        <v>1548</v>
      </c>
      <c r="CC3" s="13" t="s">
        <v>1548</v>
      </c>
      <c r="CD3" s="13" t="s">
        <v>1548</v>
      </c>
      <c r="CE3" s="13">
        <v>9000</v>
      </c>
      <c r="CF3" s="13">
        <v>9000</v>
      </c>
      <c r="CG3" s="13">
        <v>6000</v>
      </c>
      <c r="CH3" s="13">
        <v>40</v>
      </c>
      <c r="CI3" s="13">
        <v>33</v>
      </c>
      <c r="CJ3" s="13">
        <v>30</v>
      </c>
      <c r="CK3" s="20">
        <v>0.8</v>
      </c>
      <c r="CL3" s="20">
        <v>0.7</v>
      </c>
      <c r="CM3" s="21">
        <v>0.4</v>
      </c>
      <c r="CN3" s="21">
        <v>0.1</v>
      </c>
      <c r="CO3" s="13" t="s">
        <v>2652</v>
      </c>
      <c r="CP3" s="13" t="s">
        <v>2643</v>
      </c>
      <c r="CQ3" s="13" t="s">
        <v>2308</v>
      </c>
      <c r="CR3" s="13">
        <v>15</v>
      </c>
      <c r="CS3" s="13" t="s">
        <v>1368</v>
      </c>
      <c r="CT3" s="13" t="s">
        <v>2697</v>
      </c>
      <c r="CU3" s="13" t="s">
        <v>1345</v>
      </c>
      <c r="CV3" s="13" t="s">
        <v>2654</v>
      </c>
      <c r="CW3" s="13" t="s">
        <v>1345</v>
      </c>
      <c r="CX3" s="21">
        <v>0.1</v>
      </c>
      <c r="CY3" s="13" t="s">
        <v>2643</v>
      </c>
      <c r="CZ3" s="13" t="s">
        <v>2718</v>
      </c>
      <c r="DA3" s="13" t="s">
        <v>2684</v>
      </c>
      <c r="DB3" s="13" t="s">
        <v>2643</v>
      </c>
      <c r="DC3" s="13" t="s">
        <v>2657</v>
      </c>
      <c r="DD3" s="13" t="s">
        <v>2658</v>
      </c>
      <c r="DE3" s="13" t="s">
        <v>2685</v>
      </c>
      <c r="DF3" s="13" t="s">
        <v>2660</v>
      </c>
      <c r="DG3" s="13" t="s">
        <v>1977</v>
      </c>
      <c r="DH3" s="13" t="s">
        <v>2661</v>
      </c>
      <c r="DI3" s="13" t="s">
        <v>2698</v>
      </c>
      <c r="DJ3" s="13" t="s">
        <v>2300</v>
      </c>
      <c r="DK3" s="13" t="s">
        <v>2300</v>
      </c>
      <c r="DL3" s="13" t="s">
        <v>2662</v>
      </c>
      <c r="DM3" s="13" t="s">
        <v>2663</v>
      </c>
      <c r="DN3" s="13" t="s">
        <v>1349</v>
      </c>
      <c r="DO3" s="13" t="s">
        <v>1342</v>
      </c>
      <c r="DP3" s="13" t="s">
        <v>1349</v>
      </c>
      <c r="DQ3" s="13" t="s">
        <v>2300</v>
      </c>
      <c r="DR3" s="13" t="s">
        <v>1349</v>
      </c>
      <c r="DS3" s="13" t="s">
        <v>2643</v>
      </c>
      <c r="DT3" s="13" t="s">
        <v>2643</v>
      </c>
      <c r="DU3" s="13" t="s">
        <v>2643</v>
      </c>
      <c r="DV3" s="13" t="s">
        <v>1345</v>
      </c>
      <c r="DW3" s="13" t="s">
        <v>2664</v>
      </c>
      <c r="DX3" s="13" t="s">
        <v>1345</v>
      </c>
      <c r="DY3" s="13" t="s">
        <v>1349</v>
      </c>
      <c r="DZ3" s="13" t="s">
        <v>2665</v>
      </c>
      <c r="EA3" s="13" t="s">
        <v>1345</v>
      </c>
      <c r="EB3" s="13" t="s">
        <v>1345</v>
      </c>
      <c r="EC3" s="13" t="s">
        <v>1345</v>
      </c>
      <c r="ED3" s="13" t="s">
        <v>2666</v>
      </c>
      <c r="EE3" s="20">
        <v>0.7</v>
      </c>
      <c r="EF3" s="13" t="s">
        <v>2370</v>
      </c>
      <c r="EG3" s="13" t="s">
        <v>1349</v>
      </c>
      <c r="EH3" s="13" t="s">
        <v>2643</v>
      </c>
      <c r="EI3" s="13" t="s">
        <v>2326</v>
      </c>
      <c r="EJ3" s="17" t="s">
        <v>2667</v>
      </c>
      <c r="EK3" s="13" t="s">
        <v>2300</v>
      </c>
      <c r="EL3" s="13" t="s">
        <v>1389</v>
      </c>
      <c r="EM3" s="13">
        <v>3</v>
      </c>
      <c r="EN3" s="13" t="s">
        <v>2388</v>
      </c>
      <c r="EO3" s="13">
        <v>4</v>
      </c>
      <c r="EP3" s="13" t="s">
        <v>2719</v>
      </c>
      <c r="EQ3" s="13">
        <v>4</v>
      </c>
      <c r="ER3" s="17" t="s">
        <v>2331</v>
      </c>
      <c r="ES3" s="13">
        <v>3</v>
      </c>
      <c r="ET3" s="17" t="s">
        <v>2720</v>
      </c>
      <c r="EU3" s="13">
        <v>4</v>
      </c>
      <c r="EV3" s="17" t="s">
        <v>2669</v>
      </c>
      <c r="EW3" s="13">
        <v>2</v>
      </c>
      <c r="EX3" s="17" t="s">
        <v>2710</v>
      </c>
      <c r="EY3" s="13">
        <v>1</v>
      </c>
      <c r="EZ3" s="17" t="s">
        <v>2424</v>
      </c>
    </row>
    <row r="4" spans="1:158">
      <c r="A4" s="17">
        <v>113</v>
      </c>
      <c r="B4" s="17">
        <v>3</v>
      </c>
      <c r="C4" s="13" t="s">
        <v>2278</v>
      </c>
      <c r="D4" s="18">
        <v>43745</v>
      </c>
      <c r="E4" s="13" t="s">
        <v>2678</v>
      </c>
      <c r="F4" s="19"/>
      <c r="G4" s="19"/>
      <c r="H4" s="13" t="s">
        <v>1086</v>
      </c>
      <c r="I4" s="13" t="s">
        <v>1065</v>
      </c>
      <c r="J4" s="13" t="s">
        <v>184</v>
      </c>
      <c r="K4" s="13" t="s">
        <v>184</v>
      </c>
      <c r="L4" s="13">
        <v>1</v>
      </c>
      <c r="M4" s="13" t="s">
        <v>2637</v>
      </c>
      <c r="N4" s="13" t="s">
        <v>1343</v>
      </c>
      <c r="O4" s="13" t="s">
        <v>727</v>
      </c>
      <c r="P4" s="13" t="s">
        <v>720</v>
      </c>
      <c r="Q4" s="13" t="s">
        <v>2679</v>
      </c>
      <c r="R4" s="13" t="s">
        <v>1345</v>
      </c>
      <c r="S4" s="13">
        <v>4</v>
      </c>
      <c r="T4" s="13" t="s">
        <v>1544</v>
      </c>
      <c r="U4" s="13">
        <v>2009</v>
      </c>
      <c r="V4" s="13" t="s">
        <v>2680</v>
      </c>
      <c r="W4" s="13" t="s">
        <v>2640</v>
      </c>
      <c r="X4" s="13" t="s">
        <v>1345</v>
      </c>
      <c r="Y4" s="13">
        <v>2018</v>
      </c>
      <c r="Z4" s="13" t="s">
        <v>2641</v>
      </c>
      <c r="AA4" s="30">
        <v>31</v>
      </c>
      <c r="AB4" s="13" t="s">
        <v>1345</v>
      </c>
      <c r="AC4" s="13">
        <v>3</v>
      </c>
      <c r="AD4" s="30" t="s">
        <v>1345</v>
      </c>
      <c r="AE4" s="13" t="s">
        <v>1345</v>
      </c>
      <c r="AF4" s="13" t="s">
        <v>1345</v>
      </c>
      <c r="AG4" s="13" t="s">
        <v>1349</v>
      </c>
      <c r="AH4" s="13" t="s">
        <v>2300</v>
      </c>
      <c r="AI4" s="13">
        <v>2013</v>
      </c>
      <c r="AJ4" s="13" t="s">
        <v>1349</v>
      </c>
      <c r="AK4" s="13" t="s">
        <v>2642</v>
      </c>
      <c r="AL4" s="13" t="s">
        <v>1612</v>
      </c>
      <c r="AM4" s="13" t="s">
        <v>1612</v>
      </c>
      <c r="AN4" s="13" t="s">
        <v>1612</v>
      </c>
      <c r="AO4" s="13" t="s">
        <v>1612</v>
      </c>
      <c r="AP4" s="13" t="s">
        <v>1612</v>
      </c>
      <c r="AQ4" s="13" t="s">
        <v>2096</v>
      </c>
      <c r="AR4" s="13" t="s">
        <v>2096</v>
      </c>
      <c r="AS4" s="13" t="s">
        <v>1550</v>
      </c>
      <c r="AT4" s="13" t="s">
        <v>2643</v>
      </c>
      <c r="AU4" s="13" t="s">
        <v>2681</v>
      </c>
      <c r="AV4" s="13">
        <v>5000</v>
      </c>
      <c r="AW4" s="13" t="s">
        <v>2675</v>
      </c>
      <c r="AX4" s="13" t="s">
        <v>2646</v>
      </c>
      <c r="AY4" s="13" t="s">
        <v>1349</v>
      </c>
      <c r="AZ4" s="13" t="s">
        <v>2647</v>
      </c>
      <c r="BA4" s="13" t="s">
        <v>2647</v>
      </c>
      <c r="BB4" s="13" t="s">
        <v>2682</v>
      </c>
      <c r="BC4" s="13" t="s">
        <v>2648</v>
      </c>
      <c r="BD4" s="13" t="s">
        <v>2648</v>
      </c>
      <c r="BE4" s="13" t="s">
        <v>184</v>
      </c>
      <c r="BF4" s="13" t="s">
        <v>184</v>
      </c>
      <c r="BG4" s="13" t="s">
        <v>184</v>
      </c>
      <c r="BH4" s="13">
        <v>7</v>
      </c>
      <c r="BI4" s="13">
        <v>7</v>
      </c>
      <c r="BJ4" s="13">
        <v>7</v>
      </c>
      <c r="BK4" s="13" t="s">
        <v>1702</v>
      </c>
      <c r="BL4" s="13" t="s">
        <v>1702</v>
      </c>
      <c r="BM4" s="13" t="s">
        <v>1702</v>
      </c>
      <c r="BN4" s="13" t="s">
        <v>1349</v>
      </c>
      <c r="BO4" s="13" t="s">
        <v>2643</v>
      </c>
      <c r="BP4" s="13" t="s">
        <v>2643</v>
      </c>
      <c r="BQ4" s="13" t="s">
        <v>1345</v>
      </c>
      <c r="BR4" s="13" t="s">
        <v>1349</v>
      </c>
      <c r="BS4" s="13" t="s">
        <v>2643</v>
      </c>
      <c r="BT4" s="13" t="s">
        <v>1345</v>
      </c>
      <c r="BU4" s="13" t="s">
        <v>2683</v>
      </c>
      <c r="BV4" s="13" t="s">
        <v>1349</v>
      </c>
      <c r="BW4" s="13" t="s">
        <v>2643</v>
      </c>
      <c r="BX4" s="13" t="s">
        <v>1345</v>
      </c>
      <c r="BY4" s="13" t="s">
        <v>2167</v>
      </c>
      <c r="BZ4" s="13" t="s">
        <v>2650</v>
      </c>
      <c r="CA4" s="13" t="s">
        <v>184</v>
      </c>
      <c r="CB4" s="13" t="s">
        <v>1548</v>
      </c>
      <c r="CC4" s="13" t="s">
        <v>1548</v>
      </c>
      <c r="CD4" s="13" t="s">
        <v>1548</v>
      </c>
      <c r="CE4" s="13">
        <v>4200</v>
      </c>
      <c r="CF4" s="13">
        <v>3000</v>
      </c>
      <c r="CG4" s="13">
        <v>1440</v>
      </c>
      <c r="CH4" s="13">
        <v>40</v>
      </c>
      <c r="CI4" s="13">
        <v>20</v>
      </c>
      <c r="CJ4" s="13">
        <v>8</v>
      </c>
      <c r="CK4" s="20">
        <v>0.7</v>
      </c>
      <c r="CL4" s="20">
        <v>0.6</v>
      </c>
      <c r="CM4" s="31">
        <v>0.4</v>
      </c>
      <c r="CN4" s="20">
        <v>0.3</v>
      </c>
      <c r="CO4" s="13" t="s">
        <v>2652</v>
      </c>
      <c r="CP4" s="13" t="s">
        <v>2643</v>
      </c>
      <c r="CQ4" s="13" t="s">
        <v>2308</v>
      </c>
      <c r="CR4" s="13">
        <v>3</v>
      </c>
      <c r="CS4" s="13" t="s">
        <v>1368</v>
      </c>
      <c r="CT4" s="13" t="s">
        <v>2653</v>
      </c>
      <c r="CU4" s="13" t="s">
        <v>1345</v>
      </c>
      <c r="CV4" s="13" t="s">
        <v>2654</v>
      </c>
      <c r="CW4" s="13" t="s">
        <v>1345</v>
      </c>
      <c r="CX4" s="21">
        <v>0.1</v>
      </c>
      <c r="CY4" s="21" t="s">
        <v>2643</v>
      </c>
      <c r="CZ4" s="13" t="s">
        <v>2655</v>
      </c>
      <c r="DA4" s="13" t="s">
        <v>2684</v>
      </c>
      <c r="DB4" s="13" t="s">
        <v>2643</v>
      </c>
      <c r="DC4" s="13" t="s">
        <v>2657</v>
      </c>
      <c r="DD4" s="13" t="s">
        <v>2658</v>
      </c>
      <c r="DE4" s="13" t="s">
        <v>2685</v>
      </c>
      <c r="DF4" s="13" t="s">
        <v>2660</v>
      </c>
      <c r="DG4" s="13" t="s">
        <v>1977</v>
      </c>
      <c r="DH4" s="13" t="s">
        <v>2661</v>
      </c>
      <c r="DI4" s="13" t="s">
        <v>732</v>
      </c>
      <c r="DJ4" s="13" t="s">
        <v>2300</v>
      </c>
      <c r="DK4" s="13" t="s">
        <v>2300</v>
      </c>
      <c r="DL4" s="13" t="s">
        <v>2662</v>
      </c>
      <c r="DM4" s="13" t="s">
        <v>2663</v>
      </c>
      <c r="DN4" s="13" t="s">
        <v>1349</v>
      </c>
      <c r="DO4" s="13" t="s">
        <v>1342</v>
      </c>
      <c r="DP4" s="13" t="s">
        <v>1349</v>
      </c>
      <c r="DQ4" s="13" t="s">
        <v>2300</v>
      </c>
      <c r="DR4" s="13" t="s">
        <v>1345</v>
      </c>
      <c r="DS4" s="13" t="s">
        <v>732</v>
      </c>
      <c r="DT4" s="13" t="s">
        <v>2686</v>
      </c>
      <c r="DU4" s="13" t="s">
        <v>2643</v>
      </c>
      <c r="DV4" s="13" t="s">
        <v>1345</v>
      </c>
      <c r="DW4" s="13" t="s">
        <v>2664</v>
      </c>
      <c r="DX4" s="13" t="s">
        <v>1345</v>
      </c>
      <c r="DY4" s="13" t="s">
        <v>1349</v>
      </c>
      <c r="DZ4" s="13" t="s">
        <v>2665</v>
      </c>
      <c r="EA4" s="13" t="s">
        <v>1345</v>
      </c>
      <c r="EB4" s="13" t="s">
        <v>1345</v>
      </c>
      <c r="EC4" s="13" t="s">
        <v>1345</v>
      </c>
      <c r="ED4" s="13" t="s">
        <v>2666</v>
      </c>
      <c r="EE4" s="20">
        <v>0.5</v>
      </c>
      <c r="EF4" s="13" t="s">
        <v>2370</v>
      </c>
      <c r="EG4" s="13" t="s">
        <v>1349</v>
      </c>
      <c r="EH4" s="13" t="s">
        <v>2643</v>
      </c>
      <c r="EI4" s="13" t="s">
        <v>2326</v>
      </c>
      <c r="EJ4" s="17" t="s">
        <v>2667</v>
      </c>
      <c r="EK4" s="13" t="s">
        <v>2419</v>
      </c>
      <c r="EL4" s="13" t="s">
        <v>1389</v>
      </c>
      <c r="EM4" s="13">
        <v>3</v>
      </c>
      <c r="EN4" s="13" t="s">
        <v>2388</v>
      </c>
      <c r="EO4" s="13">
        <v>3</v>
      </c>
      <c r="EP4" s="13" t="s">
        <v>2668</v>
      </c>
      <c r="EQ4" s="13">
        <v>2</v>
      </c>
      <c r="ER4" s="13" t="s">
        <v>2611</v>
      </c>
      <c r="ES4" s="13">
        <v>2</v>
      </c>
      <c r="ET4" s="17" t="s">
        <v>2687</v>
      </c>
      <c r="EU4" s="13">
        <v>4</v>
      </c>
      <c r="EV4" s="17" t="s">
        <v>2669</v>
      </c>
      <c r="EW4" s="13">
        <v>5</v>
      </c>
      <c r="EX4" s="17" t="s">
        <v>2688</v>
      </c>
      <c r="EY4" s="13">
        <v>1</v>
      </c>
      <c r="EZ4" s="17" t="s">
        <v>2424</v>
      </c>
    </row>
    <row r="5" spans="1:158">
      <c r="A5" s="17">
        <v>118</v>
      </c>
      <c r="B5" s="17">
        <v>30</v>
      </c>
      <c r="C5" s="23" t="s">
        <v>1337</v>
      </c>
      <c r="D5" s="24">
        <v>43742</v>
      </c>
      <c r="E5" s="23" t="s">
        <v>193</v>
      </c>
      <c r="F5" s="25">
        <v>118</v>
      </c>
      <c r="G5" s="25" t="s">
        <v>186</v>
      </c>
      <c r="H5" s="23" t="s">
        <v>1086</v>
      </c>
      <c r="I5" s="23" t="s">
        <v>1065</v>
      </c>
      <c r="J5" s="23" t="s">
        <v>2893</v>
      </c>
      <c r="K5" s="23" t="s">
        <v>2894</v>
      </c>
      <c r="L5" s="23">
        <v>0</v>
      </c>
      <c r="M5" s="23" t="s">
        <v>1342</v>
      </c>
      <c r="N5" s="23" t="s">
        <v>1343</v>
      </c>
      <c r="O5" s="23" t="s">
        <v>627</v>
      </c>
      <c r="P5" s="23" t="s">
        <v>2895</v>
      </c>
      <c r="Q5" s="23">
        <v>71572245</v>
      </c>
      <c r="R5" s="23" t="s">
        <v>1345</v>
      </c>
      <c r="S5" s="23">
        <v>3</v>
      </c>
      <c r="T5" s="22" t="s">
        <v>1346</v>
      </c>
      <c r="U5" s="23">
        <v>2012</v>
      </c>
      <c r="V5" s="22" t="s">
        <v>2896</v>
      </c>
      <c r="W5" s="22" t="s">
        <v>1401</v>
      </c>
      <c r="X5" s="23" t="s">
        <v>1345</v>
      </c>
      <c r="Y5" s="23">
        <v>2018</v>
      </c>
      <c r="Z5" s="23"/>
      <c r="AA5" s="32">
        <v>23</v>
      </c>
      <c r="AB5" s="23" t="s">
        <v>1342</v>
      </c>
      <c r="AC5" s="23">
        <v>0</v>
      </c>
      <c r="AD5" s="32" t="s">
        <v>1345</v>
      </c>
      <c r="AE5" s="23" t="s">
        <v>1345</v>
      </c>
      <c r="AF5" s="23" t="s">
        <v>1342</v>
      </c>
      <c r="AG5" s="23" t="s">
        <v>1342</v>
      </c>
      <c r="AH5" s="23" t="s">
        <v>1342</v>
      </c>
      <c r="AI5" s="23">
        <v>2018</v>
      </c>
      <c r="AJ5" s="23" t="s">
        <v>1342</v>
      </c>
      <c r="AK5" s="22" t="s">
        <v>2897</v>
      </c>
      <c r="AL5" s="23" t="s">
        <v>1351</v>
      </c>
      <c r="AM5" s="23" t="s">
        <v>1351</v>
      </c>
      <c r="AN5" s="22" t="s">
        <v>1351</v>
      </c>
      <c r="AO5" s="22" t="s">
        <v>1351</v>
      </c>
      <c r="AP5" s="22" t="s">
        <v>1351</v>
      </c>
      <c r="AQ5" s="23" t="s">
        <v>1352</v>
      </c>
      <c r="AR5" s="23" t="s">
        <v>1352</v>
      </c>
      <c r="AS5" s="23" t="s">
        <v>1353</v>
      </c>
      <c r="AT5" s="23" t="s">
        <v>1342</v>
      </c>
      <c r="AU5" s="22">
        <v>9600</v>
      </c>
      <c r="AV5" s="22">
        <v>10000</v>
      </c>
      <c r="AW5" s="23" t="s">
        <v>2898</v>
      </c>
      <c r="AX5" s="23" t="s">
        <v>2899</v>
      </c>
      <c r="AY5" s="23" t="s">
        <v>1383</v>
      </c>
      <c r="AZ5" s="23" t="s">
        <v>2900</v>
      </c>
      <c r="BA5" s="23" t="s">
        <v>1366</v>
      </c>
      <c r="BB5" s="23" t="s">
        <v>2901</v>
      </c>
      <c r="BC5" s="23" t="s">
        <v>1358</v>
      </c>
      <c r="BD5" s="23" t="s">
        <v>1358</v>
      </c>
      <c r="BE5" s="23" t="s">
        <v>2902</v>
      </c>
      <c r="BF5" s="22"/>
      <c r="BG5" s="22"/>
      <c r="BH5" s="23">
        <v>3</v>
      </c>
      <c r="BI5" s="23">
        <v>4</v>
      </c>
      <c r="BJ5" s="22"/>
      <c r="BK5" s="22" t="s">
        <v>1434</v>
      </c>
      <c r="BL5" s="22" t="s">
        <v>1434</v>
      </c>
      <c r="BM5" s="22"/>
      <c r="BN5" s="23" t="s">
        <v>1342</v>
      </c>
      <c r="BO5" s="22"/>
      <c r="BP5" s="22"/>
      <c r="BQ5" s="23" t="s">
        <v>1383</v>
      </c>
      <c r="BR5" s="23" t="s">
        <v>1862</v>
      </c>
      <c r="BS5" s="27">
        <v>0</v>
      </c>
      <c r="BT5" s="23" t="s">
        <v>1383</v>
      </c>
      <c r="BU5" s="23" t="s">
        <v>1342</v>
      </c>
      <c r="BV5" s="23"/>
      <c r="BW5" s="22"/>
      <c r="BX5" s="23" t="s">
        <v>1383</v>
      </c>
      <c r="BY5" s="23" t="s">
        <v>1362</v>
      </c>
      <c r="BZ5" s="22" t="s">
        <v>1363</v>
      </c>
      <c r="CA5" s="23" t="s">
        <v>2903</v>
      </c>
      <c r="CB5" s="22" t="s">
        <v>1364</v>
      </c>
      <c r="CC5" s="22" t="s">
        <v>1364</v>
      </c>
      <c r="CD5" s="22" t="s">
        <v>1364</v>
      </c>
      <c r="CE5" s="22">
        <v>600</v>
      </c>
      <c r="CF5" s="22">
        <v>360</v>
      </c>
      <c r="CG5" s="22">
        <v>240</v>
      </c>
      <c r="CH5" s="22">
        <v>25</v>
      </c>
      <c r="CI5" s="22">
        <v>25</v>
      </c>
      <c r="CJ5" s="22">
        <v>5</v>
      </c>
      <c r="CK5" s="27">
        <v>0.4</v>
      </c>
      <c r="CL5" s="27">
        <v>0.5</v>
      </c>
      <c r="CM5" s="27">
        <v>0.6</v>
      </c>
      <c r="CN5" s="27">
        <v>0.5</v>
      </c>
      <c r="CO5" s="22" t="s">
        <v>2904</v>
      </c>
      <c r="CP5" s="22"/>
      <c r="CQ5" s="22"/>
      <c r="CR5" s="22"/>
      <c r="CS5" s="22"/>
      <c r="CT5" s="22"/>
      <c r="CU5" s="23"/>
      <c r="CV5" s="22"/>
      <c r="CW5" s="23" t="s">
        <v>1383</v>
      </c>
      <c r="CX5" s="27">
        <v>0.2</v>
      </c>
      <c r="CY5" s="27">
        <v>0.7</v>
      </c>
      <c r="CZ5" s="22" t="s">
        <v>2905</v>
      </c>
      <c r="DA5" s="22" t="s">
        <v>2906</v>
      </c>
      <c r="DB5" s="22">
        <v>4</v>
      </c>
      <c r="DC5" s="22"/>
      <c r="DD5" s="22" t="s">
        <v>2907</v>
      </c>
      <c r="DE5" s="22" t="s">
        <v>2908</v>
      </c>
      <c r="DF5" s="22" t="s">
        <v>2909</v>
      </c>
      <c r="DG5" s="22"/>
      <c r="DH5" s="22" t="s">
        <v>2910</v>
      </c>
      <c r="DI5" s="22" t="s">
        <v>2911</v>
      </c>
      <c r="DJ5" s="22"/>
      <c r="DK5" s="22"/>
      <c r="DL5" s="22" t="s">
        <v>2912</v>
      </c>
      <c r="DM5" s="22" t="s">
        <v>2913</v>
      </c>
      <c r="DN5" s="23" t="s">
        <v>1345</v>
      </c>
      <c r="DO5" s="22" t="s">
        <v>2914</v>
      </c>
      <c r="DP5" s="23" t="s">
        <v>1342</v>
      </c>
      <c r="DQ5" s="22"/>
      <c r="DR5" s="23" t="s">
        <v>1342</v>
      </c>
      <c r="DS5" s="22"/>
      <c r="DT5" s="22"/>
      <c r="DU5" s="22"/>
      <c r="DV5" s="23" t="s">
        <v>1383</v>
      </c>
      <c r="DW5" s="22" t="s">
        <v>1413</v>
      </c>
      <c r="DX5" s="23" t="s">
        <v>1383</v>
      </c>
      <c r="DY5" s="23" t="s">
        <v>1342</v>
      </c>
      <c r="DZ5" s="22" t="s">
        <v>2915</v>
      </c>
      <c r="EA5" s="23" t="s">
        <v>1383</v>
      </c>
      <c r="EB5" s="23" t="s">
        <v>1383</v>
      </c>
      <c r="EC5" s="23" t="s">
        <v>1383</v>
      </c>
      <c r="ED5" s="23" t="s">
        <v>2916</v>
      </c>
      <c r="EE5" s="27">
        <v>0.5</v>
      </c>
      <c r="EF5" s="22" t="s">
        <v>1387</v>
      </c>
      <c r="EG5" s="23" t="s">
        <v>1342</v>
      </c>
      <c r="EH5" s="22"/>
      <c r="EI5" s="22"/>
      <c r="EJ5" s="22"/>
      <c r="EK5" s="22"/>
      <c r="EL5" s="23" t="s">
        <v>1389</v>
      </c>
      <c r="EM5" s="23">
        <v>3</v>
      </c>
      <c r="EN5" s="22" t="s">
        <v>2917</v>
      </c>
      <c r="EO5" s="23">
        <v>1</v>
      </c>
      <c r="EP5" s="22" t="s">
        <v>2918</v>
      </c>
      <c r="EQ5" s="23">
        <v>3</v>
      </c>
      <c r="ER5" s="22" t="s">
        <v>2919</v>
      </c>
      <c r="ES5" s="23">
        <v>3</v>
      </c>
      <c r="ET5" s="22" t="s">
        <v>2920</v>
      </c>
      <c r="EU5" s="23">
        <v>4</v>
      </c>
      <c r="EV5" s="22" t="s">
        <v>2921</v>
      </c>
      <c r="EW5" s="23">
        <v>5</v>
      </c>
      <c r="EX5" s="22" t="s">
        <v>2922</v>
      </c>
      <c r="EY5" s="23">
        <v>1</v>
      </c>
      <c r="EZ5" s="22" t="s">
        <v>1495</v>
      </c>
      <c r="FB5" s="17" t="s">
        <v>2700</v>
      </c>
    </row>
    <row r="6" spans="1:158">
      <c r="A6" s="17">
        <v>121</v>
      </c>
      <c r="B6" s="17">
        <v>35</v>
      </c>
      <c r="C6" s="23" t="s">
        <v>1337</v>
      </c>
      <c r="D6" s="24">
        <v>43746</v>
      </c>
      <c r="E6" s="23" t="s">
        <v>196</v>
      </c>
      <c r="F6" s="25"/>
      <c r="G6" s="25" t="s">
        <v>186</v>
      </c>
      <c r="H6" s="23" t="s">
        <v>1086</v>
      </c>
      <c r="I6" s="23" t="s">
        <v>1065</v>
      </c>
      <c r="J6" s="23" t="s">
        <v>2893</v>
      </c>
      <c r="K6" s="23" t="s">
        <v>2975</v>
      </c>
      <c r="L6" s="23">
        <v>0</v>
      </c>
      <c r="M6" s="23" t="s">
        <v>1342</v>
      </c>
      <c r="N6" s="23" t="s">
        <v>1343</v>
      </c>
      <c r="O6" s="23" t="s">
        <v>729</v>
      </c>
      <c r="P6" s="23" t="s">
        <v>2835</v>
      </c>
      <c r="Q6" s="23">
        <v>61507117</v>
      </c>
      <c r="R6" s="23" t="s">
        <v>1345</v>
      </c>
      <c r="S6" s="23">
        <v>3</v>
      </c>
      <c r="T6" s="23" t="s">
        <v>1346</v>
      </c>
      <c r="U6" s="23">
        <v>2002</v>
      </c>
      <c r="V6" s="23" t="s">
        <v>2896</v>
      </c>
      <c r="W6" s="22" t="s">
        <v>2925</v>
      </c>
      <c r="X6" s="23" t="s">
        <v>1345</v>
      </c>
      <c r="Y6" s="23">
        <v>2018</v>
      </c>
      <c r="Z6" s="23"/>
      <c r="AA6" s="32">
        <v>33</v>
      </c>
      <c r="AB6" s="23" t="s">
        <v>1342</v>
      </c>
      <c r="AC6" s="23" t="s">
        <v>2976</v>
      </c>
      <c r="AD6" s="32" t="s">
        <v>1383</v>
      </c>
      <c r="AE6" s="23" t="s">
        <v>1383</v>
      </c>
      <c r="AF6" s="23" t="s">
        <v>1349</v>
      </c>
      <c r="AG6" s="23" t="s">
        <v>1349</v>
      </c>
      <c r="AH6" s="23" t="s">
        <v>1342</v>
      </c>
      <c r="AI6" s="23">
        <v>2017</v>
      </c>
      <c r="AJ6" s="23" t="s">
        <v>1342</v>
      </c>
      <c r="AK6" s="22" t="s">
        <v>2897</v>
      </c>
      <c r="AL6" s="23" t="s">
        <v>1351</v>
      </c>
      <c r="AM6" s="23" t="s">
        <v>1351</v>
      </c>
      <c r="AN6" s="23" t="s">
        <v>1351</v>
      </c>
      <c r="AO6" s="23" t="s">
        <v>1351</v>
      </c>
      <c r="AP6" s="23" t="s">
        <v>1351</v>
      </c>
      <c r="AQ6" s="23" t="s">
        <v>1352</v>
      </c>
      <c r="AR6" s="23" t="s">
        <v>1352</v>
      </c>
      <c r="AS6" s="23" t="s">
        <v>1353</v>
      </c>
      <c r="AT6" s="23" t="s">
        <v>1342</v>
      </c>
      <c r="AU6" s="22">
        <v>6000</v>
      </c>
      <c r="AV6" s="22">
        <v>1000</v>
      </c>
      <c r="AW6" s="22" t="s">
        <v>2977</v>
      </c>
      <c r="AX6" s="22" t="s">
        <v>2956</v>
      </c>
      <c r="AY6" s="23" t="s">
        <v>1342</v>
      </c>
      <c r="AZ6" s="22"/>
      <c r="BA6" s="22"/>
      <c r="BB6" s="22" t="s">
        <v>1358</v>
      </c>
      <c r="BC6" s="22" t="s">
        <v>1358</v>
      </c>
      <c r="BD6" s="22" t="s">
        <v>1358</v>
      </c>
      <c r="BE6" s="22" t="s">
        <v>2975</v>
      </c>
      <c r="BF6" s="22"/>
      <c r="BG6" s="22"/>
      <c r="BH6" s="22">
        <v>5</v>
      </c>
      <c r="BI6" s="22">
        <v>6</v>
      </c>
      <c r="BJ6" s="22"/>
      <c r="BK6" s="22" t="s">
        <v>1434</v>
      </c>
      <c r="BL6" s="22" t="s">
        <v>1434</v>
      </c>
      <c r="BM6" s="22"/>
      <c r="BN6" s="23" t="s">
        <v>1342</v>
      </c>
      <c r="BO6" s="22"/>
      <c r="BP6" s="22"/>
      <c r="BQ6" s="23" t="s">
        <v>1383</v>
      </c>
      <c r="BR6" s="23" t="s">
        <v>1342</v>
      </c>
      <c r="BS6" s="27">
        <v>0</v>
      </c>
      <c r="BT6" s="23" t="s">
        <v>1383</v>
      </c>
      <c r="BU6" s="23" t="s">
        <v>2978</v>
      </c>
      <c r="BV6" s="23" t="s">
        <v>1342</v>
      </c>
      <c r="BW6" s="22"/>
      <c r="BX6" s="23" t="s">
        <v>1383</v>
      </c>
      <c r="BY6" s="23" t="s">
        <v>1362</v>
      </c>
      <c r="BZ6" s="23" t="s">
        <v>1363</v>
      </c>
      <c r="CA6" s="23" t="s">
        <v>2975</v>
      </c>
      <c r="CB6" s="22" t="s">
        <v>1364</v>
      </c>
      <c r="CC6" s="22" t="s">
        <v>1364</v>
      </c>
      <c r="CD6" s="22" t="s">
        <v>1364</v>
      </c>
      <c r="CE6" s="22">
        <v>1080</v>
      </c>
      <c r="CF6" s="22">
        <v>960</v>
      </c>
      <c r="CG6" s="22">
        <v>1200</v>
      </c>
      <c r="CH6" s="22">
        <v>60</v>
      </c>
      <c r="CI6" s="22">
        <v>30</v>
      </c>
      <c r="CJ6" s="22">
        <v>80</v>
      </c>
      <c r="CK6" s="27">
        <v>0.6</v>
      </c>
      <c r="CL6" s="27">
        <v>0.6</v>
      </c>
      <c r="CM6" s="27">
        <v>0.4</v>
      </c>
      <c r="CN6" s="27">
        <v>0.4</v>
      </c>
      <c r="CO6" s="22" t="s">
        <v>2904</v>
      </c>
      <c r="CP6" s="22" t="s">
        <v>1366</v>
      </c>
      <c r="CQ6" s="22"/>
      <c r="CR6" s="22"/>
      <c r="CS6" s="22"/>
      <c r="CT6" s="22"/>
      <c r="CU6" s="23"/>
      <c r="CV6" s="22"/>
      <c r="CW6" s="23" t="s">
        <v>1383</v>
      </c>
      <c r="CX6" s="27">
        <v>0.1</v>
      </c>
      <c r="CY6" s="27">
        <v>0.8</v>
      </c>
      <c r="CZ6" s="22" t="s">
        <v>2979</v>
      </c>
      <c r="DA6" s="22" t="s">
        <v>2980</v>
      </c>
      <c r="DB6" s="22">
        <v>6</v>
      </c>
      <c r="DC6" s="22"/>
      <c r="DD6" s="22" t="s">
        <v>2907</v>
      </c>
      <c r="DE6" s="22" t="s">
        <v>2908</v>
      </c>
      <c r="DF6" s="22" t="s">
        <v>2909</v>
      </c>
      <c r="DG6" s="22"/>
      <c r="DH6" s="22" t="s">
        <v>2910</v>
      </c>
      <c r="DI6" s="22" t="s">
        <v>2981</v>
      </c>
      <c r="DJ6" s="22"/>
      <c r="DK6" s="22"/>
      <c r="DL6" s="22" t="s">
        <v>2912</v>
      </c>
      <c r="DM6" s="22" t="s">
        <v>2913</v>
      </c>
      <c r="DN6" s="23" t="s">
        <v>1345</v>
      </c>
      <c r="DO6" s="22" t="s">
        <v>2914</v>
      </c>
      <c r="DP6" s="23" t="s">
        <v>1342</v>
      </c>
      <c r="DQ6" s="22"/>
      <c r="DR6" s="23" t="s">
        <v>1342</v>
      </c>
      <c r="DS6" s="22"/>
      <c r="DT6" s="22"/>
      <c r="DU6" s="22"/>
      <c r="DV6" s="23" t="s">
        <v>1342</v>
      </c>
      <c r="DW6" s="22" t="s">
        <v>2971</v>
      </c>
      <c r="DX6" s="23" t="s">
        <v>1383</v>
      </c>
      <c r="DY6" s="23" t="s">
        <v>1342</v>
      </c>
      <c r="DZ6" s="22" t="s">
        <v>2915</v>
      </c>
      <c r="EA6" s="23" t="s">
        <v>1383</v>
      </c>
      <c r="EB6" s="23" t="s">
        <v>1383</v>
      </c>
      <c r="EC6" s="23" t="s">
        <v>1383</v>
      </c>
      <c r="ED6" s="23" t="s">
        <v>2948</v>
      </c>
      <c r="EE6" s="27">
        <v>0.5</v>
      </c>
      <c r="EF6" s="22" t="s">
        <v>2931</v>
      </c>
      <c r="EG6" s="23" t="s">
        <v>1342</v>
      </c>
      <c r="EH6" s="22"/>
      <c r="EI6" s="22"/>
      <c r="EJ6" s="22"/>
      <c r="EK6" s="22"/>
      <c r="EL6" s="23" t="s">
        <v>1389</v>
      </c>
      <c r="EM6" s="23">
        <v>3</v>
      </c>
      <c r="EN6" s="22" t="s">
        <v>2917</v>
      </c>
      <c r="EO6" s="23">
        <v>1</v>
      </c>
      <c r="EP6" s="22" t="s">
        <v>2960</v>
      </c>
      <c r="EQ6" s="23">
        <v>3</v>
      </c>
      <c r="ER6" s="22" t="s">
        <v>2919</v>
      </c>
      <c r="ES6" s="23">
        <v>3</v>
      </c>
      <c r="ET6" s="22" t="s">
        <v>2920</v>
      </c>
      <c r="EU6" s="23">
        <v>4</v>
      </c>
      <c r="EV6" s="22" t="s">
        <v>2921</v>
      </c>
      <c r="EW6" s="23">
        <v>5</v>
      </c>
      <c r="EX6" s="22" t="s">
        <v>2922</v>
      </c>
      <c r="EY6" s="23">
        <v>1</v>
      </c>
      <c r="EZ6" s="22" t="s">
        <v>1495</v>
      </c>
    </row>
    <row r="7" spans="1:158">
      <c r="A7" s="17">
        <v>124</v>
      </c>
      <c r="B7" s="17">
        <v>10</v>
      </c>
      <c r="C7" s="13" t="s">
        <v>2278</v>
      </c>
      <c r="D7" s="18">
        <v>43747</v>
      </c>
      <c r="E7" s="13" t="s">
        <v>7097</v>
      </c>
      <c r="F7" s="19"/>
      <c r="G7" s="19"/>
      <c r="H7" s="13" t="s">
        <v>1086</v>
      </c>
      <c r="I7" s="13" t="s">
        <v>1065</v>
      </c>
      <c r="J7" s="13" t="s">
        <v>184</v>
      </c>
      <c r="K7" s="13" t="s">
        <v>1111</v>
      </c>
      <c r="L7" s="13">
        <v>14</v>
      </c>
      <c r="M7" s="13" t="s">
        <v>2393</v>
      </c>
      <c r="N7" s="13" t="s">
        <v>1343</v>
      </c>
      <c r="O7" s="13" t="s">
        <v>627</v>
      </c>
      <c r="P7" s="13" t="s">
        <v>2749</v>
      </c>
      <c r="Q7" s="13" t="s">
        <v>2750</v>
      </c>
      <c r="R7" s="13" t="s">
        <v>1345</v>
      </c>
      <c r="S7" s="13">
        <v>6</v>
      </c>
      <c r="T7" s="13" t="s">
        <v>1544</v>
      </c>
      <c r="U7" s="13">
        <v>2014</v>
      </c>
      <c r="V7" s="13" t="s">
        <v>2286</v>
      </c>
      <c r="W7" s="13" t="s">
        <v>2640</v>
      </c>
      <c r="X7" s="13" t="s">
        <v>1345</v>
      </c>
      <c r="Y7" s="13">
        <v>2018</v>
      </c>
      <c r="Z7" s="13" t="s">
        <v>2641</v>
      </c>
      <c r="AA7" s="30">
        <v>26</v>
      </c>
      <c r="AB7" s="13" t="s">
        <v>1345</v>
      </c>
      <c r="AC7" s="13">
        <v>4</v>
      </c>
      <c r="AD7" s="30" t="s">
        <v>1345</v>
      </c>
      <c r="AE7" s="13" t="s">
        <v>1345</v>
      </c>
      <c r="AF7" s="13" t="s">
        <v>1349</v>
      </c>
      <c r="AG7" s="13" t="s">
        <v>1349</v>
      </c>
      <c r="AH7" s="13" t="s">
        <v>2751</v>
      </c>
      <c r="AI7" s="13">
        <v>2015</v>
      </c>
      <c r="AJ7" s="13" t="s">
        <v>1349</v>
      </c>
      <c r="AK7" s="13" t="s">
        <v>2752</v>
      </c>
      <c r="AL7" s="13" t="s">
        <v>1612</v>
      </c>
      <c r="AM7" s="13" t="s">
        <v>1612</v>
      </c>
      <c r="AN7" s="13" t="s">
        <v>1612</v>
      </c>
      <c r="AO7" s="13" t="s">
        <v>1612</v>
      </c>
      <c r="AP7" s="13" t="s">
        <v>1612</v>
      </c>
      <c r="AQ7" s="13" t="s">
        <v>2096</v>
      </c>
      <c r="AR7" s="13" t="s">
        <v>2096</v>
      </c>
      <c r="AS7" s="13" t="s">
        <v>1550</v>
      </c>
      <c r="AT7" s="13" t="s">
        <v>2643</v>
      </c>
      <c r="AU7" s="13" t="s">
        <v>2681</v>
      </c>
      <c r="AV7" s="13">
        <v>10000</v>
      </c>
      <c r="AW7" s="13" t="s">
        <v>2645</v>
      </c>
      <c r="AX7" s="13" t="s">
        <v>2646</v>
      </c>
      <c r="AY7" s="13" t="s">
        <v>1349</v>
      </c>
      <c r="AZ7" s="13" t="s">
        <v>2647</v>
      </c>
      <c r="BA7" s="13" t="s">
        <v>2647</v>
      </c>
      <c r="BB7" s="13" t="s">
        <v>2648</v>
      </c>
      <c r="BC7" s="13" t="s">
        <v>2648</v>
      </c>
      <c r="BD7" s="13" t="s">
        <v>2648</v>
      </c>
      <c r="BE7" s="13" t="s">
        <v>1111</v>
      </c>
      <c r="BF7" s="13" t="s">
        <v>1111</v>
      </c>
      <c r="BG7" s="13" t="s">
        <v>1111</v>
      </c>
      <c r="BH7" s="13">
        <v>2</v>
      </c>
      <c r="BI7" s="13">
        <v>2</v>
      </c>
      <c r="BJ7" s="13">
        <v>2</v>
      </c>
      <c r="BK7" s="13" t="s">
        <v>1702</v>
      </c>
      <c r="BL7" s="13" t="s">
        <v>1702</v>
      </c>
      <c r="BM7" s="13" t="s">
        <v>1702</v>
      </c>
      <c r="BN7" s="13" t="s">
        <v>1349</v>
      </c>
      <c r="BO7" s="13" t="s">
        <v>2643</v>
      </c>
      <c r="BP7" s="13" t="s">
        <v>2643</v>
      </c>
      <c r="BQ7" s="13" t="s">
        <v>1349</v>
      </c>
      <c r="BR7" s="13" t="s">
        <v>1349</v>
      </c>
      <c r="BS7" s="13" t="s">
        <v>2643</v>
      </c>
      <c r="BT7" s="13" t="s">
        <v>1345</v>
      </c>
      <c r="BU7" s="13" t="s">
        <v>2753</v>
      </c>
      <c r="BV7" s="13" t="s">
        <v>1349</v>
      </c>
      <c r="BW7" s="13" t="s">
        <v>2643</v>
      </c>
      <c r="BX7" s="13" t="s">
        <v>1349</v>
      </c>
      <c r="BY7" s="13" t="s">
        <v>1804</v>
      </c>
      <c r="BZ7" s="13" t="s">
        <v>2754</v>
      </c>
      <c r="CA7" s="13" t="s">
        <v>1111</v>
      </c>
      <c r="CB7" s="13" t="s">
        <v>1548</v>
      </c>
      <c r="CC7" s="13" t="s">
        <v>1548</v>
      </c>
      <c r="CD7" s="13" t="s">
        <v>1548</v>
      </c>
      <c r="CE7" s="13">
        <v>2400</v>
      </c>
      <c r="CF7" s="13">
        <v>1800</v>
      </c>
      <c r="CG7" s="13">
        <v>960</v>
      </c>
      <c r="CH7" s="13">
        <v>30</v>
      </c>
      <c r="CI7" s="13">
        <v>12</v>
      </c>
      <c r="CJ7" s="13">
        <v>20</v>
      </c>
      <c r="CK7" s="20">
        <v>0.5</v>
      </c>
      <c r="CL7" s="20">
        <v>0.5</v>
      </c>
      <c r="CM7" s="20">
        <v>0.3</v>
      </c>
      <c r="CN7" s="20">
        <v>0.1</v>
      </c>
      <c r="CO7" s="13" t="s">
        <v>2652</v>
      </c>
      <c r="CP7" s="13" t="s">
        <v>2643</v>
      </c>
      <c r="CQ7" s="13" t="s">
        <v>2754</v>
      </c>
      <c r="CR7" s="13">
        <v>15</v>
      </c>
      <c r="CS7" s="13" t="s">
        <v>1368</v>
      </c>
      <c r="CT7" s="13" t="s">
        <v>2754</v>
      </c>
      <c r="CU7" s="13" t="s">
        <v>2754</v>
      </c>
      <c r="CV7" s="13" t="s">
        <v>2654</v>
      </c>
      <c r="CW7" s="13" t="s">
        <v>1349</v>
      </c>
      <c r="CX7" s="13" t="s">
        <v>2643</v>
      </c>
      <c r="CY7" s="13" t="s">
        <v>2643</v>
      </c>
      <c r="CZ7" s="13" t="s">
        <v>2655</v>
      </c>
      <c r="DA7" s="13" t="s">
        <v>2656</v>
      </c>
      <c r="DB7" s="13" t="s">
        <v>2643</v>
      </c>
      <c r="DC7" s="13" t="s">
        <v>2657</v>
      </c>
      <c r="DD7" s="13" t="s">
        <v>2658</v>
      </c>
      <c r="DE7" s="13" t="s">
        <v>2685</v>
      </c>
      <c r="DF7" s="13" t="s">
        <v>2660</v>
      </c>
      <c r="DG7" s="13" t="s">
        <v>1977</v>
      </c>
      <c r="DH7" s="13" t="s">
        <v>2661</v>
      </c>
      <c r="DI7" s="13" t="s">
        <v>2698</v>
      </c>
      <c r="DJ7" s="13" t="s">
        <v>2300</v>
      </c>
      <c r="DK7" s="13" t="s">
        <v>2300</v>
      </c>
      <c r="DL7" s="13" t="s">
        <v>2662</v>
      </c>
      <c r="DM7" s="13" t="s">
        <v>2663</v>
      </c>
      <c r="DN7" s="13" t="s">
        <v>1349</v>
      </c>
      <c r="DO7" s="13" t="s">
        <v>1342</v>
      </c>
      <c r="DP7" s="13" t="s">
        <v>1349</v>
      </c>
      <c r="DQ7" s="13" t="s">
        <v>2300</v>
      </c>
      <c r="DR7" s="13" t="s">
        <v>1349</v>
      </c>
      <c r="DS7" s="13" t="s">
        <v>2643</v>
      </c>
      <c r="DT7" s="13" t="s">
        <v>2643</v>
      </c>
      <c r="DU7" s="13" t="s">
        <v>2643</v>
      </c>
      <c r="DV7" s="13" t="s">
        <v>1345</v>
      </c>
      <c r="DW7" s="13" t="s">
        <v>2664</v>
      </c>
      <c r="DX7" s="13" t="s">
        <v>1345</v>
      </c>
      <c r="DY7" s="13" t="s">
        <v>1349</v>
      </c>
      <c r="DZ7" s="13" t="s">
        <v>2665</v>
      </c>
      <c r="EA7" s="13" t="s">
        <v>1345</v>
      </c>
      <c r="EB7" s="13" t="s">
        <v>1345</v>
      </c>
      <c r="EC7" s="13" t="s">
        <v>1345</v>
      </c>
      <c r="ED7" s="13" t="s">
        <v>2666</v>
      </c>
      <c r="EE7" s="20">
        <v>0.5</v>
      </c>
      <c r="EF7" s="13" t="s">
        <v>2370</v>
      </c>
      <c r="EG7" s="13" t="s">
        <v>1349</v>
      </c>
      <c r="EH7" s="13" t="s">
        <v>2643</v>
      </c>
      <c r="EI7" s="13" t="s">
        <v>2326</v>
      </c>
      <c r="EJ7" s="17" t="s">
        <v>2667</v>
      </c>
      <c r="EK7" s="13" t="s">
        <v>2300</v>
      </c>
      <c r="EL7" s="13" t="s">
        <v>1389</v>
      </c>
      <c r="EM7" s="13">
        <v>3</v>
      </c>
      <c r="EN7" s="13" t="s">
        <v>2388</v>
      </c>
      <c r="EO7" s="13">
        <v>3</v>
      </c>
      <c r="EP7" s="13" t="s">
        <v>2731</v>
      </c>
      <c r="EQ7" s="13">
        <v>4</v>
      </c>
      <c r="ER7" s="17" t="s">
        <v>2331</v>
      </c>
      <c r="ES7" s="13">
        <v>2</v>
      </c>
      <c r="ET7" s="17" t="s">
        <v>2755</v>
      </c>
      <c r="EU7" s="13">
        <v>4</v>
      </c>
      <c r="EV7" s="17" t="s">
        <v>2669</v>
      </c>
      <c r="EW7" s="13">
        <v>2</v>
      </c>
      <c r="EX7" s="17" t="s">
        <v>2710</v>
      </c>
      <c r="EY7" s="13">
        <v>1</v>
      </c>
      <c r="EZ7" s="17" t="s">
        <v>2424</v>
      </c>
    </row>
    <row r="8" spans="1:158">
      <c r="A8" s="17">
        <v>131</v>
      </c>
      <c r="B8" s="17">
        <v>2</v>
      </c>
      <c r="C8" s="13" t="s">
        <v>2278</v>
      </c>
      <c r="D8" s="18">
        <v>43742</v>
      </c>
      <c r="E8" s="13" t="s">
        <v>7098</v>
      </c>
      <c r="F8" s="19"/>
      <c r="G8" s="19"/>
      <c r="H8" s="13" t="s">
        <v>1086</v>
      </c>
      <c r="I8" s="13" t="s">
        <v>1065</v>
      </c>
      <c r="J8" s="13" t="s">
        <v>184</v>
      </c>
      <c r="K8" s="13" t="s">
        <v>6541</v>
      </c>
      <c r="L8" s="13">
        <v>4</v>
      </c>
      <c r="M8" s="13" t="s">
        <v>2281</v>
      </c>
      <c r="N8" s="13" t="s">
        <v>1343</v>
      </c>
      <c r="O8" s="13" t="s">
        <v>747</v>
      </c>
      <c r="P8" s="13" t="s">
        <v>748</v>
      </c>
      <c r="Q8" s="13" t="s">
        <v>2672</v>
      </c>
      <c r="R8" s="13" t="s">
        <v>1345</v>
      </c>
      <c r="S8" s="13">
        <v>4</v>
      </c>
      <c r="T8" s="13" t="s">
        <v>1544</v>
      </c>
      <c r="U8" s="13">
        <v>2011</v>
      </c>
      <c r="V8" s="13" t="s">
        <v>2286</v>
      </c>
      <c r="W8" s="13" t="s">
        <v>2640</v>
      </c>
      <c r="X8" s="13" t="s">
        <v>1345</v>
      </c>
      <c r="Y8" s="13">
        <v>2017</v>
      </c>
      <c r="Z8" s="13" t="s">
        <v>2641</v>
      </c>
      <c r="AA8" s="30">
        <v>55</v>
      </c>
      <c r="AB8" s="13" t="s">
        <v>1349</v>
      </c>
      <c r="AC8" s="13">
        <v>3</v>
      </c>
      <c r="AD8" s="30" t="s">
        <v>1345</v>
      </c>
      <c r="AE8" s="13" t="s">
        <v>1345</v>
      </c>
      <c r="AF8" s="13" t="s">
        <v>1349</v>
      </c>
      <c r="AG8" s="13" t="s">
        <v>1349</v>
      </c>
      <c r="AH8" s="13" t="s">
        <v>2673</v>
      </c>
      <c r="AI8" s="13">
        <v>2017</v>
      </c>
      <c r="AJ8" s="13" t="s">
        <v>1349</v>
      </c>
      <c r="AK8" s="13" t="s">
        <v>2642</v>
      </c>
      <c r="AL8" s="13" t="s">
        <v>1612</v>
      </c>
      <c r="AM8" s="13" t="s">
        <v>1612</v>
      </c>
      <c r="AN8" s="13" t="s">
        <v>1612</v>
      </c>
      <c r="AO8" s="13" t="s">
        <v>1612</v>
      </c>
      <c r="AP8" s="13" t="s">
        <v>1612</v>
      </c>
      <c r="AQ8" s="13" t="s">
        <v>2096</v>
      </c>
      <c r="AR8" s="13" t="s">
        <v>2096</v>
      </c>
      <c r="AS8" s="13" t="s">
        <v>1550</v>
      </c>
      <c r="AT8" s="13" t="s">
        <v>2643</v>
      </c>
      <c r="AU8" s="13" t="s">
        <v>2674</v>
      </c>
      <c r="AV8" s="13">
        <v>1000</v>
      </c>
      <c r="AW8" s="13" t="s">
        <v>2675</v>
      </c>
      <c r="AX8" s="13" t="s">
        <v>2646</v>
      </c>
      <c r="AY8" s="13" t="s">
        <v>1349</v>
      </c>
      <c r="AZ8" s="13" t="s">
        <v>2647</v>
      </c>
      <c r="BA8" s="13" t="s">
        <v>2647</v>
      </c>
      <c r="BB8" s="13" t="s">
        <v>2676</v>
      </c>
      <c r="BC8" s="13" t="s">
        <v>2676</v>
      </c>
      <c r="BD8" s="13" t="s">
        <v>2648</v>
      </c>
      <c r="BE8" s="13" t="s">
        <v>2671</v>
      </c>
      <c r="BF8" s="13" t="s">
        <v>2671</v>
      </c>
      <c r="BG8" s="13" t="s">
        <v>2671</v>
      </c>
      <c r="BH8" s="13">
        <v>4</v>
      </c>
      <c r="BI8" s="13">
        <v>4</v>
      </c>
      <c r="BJ8" s="13">
        <v>4</v>
      </c>
      <c r="BK8" s="13" t="s">
        <v>1702</v>
      </c>
      <c r="BL8" s="13" t="s">
        <v>1702</v>
      </c>
      <c r="BM8" s="13" t="s">
        <v>1702</v>
      </c>
      <c r="BN8" s="13" t="s">
        <v>1349</v>
      </c>
      <c r="BO8" s="13" t="s">
        <v>2643</v>
      </c>
      <c r="BP8" s="13" t="s">
        <v>2643</v>
      </c>
      <c r="BQ8" s="13" t="s">
        <v>1345</v>
      </c>
      <c r="BR8" s="13" t="s">
        <v>1349</v>
      </c>
      <c r="BS8" s="13" t="s">
        <v>2643</v>
      </c>
      <c r="BT8" s="13" t="s">
        <v>1345</v>
      </c>
      <c r="BU8" s="13" t="s">
        <v>2677</v>
      </c>
      <c r="BV8" s="13" t="s">
        <v>1349</v>
      </c>
      <c r="BW8" s="13" t="s">
        <v>2643</v>
      </c>
      <c r="BX8" s="13" t="s">
        <v>1345</v>
      </c>
      <c r="BY8" s="13" t="s">
        <v>2167</v>
      </c>
      <c r="BZ8" s="13" t="s">
        <v>2650</v>
      </c>
      <c r="CA8" s="13" t="s">
        <v>2671</v>
      </c>
      <c r="CB8" s="13" t="s">
        <v>1548</v>
      </c>
      <c r="CC8" s="13" t="s">
        <v>1548</v>
      </c>
      <c r="CD8" s="13" t="s">
        <v>1548</v>
      </c>
      <c r="CE8" s="13">
        <v>1200</v>
      </c>
      <c r="CF8" s="13">
        <v>600</v>
      </c>
      <c r="CG8" s="13">
        <v>360</v>
      </c>
      <c r="CH8" s="13">
        <v>25</v>
      </c>
      <c r="CI8" s="13">
        <v>10</v>
      </c>
      <c r="CJ8" s="13">
        <v>4</v>
      </c>
      <c r="CK8" s="21">
        <v>0.6</v>
      </c>
      <c r="CL8" s="20">
        <v>0.4</v>
      </c>
      <c r="CM8" s="20">
        <v>0.2</v>
      </c>
      <c r="CN8" s="21">
        <v>0.4</v>
      </c>
      <c r="CO8" s="13" t="s">
        <v>2652</v>
      </c>
      <c r="CP8" s="13" t="s">
        <v>2643</v>
      </c>
      <c r="CQ8" s="13" t="s">
        <v>2308</v>
      </c>
      <c r="CR8" s="13">
        <v>9</v>
      </c>
      <c r="CS8" s="13" t="s">
        <v>1368</v>
      </c>
      <c r="CT8" s="13" t="s">
        <v>2653</v>
      </c>
      <c r="CU8" s="13" t="s">
        <v>1345</v>
      </c>
      <c r="CV8" s="13" t="s">
        <v>2654</v>
      </c>
      <c r="CW8" s="13" t="s">
        <v>1349</v>
      </c>
      <c r="CX8" s="13" t="s">
        <v>2643</v>
      </c>
      <c r="CY8" s="13" t="s">
        <v>2643</v>
      </c>
      <c r="CZ8" s="13" t="s">
        <v>2655</v>
      </c>
      <c r="DA8" s="13" t="s">
        <v>2656</v>
      </c>
      <c r="DB8" s="13" t="s">
        <v>2643</v>
      </c>
      <c r="DC8" s="13" t="s">
        <v>2657</v>
      </c>
      <c r="DD8" s="13" t="s">
        <v>2658</v>
      </c>
      <c r="DE8" s="13" t="s">
        <v>2659</v>
      </c>
      <c r="DF8" s="13" t="s">
        <v>2660</v>
      </c>
      <c r="DG8" s="13" t="s">
        <v>1977</v>
      </c>
      <c r="DH8" s="13" t="s">
        <v>2661</v>
      </c>
      <c r="DI8" s="13" t="s">
        <v>732</v>
      </c>
      <c r="DJ8" s="13" t="s">
        <v>2300</v>
      </c>
      <c r="DK8" s="13" t="s">
        <v>2300</v>
      </c>
      <c r="DL8" s="13" t="s">
        <v>2662</v>
      </c>
      <c r="DM8" s="13" t="s">
        <v>2663</v>
      </c>
      <c r="DN8" s="13" t="s">
        <v>1349</v>
      </c>
      <c r="DO8" s="13" t="s">
        <v>1342</v>
      </c>
      <c r="DP8" s="13" t="s">
        <v>1349</v>
      </c>
      <c r="DQ8" s="13" t="s">
        <v>2300</v>
      </c>
      <c r="DR8" s="13" t="s">
        <v>1349</v>
      </c>
      <c r="DS8" s="13" t="s">
        <v>2643</v>
      </c>
      <c r="DT8" s="13" t="s">
        <v>2643</v>
      </c>
      <c r="DU8" s="13" t="s">
        <v>2643</v>
      </c>
      <c r="DV8" s="13" t="s">
        <v>1345</v>
      </c>
      <c r="DW8" s="13" t="s">
        <v>2664</v>
      </c>
      <c r="DX8" s="13" t="s">
        <v>1345</v>
      </c>
      <c r="DY8" s="13" t="s">
        <v>1349</v>
      </c>
      <c r="DZ8" s="13" t="s">
        <v>2665</v>
      </c>
      <c r="EA8" s="13" t="s">
        <v>1345</v>
      </c>
      <c r="EB8" s="13" t="s">
        <v>1345</v>
      </c>
      <c r="EC8" s="13" t="s">
        <v>1345</v>
      </c>
      <c r="ED8" s="13" t="s">
        <v>2666</v>
      </c>
      <c r="EE8" s="20">
        <v>0.6</v>
      </c>
      <c r="EF8" s="13" t="s">
        <v>2370</v>
      </c>
      <c r="EG8" s="13" t="s">
        <v>1349</v>
      </c>
      <c r="EH8" s="13" t="s">
        <v>2643</v>
      </c>
      <c r="EI8" s="13" t="s">
        <v>2326</v>
      </c>
      <c r="EJ8" s="17" t="s">
        <v>2667</v>
      </c>
      <c r="EK8" s="13" t="s">
        <v>2300</v>
      </c>
      <c r="EL8" s="13" t="s">
        <v>1389</v>
      </c>
      <c r="EM8" s="13">
        <v>3</v>
      </c>
      <c r="EN8" s="13" t="s">
        <v>2388</v>
      </c>
      <c r="EO8" s="13">
        <v>3</v>
      </c>
      <c r="EP8" s="13" t="s">
        <v>2668</v>
      </c>
      <c r="EQ8" s="13">
        <v>4</v>
      </c>
      <c r="ER8" s="17" t="s">
        <v>2331</v>
      </c>
      <c r="ES8" s="13">
        <v>4</v>
      </c>
      <c r="ET8" s="17" t="s">
        <v>2421</v>
      </c>
      <c r="EU8" s="13">
        <v>4</v>
      </c>
      <c r="EV8" s="17" t="s">
        <v>2669</v>
      </c>
      <c r="EW8" s="13">
        <v>4</v>
      </c>
      <c r="EX8" s="17" t="s">
        <v>2670</v>
      </c>
      <c r="EY8" s="13">
        <v>1</v>
      </c>
      <c r="EZ8" s="17" t="s">
        <v>2424</v>
      </c>
    </row>
    <row r="9" spans="1:158">
      <c r="A9" s="17">
        <v>140</v>
      </c>
      <c r="B9" s="17">
        <v>5</v>
      </c>
      <c r="C9" s="13" t="s">
        <v>2278</v>
      </c>
      <c r="D9" s="18">
        <v>43745</v>
      </c>
      <c r="E9" s="13" t="s">
        <v>2701</v>
      </c>
      <c r="F9" s="19"/>
      <c r="G9" s="19"/>
      <c r="H9" s="13" t="s">
        <v>1086</v>
      </c>
      <c r="I9" s="13" t="s">
        <v>1065</v>
      </c>
      <c r="J9" s="13" t="s">
        <v>184</v>
      </c>
      <c r="K9" s="13" t="s">
        <v>1108</v>
      </c>
      <c r="L9" s="13">
        <v>13</v>
      </c>
      <c r="M9" s="13" t="s">
        <v>2393</v>
      </c>
      <c r="N9" s="13" t="s">
        <v>2691</v>
      </c>
      <c r="O9" s="13" t="s">
        <v>2702</v>
      </c>
      <c r="P9" s="13" t="s">
        <v>6940</v>
      </c>
      <c r="Q9" s="13" t="s">
        <v>2703</v>
      </c>
      <c r="R9" s="13" t="s">
        <v>1345</v>
      </c>
      <c r="S9" s="13">
        <v>3</v>
      </c>
      <c r="T9" s="13" t="s">
        <v>2704</v>
      </c>
      <c r="U9" s="13">
        <v>2018</v>
      </c>
      <c r="V9" s="13" t="s">
        <v>2286</v>
      </c>
      <c r="W9" s="13" t="s">
        <v>2693</v>
      </c>
      <c r="X9" s="13" t="s">
        <v>1345</v>
      </c>
      <c r="Y9" s="13">
        <v>2017</v>
      </c>
      <c r="Z9" s="13">
        <v>2018</v>
      </c>
      <c r="AA9" s="30">
        <v>36</v>
      </c>
      <c r="AB9" s="13" t="s">
        <v>1345</v>
      </c>
      <c r="AC9" s="13">
        <v>3</v>
      </c>
      <c r="AD9" s="30" t="s">
        <v>1345</v>
      </c>
      <c r="AE9" s="13" t="s">
        <v>1345</v>
      </c>
      <c r="AF9" s="13" t="s">
        <v>1345</v>
      </c>
      <c r="AG9" s="13" t="s">
        <v>1349</v>
      </c>
      <c r="AH9" s="13" t="s">
        <v>2300</v>
      </c>
      <c r="AI9" s="13">
        <v>2016</v>
      </c>
      <c r="AJ9" s="13" t="s">
        <v>1349</v>
      </c>
      <c r="AK9" s="13" t="s">
        <v>2642</v>
      </c>
      <c r="AL9" s="13" t="s">
        <v>1612</v>
      </c>
      <c r="AM9" s="13" t="s">
        <v>1612</v>
      </c>
      <c r="AN9" s="13" t="s">
        <v>1612</v>
      </c>
      <c r="AO9" s="13" t="s">
        <v>1612</v>
      </c>
      <c r="AP9" s="13" t="s">
        <v>1612</v>
      </c>
      <c r="AQ9" s="13" t="s">
        <v>2096</v>
      </c>
      <c r="AR9" s="13" t="s">
        <v>2096</v>
      </c>
      <c r="AS9" s="13" t="s">
        <v>1550</v>
      </c>
      <c r="AT9" s="13" t="s">
        <v>2643</v>
      </c>
      <c r="AU9" s="13" t="s">
        <v>2705</v>
      </c>
      <c r="AV9" s="13">
        <v>1000</v>
      </c>
      <c r="AW9" s="13" t="s">
        <v>2675</v>
      </c>
      <c r="AX9" s="13" t="s">
        <v>2646</v>
      </c>
      <c r="AY9" s="13" t="s">
        <v>1349</v>
      </c>
      <c r="AZ9" s="13" t="s">
        <v>2647</v>
      </c>
      <c r="BA9" s="13" t="s">
        <v>2647</v>
      </c>
      <c r="BB9" s="13" t="s">
        <v>2648</v>
      </c>
      <c r="BC9" s="13" t="s">
        <v>2648</v>
      </c>
      <c r="BD9" s="13" t="s">
        <v>2648</v>
      </c>
      <c r="BE9" s="13" t="s">
        <v>1108</v>
      </c>
      <c r="BF9" s="13" t="s">
        <v>1108</v>
      </c>
      <c r="BG9" s="13" t="s">
        <v>1108</v>
      </c>
      <c r="BH9" s="13">
        <v>6</v>
      </c>
      <c r="BI9" s="13">
        <v>6</v>
      </c>
      <c r="BJ9" s="13">
        <v>6</v>
      </c>
      <c r="BK9" s="13" t="s">
        <v>1702</v>
      </c>
      <c r="BL9" s="13" t="s">
        <v>1702</v>
      </c>
      <c r="BM9" s="13" t="s">
        <v>1702</v>
      </c>
      <c r="BN9" s="13" t="s">
        <v>1345</v>
      </c>
      <c r="BO9" s="13" t="s">
        <v>2706</v>
      </c>
      <c r="BP9" s="13" t="s">
        <v>2706</v>
      </c>
      <c r="BQ9" s="13" t="s">
        <v>1349</v>
      </c>
      <c r="BR9" s="13" t="s">
        <v>1349</v>
      </c>
      <c r="BS9" s="13" t="s">
        <v>2643</v>
      </c>
      <c r="BT9" s="13" t="s">
        <v>1345</v>
      </c>
      <c r="BU9" s="13" t="s">
        <v>2707</v>
      </c>
      <c r="BV9" s="13" t="s">
        <v>1349</v>
      </c>
      <c r="BW9" s="13" t="s">
        <v>2643</v>
      </c>
      <c r="BX9" s="13" t="s">
        <v>1345</v>
      </c>
      <c r="BY9" s="13" t="s">
        <v>2167</v>
      </c>
      <c r="BZ9" s="13" t="s">
        <v>2650</v>
      </c>
      <c r="CA9" s="13" t="s">
        <v>1108</v>
      </c>
      <c r="CB9" s="13" t="s">
        <v>1548</v>
      </c>
      <c r="CC9" s="13" t="s">
        <v>1548</v>
      </c>
      <c r="CD9" s="13" t="s">
        <v>1548</v>
      </c>
      <c r="CE9" s="13">
        <v>600</v>
      </c>
      <c r="CF9" s="13">
        <v>360</v>
      </c>
      <c r="CG9" s="13">
        <v>1200</v>
      </c>
      <c r="CH9" s="13">
        <v>6</v>
      </c>
      <c r="CI9" s="13">
        <v>4</v>
      </c>
      <c r="CJ9" s="13">
        <v>8</v>
      </c>
      <c r="CK9" s="21">
        <v>0.8</v>
      </c>
      <c r="CL9" s="20">
        <v>0.7</v>
      </c>
      <c r="CM9" s="21">
        <v>0.5</v>
      </c>
      <c r="CN9" s="21">
        <v>0.1</v>
      </c>
      <c r="CO9" s="13" t="s">
        <v>2652</v>
      </c>
      <c r="CP9" s="13" t="s">
        <v>2643</v>
      </c>
      <c r="CQ9" s="13" t="s">
        <v>2647</v>
      </c>
      <c r="CR9" s="13">
        <v>16</v>
      </c>
      <c r="CS9" s="13" t="s">
        <v>1368</v>
      </c>
      <c r="CT9" s="13" t="s">
        <v>2289</v>
      </c>
      <c r="CU9" s="13" t="s">
        <v>1345</v>
      </c>
      <c r="CV9" s="13" t="s">
        <v>2654</v>
      </c>
      <c r="CW9" s="13" t="s">
        <v>1349</v>
      </c>
      <c r="CX9" s="13" t="s">
        <v>2643</v>
      </c>
      <c r="CY9" s="13" t="s">
        <v>2643</v>
      </c>
      <c r="CZ9" s="13" t="s">
        <v>2655</v>
      </c>
      <c r="DA9" s="13" t="s">
        <v>2656</v>
      </c>
      <c r="DB9" s="13" t="s">
        <v>2643</v>
      </c>
      <c r="DC9" s="13" t="s">
        <v>2657</v>
      </c>
      <c r="DD9" s="13" t="s">
        <v>2658</v>
      </c>
      <c r="DE9" s="13" t="s">
        <v>2685</v>
      </c>
      <c r="DF9" s="13" t="s">
        <v>2660</v>
      </c>
      <c r="DG9" s="13" t="s">
        <v>1977</v>
      </c>
      <c r="DH9" s="13" t="s">
        <v>2661</v>
      </c>
      <c r="DI9" s="13" t="s">
        <v>2698</v>
      </c>
      <c r="DJ9" s="13" t="s">
        <v>2300</v>
      </c>
      <c r="DK9" s="13" t="s">
        <v>2300</v>
      </c>
      <c r="DL9" s="13" t="s">
        <v>2662</v>
      </c>
      <c r="DM9" s="13" t="s">
        <v>2663</v>
      </c>
      <c r="DN9" s="13" t="s">
        <v>1349</v>
      </c>
      <c r="DO9" s="13" t="s">
        <v>1342</v>
      </c>
      <c r="DP9" s="13" t="s">
        <v>1349</v>
      </c>
      <c r="DQ9" s="13" t="s">
        <v>2300</v>
      </c>
      <c r="DR9" s="13" t="s">
        <v>1349</v>
      </c>
      <c r="DS9" s="13" t="s">
        <v>2643</v>
      </c>
      <c r="DT9" s="13" t="s">
        <v>2643</v>
      </c>
      <c r="DU9" s="13" t="s">
        <v>2643</v>
      </c>
      <c r="DV9" s="13" t="s">
        <v>1345</v>
      </c>
      <c r="DW9" s="13" t="s">
        <v>2664</v>
      </c>
      <c r="DX9" s="13" t="s">
        <v>1345</v>
      </c>
      <c r="DY9" s="13" t="s">
        <v>1349</v>
      </c>
      <c r="DZ9" s="13" t="s">
        <v>2665</v>
      </c>
      <c r="EA9" s="13" t="s">
        <v>1345</v>
      </c>
      <c r="EB9" s="13" t="s">
        <v>1345</v>
      </c>
      <c r="EC9" s="13" t="s">
        <v>1345</v>
      </c>
      <c r="ED9" s="13" t="s">
        <v>2666</v>
      </c>
      <c r="EE9" s="20">
        <v>0.5</v>
      </c>
      <c r="EF9" s="13" t="s">
        <v>2370</v>
      </c>
      <c r="EG9" s="13" t="s">
        <v>1349</v>
      </c>
      <c r="EH9" s="13" t="s">
        <v>2643</v>
      </c>
      <c r="EI9" s="13" t="s">
        <v>2326</v>
      </c>
      <c r="EJ9" s="17" t="s">
        <v>2667</v>
      </c>
      <c r="EK9" s="13" t="s">
        <v>2300</v>
      </c>
      <c r="EL9" s="13" t="s">
        <v>1389</v>
      </c>
      <c r="EM9" s="13">
        <v>3</v>
      </c>
      <c r="EN9" s="13" t="s">
        <v>2388</v>
      </c>
      <c r="EO9" s="13">
        <v>4</v>
      </c>
      <c r="EP9" s="13" t="s">
        <v>2708</v>
      </c>
      <c r="EQ9" s="13">
        <v>4</v>
      </c>
      <c r="ER9" s="17" t="s">
        <v>2331</v>
      </c>
      <c r="ES9" s="13">
        <v>3</v>
      </c>
      <c r="ET9" s="17" t="s">
        <v>2709</v>
      </c>
      <c r="EU9" s="13">
        <v>4</v>
      </c>
      <c r="EV9" s="17" t="s">
        <v>2669</v>
      </c>
      <c r="EW9" s="13">
        <v>2</v>
      </c>
      <c r="EX9" s="17" t="s">
        <v>2710</v>
      </c>
      <c r="EY9" s="13">
        <v>1</v>
      </c>
      <c r="EZ9" s="17" t="s">
        <v>2424</v>
      </c>
    </row>
    <row r="10" spans="1:158">
      <c r="A10" s="17">
        <v>271</v>
      </c>
      <c r="B10" s="17">
        <v>36</v>
      </c>
      <c r="C10" s="23" t="s">
        <v>1337</v>
      </c>
      <c r="D10" s="24">
        <v>43746</v>
      </c>
      <c r="E10" s="23" t="s">
        <v>2982</v>
      </c>
      <c r="F10" s="25" t="e">
        <v>#N/A</v>
      </c>
      <c r="G10" s="25" t="e">
        <v>#N/A</v>
      </c>
      <c r="H10" s="23" t="s">
        <v>1086</v>
      </c>
      <c r="I10" s="23" t="s">
        <v>1065</v>
      </c>
      <c r="J10" s="23" t="s">
        <v>184</v>
      </c>
      <c r="K10" s="23" t="s">
        <v>2983</v>
      </c>
      <c r="L10" s="23">
        <v>7</v>
      </c>
      <c r="M10" s="23" t="s">
        <v>1345</v>
      </c>
      <c r="N10" s="23" t="s">
        <v>1541</v>
      </c>
      <c r="O10" s="23" t="s">
        <v>936</v>
      </c>
      <c r="P10" s="23" t="s">
        <v>937</v>
      </c>
      <c r="Q10" s="23" t="s">
        <v>2984</v>
      </c>
      <c r="R10" s="23" t="s">
        <v>1345</v>
      </c>
      <c r="S10" s="23">
        <v>3</v>
      </c>
      <c r="T10" s="23" t="s">
        <v>1346</v>
      </c>
      <c r="U10" s="23">
        <v>2009</v>
      </c>
      <c r="V10" s="23" t="s">
        <v>2985</v>
      </c>
      <c r="W10" s="23" t="s">
        <v>1348</v>
      </c>
      <c r="X10" s="23" t="s">
        <v>1345</v>
      </c>
      <c r="Y10" s="23">
        <v>2017</v>
      </c>
      <c r="Z10" s="23" t="s">
        <v>1547</v>
      </c>
      <c r="AA10" s="32">
        <v>86</v>
      </c>
      <c r="AB10" s="23" t="s">
        <v>1345</v>
      </c>
      <c r="AC10" s="23" t="s">
        <v>2986</v>
      </c>
      <c r="AD10" s="32" t="s">
        <v>1345</v>
      </c>
      <c r="AE10" s="23" t="s">
        <v>1345</v>
      </c>
      <c r="AF10" s="23" t="s">
        <v>1349</v>
      </c>
      <c r="AG10" s="23" t="s">
        <v>1349</v>
      </c>
      <c r="AH10" s="23" t="s">
        <v>1349</v>
      </c>
      <c r="AI10" s="23">
        <v>2014</v>
      </c>
      <c r="AJ10" s="23"/>
      <c r="AK10" s="23" t="s">
        <v>2897</v>
      </c>
      <c r="AL10" s="23" t="s">
        <v>1802</v>
      </c>
      <c r="AM10" s="23" t="s">
        <v>1551</v>
      </c>
      <c r="AN10" s="23" t="s">
        <v>1551</v>
      </c>
      <c r="AO10" s="23" t="s">
        <v>1551</v>
      </c>
      <c r="AP10" s="23" t="s">
        <v>1551</v>
      </c>
      <c r="AQ10" s="23" t="s">
        <v>1551</v>
      </c>
      <c r="AR10" s="23" t="s">
        <v>1551</v>
      </c>
      <c r="AS10" s="23" t="s">
        <v>1802</v>
      </c>
      <c r="AT10" s="23" t="s">
        <v>2987</v>
      </c>
      <c r="AU10" s="23">
        <v>4800</v>
      </c>
      <c r="AV10" s="22">
        <v>3000</v>
      </c>
      <c r="AW10" s="23" t="s">
        <v>2988</v>
      </c>
      <c r="AX10" s="23" t="s">
        <v>2989</v>
      </c>
      <c r="AY10" s="23"/>
      <c r="AZ10" s="23" t="s">
        <v>2990</v>
      </c>
      <c r="BA10" s="22"/>
      <c r="BB10" s="23" t="s">
        <v>2991</v>
      </c>
      <c r="BC10" s="23" t="s">
        <v>2991</v>
      </c>
      <c r="BD10" s="23" t="s">
        <v>2991</v>
      </c>
      <c r="BE10" s="23" t="s">
        <v>2992</v>
      </c>
      <c r="BF10" s="23"/>
      <c r="BG10" s="23"/>
      <c r="BH10" s="23">
        <v>2</v>
      </c>
      <c r="BI10" s="23">
        <v>3</v>
      </c>
      <c r="BJ10" s="23">
        <v>3</v>
      </c>
      <c r="BK10" s="23" t="s">
        <v>2993</v>
      </c>
      <c r="BL10" s="23" t="s">
        <v>1556</v>
      </c>
      <c r="BM10" s="23" t="s">
        <v>2993</v>
      </c>
      <c r="BN10" s="23" t="s">
        <v>1345</v>
      </c>
      <c r="BO10" s="23" t="s">
        <v>1460</v>
      </c>
      <c r="BP10" s="23" t="s">
        <v>2994</v>
      </c>
      <c r="BQ10" s="23" t="s">
        <v>1345</v>
      </c>
      <c r="BR10" s="23" t="s">
        <v>1349</v>
      </c>
      <c r="BS10" s="23" t="s">
        <v>1349</v>
      </c>
      <c r="BT10" s="23" t="s">
        <v>1345</v>
      </c>
      <c r="BU10" s="23" t="s">
        <v>1342</v>
      </c>
      <c r="BV10" s="23" t="s">
        <v>1342</v>
      </c>
      <c r="BW10" s="23" t="s">
        <v>1342</v>
      </c>
      <c r="BX10" s="23" t="s">
        <v>1345</v>
      </c>
      <c r="BY10" s="23" t="s">
        <v>1561</v>
      </c>
      <c r="BZ10" s="23" t="s">
        <v>2995</v>
      </c>
      <c r="CA10" s="23" t="s">
        <v>2983</v>
      </c>
      <c r="CB10" s="23" t="s">
        <v>1364</v>
      </c>
      <c r="CC10" s="23" t="s">
        <v>1364</v>
      </c>
      <c r="CD10" s="23" t="s">
        <v>1364</v>
      </c>
      <c r="CE10" s="23">
        <v>1200</v>
      </c>
      <c r="CF10" s="23">
        <v>600</v>
      </c>
      <c r="CG10" s="23">
        <v>960</v>
      </c>
      <c r="CH10" s="23">
        <v>20</v>
      </c>
      <c r="CI10" s="23">
        <v>12</v>
      </c>
      <c r="CJ10" s="23">
        <v>12</v>
      </c>
      <c r="CK10" s="27">
        <v>0.5</v>
      </c>
      <c r="CL10" s="27">
        <v>0.25</v>
      </c>
      <c r="CM10" s="27">
        <v>0.5</v>
      </c>
      <c r="CN10" s="27">
        <v>0.7</v>
      </c>
      <c r="CO10" s="22" t="s">
        <v>2904</v>
      </c>
      <c r="CP10" s="22" t="s">
        <v>1556</v>
      </c>
      <c r="CQ10" s="22"/>
      <c r="CR10" s="22"/>
      <c r="CS10" s="22"/>
      <c r="CT10" s="22"/>
      <c r="CU10" s="23"/>
      <c r="CV10" s="22"/>
      <c r="CW10" s="23" t="s">
        <v>1349</v>
      </c>
      <c r="CX10" s="23" t="s">
        <v>1556</v>
      </c>
      <c r="CY10" s="23" t="s">
        <v>1556</v>
      </c>
      <c r="CZ10" s="23" t="s">
        <v>1556</v>
      </c>
      <c r="DA10" s="23" t="s">
        <v>1556</v>
      </c>
      <c r="DB10" s="23" t="s">
        <v>1556</v>
      </c>
      <c r="DC10" s="23" t="s">
        <v>1556</v>
      </c>
      <c r="DD10" s="23" t="s">
        <v>1556</v>
      </c>
      <c r="DE10" s="23" t="s">
        <v>1556</v>
      </c>
      <c r="DF10" s="23" t="s">
        <v>1556</v>
      </c>
      <c r="DG10" s="23" t="s">
        <v>1556</v>
      </c>
      <c r="DH10" s="23" t="s">
        <v>732</v>
      </c>
      <c r="DI10" s="23" t="s">
        <v>732</v>
      </c>
      <c r="DJ10" s="23" t="s">
        <v>1556</v>
      </c>
      <c r="DK10" s="23" t="s">
        <v>1556</v>
      </c>
      <c r="DL10" s="23" t="s">
        <v>2912</v>
      </c>
      <c r="DM10" s="23" t="s">
        <v>2913</v>
      </c>
      <c r="DN10" s="23" t="s">
        <v>1342</v>
      </c>
      <c r="DO10" s="23" t="s">
        <v>1342</v>
      </c>
      <c r="DP10" s="23" t="s">
        <v>1349</v>
      </c>
      <c r="DQ10" s="23" t="s">
        <v>2996</v>
      </c>
      <c r="DR10" s="23" t="s">
        <v>1349</v>
      </c>
      <c r="DS10" s="23"/>
      <c r="DT10" s="23"/>
      <c r="DU10" s="23"/>
      <c r="DV10" s="23" t="s">
        <v>1349</v>
      </c>
      <c r="DW10" s="23"/>
      <c r="DX10" s="23" t="s">
        <v>1345</v>
      </c>
      <c r="DY10" s="23" t="s">
        <v>1349</v>
      </c>
      <c r="DZ10" s="23" t="s">
        <v>2997</v>
      </c>
      <c r="EA10" s="23" t="s">
        <v>1383</v>
      </c>
      <c r="EB10" s="23" t="s">
        <v>1345</v>
      </c>
      <c r="EC10" s="23" t="s">
        <v>1345</v>
      </c>
      <c r="ED10" s="23" t="s">
        <v>2998</v>
      </c>
      <c r="EE10" s="27">
        <v>0.3</v>
      </c>
      <c r="EF10" s="23" t="s">
        <v>2999</v>
      </c>
      <c r="EG10" s="23" t="s">
        <v>1349</v>
      </c>
      <c r="EH10" s="23"/>
      <c r="EI10" s="23"/>
      <c r="EJ10" s="23"/>
      <c r="EK10" s="23"/>
      <c r="EL10" s="23" t="s">
        <v>1389</v>
      </c>
      <c r="EM10" s="23">
        <v>5</v>
      </c>
      <c r="EN10" s="23" t="s">
        <v>3000</v>
      </c>
      <c r="EO10" s="23">
        <v>1</v>
      </c>
      <c r="EP10" s="23" t="s">
        <v>2960</v>
      </c>
      <c r="EQ10" s="23">
        <v>2</v>
      </c>
      <c r="ER10" s="22" t="s">
        <v>3001</v>
      </c>
      <c r="ES10" s="23">
        <v>4</v>
      </c>
      <c r="ET10" s="22" t="s">
        <v>3001</v>
      </c>
      <c r="EU10" s="23">
        <v>5</v>
      </c>
      <c r="EV10" s="22" t="s">
        <v>3002</v>
      </c>
      <c r="EW10" s="23">
        <v>1</v>
      </c>
      <c r="EX10" s="22" t="s">
        <v>3003</v>
      </c>
      <c r="EY10" s="23">
        <v>1</v>
      </c>
      <c r="EZ10" s="22" t="s">
        <v>3004</v>
      </c>
    </row>
    <row r="11" spans="1:158">
      <c r="A11" s="17">
        <v>273</v>
      </c>
      <c r="B11" s="17">
        <v>4</v>
      </c>
      <c r="C11" s="13" t="s">
        <v>2278</v>
      </c>
      <c r="D11" s="18">
        <v>43745</v>
      </c>
      <c r="E11" s="13" t="s">
        <v>7099</v>
      </c>
      <c r="F11" s="19"/>
      <c r="G11" s="19"/>
      <c r="H11" s="13" t="s">
        <v>1086</v>
      </c>
      <c r="I11" s="13" t="s">
        <v>1065</v>
      </c>
      <c r="J11" s="13" t="s">
        <v>184</v>
      </c>
      <c r="K11" s="13" t="s">
        <v>2689</v>
      </c>
      <c r="L11" s="13">
        <v>6</v>
      </c>
      <c r="M11" s="13" t="s">
        <v>2690</v>
      </c>
      <c r="N11" s="13" t="s">
        <v>2691</v>
      </c>
      <c r="O11" s="13" t="s">
        <v>939</v>
      </c>
      <c r="P11" s="13" t="s">
        <v>940</v>
      </c>
      <c r="Q11" s="13" t="s">
        <v>2692</v>
      </c>
      <c r="R11" s="13" t="s">
        <v>1345</v>
      </c>
      <c r="S11" s="13">
        <v>4</v>
      </c>
      <c r="T11" s="13" t="s">
        <v>1544</v>
      </c>
      <c r="U11" s="13">
        <v>2018</v>
      </c>
      <c r="V11" s="13" t="s">
        <v>2286</v>
      </c>
      <c r="W11" s="13" t="s">
        <v>2693</v>
      </c>
      <c r="X11" s="13" t="s">
        <v>1345</v>
      </c>
      <c r="Y11" s="13">
        <v>2017</v>
      </c>
      <c r="Z11" s="13" t="s">
        <v>2641</v>
      </c>
      <c r="AA11" s="30">
        <v>53</v>
      </c>
      <c r="AB11" s="13" t="s">
        <v>1345</v>
      </c>
      <c r="AC11" s="13">
        <v>3</v>
      </c>
      <c r="AD11" s="30" t="s">
        <v>1345</v>
      </c>
      <c r="AE11" s="13" t="s">
        <v>1345</v>
      </c>
      <c r="AF11" s="13" t="s">
        <v>1349</v>
      </c>
      <c r="AG11" s="13" t="s">
        <v>1349</v>
      </c>
      <c r="AH11" s="13" t="s">
        <v>2694</v>
      </c>
      <c r="AI11" s="13">
        <v>2016</v>
      </c>
      <c r="AJ11" s="13" t="s">
        <v>1349</v>
      </c>
      <c r="AK11" s="13" t="s">
        <v>2642</v>
      </c>
      <c r="AL11" s="13" t="s">
        <v>1612</v>
      </c>
      <c r="AM11" s="13" t="s">
        <v>1612</v>
      </c>
      <c r="AN11" s="13" t="s">
        <v>1612</v>
      </c>
      <c r="AO11" s="13" t="s">
        <v>1612</v>
      </c>
      <c r="AP11" s="13" t="s">
        <v>1612</v>
      </c>
      <c r="AQ11" s="13" t="s">
        <v>2096</v>
      </c>
      <c r="AR11" s="13" t="s">
        <v>2096</v>
      </c>
      <c r="AS11" s="13" t="s">
        <v>1550</v>
      </c>
      <c r="AT11" s="13" t="s">
        <v>2643</v>
      </c>
      <c r="AU11" s="13" t="s">
        <v>2681</v>
      </c>
      <c r="AV11" s="13">
        <v>5000</v>
      </c>
      <c r="AW11" s="13" t="s">
        <v>2675</v>
      </c>
      <c r="AX11" s="13" t="s">
        <v>2646</v>
      </c>
      <c r="AY11" s="13" t="s">
        <v>1349</v>
      </c>
      <c r="AZ11" s="13" t="s">
        <v>2647</v>
      </c>
      <c r="BA11" s="13" t="s">
        <v>2647</v>
      </c>
      <c r="BB11" s="13" t="s">
        <v>2648</v>
      </c>
      <c r="BC11" s="13" t="s">
        <v>2648</v>
      </c>
      <c r="BD11" s="13" t="s">
        <v>2648</v>
      </c>
      <c r="BE11" s="13" t="s">
        <v>2695</v>
      </c>
      <c r="BF11" s="13" t="s">
        <v>2695</v>
      </c>
      <c r="BG11" s="13" t="s">
        <v>2695</v>
      </c>
      <c r="BH11" s="13">
        <v>6</v>
      </c>
      <c r="BI11" s="13">
        <v>6</v>
      </c>
      <c r="BJ11" s="13">
        <v>6</v>
      </c>
      <c r="BK11" s="13" t="s">
        <v>1702</v>
      </c>
      <c r="BL11" s="13" t="s">
        <v>1702</v>
      </c>
      <c r="BM11" s="13" t="s">
        <v>1702</v>
      </c>
      <c r="BN11" s="13" t="s">
        <v>1349</v>
      </c>
      <c r="BO11" s="13" t="s">
        <v>2643</v>
      </c>
      <c r="BP11" s="13" t="s">
        <v>2643</v>
      </c>
      <c r="BQ11" s="13" t="s">
        <v>1345</v>
      </c>
      <c r="BR11" s="13" t="s">
        <v>1349</v>
      </c>
      <c r="BS11" s="13" t="s">
        <v>2643</v>
      </c>
      <c r="BT11" s="13" t="s">
        <v>1345</v>
      </c>
      <c r="BU11" s="13" t="s">
        <v>2696</v>
      </c>
      <c r="BV11" s="13" t="s">
        <v>1349</v>
      </c>
      <c r="BW11" s="13" t="s">
        <v>2643</v>
      </c>
      <c r="BX11" s="13" t="s">
        <v>1345</v>
      </c>
      <c r="BY11" s="13" t="s">
        <v>2167</v>
      </c>
      <c r="BZ11" s="13" t="s">
        <v>2650</v>
      </c>
      <c r="CA11" s="13" t="s">
        <v>2695</v>
      </c>
      <c r="CB11" s="13" t="s">
        <v>1548</v>
      </c>
      <c r="CC11" s="13" t="s">
        <v>1548</v>
      </c>
      <c r="CD11" s="13" t="s">
        <v>1548</v>
      </c>
      <c r="CE11" s="13">
        <v>9000</v>
      </c>
      <c r="CF11" s="13">
        <v>7200</v>
      </c>
      <c r="CG11" s="13">
        <v>3600</v>
      </c>
      <c r="CH11" s="13">
        <v>50</v>
      </c>
      <c r="CI11" s="13">
        <v>30</v>
      </c>
      <c r="CJ11" s="13">
        <v>15</v>
      </c>
      <c r="CK11" s="21">
        <v>0.8</v>
      </c>
      <c r="CL11" s="21">
        <v>0.6</v>
      </c>
      <c r="CM11" s="21">
        <v>0.5</v>
      </c>
      <c r="CN11" s="21">
        <v>0.2</v>
      </c>
      <c r="CO11" s="13" t="s">
        <v>2652</v>
      </c>
      <c r="CP11" s="13" t="s">
        <v>2643</v>
      </c>
      <c r="CQ11" s="13" t="s">
        <v>2308</v>
      </c>
      <c r="CR11" s="13">
        <v>15</v>
      </c>
      <c r="CS11" s="13" t="s">
        <v>1368</v>
      </c>
      <c r="CT11" s="13" t="s">
        <v>2697</v>
      </c>
      <c r="CU11" s="13" t="s">
        <v>1345</v>
      </c>
      <c r="CV11" s="13" t="s">
        <v>2654</v>
      </c>
      <c r="CW11" s="13" t="s">
        <v>1349</v>
      </c>
      <c r="CX11" s="21" t="s">
        <v>2643</v>
      </c>
      <c r="CY11" s="13" t="s">
        <v>2643</v>
      </c>
      <c r="CZ11" s="13" t="s">
        <v>2655</v>
      </c>
      <c r="DA11" s="13" t="s">
        <v>2656</v>
      </c>
      <c r="DB11" s="13">
        <v>2</v>
      </c>
      <c r="DC11" s="13" t="s">
        <v>2657</v>
      </c>
      <c r="DD11" s="13" t="s">
        <v>2658</v>
      </c>
      <c r="DE11" s="13" t="s">
        <v>2685</v>
      </c>
      <c r="DF11" s="13" t="s">
        <v>2660</v>
      </c>
      <c r="DG11" s="13" t="s">
        <v>1977</v>
      </c>
      <c r="DH11" s="13" t="s">
        <v>2661</v>
      </c>
      <c r="DI11" s="13" t="s">
        <v>2698</v>
      </c>
      <c r="DJ11" s="13" t="s">
        <v>2300</v>
      </c>
      <c r="DK11" s="13" t="s">
        <v>2300</v>
      </c>
      <c r="DL11" s="13" t="s">
        <v>2662</v>
      </c>
      <c r="DM11" s="13" t="s">
        <v>2663</v>
      </c>
      <c r="DN11" s="13" t="s">
        <v>1349</v>
      </c>
      <c r="DO11" s="13" t="s">
        <v>1342</v>
      </c>
      <c r="DP11" s="13" t="s">
        <v>1349</v>
      </c>
      <c r="DQ11" s="13" t="s">
        <v>2300</v>
      </c>
      <c r="DR11" s="13" t="s">
        <v>1349</v>
      </c>
      <c r="DS11" s="13" t="s">
        <v>2643</v>
      </c>
      <c r="DT11" s="13" t="s">
        <v>2643</v>
      </c>
      <c r="DU11" s="13" t="s">
        <v>2643</v>
      </c>
      <c r="DV11" s="13" t="s">
        <v>1345</v>
      </c>
      <c r="DW11" s="13" t="s">
        <v>2664</v>
      </c>
      <c r="DX11" s="13" t="s">
        <v>1345</v>
      </c>
      <c r="DY11" s="13" t="s">
        <v>1349</v>
      </c>
      <c r="DZ11" s="13" t="s">
        <v>2665</v>
      </c>
      <c r="EA11" s="13" t="s">
        <v>1345</v>
      </c>
      <c r="EB11" s="13" t="s">
        <v>1345</v>
      </c>
      <c r="EC11" s="13" t="s">
        <v>1345</v>
      </c>
      <c r="ED11" s="13" t="s">
        <v>2666</v>
      </c>
      <c r="EE11" s="20">
        <v>0.6</v>
      </c>
      <c r="EF11" s="13" t="s">
        <v>2370</v>
      </c>
      <c r="EG11" s="13" t="s">
        <v>1349</v>
      </c>
      <c r="EH11" s="13" t="s">
        <v>2643</v>
      </c>
      <c r="EI11" s="13" t="s">
        <v>2326</v>
      </c>
      <c r="EJ11" s="17" t="s">
        <v>2667</v>
      </c>
      <c r="EK11" s="13" t="s">
        <v>2300</v>
      </c>
      <c r="EL11" s="13" t="s">
        <v>1389</v>
      </c>
      <c r="EM11" s="13">
        <v>3</v>
      </c>
      <c r="EN11" s="13" t="s">
        <v>2388</v>
      </c>
      <c r="EO11" s="13">
        <v>3</v>
      </c>
      <c r="EP11" s="13" t="s">
        <v>2668</v>
      </c>
      <c r="EQ11" s="13">
        <v>4</v>
      </c>
      <c r="ER11" s="17" t="s">
        <v>2331</v>
      </c>
      <c r="ES11" s="13">
        <v>4</v>
      </c>
      <c r="ET11" s="17" t="s">
        <v>2421</v>
      </c>
      <c r="EU11" s="13">
        <v>4</v>
      </c>
      <c r="EV11" s="17" t="s">
        <v>2669</v>
      </c>
      <c r="EW11" s="13">
        <v>3</v>
      </c>
      <c r="EX11" s="17" t="s">
        <v>2699</v>
      </c>
      <c r="EY11" s="13">
        <v>1</v>
      </c>
      <c r="EZ11" s="17" t="s">
        <v>2424</v>
      </c>
    </row>
    <row r="12" spans="1:158">
      <c r="A12" s="17">
        <v>275</v>
      </c>
      <c r="B12" s="17">
        <v>33</v>
      </c>
      <c r="C12" s="23" t="s">
        <v>1337</v>
      </c>
      <c r="D12" s="24">
        <v>43745</v>
      </c>
      <c r="E12" s="23" t="s">
        <v>7084</v>
      </c>
      <c r="F12" s="25" t="e">
        <v>#N/A</v>
      </c>
      <c r="G12" s="25" t="s">
        <v>2893</v>
      </c>
      <c r="H12" s="23" t="s">
        <v>1086</v>
      </c>
      <c r="I12" s="23" t="s">
        <v>1065</v>
      </c>
      <c r="J12" s="23" t="s">
        <v>2893</v>
      </c>
      <c r="K12" s="23" t="s">
        <v>2952</v>
      </c>
      <c r="L12" s="23">
        <v>0</v>
      </c>
      <c r="M12" s="23" t="s">
        <v>1342</v>
      </c>
      <c r="N12" s="23" t="s">
        <v>1343</v>
      </c>
      <c r="O12" s="23" t="s">
        <v>727</v>
      </c>
      <c r="P12" s="23" t="s">
        <v>943</v>
      </c>
      <c r="Q12" s="23" t="s">
        <v>2953</v>
      </c>
      <c r="R12" s="23" t="s">
        <v>1345</v>
      </c>
      <c r="S12" s="23">
        <v>3</v>
      </c>
      <c r="T12" s="23" t="s">
        <v>1346</v>
      </c>
      <c r="U12" s="23">
        <v>2002</v>
      </c>
      <c r="V12" s="23" t="s">
        <v>2896</v>
      </c>
      <c r="W12" s="23" t="s">
        <v>2954</v>
      </c>
      <c r="X12" s="23" t="s">
        <v>1345</v>
      </c>
      <c r="Y12" s="23">
        <v>2018</v>
      </c>
      <c r="Z12" s="23"/>
      <c r="AA12" s="32">
        <v>32</v>
      </c>
      <c r="AB12" s="23" t="s">
        <v>1349</v>
      </c>
      <c r="AC12" s="23" t="s">
        <v>2926</v>
      </c>
      <c r="AD12" s="32" t="s">
        <v>1383</v>
      </c>
      <c r="AE12" s="23" t="s">
        <v>1383</v>
      </c>
      <c r="AF12" s="23" t="s">
        <v>1349</v>
      </c>
      <c r="AG12" s="23" t="s">
        <v>1349</v>
      </c>
      <c r="AH12" s="23" t="s">
        <v>1342</v>
      </c>
      <c r="AI12" s="23">
        <v>2017</v>
      </c>
      <c r="AJ12" s="23" t="s">
        <v>1342</v>
      </c>
      <c r="AK12" s="23" t="s">
        <v>2897</v>
      </c>
      <c r="AL12" s="23" t="s">
        <v>1351</v>
      </c>
      <c r="AM12" s="23" t="s">
        <v>1351</v>
      </c>
      <c r="AN12" s="23" t="s">
        <v>1351</v>
      </c>
      <c r="AO12" s="23" t="s">
        <v>1351</v>
      </c>
      <c r="AP12" s="23" t="s">
        <v>1351</v>
      </c>
      <c r="AQ12" s="23" t="s">
        <v>1352</v>
      </c>
      <c r="AR12" s="23" t="s">
        <v>1352</v>
      </c>
      <c r="AS12" s="23" t="s">
        <v>1353</v>
      </c>
      <c r="AT12" s="23" t="s">
        <v>1342</v>
      </c>
      <c r="AU12" s="22">
        <v>6000</v>
      </c>
      <c r="AV12" s="22">
        <v>1200</v>
      </c>
      <c r="AW12" s="23" t="s">
        <v>2955</v>
      </c>
      <c r="AX12" s="22" t="s">
        <v>2956</v>
      </c>
      <c r="AY12" s="23" t="s">
        <v>1383</v>
      </c>
      <c r="AZ12" s="22" t="s">
        <v>2900</v>
      </c>
      <c r="BA12" s="23" t="s">
        <v>2488</v>
      </c>
      <c r="BB12" s="22" t="s">
        <v>1358</v>
      </c>
      <c r="BC12" s="23" t="s">
        <v>1358</v>
      </c>
      <c r="BD12" s="22" t="s">
        <v>1358</v>
      </c>
      <c r="BE12" s="23" t="s">
        <v>2952</v>
      </c>
      <c r="BF12" s="22"/>
      <c r="BG12" s="22"/>
      <c r="BH12" s="22">
        <v>5</v>
      </c>
      <c r="BI12" s="22">
        <v>6</v>
      </c>
      <c r="BJ12" s="22"/>
      <c r="BK12" s="22" t="s">
        <v>1434</v>
      </c>
      <c r="BL12" s="22" t="s">
        <v>1434</v>
      </c>
      <c r="BM12" s="22"/>
      <c r="BN12" s="23" t="s">
        <v>1342</v>
      </c>
      <c r="BO12" s="22"/>
      <c r="BP12" s="22"/>
      <c r="BQ12" s="23" t="s">
        <v>1383</v>
      </c>
      <c r="BR12" s="23" t="s">
        <v>1342</v>
      </c>
      <c r="BS12" s="27">
        <v>0</v>
      </c>
      <c r="BT12" s="23" t="s">
        <v>1383</v>
      </c>
      <c r="BU12" s="23" t="s">
        <v>2957</v>
      </c>
      <c r="BV12" s="23" t="s">
        <v>1342</v>
      </c>
      <c r="BW12" s="22"/>
      <c r="BX12" s="23" t="s">
        <v>1383</v>
      </c>
      <c r="BY12" s="23" t="s">
        <v>1362</v>
      </c>
      <c r="BZ12" s="22" t="s">
        <v>1363</v>
      </c>
      <c r="CA12" s="23" t="s">
        <v>2952</v>
      </c>
      <c r="CB12" s="23" t="s">
        <v>1364</v>
      </c>
      <c r="CC12" s="23" t="s">
        <v>1364</v>
      </c>
      <c r="CD12" s="23" t="s">
        <v>1364</v>
      </c>
      <c r="CE12" s="23">
        <v>840</v>
      </c>
      <c r="CF12" s="23">
        <v>600</v>
      </c>
      <c r="CG12" s="23">
        <v>1200</v>
      </c>
      <c r="CH12" s="23">
        <v>40</v>
      </c>
      <c r="CI12" s="23">
        <v>20</v>
      </c>
      <c r="CJ12" s="23">
        <v>35</v>
      </c>
      <c r="CK12" s="27">
        <v>0.7</v>
      </c>
      <c r="CL12" s="27">
        <v>0.7</v>
      </c>
      <c r="CM12" s="27">
        <v>0.3</v>
      </c>
      <c r="CN12" s="27">
        <v>0.3</v>
      </c>
      <c r="CO12" s="22" t="s">
        <v>2904</v>
      </c>
      <c r="CP12" s="22" t="s">
        <v>1366</v>
      </c>
      <c r="CQ12" s="22"/>
      <c r="CR12" s="22"/>
      <c r="CS12" s="22"/>
      <c r="CT12" s="22"/>
      <c r="CU12" s="23"/>
      <c r="CV12" s="22"/>
      <c r="CW12" s="23" t="s">
        <v>1383</v>
      </c>
      <c r="CX12" s="27">
        <v>0.1</v>
      </c>
      <c r="CY12" s="27">
        <v>0.8</v>
      </c>
      <c r="CZ12" s="22" t="s">
        <v>2905</v>
      </c>
      <c r="DA12" s="22" t="s">
        <v>1372</v>
      </c>
      <c r="DB12" s="22">
        <v>6</v>
      </c>
      <c r="DC12" s="22"/>
      <c r="DD12" s="22" t="s">
        <v>2907</v>
      </c>
      <c r="DE12" s="22" t="s">
        <v>2908</v>
      </c>
      <c r="DF12" s="22" t="s">
        <v>2909</v>
      </c>
      <c r="DG12" s="22"/>
      <c r="DH12" s="22" t="s">
        <v>2910</v>
      </c>
      <c r="DI12" s="22" t="s">
        <v>2958</v>
      </c>
      <c r="DJ12" s="22"/>
      <c r="DK12" s="22"/>
      <c r="DL12" s="22" t="s">
        <v>2912</v>
      </c>
      <c r="DM12" s="22" t="s">
        <v>2913</v>
      </c>
      <c r="DN12" s="23" t="s">
        <v>1345</v>
      </c>
      <c r="DO12" s="22" t="s">
        <v>2914</v>
      </c>
      <c r="DP12" s="23" t="s">
        <v>1342</v>
      </c>
      <c r="DQ12" s="22"/>
      <c r="DR12" s="23" t="s">
        <v>1342</v>
      </c>
      <c r="DS12" s="22"/>
      <c r="DT12" s="22"/>
      <c r="DU12" s="22"/>
      <c r="DV12" s="23" t="s">
        <v>1342</v>
      </c>
      <c r="DW12" s="22" t="s">
        <v>1385</v>
      </c>
      <c r="DX12" s="23" t="s">
        <v>1383</v>
      </c>
      <c r="DY12" s="23" t="s">
        <v>1342</v>
      </c>
      <c r="DZ12" s="22" t="s">
        <v>2915</v>
      </c>
      <c r="EA12" s="23" t="s">
        <v>1383</v>
      </c>
      <c r="EB12" s="23" t="s">
        <v>1383</v>
      </c>
      <c r="EC12" s="23" t="s">
        <v>1383</v>
      </c>
      <c r="ED12" s="23" t="s">
        <v>2959</v>
      </c>
      <c r="EE12" s="27">
        <v>0.5</v>
      </c>
      <c r="EF12" s="22" t="s">
        <v>2931</v>
      </c>
      <c r="EG12" s="23" t="s">
        <v>1342</v>
      </c>
      <c r="EH12" s="22"/>
      <c r="EI12" s="22"/>
      <c r="EJ12" s="22"/>
      <c r="EK12" s="22"/>
      <c r="EL12" s="23" t="s">
        <v>1389</v>
      </c>
      <c r="EM12" s="23">
        <v>3</v>
      </c>
      <c r="EN12" s="22" t="s">
        <v>2917</v>
      </c>
      <c r="EO12" s="23">
        <v>1</v>
      </c>
      <c r="EP12" s="22" t="s">
        <v>2960</v>
      </c>
      <c r="EQ12" s="23">
        <v>3</v>
      </c>
      <c r="ER12" s="22" t="s">
        <v>2919</v>
      </c>
      <c r="ES12" s="23">
        <v>3</v>
      </c>
      <c r="ET12" s="22" t="s">
        <v>2920</v>
      </c>
      <c r="EU12" s="23">
        <v>4</v>
      </c>
      <c r="EV12" s="22" t="s">
        <v>2921</v>
      </c>
      <c r="EW12" s="23">
        <v>5</v>
      </c>
      <c r="EX12" s="22" t="s">
        <v>2922</v>
      </c>
      <c r="EY12" s="23">
        <v>1</v>
      </c>
      <c r="EZ12" s="22" t="s">
        <v>1495</v>
      </c>
      <c r="FA12" s="22"/>
    </row>
    <row r="13" spans="1:158">
      <c r="A13" s="17">
        <v>290</v>
      </c>
      <c r="B13" s="17">
        <v>32</v>
      </c>
      <c r="C13" s="23" t="s">
        <v>1337</v>
      </c>
      <c r="D13" s="24">
        <v>43745</v>
      </c>
      <c r="E13" s="23" t="s">
        <v>197</v>
      </c>
      <c r="F13" s="25">
        <v>122</v>
      </c>
      <c r="G13" s="25" t="s">
        <v>184</v>
      </c>
      <c r="H13" s="23" t="s">
        <v>1086</v>
      </c>
      <c r="I13" s="23" t="s">
        <v>1065</v>
      </c>
      <c r="J13" s="23" t="s">
        <v>2893</v>
      </c>
      <c r="K13" s="23" t="s">
        <v>2932</v>
      </c>
      <c r="L13" s="23">
        <v>0</v>
      </c>
      <c r="M13" s="23" t="s">
        <v>1342</v>
      </c>
      <c r="N13" s="23" t="s">
        <v>1448</v>
      </c>
      <c r="O13" s="23" t="s">
        <v>2923</v>
      </c>
      <c r="P13" s="23" t="s">
        <v>732</v>
      </c>
      <c r="Q13" s="23" t="s">
        <v>2933</v>
      </c>
      <c r="R13" s="23" t="s">
        <v>1345</v>
      </c>
      <c r="S13" s="23">
        <v>3</v>
      </c>
      <c r="T13" s="23" t="s">
        <v>1346</v>
      </c>
      <c r="U13" s="23">
        <v>2002</v>
      </c>
      <c r="V13" s="23" t="s">
        <v>2896</v>
      </c>
      <c r="W13" s="22" t="s">
        <v>2934</v>
      </c>
      <c r="X13" s="23" t="s">
        <v>1345</v>
      </c>
      <c r="Y13" s="23">
        <v>2018</v>
      </c>
      <c r="Z13" s="23"/>
      <c r="AA13" s="32">
        <v>30</v>
      </c>
      <c r="AB13" s="23" t="s">
        <v>1383</v>
      </c>
      <c r="AC13" s="23" t="s">
        <v>2935</v>
      </c>
      <c r="AD13" s="32" t="s">
        <v>1383</v>
      </c>
      <c r="AE13" s="23" t="s">
        <v>1383</v>
      </c>
      <c r="AF13" s="23" t="s">
        <v>1383</v>
      </c>
      <c r="AG13" s="23" t="s">
        <v>1345</v>
      </c>
      <c r="AH13" s="23" t="s">
        <v>1342</v>
      </c>
      <c r="AI13" s="23">
        <v>2017</v>
      </c>
      <c r="AJ13" s="23" t="s">
        <v>1342</v>
      </c>
      <c r="AK13" s="23" t="s">
        <v>2897</v>
      </c>
      <c r="AL13" s="23" t="s">
        <v>1351</v>
      </c>
      <c r="AM13" s="23" t="s">
        <v>1352</v>
      </c>
      <c r="AN13" s="23" t="s">
        <v>1352</v>
      </c>
      <c r="AO13" s="23" t="s">
        <v>1352</v>
      </c>
      <c r="AP13" s="23" t="s">
        <v>1352</v>
      </c>
      <c r="AQ13" s="23" t="s">
        <v>1352</v>
      </c>
      <c r="AR13" s="23" t="s">
        <v>1352</v>
      </c>
      <c r="AS13" s="23" t="s">
        <v>1353</v>
      </c>
      <c r="AT13" s="23" t="s">
        <v>1342</v>
      </c>
      <c r="AU13" s="22">
        <v>9600</v>
      </c>
      <c r="AV13" s="22">
        <v>1000</v>
      </c>
      <c r="AW13" s="22" t="s">
        <v>2936</v>
      </c>
      <c r="AX13" s="22" t="s">
        <v>2937</v>
      </c>
      <c r="AY13" s="23" t="s">
        <v>1383</v>
      </c>
      <c r="AZ13" s="22" t="s">
        <v>2488</v>
      </c>
      <c r="BA13" s="22" t="s">
        <v>2938</v>
      </c>
      <c r="BB13" s="22" t="s">
        <v>2901</v>
      </c>
      <c r="BC13" s="22" t="s">
        <v>2901</v>
      </c>
      <c r="BD13" s="22" t="s">
        <v>2901</v>
      </c>
      <c r="BE13" s="22" t="s">
        <v>2939</v>
      </c>
      <c r="BF13" s="22"/>
      <c r="BG13" s="22"/>
      <c r="BH13" s="22">
        <v>2</v>
      </c>
      <c r="BI13" s="22">
        <v>3</v>
      </c>
      <c r="BJ13" s="22"/>
      <c r="BK13" s="22" t="s">
        <v>1434</v>
      </c>
      <c r="BL13" s="22" t="s">
        <v>1434</v>
      </c>
      <c r="BM13" s="22"/>
      <c r="BN13" s="23" t="s">
        <v>1342</v>
      </c>
      <c r="BO13" s="22"/>
      <c r="BP13" s="22"/>
      <c r="BQ13" s="23" t="s">
        <v>1383</v>
      </c>
      <c r="BR13" s="23" t="s">
        <v>1342</v>
      </c>
      <c r="BS13" s="27">
        <v>0</v>
      </c>
      <c r="BT13" s="23" t="s">
        <v>1383</v>
      </c>
      <c r="BU13" s="23" t="s">
        <v>2940</v>
      </c>
      <c r="BV13" s="23" t="s">
        <v>1342</v>
      </c>
      <c r="BW13" s="22"/>
      <c r="BX13" s="23" t="s">
        <v>1383</v>
      </c>
      <c r="BY13" s="23" t="s">
        <v>1362</v>
      </c>
      <c r="BZ13" s="23" t="s">
        <v>2941</v>
      </c>
      <c r="CA13" s="23" t="s">
        <v>2942</v>
      </c>
      <c r="CB13" s="23" t="s">
        <v>1364</v>
      </c>
      <c r="CC13" s="23" t="s">
        <v>1364</v>
      </c>
      <c r="CD13" s="23" t="s">
        <v>1364</v>
      </c>
      <c r="CE13" s="23">
        <v>12000</v>
      </c>
      <c r="CF13" s="23">
        <v>7200</v>
      </c>
      <c r="CG13" s="23">
        <v>14400</v>
      </c>
      <c r="CH13" s="23">
        <v>2000</v>
      </c>
      <c r="CI13" s="23">
        <v>1000</v>
      </c>
      <c r="CJ13" s="23">
        <v>1500</v>
      </c>
      <c r="CK13" s="27">
        <v>0.4</v>
      </c>
      <c r="CL13" s="27">
        <v>0.3</v>
      </c>
      <c r="CM13" s="27">
        <v>0.6</v>
      </c>
      <c r="CN13" s="27">
        <v>0.7</v>
      </c>
      <c r="CO13" s="22" t="s">
        <v>1365</v>
      </c>
      <c r="CP13" s="22" t="s">
        <v>1366</v>
      </c>
      <c r="CQ13" s="22" t="s">
        <v>1367</v>
      </c>
      <c r="CR13" s="22">
        <v>10</v>
      </c>
      <c r="CS13" s="22" t="s">
        <v>1818</v>
      </c>
      <c r="CT13" s="22" t="s">
        <v>2943</v>
      </c>
      <c r="CU13" s="23" t="s">
        <v>1383</v>
      </c>
      <c r="CV13" s="22" t="s">
        <v>1370</v>
      </c>
      <c r="CW13" s="23" t="s">
        <v>1383</v>
      </c>
      <c r="CX13" s="27">
        <v>0.15</v>
      </c>
      <c r="CY13" s="27">
        <v>0.8</v>
      </c>
      <c r="CZ13" s="22" t="s">
        <v>2905</v>
      </c>
      <c r="DA13" s="22" t="s">
        <v>1372</v>
      </c>
      <c r="DB13" s="22">
        <v>5</v>
      </c>
      <c r="DC13" s="22"/>
      <c r="DD13" s="22" t="s">
        <v>2907</v>
      </c>
      <c r="DE13" s="22" t="s">
        <v>2908</v>
      </c>
      <c r="DF13" s="22" t="s">
        <v>2909</v>
      </c>
      <c r="DG13" s="22"/>
      <c r="DH13" s="22" t="s">
        <v>2944</v>
      </c>
      <c r="DI13" s="22" t="s">
        <v>2945</v>
      </c>
      <c r="DJ13" s="22" t="s">
        <v>2946</v>
      </c>
      <c r="DK13" s="22" t="s">
        <v>2946</v>
      </c>
      <c r="DL13" s="22" t="s">
        <v>2912</v>
      </c>
      <c r="DM13" s="22" t="s">
        <v>2913</v>
      </c>
      <c r="DN13" s="23" t="s">
        <v>1345</v>
      </c>
      <c r="DO13" s="22" t="s">
        <v>2914</v>
      </c>
      <c r="DP13" s="23" t="s">
        <v>1342</v>
      </c>
      <c r="DQ13" s="22"/>
      <c r="DR13" s="23" t="s">
        <v>1342</v>
      </c>
      <c r="DS13" s="22"/>
      <c r="DT13" s="22"/>
      <c r="DU13" s="22"/>
      <c r="DV13" s="23" t="s">
        <v>1383</v>
      </c>
      <c r="DW13" s="22" t="s">
        <v>2947</v>
      </c>
      <c r="DX13" s="23" t="s">
        <v>1383</v>
      </c>
      <c r="DY13" s="23" t="s">
        <v>1342</v>
      </c>
      <c r="DZ13" s="22" t="s">
        <v>1531</v>
      </c>
      <c r="EA13" s="23" t="s">
        <v>1383</v>
      </c>
      <c r="EB13" s="23" t="s">
        <v>1342</v>
      </c>
      <c r="EC13" s="23" t="s">
        <v>1383</v>
      </c>
      <c r="ED13" s="23" t="s">
        <v>2948</v>
      </c>
      <c r="EE13" s="27">
        <v>0.5</v>
      </c>
      <c r="EF13" s="23" t="s">
        <v>2949</v>
      </c>
      <c r="EG13" s="23" t="s">
        <v>1342</v>
      </c>
      <c r="EH13" s="22"/>
      <c r="EI13" s="22"/>
      <c r="EJ13" s="22"/>
      <c r="EK13" s="22"/>
      <c r="EL13" s="23" t="s">
        <v>1389</v>
      </c>
      <c r="EM13" s="23">
        <v>4</v>
      </c>
      <c r="EN13" s="22" t="s">
        <v>2950</v>
      </c>
      <c r="EO13" s="23">
        <v>3</v>
      </c>
      <c r="EP13" s="22" t="s">
        <v>2951</v>
      </c>
      <c r="EQ13" s="23">
        <v>3</v>
      </c>
      <c r="ER13" s="22" t="s">
        <v>2919</v>
      </c>
      <c r="ES13" s="23">
        <v>3</v>
      </c>
      <c r="ET13" s="22" t="s">
        <v>2920</v>
      </c>
      <c r="EU13" s="23">
        <v>4</v>
      </c>
      <c r="EV13" s="22" t="s">
        <v>2921</v>
      </c>
      <c r="EW13" s="23"/>
      <c r="EX13" s="22" t="s">
        <v>2922</v>
      </c>
      <c r="EY13" s="23">
        <v>2</v>
      </c>
      <c r="EZ13" s="22" t="s">
        <v>2901</v>
      </c>
      <c r="FA13" s="22"/>
    </row>
    <row r="14" spans="1:158">
      <c r="A14" s="17">
        <v>409</v>
      </c>
      <c r="B14" s="17">
        <v>58</v>
      </c>
      <c r="C14" s="23" t="s">
        <v>1337</v>
      </c>
      <c r="D14" s="24">
        <v>43760</v>
      </c>
      <c r="E14" s="23" t="s">
        <v>492</v>
      </c>
      <c r="F14" s="25" t="e">
        <v>#N/A</v>
      </c>
      <c r="G14" s="25" t="s">
        <v>3198</v>
      </c>
      <c r="H14" s="23" t="s">
        <v>1086</v>
      </c>
      <c r="I14" s="23" t="s">
        <v>1065</v>
      </c>
      <c r="J14" s="23" t="s">
        <v>507</v>
      </c>
      <c r="K14" s="23" t="s">
        <v>3198</v>
      </c>
      <c r="L14" s="23">
        <v>0.05</v>
      </c>
      <c r="M14" s="23" t="s">
        <v>3199</v>
      </c>
      <c r="N14" s="23" t="s">
        <v>1541</v>
      </c>
      <c r="O14" s="23" t="s">
        <v>902</v>
      </c>
      <c r="P14" s="23" t="s">
        <v>3283</v>
      </c>
      <c r="Q14" s="23" t="s">
        <v>3284</v>
      </c>
      <c r="R14" s="23" t="s">
        <v>1345</v>
      </c>
      <c r="S14" s="23">
        <v>3</v>
      </c>
      <c r="T14" s="23" t="s">
        <v>1346</v>
      </c>
      <c r="U14" s="23">
        <v>2015</v>
      </c>
      <c r="V14" s="23" t="s">
        <v>3202</v>
      </c>
      <c r="W14" s="23" t="s">
        <v>3194</v>
      </c>
      <c r="X14" s="23" t="s">
        <v>1349</v>
      </c>
      <c r="Y14" s="23"/>
      <c r="Z14" s="23"/>
      <c r="AA14" s="32">
        <v>68</v>
      </c>
      <c r="AB14" s="23" t="s">
        <v>1349</v>
      </c>
      <c r="AC14" s="23" t="s">
        <v>3285</v>
      </c>
      <c r="AD14" s="32" t="s">
        <v>1345</v>
      </c>
      <c r="AE14" s="23" t="s">
        <v>1349</v>
      </c>
      <c r="AF14" s="23" t="s">
        <v>1349</v>
      </c>
      <c r="AG14" s="23" t="s">
        <v>1349</v>
      </c>
      <c r="AH14" s="22"/>
      <c r="AI14" s="23"/>
      <c r="AJ14" s="23" t="s">
        <v>1349</v>
      </c>
      <c r="AK14" s="22" t="s">
        <v>2967</v>
      </c>
      <c r="AL14" s="22" t="s">
        <v>1802</v>
      </c>
      <c r="AM14" s="22" t="s">
        <v>1802</v>
      </c>
      <c r="AN14" s="22" t="s">
        <v>1802</v>
      </c>
      <c r="AO14" s="22" t="s">
        <v>1802</v>
      </c>
      <c r="AP14" s="22" t="s">
        <v>1802</v>
      </c>
      <c r="AQ14" s="22" t="s">
        <v>1352</v>
      </c>
      <c r="AR14" s="22" t="s">
        <v>1802</v>
      </c>
      <c r="AS14" s="22" t="s">
        <v>1802</v>
      </c>
      <c r="AT14" s="22"/>
      <c r="AU14" s="22" t="s">
        <v>1897</v>
      </c>
      <c r="AV14" s="22">
        <v>1000</v>
      </c>
      <c r="AW14" s="22" t="s">
        <v>3286</v>
      </c>
      <c r="AX14" s="22" t="s">
        <v>3287</v>
      </c>
      <c r="AY14" s="23"/>
      <c r="AZ14" s="22"/>
      <c r="BA14" s="22"/>
      <c r="BB14" s="22" t="s">
        <v>1358</v>
      </c>
      <c r="BC14" s="22"/>
      <c r="BD14" s="22"/>
      <c r="BE14" s="22" t="s">
        <v>3198</v>
      </c>
      <c r="BF14" s="22" t="s">
        <v>3198</v>
      </c>
      <c r="BG14" s="22" t="s">
        <v>3198</v>
      </c>
      <c r="BH14" s="22">
        <v>3</v>
      </c>
      <c r="BI14" s="22"/>
      <c r="BJ14" s="22"/>
      <c r="BK14" s="22" t="s">
        <v>3237</v>
      </c>
      <c r="BL14" s="22"/>
      <c r="BM14" s="22" t="s">
        <v>3209</v>
      </c>
      <c r="BN14" s="23" t="s">
        <v>1349</v>
      </c>
      <c r="BO14" s="22"/>
      <c r="BP14" s="22"/>
      <c r="BQ14" s="23" t="s">
        <v>1345</v>
      </c>
      <c r="BR14" s="23" t="s">
        <v>1345</v>
      </c>
      <c r="BS14" s="26">
        <v>0</v>
      </c>
      <c r="BT14" s="23" t="s">
        <v>1345</v>
      </c>
      <c r="BU14" s="22"/>
      <c r="BV14" s="23" t="s">
        <v>1349</v>
      </c>
      <c r="BW14" s="22"/>
      <c r="BX14" s="23" t="s">
        <v>1345</v>
      </c>
      <c r="BY14" s="23" t="s">
        <v>1561</v>
      </c>
      <c r="BZ14" s="23" t="s">
        <v>3185</v>
      </c>
      <c r="CA14" s="23" t="s">
        <v>3288</v>
      </c>
      <c r="CB14" s="22" t="s">
        <v>1364</v>
      </c>
      <c r="CC14" s="22" t="s">
        <v>1364</v>
      </c>
      <c r="CD14" s="22" t="s">
        <v>1364</v>
      </c>
      <c r="CE14" s="35">
        <v>15000</v>
      </c>
      <c r="CF14" s="35">
        <v>10500</v>
      </c>
      <c r="CG14" s="35">
        <v>20000</v>
      </c>
      <c r="CH14" s="22"/>
      <c r="CI14" s="22"/>
      <c r="CJ14" s="22"/>
      <c r="CK14" s="27">
        <v>0.6</v>
      </c>
      <c r="CL14" s="27">
        <v>0.6</v>
      </c>
      <c r="CM14" s="27">
        <v>0.4</v>
      </c>
      <c r="CN14" s="27">
        <v>0.4</v>
      </c>
      <c r="CO14" s="22" t="s">
        <v>3186</v>
      </c>
      <c r="CP14" s="22"/>
      <c r="CQ14" s="22"/>
      <c r="CR14" s="22"/>
      <c r="CS14" s="22"/>
      <c r="CT14" s="22"/>
      <c r="CU14" s="23"/>
      <c r="CV14" s="22"/>
      <c r="CW14" s="23" t="s">
        <v>1349</v>
      </c>
      <c r="CX14" s="22"/>
      <c r="CY14" s="22"/>
      <c r="CZ14" s="22"/>
      <c r="DA14" s="22"/>
      <c r="DB14" s="22"/>
      <c r="DC14" s="22"/>
      <c r="DD14" s="22"/>
      <c r="DE14" s="22"/>
      <c r="DF14" s="22"/>
      <c r="DG14" s="22"/>
      <c r="DH14" s="22" t="s">
        <v>3212</v>
      </c>
      <c r="DI14" s="22"/>
      <c r="DJ14" s="22"/>
      <c r="DK14" s="22"/>
      <c r="DL14" s="22" t="s">
        <v>3214</v>
      </c>
      <c r="DM14" s="22"/>
      <c r="DN14" s="23"/>
      <c r="DO14" s="22"/>
      <c r="DP14" s="23" t="s">
        <v>1349</v>
      </c>
      <c r="DQ14" s="22"/>
      <c r="DR14" s="23" t="s">
        <v>1345</v>
      </c>
      <c r="DS14" s="22" t="s">
        <v>3241</v>
      </c>
      <c r="DT14" s="23" t="s">
        <v>3289</v>
      </c>
      <c r="DU14" s="22"/>
      <c r="DV14" s="23" t="s">
        <v>1349</v>
      </c>
      <c r="DW14" s="22"/>
      <c r="DX14" s="23" t="s">
        <v>1345</v>
      </c>
      <c r="DY14" s="23" t="s">
        <v>1349</v>
      </c>
      <c r="DZ14" s="23" t="s">
        <v>3216</v>
      </c>
      <c r="EA14" s="23" t="s">
        <v>1345</v>
      </c>
      <c r="EB14" s="23" t="s">
        <v>1345</v>
      </c>
      <c r="EC14" s="23" t="s">
        <v>1345</v>
      </c>
      <c r="ED14" s="23" t="s">
        <v>3217</v>
      </c>
      <c r="EE14" s="22"/>
      <c r="EF14" s="23" t="s">
        <v>3218</v>
      </c>
      <c r="EG14" s="23" t="s">
        <v>1345</v>
      </c>
      <c r="EH14" s="22"/>
      <c r="EI14" s="23" t="s">
        <v>3219</v>
      </c>
      <c r="EJ14" s="23" t="s">
        <v>3220</v>
      </c>
      <c r="EK14" s="23" t="s">
        <v>3221</v>
      </c>
      <c r="EL14" s="23" t="s">
        <v>1389</v>
      </c>
      <c r="EM14" s="23">
        <v>3</v>
      </c>
      <c r="EN14" s="23" t="s">
        <v>3222</v>
      </c>
      <c r="EO14" s="23">
        <v>2</v>
      </c>
      <c r="EP14" s="23" t="s">
        <v>3223</v>
      </c>
      <c r="EQ14" s="23">
        <v>2</v>
      </c>
      <c r="ER14" s="22" t="s">
        <v>3272</v>
      </c>
      <c r="ES14" s="23">
        <v>3</v>
      </c>
      <c r="ET14" s="22" t="s">
        <v>3244</v>
      </c>
      <c r="EU14" s="23">
        <v>5</v>
      </c>
      <c r="EV14" s="22" t="s">
        <v>3226</v>
      </c>
      <c r="EW14" s="23">
        <v>3</v>
      </c>
      <c r="EX14" s="22" t="s">
        <v>3227</v>
      </c>
      <c r="EY14" s="23">
        <v>1</v>
      </c>
      <c r="EZ14" s="22" t="s">
        <v>3228</v>
      </c>
      <c r="FA14" s="22"/>
    </row>
    <row r="15" spans="1:158">
      <c r="A15" s="17">
        <v>414</v>
      </c>
      <c r="B15" s="17">
        <v>43</v>
      </c>
      <c r="C15" s="23" t="s">
        <v>1337</v>
      </c>
      <c r="D15" s="33">
        <v>43752</v>
      </c>
      <c r="E15" s="23" t="s">
        <v>3085</v>
      </c>
      <c r="F15" s="22">
        <v>414</v>
      </c>
      <c r="G15" s="25" t="s">
        <v>3086</v>
      </c>
      <c r="H15" s="23" t="s">
        <v>1086</v>
      </c>
      <c r="I15" s="23" t="s">
        <v>1065</v>
      </c>
      <c r="J15" s="23" t="s">
        <v>3086</v>
      </c>
      <c r="K15" s="23" t="s">
        <v>3087</v>
      </c>
      <c r="L15" s="23">
        <v>8</v>
      </c>
      <c r="M15" s="23" t="s">
        <v>1342</v>
      </c>
      <c r="N15" s="23" t="s">
        <v>1343</v>
      </c>
      <c r="O15" s="23" t="s">
        <v>3088</v>
      </c>
      <c r="P15" s="23" t="s">
        <v>3089</v>
      </c>
      <c r="Q15" s="23" t="s">
        <v>3090</v>
      </c>
      <c r="R15" s="23" t="s">
        <v>1345</v>
      </c>
      <c r="S15" s="23">
        <v>6</v>
      </c>
      <c r="T15" s="23" t="s">
        <v>1499</v>
      </c>
      <c r="U15" s="23">
        <v>2018</v>
      </c>
      <c r="V15" s="23" t="s">
        <v>3091</v>
      </c>
      <c r="W15" s="22" t="s">
        <v>3049</v>
      </c>
      <c r="X15" s="23" t="s">
        <v>1345</v>
      </c>
      <c r="Y15" s="22">
        <v>2018</v>
      </c>
      <c r="Z15" s="22">
        <v>2018</v>
      </c>
      <c r="AA15" s="32">
        <v>47</v>
      </c>
      <c r="AB15" s="23" t="s">
        <v>1342</v>
      </c>
      <c r="AC15" s="22" t="s">
        <v>2926</v>
      </c>
      <c r="AD15" s="32" t="s">
        <v>1345</v>
      </c>
      <c r="AE15" s="23" t="s">
        <v>1345</v>
      </c>
      <c r="AF15" s="23" t="s">
        <v>1342</v>
      </c>
      <c r="AG15" s="23" t="s">
        <v>1342</v>
      </c>
      <c r="AH15" s="23" t="s">
        <v>1342</v>
      </c>
      <c r="AI15" s="23">
        <v>2017</v>
      </c>
      <c r="AJ15" s="23" t="s">
        <v>1342</v>
      </c>
      <c r="AK15" s="22" t="s">
        <v>2897</v>
      </c>
      <c r="AL15" s="23" t="s">
        <v>1351</v>
      </c>
      <c r="AM15" s="23" t="s">
        <v>1352</v>
      </c>
      <c r="AN15" s="23" t="s">
        <v>1352</v>
      </c>
      <c r="AO15" s="23" t="s">
        <v>1352</v>
      </c>
      <c r="AP15" s="23" t="s">
        <v>1352</v>
      </c>
      <c r="AQ15" s="23" t="s">
        <v>1352</v>
      </c>
      <c r="AR15" s="23" t="s">
        <v>1352</v>
      </c>
      <c r="AS15" s="23" t="s">
        <v>1353</v>
      </c>
      <c r="AT15" s="23" t="s">
        <v>1342</v>
      </c>
      <c r="AU15" s="22">
        <v>12000</v>
      </c>
      <c r="AV15" s="22">
        <v>7500</v>
      </c>
      <c r="AW15" s="23" t="s">
        <v>3092</v>
      </c>
      <c r="AX15" s="22" t="s">
        <v>2989</v>
      </c>
      <c r="AY15" s="23" t="s">
        <v>1383</v>
      </c>
      <c r="AZ15" s="22" t="s">
        <v>2746</v>
      </c>
      <c r="BA15" s="22"/>
      <c r="BB15" s="22" t="s">
        <v>1358</v>
      </c>
      <c r="BC15" s="22"/>
      <c r="BD15" s="22"/>
      <c r="BE15" s="22" t="s">
        <v>3087</v>
      </c>
      <c r="BF15" s="22"/>
      <c r="BG15" s="22"/>
      <c r="BH15" s="22">
        <v>1</v>
      </c>
      <c r="BI15" s="22">
        <v>2.5</v>
      </c>
      <c r="BJ15" s="22">
        <v>5</v>
      </c>
      <c r="BK15" s="22" t="s">
        <v>1360</v>
      </c>
      <c r="BL15" s="22" t="s">
        <v>1360</v>
      </c>
      <c r="BM15" s="22" t="s">
        <v>1434</v>
      </c>
      <c r="BN15" s="23" t="s">
        <v>1342</v>
      </c>
      <c r="BO15" s="22"/>
      <c r="BP15" s="22"/>
      <c r="BQ15" s="23" t="s">
        <v>1383</v>
      </c>
      <c r="BR15" s="23" t="s">
        <v>1342</v>
      </c>
      <c r="BS15" s="27">
        <v>0</v>
      </c>
      <c r="BT15" s="23" t="s">
        <v>1383</v>
      </c>
      <c r="BU15" s="23" t="s">
        <v>3093</v>
      </c>
      <c r="BV15" s="23" t="s">
        <v>1342</v>
      </c>
      <c r="BW15" s="22"/>
      <c r="BX15" s="23" t="s">
        <v>1383</v>
      </c>
      <c r="BY15" s="23" t="s">
        <v>2167</v>
      </c>
      <c r="BZ15" s="23" t="s">
        <v>3075</v>
      </c>
      <c r="CA15" s="23" t="s">
        <v>3094</v>
      </c>
      <c r="CB15" s="22" t="s">
        <v>1364</v>
      </c>
      <c r="CC15" s="22" t="s">
        <v>1364</v>
      </c>
      <c r="CD15" s="22" t="s">
        <v>1364</v>
      </c>
      <c r="CE15" s="22">
        <v>1440</v>
      </c>
      <c r="CF15" s="22">
        <v>1920</v>
      </c>
      <c r="CG15" s="22">
        <v>3600</v>
      </c>
      <c r="CH15" s="22">
        <v>0</v>
      </c>
      <c r="CI15" s="22">
        <v>53</v>
      </c>
      <c r="CJ15" s="22">
        <v>60</v>
      </c>
      <c r="CK15" s="27">
        <v>0.7</v>
      </c>
      <c r="CL15" s="27">
        <v>0.7</v>
      </c>
      <c r="CM15" s="27">
        <v>0.3</v>
      </c>
      <c r="CN15" s="27">
        <v>0.3</v>
      </c>
      <c r="CO15" s="22" t="s">
        <v>1564</v>
      </c>
      <c r="CP15" s="22" t="s">
        <v>1366</v>
      </c>
      <c r="CQ15" s="22" t="s">
        <v>3095</v>
      </c>
      <c r="CR15" s="22">
        <v>6</v>
      </c>
      <c r="CS15" s="22" t="s">
        <v>1778</v>
      </c>
      <c r="CT15" s="22" t="s">
        <v>3096</v>
      </c>
      <c r="CU15" s="22" t="s">
        <v>1383</v>
      </c>
      <c r="CV15" s="22" t="s">
        <v>3097</v>
      </c>
      <c r="CW15" s="23" t="s">
        <v>1383</v>
      </c>
      <c r="CX15" s="27">
        <v>0.1</v>
      </c>
      <c r="CY15" s="27">
        <v>0.85</v>
      </c>
      <c r="CZ15" s="22" t="s">
        <v>2905</v>
      </c>
      <c r="DA15" s="22" t="s">
        <v>1372</v>
      </c>
      <c r="DB15" s="22">
        <v>8</v>
      </c>
      <c r="DC15" s="22"/>
      <c r="DD15" s="22" t="s">
        <v>2907</v>
      </c>
      <c r="DE15" s="22" t="s">
        <v>2908</v>
      </c>
      <c r="DF15" s="22" t="s">
        <v>2909</v>
      </c>
      <c r="DG15" s="22"/>
      <c r="DH15" s="22" t="s">
        <v>3098</v>
      </c>
      <c r="DI15" s="22" t="s">
        <v>3099</v>
      </c>
      <c r="DJ15" s="22"/>
      <c r="DK15" s="22"/>
      <c r="DL15" s="22" t="s">
        <v>3100</v>
      </c>
      <c r="DM15" s="22" t="s">
        <v>3101</v>
      </c>
      <c r="DN15" s="23" t="s">
        <v>1345</v>
      </c>
      <c r="DO15" s="22" t="s">
        <v>3102</v>
      </c>
      <c r="DP15" s="23" t="s">
        <v>1342</v>
      </c>
      <c r="DQ15" s="22"/>
      <c r="DR15" s="23" t="s">
        <v>1342</v>
      </c>
      <c r="DS15" s="22"/>
      <c r="DT15" s="22"/>
      <c r="DU15" s="22"/>
      <c r="DV15" s="23" t="s">
        <v>1383</v>
      </c>
      <c r="DW15" s="22" t="s">
        <v>1747</v>
      </c>
      <c r="DX15" s="23" t="s">
        <v>1383</v>
      </c>
      <c r="DY15" s="23" t="s">
        <v>1342</v>
      </c>
      <c r="DZ15" s="22" t="s">
        <v>3078</v>
      </c>
      <c r="EA15" s="23" t="s">
        <v>1383</v>
      </c>
      <c r="EB15" s="23" t="s">
        <v>1342</v>
      </c>
      <c r="EC15" s="23" t="s">
        <v>1383</v>
      </c>
      <c r="ED15" s="22" t="s">
        <v>2948</v>
      </c>
      <c r="EE15" s="27">
        <v>0.5</v>
      </c>
      <c r="EF15" s="22" t="s">
        <v>3103</v>
      </c>
      <c r="EG15" s="23" t="s">
        <v>1342</v>
      </c>
      <c r="EH15" s="22"/>
      <c r="EI15" s="22"/>
      <c r="EJ15" s="22"/>
      <c r="EK15" s="22"/>
      <c r="EL15" s="23" t="s">
        <v>1389</v>
      </c>
      <c r="EM15" s="23">
        <v>4</v>
      </c>
      <c r="EN15" s="22" t="s">
        <v>3104</v>
      </c>
      <c r="EO15" s="23">
        <v>3</v>
      </c>
      <c r="EP15" s="22" t="s">
        <v>3105</v>
      </c>
      <c r="EQ15" s="23">
        <v>2</v>
      </c>
      <c r="ER15" s="22" t="s">
        <v>3106</v>
      </c>
      <c r="ES15" s="23">
        <v>4</v>
      </c>
      <c r="ET15" s="22" t="s">
        <v>3107</v>
      </c>
      <c r="EU15" s="23">
        <v>3</v>
      </c>
      <c r="EV15" s="22" t="s">
        <v>3108</v>
      </c>
      <c r="EW15" s="23">
        <v>3</v>
      </c>
      <c r="EX15" s="22" t="s">
        <v>3109</v>
      </c>
      <c r="EY15" s="23">
        <v>0</v>
      </c>
      <c r="EZ15" s="22" t="s">
        <v>2974</v>
      </c>
      <c r="FA15" s="22"/>
    </row>
    <row r="16" spans="1:158">
      <c r="A16" s="17">
        <v>415</v>
      </c>
      <c r="B16" s="17">
        <v>68</v>
      </c>
      <c r="C16" s="23" t="s">
        <v>1795</v>
      </c>
      <c r="D16" s="36">
        <v>43747</v>
      </c>
      <c r="E16" s="23" t="s">
        <v>3520</v>
      </c>
      <c r="F16" s="25" t="s">
        <v>1728</v>
      </c>
      <c r="G16" s="25" t="s">
        <v>56</v>
      </c>
      <c r="H16" s="23" t="s">
        <v>3292</v>
      </c>
      <c r="I16" s="23" t="s">
        <v>3293</v>
      </c>
      <c r="J16" s="23" t="s">
        <v>56</v>
      </c>
      <c r="K16" s="23" t="s">
        <v>3521</v>
      </c>
      <c r="L16" s="23">
        <v>15</v>
      </c>
      <c r="M16" s="23" t="s">
        <v>3468</v>
      </c>
      <c r="N16" s="23" t="s">
        <v>1343</v>
      </c>
      <c r="O16" s="23" t="s">
        <v>3522</v>
      </c>
      <c r="P16" s="23" t="s">
        <v>3523</v>
      </c>
      <c r="Q16" s="23">
        <v>51320301</v>
      </c>
      <c r="R16" s="23" t="s">
        <v>1345</v>
      </c>
      <c r="S16" s="23">
        <v>7</v>
      </c>
      <c r="T16" s="23" t="s">
        <v>1346</v>
      </c>
      <c r="U16" s="23">
        <v>2013</v>
      </c>
      <c r="V16" s="22" t="s">
        <v>3470</v>
      </c>
      <c r="W16" s="22"/>
      <c r="X16" s="23" t="s">
        <v>1345</v>
      </c>
      <c r="Y16" s="23">
        <v>2018</v>
      </c>
      <c r="Z16" s="23"/>
      <c r="AA16" s="32">
        <v>25</v>
      </c>
      <c r="AB16" s="23" t="s">
        <v>1345</v>
      </c>
      <c r="AC16" s="23">
        <v>0</v>
      </c>
      <c r="AD16" s="32" t="s">
        <v>1345</v>
      </c>
      <c r="AE16" s="23" t="s">
        <v>1345</v>
      </c>
      <c r="AF16" s="23" t="s">
        <v>1349</v>
      </c>
      <c r="AG16" s="23" t="s">
        <v>1349</v>
      </c>
      <c r="AH16" s="23" t="s">
        <v>1358</v>
      </c>
      <c r="AI16" s="23">
        <v>2013</v>
      </c>
      <c r="AJ16" s="23" t="s">
        <v>1349</v>
      </c>
      <c r="AK16" s="23" t="s">
        <v>3297</v>
      </c>
      <c r="AL16" s="23" t="s">
        <v>1550</v>
      </c>
      <c r="AM16" s="23" t="s">
        <v>1550</v>
      </c>
      <c r="AN16" s="23" t="s">
        <v>1550</v>
      </c>
      <c r="AO16" s="23" t="s">
        <v>1550</v>
      </c>
      <c r="AP16" s="23" t="s">
        <v>1550</v>
      </c>
      <c r="AQ16" s="23" t="s">
        <v>1352</v>
      </c>
      <c r="AR16" s="23" t="s">
        <v>1352</v>
      </c>
      <c r="AS16" s="23" t="s">
        <v>1550</v>
      </c>
      <c r="AT16" s="23" t="s">
        <v>1804</v>
      </c>
      <c r="AU16" s="22"/>
      <c r="AV16" s="23">
        <v>1000</v>
      </c>
      <c r="AW16" s="23" t="s">
        <v>3424</v>
      </c>
      <c r="AX16" s="23" t="s">
        <v>3425</v>
      </c>
      <c r="AY16" s="23" t="s">
        <v>1345</v>
      </c>
      <c r="AZ16" s="23" t="s">
        <v>3524</v>
      </c>
      <c r="BA16" s="23" t="s">
        <v>3525</v>
      </c>
      <c r="BB16" s="23" t="s">
        <v>1358</v>
      </c>
      <c r="BC16" s="23" t="s">
        <v>1358</v>
      </c>
      <c r="BD16" s="23" t="s">
        <v>1358</v>
      </c>
      <c r="BE16" s="23" t="s">
        <v>3447</v>
      </c>
      <c r="BF16" s="22"/>
      <c r="BG16" s="22"/>
      <c r="BH16" s="23">
        <v>3</v>
      </c>
      <c r="BI16" s="23">
        <v>10</v>
      </c>
      <c r="BJ16" s="23">
        <v>15</v>
      </c>
      <c r="BK16" s="23" t="s">
        <v>3402</v>
      </c>
      <c r="BL16" s="23" t="s">
        <v>3402</v>
      </c>
      <c r="BM16" s="23" t="s">
        <v>3402</v>
      </c>
      <c r="BN16" s="23" t="s">
        <v>1349</v>
      </c>
      <c r="BO16" s="22"/>
      <c r="BP16" s="22"/>
      <c r="BQ16" s="23" t="s">
        <v>1345</v>
      </c>
      <c r="BR16" s="23" t="s">
        <v>1345</v>
      </c>
      <c r="BS16" s="23" t="s">
        <v>1358</v>
      </c>
      <c r="BT16" s="23" t="s">
        <v>1345</v>
      </c>
      <c r="BU16" s="23" t="s">
        <v>3526</v>
      </c>
      <c r="BV16" s="23" t="s">
        <v>1349</v>
      </c>
      <c r="BW16" s="22"/>
      <c r="BX16" s="23" t="s">
        <v>1345</v>
      </c>
      <c r="BY16" s="23" t="s">
        <v>1362</v>
      </c>
      <c r="BZ16" s="23" t="s">
        <v>3527</v>
      </c>
      <c r="CA16" s="23" t="s">
        <v>3521</v>
      </c>
      <c r="CB16" s="23" t="s">
        <v>1935</v>
      </c>
      <c r="CC16" s="23" t="s">
        <v>1935</v>
      </c>
      <c r="CD16" s="23" t="s">
        <v>1935</v>
      </c>
      <c r="CE16" s="23">
        <v>1000</v>
      </c>
      <c r="CF16" s="23">
        <v>1800</v>
      </c>
      <c r="CG16" s="23" t="s">
        <v>3528</v>
      </c>
      <c r="CH16" s="23">
        <v>250</v>
      </c>
      <c r="CI16" s="23">
        <v>200</v>
      </c>
      <c r="CJ16" s="23" t="s">
        <v>3309</v>
      </c>
      <c r="CK16" s="26">
        <v>0.8</v>
      </c>
      <c r="CL16" s="26">
        <v>0.8</v>
      </c>
      <c r="CM16" s="26">
        <v>0.2</v>
      </c>
      <c r="CN16" s="26">
        <v>0.2</v>
      </c>
      <c r="CO16" s="23" t="s">
        <v>1564</v>
      </c>
      <c r="CP16" s="23" t="s">
        <v>3529</v>
      </c>
      <c r="CQ16" s="23" t="s">
        <v>3482</v>
      </c>
      <c r="CR16" s="23">
        <v>5</v>
      </c>
      <c r="CS16" s="23" t="s">
        <v>2230</v>
      </c>
      <c r="CT16" s="23" t="s">
        <v>3484</v>
      </c>
      <c r="CU16" s="23" t="s">
        <v>1349</v>
      </c>
      <c r="CV16" s="23" t="s">
        <v>3485</v>
      </c>
      <c r="CW16" s="23" t="s">
        <v>1349</v>
      </c>
      <c r="CX16" s="22"/>
      <c r="CY16" s="22"/>
      <c r="CZ16" s="23" t="s">
        <v>3486</v>
      </c>
      <c r="DA16" s="22" t="s">
        <v>3350</v>
      </c>
      <c r="DB16" s="22"/>
      <c r="DC16" s="22" t="s">
        <v>3487</v>
      </c>
      <c r="DD16" s="22" t="s">
        <v>3488</v>
      </c>
      <c r="DE16" s="22" t="s">
        <v>3489</v>
      </c>
      <c r="DF16" s="22" t="s">
        <v>3490</v>
      </c>
      <c r="DG16" s="22" t="s">
        <v>3491</v>
      </c>
      <c r="DH16" s="22" t="s">
        <v>3492</v>
      </c>
      <c r="DI16" s="22"/>
      <c r="DJ16" s="22"/>
      <c r="DK16" s="22"/>
      <c r="DL16" s="22"/>
      <c r="DM16" s="22" t="s">
        <v>3530</v>
      </c>
      <c r="DN16" s="23" t="s">
        <v>1349</v>
      </c>
      <c r="DO16" s="22" t="s">
        <v>1358</v>
      </c>
      <c r="DP16" s="23" t="s">
        <v>1349</v>
      </c>
      <c r="DQ16" s="22" t="s">
        <v>1358</v>
      </c>
      <c r="DR16" s="23" t="s">
        <v>3531</v>
      </c>
      <c r="DS16" s="22" t="s">
        <v>3495</v>
      </c>
      <c r="DT16" s="22"/>
      <c r="DU16" s="22"/>
      <c r="DV16" s="23" t="s">
        <v>1345</v>
      </c>
      <c r="DW16" s="23" t="s">
        <v>3498</v>
      </c>
      <c r="DX16" s="23" t="s">
        <v>1345</v>
      </c>
      <c r="DY16" s="23" t="s">
        <v>1349</v>
      </c>
      <c r="DZ16" s="23" t="s">
        <v>3499</v>
      </c>
      <c r="EA16" s="23" t="s">
        <v>1345</v>
      </c>
      <c r="EB16" s="23" t="s">
        <v>1345</v>
      </c>
      <c r="EC16" s="23" t="s">
        <v>1345</v>
      </c>
      <c r="ED16" s="23" t="s">
        <v>3500</v>
      </c>
      <c r="EE16" s="27">
        <v>0.5</v>
      </c>
      <c r="EF16" s="23" t="s">
        <v>1948</v>
      </c>
      <c r="EG16" s="23" t="s">
        <v>1349</v>
      </c>
      <c r="EH16" s="22"/>
      <c r="EI16" s="23" t="s">
        <v>3502</v>
      </c>
      <c r="EJ16" s="23" t="s">
        <v>3503</v>
      </c>
      <c r="EK16" s="23" t="s">
        <v>3504</v>
      </c>
      <c r="EL16" s="23" t="s">
        <v>1389</v>
      </c>
      <c r="EM16" s="23">
        <v>4</v>
      </c>
      <c r="EN16" s="23" t="s">
        <v>3532</v>
      </c>
      <c r="EO16" s="23">
        <v>5</v>
      </c>
      <c r="EP16" s="23" t="s">
        <v>3533</v>
      </c>
      <c r="EQ16" s="23">
        <v>3</v>
      </c>
      <c r="ER16" s="22" t="s">
        <v>3334</v>
      </c>
      <c r="ES16" s="23">
        <v>3</v>
      </c>
      <c r="ET16" s="23" t="s">
        <v>3335</v>
      </c>
      <c r="EU16" s="23">
        <v>2</v>
      </c>
      <c r="EV16" s="22" t="s">
        <v>3509</v>
      </c>
      <c r="EW16" s="23">
        <v>2</v>
      </c>
      <c r="EX16" s="22" t="s">
        <v>3510</v>
      </c>
      <c r="EY16" s="23">
        <v>1</v>
      </c>
      <c r="EZ16" s="22" t="s">
        <v>3338</v>
      </c>
      <c r="FA16" s="22"/>
    </row>
    <row r="17" spans="1:157">
      <c r="A17" s="17">
        <v>430</v>
      </c>
      <c r="B17" s="17">
        <v>41</v>
      </c>
      <c r="C17" s="23" t="s">
        <v>1337</v>
      </c>
      <c r="D17" s="33">
        <v>43749</v>
      </c>
      <c r="E17" s="23" t="s">
        <v>3058</v>
      </c>
      <c r="F17" s="22"/>
      <c r="G17" s="25" t="s">
        <v>2893</v>
      </c>
      <c r="H17" s="23" t="s">
        <v>1086</v>
      </c>
      <c r="I17" s="23" t="s">
        <v>1065</v>
      </c>
      <c r="J17" s="23" t="s">
        <v>2893</v>
      </c>
      <c r="K17" s="23" t="s">
        <v>2992</v>
      </c>
      <c r="L17" s="23">
        <v>7</v>
      </c>
      <c r="M17" s="23" t="s">
        <v>1345</v>
      </c>
      <c r="N17" s="23" t="s">
        <v>1343</v>
      </c>
      <c r="O17" s="23" t="s">
        <v>3059</v>
      </c>
      <c r="P17" s="23" t="s">
        <v>862</v>
      </c>
      <c r="Q17" s="23">
        <v>73923845</v>
      </c>
      <c r="R17" s="23" t="s">
        <v>1345</v>
      </c>
      <c r="S17" s="23">
        <v>3</v>
      </c>
      <c r="T17" s="23" t="s">
        <v>1346</v>
      </c>
      <c r="U17" s="23">
        <v>2013</v>
      </c>
      <c r="V17" s="22" t="s">
        <v>3048</v>
      </c>
      <c r="W17" s="22" t="s">
        <v>3060</v>
      </c>
      <c r="X17" s="23" t="s">
        <v>1342</v>
      </c>
      <c r="Y17" s="22"/>
      <c r="Z17" s="22"/>
      <c r="AA17" s="32">
        <v>30</v>
      </c>
      <c r="AB17" s="23" t="s">
        <v>1342</v>
      </c>
      <c r="AC17" s="22">
        <v>0</v>
      </c>
      <c r="AD17" s="32" t="s">
        <v>1345</v>
      </c>
      <c r="AE17" s="23" t="s">
        <v>1345</v>
      </c>
      <c r="AF17" s="23" t="s">
        <v>1342</v>
      </c>
      <c r="AG17" s="23" t="s">
        <v>1342</v>
      </c>
      <c r="AH17" s="23" t="s">
        <v>3026</v>
      </c>
      <c r="AI17" s="23">
        <v>2014</v>
      </c>
      <c r="AJ17" s="23" t="s">
        <v>1342</v>
      </c>
      <c r="AK17" s="22" t="s">
        <v>2897</v>
      </c>
      <c r="AL17" s="23" t="s">
        <v>1351</v>
      </c>
      <c r="AM17" s="23" t="s">
        <v>1351</v>
      </c>
      <c r="AN17" s="23" t="s">
        <v>1351</v>
      </c>
      <c r="AO17" s="23" t="s">
        <v>1351</v>
      </c>
      <c r="AP17" s="23" t="s">
        <v>1351</v>
      </c>
      <c r="AQ17" s="23" t="s">
        <v>1352</v>
      </c>
      <c r="AR17" s="23" t="s">
        <v>1352</v>
      </c>
      <c r="AS17" s="23" t="s">
        <v>1353</v>
      </c>
      <c r="AT17" s="23" t="s">
        <v>1342</v>
      </c>
      <c r="AU17" s="22">
        <v>9600</v>
      </c>
      <c r="AV17" s="22">
        <v>3000</v>
      </c>
      <c r="AW17" s="22" t="s">
        <v>2977</v>
      </c>
      <c r="AX17" s="22" t="s">
        <v>3061</v>
      </c>
      <c r="AY17" s="23" t="s">
        <v>1342</v>
      </c>
      <c r="AZ17" s="22"/>
      <c r="BA17" s="22"/>
      <c r="BB17" s="22" t="s">
        <v>1358</v>
      </c>
      <c r="BC17" s="22"/>
      <c r="BD17" s="22"/>
      <c r="BE17" s="22" t="s">
        <v>3062</v>
      </c>
      <c r="BF17" s="22"/>
      <c r="BG17" s="22"/>
      <c r="BH17" s="22">
        <v>1.5</v>
      </c>
      <c r="BI17" s="22">
        <v>2</v>
      </c>
      <c r="BJ17" s="22"/>
      <c r="BK17" s="22" t="s">
        <v>1360</v>
      </c>
      <c r="BL17" s="22" t="s">
        <v>1360</v>
      </c>
      <c r="BM17" s="22"/>
      <c r="BN17" s="23" t="s">
        <v>1342</v>
      </c>
      <c r="BO17" s="22"/>
      <c r="BP17" s="22"/>
      <c r="BQ17" s="23" t="s">
        <v>1383</v>
      </c>
      <c r="BR17" s="23" t="s">
        <v>1342</v>
      </c>
      <c r="BS17" s="27">
        <v>0</v>
      </c>
      <c r="BT17" s="23" t="s">
        <v>1383</v>
      </c>
      <c r="BU17" s="23" t="s">
        <v>1342</v>
      </c>
      <c r="BV17" s="23" t="s">
        <v>1342</v>
      </c>
      <c r="BW17" s="22"/>
      <c r="BX17" s="23" t="s">
        <v>1383</v>
      </c>
      <c r="BY17" s="23" t="s">
        <v>1362</v>
      </c>
      <c r="BZ17" s="22" t="s">
        <v>3063</v>
      </c>
      <c r="CA17" s="22" t="s">
        <v>2992</v>
      </c>
      <c r="CB17" s="22" t="s">
        <v>1364</v>
      </c>
      <c r="CC17" s="22" t="s">
        <v>1364</v>
      </c>
      <c r="CD17" s="22" t="s">
        <v>1364</v>
      </c>
      <c r="CE17" s="22">
        <v>960</v>
      </c>
      <c r="CF17" s="22">
        <v>840</v>
      </c>
      <c r="CG17" s="22">
        <v>1800</v>
      </c>
      <c r="CH17" s="22">
        <v>20</v>
      </c>
      <c r="CI17" s="22">
        <v>16</v>
      </c>
      <c r="CJ17" s="22">
        <v>20</v>
      </c>
      <c r="CK17" s="27">
        <v>0.8</v>
      </c>
      <c r="CL17" s="27">
        <v>0.8</v>
      </c>
      <c r="CM17" s="27">
        <v>0.2</v>
      </c>
      <c r="CN17" s="27">
        <v>0.2</v>
      </c>
      <c r="CO17" s="22" t="s">
        <v>2904</v>
      </c>
      <c r="CP17" s="22" t="s">
        <v>1366</v>
      </c>
      <c r="CQ17" s="22"/>
      <c r="CR17" s="22"/>
      <c r="CS17" s="22"/>
      <c r="CT17" s="22"/>
      <c r="CU17" s="22"/>
      <c r="CV17" s="22"/>
      <c r="CW17" s="23" t="s">
        <v>1383</v>
      </c>
      <c r="CX17" s="27">
        <v>0.1</v>
      </c>
      <c r="CY17" s="27">
        <v>0.8</v>
      </c>
      <c r="CZ17" s="22" t="s">
        <v>2905</v>
      </c>
      <c r="DA17" s="22" t="s">
        <v>1372</v>
      </c>
      <c r="DB17" s="22">
        <v>10</v>
      </c>
      <c r="DC17" s="22"/>
      <c r="DD17" s="22" t="s">
        <v>2907</v>
      </c>
      <c r="DE17" s="22" t="s">
        <v>2908</v>
      </c>
      <c r="DF17" s="22" t="s">
        <v>2909</v>
      </c>
      <c r="DG17" s="22"/>
      <c r="DH17" s="22" t="s">
        <v>2910</v>
      </c>
      <c r="DI17" s="22" t="s">
        <v>3053</v>
      </c>
      <c r="DJ17" s="22"/>
      <c r="DK17" s="22"/>
      <c r="DL17" s="22" t="s">
        <v>2912</v>
      </c>
      <c r="DM17" s="22" t="s">
        <v>2913</v>
      </c>
      <c r="DN17" s="23" t="s">
        <v>1345</v>
      </c>
      <c r="DO17" s="22" t="s">
        <v>3032</v>
      </c>
      <c r="DP17" s="23" t="s">
        <v>1342</v>
      </c>
      <c r="DQ17" s="22"/>
      <c r="DR17" s="23" t="s">
        <v>1342</v>
      </c>
      <c r="DS17" s="22"/>
      <c r="DT17" s="22"/>
      <c r="DU17" s="22"/>
      <c r="DV17" s="23" t="s">
        <v>1383</v>
      </c>
      <c r="DW17" s="22" t="s">
        <v>1436</v>
      </c>
      <c r="DX17" s="23" t="s">
        <v>1383</v>
      </c>
      <c r="DY17" s="23" t="s">
        <v>1342</v>
      </c>
      <c r="DZ17" s="22" t="s">
        <v>2915</v>
      </c>
      <c r="EA17" s="23" t="s">
        <v>1383</v>
      </c>
      <c r="EB17" s="23" t="s">
        <v>1383</v>
      </c>
      <c r="EC17" s="23" t="s">
        <v>1383</v>
      </c>
      <c r="ED17" s="22" t="s">
        <v>3033</v>
      </c>
      <c r="EE17" s="27">
        <v>0.4</v>
      </c>
      <c r="EF17" s="22" t="s">
        <v>2931</v>
      </c>
      <c r="EG17" s="23" t="s">
        <v>1342</v>
      </c>
      <c r="EH17" s="22"/>
      <c r="EI17" s="22"/>
      <c r="EJ17" s="22"/>
      <c r="EK17" s="22"/>
      <c r="EL17" s="23" t="s">
        <v>1416</v>
      </c>
      <c r="EM17" s="23">
        <v>3</v>
      </c>
      <c r="EN17" s="22" t="s">
        <v>2917</v>
      </c>
      <c r="EO17" s="23">
        <v>1</v>
      </c>
      <c r="EP17" s="22" t="s">
        <v>2960</v>
      </c>
      <c r="EQ17" s="23">
        <v>2</v>
      </c>
      <c r="ER17" s="22" t="s">
        <v>3064</v>
      </c>
      <c r="ES17" s="23">
        <v>3</v>
      </c>
      <c r="ET17" s="22" t="s">
        <v>3065</v>
      </c>
      <c r="EU17" s="23">
        <v>4</v>
      </c>
      <c r="EV17" s="22" t="s">
        <v>3057</v>
      </c>
      <c r="EW17" s="23">
        <v>2</v>
      </c>
      <c r="EX17" s="22" t="s">
        <v>3066</v>
      </c>
      <c r="EY17" s="23">
        <v>0</v>
      </c>
      <c r="EZ17" s="22" t="s">
        <v>2974</v>
      </c>
      <c r="FA17" s="22"/>
    </row>
    <row r="18" spans="1:157">
      <c r="A18" s="17">
        <v>431</v>
      </c>
      <c r="B18" s="17">
        <v>14</v>
      </c>
      <c r="C18" s="23" t="s">
        <v>2278</v>
      </c>
      <c r="D18" s="24">
        <v>43752</v>
      </c>
      <c r="E18" s="23" t="s">
        <v>2802</v>
      </c>
      <c r="F18" s="25" t="e">
        <v>#N/A</v>
      </c>
      <c r="G18" s="25" t="e">
        <v>#N/A</v>
      </c>
      <c r="H18" s="23" t="s">
        <v>1086</v>
      </c>
      <c r="I18" s="23" t="s">
        <v>1065</v>
      </c>
      <c r="J18" s="23" t="s">
        <v>2784</v>
      </c>
      <c r="K18" s="23" t="s">
        <v>2784</v>
      </c>
      <c r="L18" s="23">
        <v>9</v>
      </c>
      <c r="M18" s="23" t="s">
        <v>2371</v>
      </c>
      <c r="N18" s="23" t="s">
        <v>1541</v>
      </c>
      <c r="O18" s="23" t="s">
        <v>936</v>
      </c>
      <c r="P18" s="23" t="s">
        <v>2803</v>
      </c>
      <c r="Q18" s="23">
        <v>70398307</v>
      </c>
      <c r="R18" s="23" t="s">
        <v>1345</v>
      </c>
      <c r="S18" s="23">
        <v>3</v>
      </c>
      <c r="T18" s="23" t="s">
        <v>2285</v>
      </c>
      <c r="U18" s="23">
        <v>2011</v>
      </c>
      <c r="V18" s="23" t="s">
        <v>2787</v>
      </c>
      <c r="W18" s="23" t="s">
        <v>2359</v>
      </c>
      <c r="X18" s="23" t="s">
        <v>1345</v>
      </c>
      <c r="Y18" s="23">
        <v>2017</v>
      </c>
      <c r="Z18" s="23" t="s">
        <v>2288</v>
      </c>
      <c r="AA18" s="32">
        <v>41</v>
      </c>
      <c r="AB18" s="23" t="s">
        <v>1349</v>
      </c>
      <c r="AC18" s="23">
        <v>3</v>
      </c>
      <c r="AD18" s="32" t="s">
        <v>1345</v>
      </c>
      <c r="AE18" s="23" t="s">
        <v>1345</v>
      </c>
      <c r="AF18" s="23" t="s">
        <v>1349</v>
      </c>
      <c r="AG18" s="23" t="s">
        <v>1349</v>
      </c>
      <c r="AH18" s="23" t="s">
        <v>2804</v>
      </c>
      <c r="AI18" s="23">
        <v>2011</v>
      </c>
      <c r="AJ18" s="78" t="s">
        <v>1345</v>
      </c>
      <c r="AK18" s="23" t="s">
        <v>2290</v>
      </c>
      <c r="AL18" s="23" t="s">
        <v>1612</v>
      </c>
      <c r="AM18" s="23" t="s">
        <v>1612</v>
      </c>
      <c r="AN18" s="23" t="s">
        <v>1612</v>
      </c>
      <c r="AO18" s="23" t="s">
        <v>1612</v>
      </c>
      <c r="AP18" s="23" t="s">
        <v>1612</v>
      </c>
      <c r="AQ18" s="23" t="s">
        <v>2291</v>
      </c>
      <c r="AR18" s="23" t="s">
        <v>2291</v>
      </c>
      <c r="AS18" s="23" t="s">
        <v>1802</v>
      </c>
      <c r="AT18" s="23" t="s">
        <v>1358</v>
      </c>
      <c r="AU18" s="23" t="s">
        <v>2778</v>
      </c>
      <c r="AV18" s="23" t="s">
        <v>2789</v>
      </c>
      <c r="AW18" s="23" t="s">
        <v>2805</v>
      </c>
      <c r="AX18" s="23" t="s">
        <v>2790</v>
      </c>
      <c r="AY18" s="23" t="s">
        <v>1349</v>
      </c>
      <c r="AZ18" s="23" t="s">
        <v>2431</v>
      </c>
      <c r="BA18" s="23" t="s">
        <v>2361</v>
      </c>
      <c r="BB18" s="23" t="s">
        <v>2762</v>
      </c>
      <c r="BC18" s="23" t="s">
        <v>2289</v>
      </c>
      <c r="BD18" s="23" t="s">
        <v>2289</v>
      </c>
      <c r="BE18" s="23" t="s">
        <v>2784</v>
      </c>
      <c r="BF18" s="23" t="s">
        <v>2300</v>
      </c>
      <c r="BG18" s="23" t="s">
        <v>2300</v>
      </c>
      <c r="BH18" s="23">
        <v>9</v>
      </c>
      <c r="BI18" s="23">
        <v>9</v>
      </c>
      <c r="BJ18" s="23">
        <v>9</v>
      </c>
      <c r="BK18" s="23" t="s">
        <v>2594</v>
      </c>
      <c r="BL18" s="23" t="s">
        <v>2594</v>
      </c>
      <c r="BM18" s="23" t="s">
        <v>2594</v>
      </c>
      <c r="BN18" s="23" t="s">
        <v>1349</v>
      </c>
      <c r="BO18" s="23" t="s">
        <v>2300</v>
      </c>
      <c r="BP18" s="23" t="s">
        <v>2300</v>
      </c>
      <c r="BQ18" s="23" t="s">
        <v>1349</v>
      </c>
      <c r="BR18" s="23" t="s">
        <v>1349</v>
      </c>
      <c r="BS18" s="23" t="s">
        <v>1804</v>
      </c>
      <c r="BT18" s="23" t="s">
        <v>1345</v>
      </c>
      <c r="BU18" s="23" t="s">
        <v>2382</v>
      </c>
      <c r="BV18" s="23" t="s">
        <v>1349</v>
      </c>
      <c r="BW18" s="23" t="s">
        <v>2300</v>
      </c>
      <c r="BX18" s="23" t="s">
        <v>1349</v>
      </c>
      <c r="BY18" s="23" t="s">
        <v>1366</v>
      </c>
      <c r="BZ18" s="23" t="s">
        <v>2300</v>
      </c>
      <c r="CA18" s="23" t="s">
        <v>2300</v>
      </c>
      <c r="CB18" s="23" t="s">
        <v>2289</v>
      </c>
      <c r="CC18" s="23" t="s">
        <v>2289</v>
      </c>
      <c r="CD18" s="23" t="s">
        <v>2289</v>
      </c>
      <c r="CE18" s="23">
        <v>4080</v>
      </c>
      <c r="CF18" s="23">
        <v>6600</v>
      </c>
      <c r="CG18" s="23">
        <v>6600</v>
      </c>
      <c r="CH18" s="23">
        <v>30</v>
      </c>
      <c r="CI18" s="23">
        <v>45</v>
      </c>
      <c r="CJ18" s="23">
        <v>30</v>
      </c>
      <c r="CK18" s="27">
        <v>1</v>
      </c>
      <c r="CL18" s="27">
        <v>1</v>
      </c>
      <c r="CM18" s="27">
        <v>0</v>
      </c>
      <c r="CN18" s="27">
        <v>0</v>
      </c>
      <c r="CO18" s="23" t="s">
        <v>2307</v>
      </c>
      <c r="CP18" s="23" t="s">
        <v>1565</v>
      </c>
      <c r="CQ18" s="23" t="s">
        <v>1565</v>
      </c>
      <c r="CR18" s="23" t="s">
        <v>2767</v>
      </c>
      <c r="CS18" s="23" t="s">
        <v>1706</v>
      </c>
      <c r="CT18" s="23" t="s">
        <v>2767</v>
      </c>
      <c r="CU18" s="23" t="s">
        <v>2767</v>
      </c>
      <c r="CV18" s="23" t="s">
        <v>2767</v>
      </c>
      <c r="CW18" s="23" t="s">
        <v>1345</v>
      </c>
      <c r="CX18" s="26">
        <v>0.05</v>
      </c>
      <c r="CY18" s="26">
        <v>0.95</v>
      </c>
      <c r="CZ18" s="23" t="s">
        <v>2791</v>
      </c>
      <c r="DA18" s="23" t="s">
        <v>2494</v>
      </c>
      <c r="DB18" s="23" t="s">
        <v>1903</v>
      </c>
      <c r="DC18" s="23" t="s">
        <v>2312</v>
      </c>
      <c r="DD18" s="22" t="s">
        <v>2792</v>
      </c>
      <c r="DE18" s="23" t="s">
        <v>2793</v>
      </c>
      <c r="DF18" s="23" t="s">
        <v>2315</v>
      </c>
      <c r="DG18" s="23" t="s">
        <v>2806</v>
      </c>
      <c r="DH18" s="23" t="s">
        <v>2794</v>
      </c>
      <c r="DI18" s="23" t="s">
        <v>1556</v>
      </c>
      <c r="DJ18" s="23" t="s">
        <v>1556</v>
      </c>
      <c r="DK18" s="23" t="s">
        <v>1556</v>
      </c>
      <c r="DL18" s="23" t="s">
        <v>2795</v>
      </c>
      <c r="DM18" s="23" t="s">
        <v>2770</v>
      </c>
      <c r="DN18" s="23" t="s">
        <v>1345</v>
      </c>
      <c r="DO18" s="23" t="s">
        <v>2796</v>
      </c>
      <c r="DP18" s="23" t="s">
        <v>1349</v>
      </c>
      <c r="DQ18" s="23" t="s">
        <v>1358</v>
      </c>
      <c r="DR18" s="23" t="s">
        <v>1349</v>
      </c>
      <c r="DS18" s="23" t="s">
        <v>2300</v>
      </c>
      <c r="DT18" s="23" t="s">
        <v>2300</v>
      </c>
      <c r="DU18" s="23" t="s">
        <v>2300</v>
      </c>
      <c r="DV18" s="23" t="s">
        <v>1345</v>
      </c>
      <c r="DW18" s="23" t="s">
        <v>2797</v>
      </c>
      <c r="DX18" s="23" t="s">
        <v>1345</v>
      </c>
      <c r="DY18" s="23" t="s">
        <v>1349</v>
      </c>
      <c r="DZ18" s="23" t="s">
        <v>2322</v>
      </c>
      <c r="EA18" s="23" t="s">
        <v>1345</v>
      </c>
      <c r="EB18" s="23" t="s">
        <v>1345</v>
      </c>
      <c r="EC18" s="23" t="s">
        <v>1345</v>
      </c>
      <c r="ED18" s="23" t="s">
        <v>2353</v>
      </c>
      <c r="EE18" s="27">
        <v>0.2</v>
      </c>
      <c r="EF18" s="23" t="s">
        <v>2324</v>
      </c>
      <c r="EG18" s="23" t="s">
        <v>1342</v>
      </c>
      <c r="EH18" s="23" t="s">
        <v>2300</v>
      </c>
      <c r="EI18" s="23" t="s">
        <v>2326</v>
      </c>
      <c r="EJ18" s="22" t="s">
        <v>2327</v>
      </c>
      <c r="EK18" s="23" t="s">
        <v>2419</v>
      </c>
      <c r="EL18" s="23" t="s">
        <v>1389</v>
      </c>
      <c r="EM18" s="23">
        <v>3</v>
      </c>
      <c r="EN18" s="23" t="s">
        <v>2388</v>
      </c>
      <c r="EO18" s="23">
        <v>3</v>
      </c>
      <c r="EP18" s="23" t="s">
        <v>2798</v>
      </c>
      <c r="EQ18" s="23">
        <v>4</v>
      </c>
      <c r="ER18" s="22" t="s">
        <v>2331</v>
      </c>
      <c r="ES18" s="23">
        <v>5</v>
      </c>
      <c r="ET18" s="22" t="s">
        <v>2799</v>
      </c>
      <c r="EU18" s="23">
        <v>4</v>
      </c>
      <c r="EV18" s="22" t="s">
        <v>2508</v>
      </c>
      <c r="EW18" s="23">
        <v>3</v>
      </c>
      <c r="EX18" s="22" t="s">
        <v>2801</v>
      </c>
      <c r="EY18" s="23">
        <v>2</v>
      </c>
      <c r="EZ18" s="22" t="s">
        <v>2424</v>
      </c>
      <c r="FA18" s="22"/>
    </row>
    <row r="19" spans="1:157">
      <c r="A19" s="17">
        <v>432</v>
      </c>
      <c r="B19" s="17">
        <v>64</v>
      </c>
      <c r="C19" s="23" t="s">
        <v>1795</v>
      </c>
      <c r="D19" s="36">
        <v>43746</v>
      </c>
      <c r="E19" s="23" t="s">
        <v>3417</v>
      </c>
      <c r="F19" s="25" t="s">
        <v>1728</v>
      </c>
      <c r="G19" s="25" t="s">
        <v>3291</v>
      </c>
      <c r="H19" s="23" t="s">
        <v>3292</v>
      </c>
      <c r="I19" s="23" t="s">
        <v>3293</v>
      </c>
      <c r="J19" s="23" t="s">
        <v>3291</v>
      </c>
      <c r="K19" s="23" t="s">
        <v>3418</v>
      </c>
      <c r="L19" s="23">
        <v>10</v>
      </c>
      <c r="M19" s="23" t="s">
        <v>3419</v>
      </c>
      <c r="N19" s="23" t="s">
        <v>1343</v>
      </c>
      <c r="O19" s="23" t="s">
        <v>3420</v>
      </c>
      <c r="P19" s="23" t="s">
        <v>615</v>
      </c>
      <c r="Q19" s="23">
        <v>55947904</v>
      </c>
      <c r="R19" s="23" t="s">
        <v>1345</v>
      </c>
      <c r="S19" s="23">
        <v>7</v>
      </c>
      <c r="T19" s="23" t="s">
        <v>1346</v>
      </c>
      <c r="U19" s="23">
        <v>2002</v>
      </c>
      <c r="V19" s="22" t="s">
        <v>3421</v>
      </c>
      <c r="W19" s="23" t="s">
        <v>3422</v>
      </c>
      <c r="X19" s="23" t="s">
        <v>1345</v>
      </c>
      <c r="Y19" s="23">
        <v>2018</v>
      </c>
      <c r="Z19" s="23"/>
      <c r="AA19" s="32">
        <v>33</v>
      </c>
      <c r="AB19" s="23" t="s">
        <v>1345</v>
      </c>
      <c r="AC19" s="23">
        <v>3</v>
      </c>
      <c r="AD19" s="32" t="s">
        <v>1345</v>
      </c>
      <c r="AE19" s="23" t="s">
        <v>1345</v>
      </c>
      <c r="AF19" s="23" t="s">
        <v>1345</v>
      </c>
      <c r="AG19" s="23" t="s">
        <v>1345</v>
      </c>
      <c r="AH19" s="23" t="s">
        <v>1358</v>
      </c>
      <c r="AI19" s="23">
        <v>2002</v>
      </c>
      <c r="AJ19" s="23" t="s">
        <v>1349</v>
      </c>
      <c r="AK19" s="23" t="s">
        <v>3297</v>
      </c>
      <c r="AL19" s="23" t="s">
        <v>1550</v>
      </c>
      <c r="AM19" s="23" t="s">
        <v>1550</v>
      </c>
      <c r="AN19" s="23" t="s">
        <v>1550</v>
      </c>
      <c r="AO19" s="23" t="s">
        <v>1550</v>
      </c>
      <c r="AP19" s="23" t="s">
        <v>1550</v>
      </c>
      <c r="AQ19" s="23" t="s">
        <v>1352</v>
      </c>
      <c r="AR19" s="23" t="s">
        <v>1352</v>
      </c>
      <c r="AS19" s="23" t="s">
        <v>1862</v>
      </c>
      <c r="AT19" s="23" t="s">
        <v>3423</v>
      </c>
      <c r="AU19" s="22"/>
      <c r="AV19" s="22">
        <v>1000</v>
      </c>
      <c r="AW19" s="23" t="s">
        <v>3424</v>
      </c>
      <c r="AX19" s="23" t="s">
        <v>3425</v>
      </c>
      <c r="AY19" s="23"/>
      <c r="AZ19" s="22"/>
      <c r="BA19" s="22"/>
      <c r="BB19" s="23" t="s">
        <v>1358</v>
      </c>
      <c r="BC19" s="23" t="s">
        <v>1358</v>
      </c>
      <c r="BD19" s="23" t="s">
        <v>1358</v>
      </c>
      <c r="BE19" s="23" t="s">
        <v>3426</v>
      </c>
      <c r="BF19" s="22"/>
      <c r="BG19" s="22"/>
      <c r="BH19" s="23">
        <v>1</v>
      </c>
      <c r="BI19" s="23">
        <v>2</v>
      </c>
      <c r="BJ19" s="23">
        <v>2</v>
      </c>
      <c r="BK19" s="23" t="s">
        <v>3402</v>
      </c>
      <c r="BL19" s="23" t="s">
        <v>3402</v>
      </c>
      <c r="BM19" s="23" t="s">
        <v>3402</v>
      </c>
      <c r="BN19" s="23" t="s">
        <v>1349</v>
      </c>
      <c r="BO19" s="22"/>
      <c r="BP19" s="22"/>
      <c r="BQ19" s="23" t="s">
        <v>1345</v>
      </c>
      <c r="BR19" s="23" t="s">
        <v>1345</v>
      </c>
      <c r="BS19" s="23" t="s">
        <v>1358</v>
      </c>
      <c r="BT19" s="23" t="s">
        <v>1345</v>
      </c>
      <c r="BU19" s="23" t="s">
        <v>3427</v>
      </c>
      <c r="BV19" s="23" t="s">
        <v>1349</v>
      </c>
      <c r="BW19" s="22"/>
      <c r="BX19" s="23" t="s">
        <v>1345</v>
      </c>
      <c r="BY19" s="23" t="s">
        <v>1362</v>
      </c>
      <c r="BZ19" s="23" t="s">
        <v>3307</v>
      </c>
      <c r="CA19" s="23" t="s">
        <v>3428</v>
      </c>
      <c r="CB19" s="23" t="s">
        <v>1935</v>
      </c>
      <c r="CC19" s="23" t="s">
        <v>1935</v>
      </c>
      <c r="CD19" s="23" t="s">
        <v>1935</v>
      </c>
      <c r="CE19" s="23" t="s">
        <v>1904</v>
      </c>
      <c r="CF19" s="23">
        <v>1200</v>
      </c>
      <c r="CG19" s="23">
        <v>3000</v>
      </c>
      <c r="CH19" s="22"/>
      <c r="CI19" s="23">
        <v>20</v>
      </c>
      <c r="CJ19" s="23">
        <v>30</v>
      </c>
      <c r="CK19" s="23" t="s">
        <v>1904</v>
      </c>
      <c r="CL19" s="27">
        <v>0.7</v>
      </c>
      <c r="CM19" s="23" t="s">
        <v>1904</v>
      </c>
      <c r="CN19" s="27">
        <v>0.3</v>
      </c>
      <c r="CO19" s="23" t="s">
        <v>3310</v>
      </c>
      <c r="CP19" s="23" t="s">
        <v>1358</v>
      </c>
      <c r="CQ19" s="23" t="s">
        <v>1367</v>
      </c>
      <c r="CR19" s="23">
        <v>10</v>
      </c>
      <c r="CS19" s="23" t="s">
        <v>2230</v>
      </c>
      <c r="CT19" s="23" t="s">
        <v>3311</v>
      </c>
      <c r="CU19" s="23" t="s">
        <v>1349</v>
      </c>
      <c r="CV19" s="23" t="s">
        <v>3406</v>
      </c>
      <c r="CW19" s="23" t="s">
        <v>1349</v>
      </c>
      <c r="CX19" s="27"/>
      <c r="CY19" s="27"/>
      <c r="CZ19" s="23" t="s">
        <v>3313</v>
      </c>
      <c r="DA19" s="22" t="s">
        <v>3350</v>
      </c>
      <c r="DB19" s="22"/>
      <c r="DC19" s="22" t="s">
        <v>1976</v>
      </c>
      <c r="DD19" s="22" t="s">
        <v>3429</v>
      </c>
      <c r="DE19" s="22" t="s">
        <v>3430</v>
      </c>
      <c r="DF19" s="22" t="s">
        <v>3431</v>
      </c>
      <c r="DG19" s="22" t="s">
        <v>1904</v>
      </c>
      <c r="DH19" s="22" t="s">
        <v>3319</v>
      </c>
      <c r="DI19" s="22" t="s">
        <v>3319</v>
      </c>
      <c r="DJ19" s="22" t="s">
        <v>3319</v>
      </c>
      <c r="DK19" s="22" t="s">
        <v>3319</v>
      </c>
      <c r="DL19" s="22" t="s">
        <v>1358</v>
      </c>
      <c r="DM19" s="22" t="s">
        <v>1358</v>
      </c>
      <c r="DN19" s="23" t="s">
        <v>1349</v>
      </c>
      <c r="DO19" s="22" t="s">
        <v>1358</v>
      </c>
      <c r="DP19" s="23" t="s">
        <v>1349</v>
      </c>
      <c r="DQ19" s="22" t="s">
        <v>1358</v>
      </c>
      <c r="DR19" s="23" t="s">
        <v>1345</v>
      </c>
      <c r="DS19" s="22" t="s">
        <v>3320</v>
      </c>
      <c r="DT19" s="23" t="s">
        <v>3432</v>
      </c>
      <c r="DU19" s="23" t="s">
        <v>3321</v>
      </c>
      <c r="DV19" s="23" t="s">
        <v>3433</v>
      </c>
      <c r="DW19" s="22"/>
      <c r="DX19" s="23" t="s">
        <v>3323</v>
      </c>
      <c r="DY19" s="23" t="s">
        <v>1349</v>
      </c>
      <c r="DZ19" s="23" t="s">
        <v>3434</v>
      </c>
      <c r="EA19" s="23" t="s">
        <v>1345</v>
      </c>
      <c r="EB19" s="23" t="s">
        <v>1345</v>
      </c>
      <c r="EC19" s="23" t="s">
        <v>3325</v>
      </c>
      <c r="ED19" s="23" t="s">
        <v>3326</v>
      </c>
      <c r="EE19" s="27">
        <v>0.5</v>
      </c>
      <c r="EF19" s="23" t="s">
        <v>1948</v>
      </c>
      <c r="EG19" s="23" t="s">
        <v>1349</v>
      </c>
      <c r="EH19" s="22"/>
      <c r="EI19" s="23" t="s">
        <v>3413</v>
      </c>
      <c r="EJ19" s="23" t="s">
        <v>3414</v>
      </c>
      <c r="EK19" s="23" t="s">
        <v>3415</v>
      </c>
      <c r="EL19" s="23" t="s">
        <v>1389</v>
      </c>
      <c r="EM19" s="23">
        <v>4</v>
      </c>
      <c r="EN19" s="23" t="s">
        <v>3435</v>
      </c>
      <c r="EO19" s="23">
        <v>3</v>
      </c>
      <c r="EP19" s="23" t="s">
        <v>3436</v>
      </c>
      <c r="EQ19" s="23">
        <v>2</v>
      </c>
      <c r="ER19" s="22" t="s">
        <v>3437</v>
      </c>
      <c r="ES19" s="23">
        <v>3</v>
      </c>
      <c r="ET19" s="23" t="s">
        <v>3335</v>
      </c>
      <c r="EU19" s="23">
        <v>1</v>
      </c>
      <c r="EV19" s="22" t="s">
        <v>3336</v>
      </c>
      <c r="EW19" s="23">
        <v>2</v>
      </c>
      <c r="EX19" s="22" t="s">
        <v>3438</v>
      </c>
      <c r="EY19" s="23">
        <v>1</v>
      </c>
      <c r="EZ19" s="22" t="s">
        <v>3338</v>
      </c>
      <c r="FA19" s="22"/>
    </row>
    <row r="20" spans="1:157">
      <c r="A20" s="17">
        <v>433</v>
      </c>
      <c r="B20" s="17">
        <v>23</v>
      </c>
      <c r="C20" s="23" t="s">
        <v>2278</v>
      </c>
      <c r="D20" s="24">
        <v>43756</v>
      </c>
      <c r="E20" s="23" t="s">
        <v>2857</v>
      </c>
      <c r="F20" s="25"/>
      <c r="G20" s="25"/>
      <c r="H20" s="23" t="s">
        <v>1086</v>
      </c>
      <c r="I20" s="23" t="s">
        <v>1065</v>
      </c>
      <c r="J20" s="23" t="s">
        <v>2833</v>
      </c>
      <c r="K20" s="23" t="s">
        <v>2834</v>
      </c>
      <c r="L20" s="23">
        <v>46</v>
      </c>
      <c r="M20" s="23" t="s">
        <v>2393</v>
      </c>
      <c r="N20" s="23" t="s">
        <v>1541</v>
      </c>
      <c r="O20" s="23" t="s">
        <v>2858</v>
      </c>
      <c r="P20" s="23" t="s">
        <v>2859</v>
      </c>
      <c r="Q20" s="23">
        <v>75232820</v>
      </c>
      <c r="R20" s="23" t="s">
        <v>1345</v>
      </c>
      <c r="S20" s="23">
        <v>3</v>
      </c>
      <c r="T20" s="23" t="s">
        <v>2285</v>
      </c>
      <c r="U20" s="23">
        <v>2001</v>
      </c>
      <c r="V20" s="23" t="s">
        <v>2787</v>
      </c>
      <c r="W20" s="23" t="s">
        <v>1366</v>
      </c>
      <c r="X20" s="23" t="s">
        <v>1345</v>
      </c>
      <c r="Y20" s="23">
        <v>2018</v>
      </c>
      <c r="Z20" s="23" t="s">
        <v>2288</v>
      </c>
      <c r="AA20" s="32">
        <v>60</v>
      </c>
      <c r="AB20" s="23" t="s">
        <v>1383</v>
      </c>
      <c r="AC20" s="23">
        <v>3</v>
      </c>
      <c r="AD20" s="32" t="s">
        <v>1345</v>
      </c>
      <c r="AE20" s="23" t="s">
        <v>1345</v>
      </c>
      <c r="AF20" s="23" t="s">
        <v>1349</v>
      </c>
      <c r="AG20" s="23" t="s">
        <v>1349</v>
      </c>
      <c r="AH20" s="23" t="s">
        <v>2788</v>
      </c>
      <c r="AI20" s="23">
        <v>2001</v>
      </c>
      <c r="AJ20" s="78" t="s">
        <v>1345</v>
      </c>
      <c r="AK20" s="23" t="s">
        <v>2290</v>
      </c>
      <c r="AL20" s="23" t="s">
        <v>1612</v>
      </c>
      <c r="AM20" s="23" t="s">
        <v>1612</v>
      </c>
      <c r="AN20" s="23" t="s">
        <v>1612</v>
      </c>
      <c r="AO20" s="23" t="s">
        <v>1612</v>
      </c>
      <c r="AP20" s="23" t="s">
        <v>1612</v>
      </c>
      <c r="AQ20" s="23" t="s">
        <v>2291</v>
      </c>
      <c r="AR20" s="23" t="s">
        <v>2291</v>
      </c>
      <c r="AS20" s="23" t="s">
        <v>1802</v>
      </c>
      <c r="AT20" s="23" t="s">
        <v>1358</v>
      </c>
      <c r="AU20" s="23" t="s">
        <v>2856</v>
      </c>
      <c r="AV20" s="22" t="s">
        <v>2789</v>
      </c>
      <c r="AW20" s="23" t="s">
        <v>2860</v>
      </c>
      <c r="AX20" s="23" t="s">
        <v>2847</v>
      </c>
      <c r="AY20" s="23" t="s">
        <v>1349</v>
      </c>
      <c r="AZ20" s="23" t="s">
        <v>2361</v>
      </c>
      <c r="BA20" s="23" t="s">
        <v>2361</v>
      </c>
      <c r="BB20" s="23" t="s">
        <v>2289</v>
      </c>
      <c r="BC20" s="23" t="s">
        <v>2289</v>
      </c>
      <c r="BD20" s="23" t="s">
        <v>2289</v>
      </c>
      <c r="BE20" s="23" t="s">
        <v>2834</v>
      </c>
      <c r="BF20" s="23" t="s">
        <v>2300</v>
      </c>
      <c r="BG20" s="23" t="s">
        <v>2300</v>
      </c>
      <c r="BH20" s="22">
        <v>6</v>
      </c>
      <c r="BI20" s="22">
        <v>6.5</v>
      </c>
      <c r="BJ20" s="22">
        <v>7</v>
      </c>
      <c r="BK20" s="23" t="s">
        <v>2594</v>
      </c>
      <c r="BL20" s="23" t="s">
        <v>2594</v>
      </c>
      <c r="BM20" s="23" t="s">
        <v>2594</v>
      </c>
      <c r="BN20" s="23" t="s">
        <v>1349</v>
      </c>
      <c r="BO20" s="23" t="s">
        <v>2300</v>
      </c>
      <c r="BP20" s="23" t="s">
        <v>2300</v>
      </c>
      <c r="BQ20" s="23" t="s">
        <v>1349</v>
      </c>
      <c r="BR20" s="23" t="s">
        <v>1349</v>
      </c>
      <c r="BS20" s="23" t="s">
        <v>1804</v>
      </c>
      <c r="BT20" s="23" t="s">
        <v>1345</v>
      </c>
      <c r="BU20" s="23" t="s">
        <v>1358</v>
      </c>
      <c r="BV20" s="23" t="s">
        <v>1349</v>
      </c>
      <c r="BW20" s="23" t="s">
        <v>2300</v>
      </c>
      <c r="BX20" s="23" t="s">
        <v>1349</v>
      </c>
      <c r="BY20" s="23" t="s">
        <v>1565</v>
      </c>
      <c r="BZ20" s="23" t="s">
        <v>2300</v>
      </c>
      <c r="CA20" s="23" t="s">
        <v>2300</v>
      </c>
      <c r="CB20" s="23" t="s">
        <v>2289</v>
      </c>
      <c r="CC20" s="23" t="s">
        <v>2289</v>
      </c>
      <c r="CD20" s="23" t="s">
        <v>2289</v>
      </c>
      <c r="CE20" s="23">
        <v>21600</v>
      </c>
      <c r="CF20" s="23">
        <v>9840</v>
      </c>
      <c r="CG20" s="23">
        <v>31200</v>
      </c>
      <c r="CH20" s="23">
        <v>45</v>
      </c>
      <c r="CI20" s="23">
        <v>45</v>
      </c>
      <c r="CJ20" s="23">
        <v>45</v>
      </c>
      <c r="CK20" s="27">
        <v>1</v>
      </c>
      <c r="CL20" s="27">
        <v>1</v>
      </c>
      <c r="CM20" s="27">
        <v>0</v>
      </c>
      <c r="CN20" s="27">
        <v>0</v>
      </c>
      <c r="CO20" s="23" t="s">
        <v>2307</v>
      </c>
      <c r="CP20" s="23" t="s">
        <v>1565</v>
      </c>
      <c r="CQ20" s="23" t="s">
        <v>1565</v>
      </c>
      <c r="CR20" s="23" t="s">
        <v>2767</v>
      </c>
      <c r="CS20" s="23" t="s">
        <v>1706</v>
      </c>
      <c r="CT20" s="23" t="s">
        <v>2767</v>
      </c>
      <c r="CU20" s="23" t="s">
        <v>2767</v>
      </c>
      <c r="CV20" s="23" t="s">
        <v>2767</v>
      </c>
      <c r="CW20" s="23" t="s">
        <v>1345</v>
      </c>
      <c r="CX20" s="26">
        <v>0.1</v>
      </c>
      <c r="CY20" s="26">
        <v>0.9</v>
      </c>
      <c r="CZ20" s="23" t="s">
        <v>2791</v>
      </c>
      <c r="DA20" s="23" t="s">
        <v>2494</v>
      </c>
      <c r="DB20" s="23" t="s">
        <v>1903</v>
      </c>
      <c r="DC20" s="23" t="s">
        <v>2836</v>
      </c>
      <c r="DD20" s="22" t="s">
        <v>2837</v>
      </c>
      <c r="DE20" s="23" t="s">
        <v>2838</v>
      </c>
      <c r="DF20" s="23" t="s">
        <v>2839</v>
      </c>
      <c r="DG20" s="23" t="s">
        <v>2861</v>
      </c>
      <c r="DH20" s="23" t="s">
        <v>2794</v>
      </c>
      <c r="DI20" s="23" t="s">
        <v>1556</v>
      </c>
      <c r="DJ20" s="23" t="s">
        <v>1556</v>
      </c>
      <c r="DK20" s="23" t="s">
        <v>1556</v>
      </c>
      <c r="DL20" s="23" t="s">
        <v>2795</v>
      </c>
      <c r="DM20" s="23" t="s">
        <v>2852</v>
      </c>
      <c r="DN20" s="23" t="s">
        <v>1345</v>
      </c>
      <c r="DO20" s="23" t="s">
        <v>2796</v>
      </c>
      <c r="DP20" s="23" t="s">
        <v>1349</v>
      </c>
      <c r="DQ20" s="23" t="s">
        <v>1358</v>
      </c>
      <c r="DR20" s="23" t="s">
        <v>1349</v>
      </c>
      <c r="DS20" s="23" t="s">
        <v>2300</v>
      </c>
      <c r="DT20" s="23" t="s">
        <v>2300</v>
      </c>
      <c r="DU20" s="23" t="s">
        <v>2300</v>
      </c>
      <c r="DV20" s="23" t="s">
        <v>1345</v>
      </c>
      <c r="DW20" s="23" t="s">
        <v>2797</v>
      </c>
      <c r="DX20" s="23" t="s">
        <v>1345</v>
      </c>
      <c r="DY20" s="23" t="s">
        <v>1349</v>
      </c>
      <c r="DZ20" s="23" t="s">
        <v>2322</v>
      </c>
      <c r="EA20" s="23" t="s">
        <v>1345</v>
      </c>
      <c r="EB20" s="23" t="s">
        <v>1345</v>
      </c>
      <c r="EC20" s="23" t="s">
        <v>1345</v>
      </c>
      <c r="ED20" s="23" t="s">
        <v>2353</v>
      </c>
      <c r="EE20" s="27">
        <v>0.05</v>
      </c>
      <c r="EF20" s="23" t="s">
        <v>2324</v>
      </c>
      <c r="EG20" s="23" t="s">
        <v>1342</v>
      </c>
      <c r="EH20" s="23" t="s">
        <v>2300</v>
      </c>
      <c r="EI20" s="23" t="s">
        <v>2326</v>
      </c>
      <c r="EJ20" s="22" t="s">
        <v>2853</v>
      </c>
      <c r="EK20" s="23" t="s">
        <v>2419</v>
      </c>
      <c r="EL20" s="23" t="s">
        <v>1389</v>
      </c>
      <c r="EM20" s="23">
        <v>4</v>
      </c>
      <c r="EN20" s="23" t="s">
        <v>2388</v>
      </c>
      <c r="EO20" s="23">
        <v>4</v>
      </c>
      <c r="EP20" s="23" t="s">
        <v>2862</v>
      </c>
      <c r="EQ20" s="23">
        <v>4</v>
      </c>
      <c r="ER20" s="22" t="s">
        <v>2331</v>
      </c>
      <c r="ES20" s="23">
        <v>4</v>
      </c>
      <c r="ET20" s="22" t="s">
        <v>2863</v>
      </c>
      <c r="EU20" s="23">
        <v>4</v>
      </c>
      <c r="EV20" s="22" t="s">
        <v>2508</v>
      </c>
      <c r="EW20" s="23">
        <v>1</v>
      </c>
      <c r="EX20" s="22" t="s">
        <v>2843</v>
      </c>
      <c r="EY20" s="23">
        <v>2</v>
      </c>
      <c r="EZ20" s="22" t="s">
        <v>2424</v>
      </c>
      <c r="FA20" s="22"/>
    </row>
    <row r="21" spans="1:157">
      <c r="A21" s="17">
        <v>434</v>
      </c>
      <c r="B21" s="17">
        <v>15</v>
      </c>
      <c r="C21" s="23" t="s">
        <v>2278</v>
      </c>
      <c r="D21" s="24">
        <v>43752</v>
      </c>
      <c r="E21" s="23" t="s">
        <v>2807</v>
      </c>
      <c r="F21" s="25" t="e">
        <v>#N/A</v>
      </c>
      <c r="G21" s="25" t="e">
        <v>#N/A</v>
      </c>
      <c r="H21" s="23" t="s">
        <v>1086</v>
      </c>
      <c r="I21" s="23" t="s">
        <v>1065</v>
      </c>
      <c r="J21" s="23" t="s">
        <v>2784</v>
      </c>
      <c r="K21" s="23" t="s">
        <v>2808</v>
      </c>
      <c r="L21" s="23">
        <v>6</v>
      </c>
      <c r="M21" s="23" t="s">
        <v>2809</v>
      </c>
      <c r="N21" s="23" t="s">
        <v>1541</v>
      </c>
      <c r="O21" s="23" t="s">
        <v>2810</v>
      </c>
      <c r="P21" s="23" t="s">
        <v>2811</v>
      </c>
      <c r="Q21" s="23">
        <v>73915274</v>
      </c>
      <c r="R21" s="23" t="s">
        <v>1345</v>
      </c>
      <c r="S21" s="23">
        <v>3</v>
      </c>
      <c r="T21" s="23" t="s">
        <v>2285</v>
      </c>
      <c r="U21" s="23">
        <v>2015</v>
      </c>
      <c r="V21" s="23" t="s">
        <v>2787</v>
      </c>
      <c r="W21" s="23" t="s">
        <v>1366</v>
      </c>
      <c r="X21" s="23" t="s">
        <v>1349</v>
      </c>
      <c r="Y21" s="23" t="s">
        <v>2300</v>
      </c>
      <c r="Z21" s="23"/>
      <c r="AA21" s="32">
        <v>24</v>
      </c>
      <c r="AB21" s="23" t="s">
        <v>1349</v>
      </c>
      <c r="AC21" s="23">
        <v>2</v>
      </c>
      <c r="AD21" s="32" t="s">
        <v>1345</v>
      </c>
      <c r="AE21" s="23" t="s">
        <v>1345</v>
      </c>
      <c r="AF21" s="23" t="s">
        <v>1349</v>
      </c>
      <c r="AG21" s="23" t="s">
        <v>1349</v>
      </c>
      <c r="AH21" s="23" t="s">
        <v>2289</v>
      </c>
      <c r="AI21" s="23">
        <v>2015</v>
      </c>
      <c r="AJ21" s="23" t="s">
        <v>1349</v>
      </c>
      <c r="AK21" s="23" t="s">
        <v>2290</v>
      </c>
      <c r="AL21" s="23" t="s">
        <v>1612</v>
      </c>
      <c r="AM21" s="23" t="s">
        <v>1612</v>
      </c>
      <c r="AN21" s="23" t="s">
        <v>1612</v>
      </c>
      <c r="AO21" s="23" t="s">
        <v>1612</v>
      </c>
      <c r="AP21" s="23" t="s">
        <v>1612</v>
      </c>
      <c r="AQ21" s="23" t="s">
        <v>2291</v>
      </c>
      <c r="AR21" s="23" t="s">
        <v>2291</v>
      </c>
      <c r="AS21" s="23" t="s">
        <v>1802</v>
      </c>
      <c r="AT21" s="23" t="s">
        <v>1358</v>
      </c>
      <c r="AU21" s="23" t="s">
        <v>2778</v>
      </c>
      <c r="AV21" s="23" t="s">
        <v>2789</v>
      </c>
      <c r="AW21" s="23" t="s">
        <v>2805</v>
      </c>
      <c r="AX21" s="23" t="s">
        <v>2812</v>
      </c>
      <c r="AY21" s="23" t="s">
        <v>1349</v>
      </c>
      <c r="AZ21" s="23" t="s">
        <v>2431</v>
      </c>
      <c r="BA21" s="23" t="s">
        <v>2361</v>
      </c>
      <c r="BB21" s="23" t="s">
        <v>2762</v>
      </c>
      <c r="BC21" s="23" t="s">
        <v>2289</v>
      </c>
      <c r="BD21" s="23" t="s">
        <v>2289</v>
      </c>
      <c r="BE21" s="23" t="s">
        <v>2808</v>
      </c>
      <c r="BF21" s="23" t="s">
        <v>2300</v>
      </c>
      <c r="BG21" s="23" t="s">
        <v>2300</v>
      </c>
      <c r="BH21" s="23">
        <v>7</v>
      </c>
      <c r="BI21" s="23">
        <v>7</v>
      </c>
      <c r="BJ21" s="23">
        <v>7</v>
      </c>
      <c r="BK21" s="23" t="s">
        <v>2594</v>
      </c>
      <c r="BL21" s="23" t="s">
        <v>2594</v>
      </c>
      <c r="BM21" s="23" t="s">
        <v>2594</v>
      </c>
      <c r="BN21" s="23" t="s">
        <v>1349</v>
      </c>
      <c r="BO21" s="23" t="s">
        <v>2300</v>
      </c>
      <c r="BP21" s="23" t="s">
        <v>2300</v>
      </c>
      <c r="BQ21" s="23" t="s">
        <v>1349</v>
      </c>
      <c r="BR21" s="23" t="s">
        <v>1349</v>
      </c>
      <c r="BS21" s="23" t="s">
        <v>1804</v>
      </c>
      <c r="BT21" s="23" t="s">
        <v>1345</v>
      </c>
      <c r="BU21" s="23" t="s">
        <v>2402</v>
      </c>
      <c r="BV21" s="23" t="s">
        <v>1349</v>
      </c>
      <c r="BW21" s="23" t="s">
        <v>2300</v>
      </c>
      <c r="BX21" s="23" t="s">
        <v>1349</v>
      </c>
      <c r="BY21" s="23" t="s">
        <v>1366</v>
      </c>
      <c r="BZ21" s="23" t="s">
        <v>2300</v>
      </c>
      <c r="CA21" s="23" t="s">
        <v>2300</v>
      </c>
      <c r="CB21" s="23" t="s">
        <v>2289</v>
      </c>
      <c r="CC21" s="23" t="s">
        <v>2289</v>
      </c>
      <c r="CD21" s="23" t="s">
        <v>2289</v>
      </c>
      <c r="CE21" s="23">
        <v>3120</v>
      </c>
      <c r="CF21" s="23">
        <v>3120</v>
      </c>
      <c r="CG21" s="23">
        <v>4200</v>
      </c>
      <c r="CH21" s="23">
        <v>40</v>
      </c>
      <c r="CI21" s="23" t="s">
        <v>2300</v>
      </c>
      <c r="CJ21" s="23">
        <v>40</v>
      </c>
      <c r="CK21" s="27">
        <v>1</v>
      </c>
      <c r="CL21" s="27">
        <v>1</v>
      </c>
      <c r="CM21" s="27">
        <v>0</v>
      </c>
      <c r="CN21" s="27">
        <v>0</v>
      </c>
      <c r="CO21" s="23" t="s">
        <v>2307</v>
      </c>
      <c r="CP21" s="23" t="s">
        <v>1565</v>
      </c>
      <c r="CQ21" s="23" t="s">
        <v>1565</v>
      </c>
      <c r="CR21" s="23" t="s">
        <v>2767</v>
      </c>
      <c r="CS21" s="23" t="s">
        <v>1706</v>
      </c>
      <c r="CT21" s="23" t="s">
        <v>2767</v>
      </c>
      <c r="CU21" s="23" t="s">
        <v>2767</v>
      </c>
      <c r="CV21" s="23" t="s">
        <v>2767</v>
      </c>
      <c r="CW21" s="23" t="s">
        <v>1345</v>
      </c>
      <c r="CX21" s="26">
        <v>0.05</v>
      </c>
      <c r="CY21" s="26">
        <v>0.95</v>
      </c>
      <c r="CZ21" s="23" t="s">
        <v>2791</v>
      </c>
      <c r="DA21" s="23" t="s">
        <v>2494</v>
      </c>
      <c r="DB21" s="23" t="s">
        <v>1903</v>
      </c>
      <c r="DC21" s="23" t="s">
        <v>2408</v>
      </c>
      <c r="DD21" s="22" t="s">
        <v>2792</v>
      </c>
      <c r="DE21" s="23" t="s">
        <v>2793</v>
      </c>
      <c r="DF21" s="23" t="s">
        <v>2315</v>
      </c>
      <c r="DG21" s="23" t="s">
        <v>2813</v>
      </c>
      <c r="DH21" s="23" t="s">
        <v>2794</v>
      </c>
      <c r="DI21" s="23" t="s">
        <v>1556</v>
      </c>
      <c r="DJ21" s="23" t="s">
        <v>1556</v>
      </c>
      <c r="DK21" s="23" t="s">
        <v>1556</v>
      </c>
      <c r="DL21" s="23" t="s">
        <v>2795</v>
      </c>
      <c r="DM21" s="23" t="s">
        <v>2770</v>
      </c>
      <c r="DN21" s="23" t="s">
        <v>1345</v>
      </c>
      <c r="DO21" s="23" t="s">
        <v>2796</v>
      </c>
      <c r="DP21" s="23" t="s">
        <v>1349</v>
      </c>
      <c r="DQ21" s="23" t="s">
        <v>1358</v>
      </c>
      <c r="DR21" s="23" t="s">
        <v>1349</v>
      </c>
      <c r="DS21" s="23" t="s">
        <v>2300</v>
      </c>
      <c r="DT21" s="23" t="s">
        <v>2300</v>
      </c>
      <c r="DU21" s="23" t="s">
        <v>2300</v>
      </c>
      <c r="DV21" s="23" t="s">
        <v>1345</v>
      </c>
      <c r="DW21" s="23" t="s">
        <v>2797</v>
      </c>
      <c r="DX21" s="23" t="s">
        <v>1345</v>
      </c>
      <c r="DY21" s="23" t="s">
        <v>1349</v>
      </c>
      <c r="DZ21" s="23" t="s">
        <v>2322</v>
      </c>
      <c r="EA21" s="23" t="s">
        <v>1345</v>
      </c>
      <c r="EB21" s="23" t="s">
        <v>1345</v>
      </c>
      <c r="EC21" s="23" t="s">
        <v>1345</v>
      </c>
      <c r="ED21" s="23" t="s">
        <v>2353</v>
      </c>
      <c r="EE21" s="27">
        <v>0.3</v>
      </c>
      <c r="EF21" s="23" t="s">
        <v>2324</v>
      </c>
      <c r="EG21" s="23" t="s">
        <v>1342</v>
      </c>
      <c r="EH21" s="23" t="s">
        <v>2300</v>
      </c>
      <c r="EI21" s="23" t="s">
        <v>2326</v>
      </c>
      <c r="EJ21" s="22" t="s">
        <v>2327</v>
      </c>
      <c r="EK21" s="23" t="s">
        <v>2419</v>
      </c>
      <c r="EL21" s="23" t="s">
        <v>1389</v>
      </c>
      <c r="EM21" s="23">
        <v>3</v>
      </c>
      <c r="EN21" s="23" t="s">
        <v>2388</v>
      </c>
      <c r="EO21" s="23">
        <v>4</v>
      </c>
      <c r="EP21" s="23" t="s">
        <v>2798</v>
      </c>
      <c r="EQ21" s="23">
        <v>4</v>
      </c>
      <c r="ER21" s="22" t="s">
        <v>2331</v>
      </c>
      <c r="ES21" s="23">
        <v>4</v>
      </c>
      <c r="ET21" s="22" t="s">
        <v>2799</v>
      </c>
      <c r="EU21" s="23">
        <v>4</v>
      </c>
      <c r="EV21" s="22" t="s">
        <v>2508</v>
      </c>
      <c r="EW21" s="23">
        <v>3</v>
      </c>
      <c r="EX21" s="22" t="s">
        <v>2801</v>
      </c>
      <c r="EY21" s="23">
        <v>2</v>
      </c>
      <c r="EZ21" s="22" t="s">
        <v>2424</v>
      </c>
      <c r="FA21" s="22"/>
    </row>
    <row r="22" spans="1:157">
      <c r="A22" s="17">
        <v>435</v>
      </c>
      <c r="B22" s="17">
        <v>44</v>
      </c>
      <c r="C22" s="23" t="s">
        <v>1337</v>
      </c>
      <c r="D22" s="33">
        <v>43752</v>
      </c>
      <c r="E22" s="23" t="s">
        <v>3110</v>
      </c>
      <c r="F22" s="22"/>
      <c r="G22" s="25" t="s">
        <v>2893</v>
      </c>
      <c r="H22" s="23" t="s">
        <v>1086</v>
      </c>
      <c r="I22" s="23" t="s">
        <v>1065</v>
      </c>
      <c r="J22" s="23" t="s">
        <v>2893</v>
      </c>
      <c r="K22" s="23" t="s">
        <v>2962</v>
      </c>
      <c r="L22" s="23">
        <v>0</v>
      </c>
      <c r="M22" s="23" t="s">
        <v>1342</v>
      </c>
      <c r="N22" s="23" t="s">
        <v>1692</v>
      </c>
      <c r="O22" s="23" t="s">
        <v>2810</v>
      </c>
      <c r="P22" s="23" t="s">
        <v>3040</v>
      </c>
      <c r="Q22" s="23" t="s">
        <v>3111</v>
      </c>
      <c r="R22" s="23" t="s">
        <v>1345</v>
      </c>
      <c r="S22" s="23">
        <v>3</v>
      </c>
      <c r="T22" s="23" t="s">
        <v>1346</v>
      </c>
      <c r="U22" s="23">
        <v>2011</v>
      </c>
      <c r="V22" s="22" t="s">
        <v>2896</v>
      </c>
      <c r="W22" s="22" t="s">
        <v>1401</v>
      </c>
      <c r="X22" s="23" t="s">
        <v>1342</v>
      </c>
      <c r="Y22" s="22"/>
      <c r="Z22" s="22"/>
      <c r="AA22" s="32">
        <v>30</v>
      </c>
      <c r="AB22" s="23" t="s">
        <v>1383</v>
      </c>
      <c r="AC22" s="22">
        <v>0</v>
      </c>
      <c r="AD22" s="32" t="s">
        <v>1345</v>
      </c>
      <c r="AE22" s="23" t="s">
        <v>1345</v>
      </c>
      <c r="AF22" s="23" t="s">
        <v>1342</v>
      </c>
      <c r="AG22" s="23" t="s">
        <v>1342</v>
      </c>
      <c r="AH22" s="23" t="s">
        <v>3026</v>
      </c>
      <c r="AI22" s="23">
        <v>2014</v>
      </c>
      <c r="AJ22" s="23" t="s">
        <v>1342</v>
      </c>
      <c r="AK22" s="23" t="s">
        <v>2897</v>
      </c>
      <c r="AL22" s="23" t="s">
        <v>1351</v>
      </c>
      <c r="AM22" s="23" t="s">
        <v>1351</v>
      </c>
      <c r="AN22" s="23" t="s">
        <v>1351</v>
      </c>
      <c r="AO22" s="23" t="s">
        <v>1351</v>
      </c>
      <c r="AP22" s="23" t="s">
        <v>1351</v>
      </c>
      <c r="AQ22" s="23" t="s">
        <v>1352</v>
      </c>
      <c r="AR22" s="23" t="s">
        <v>1352</v>
      </c>
      <c r="AS22" s="23" t="s">
        <v>1353</v>
      </c>
      <c r="AT22" s="23" t="s">
        <v>1342</v>
      </c>
      <c r="AU22" s="22">
        <v>14400</v>
      </c>
      <c r="AV22" s="22">
        <v>1000</v>
      </c>
      <c r="AW22" s="22" t="s">
        <v>3112</v>
      </c>
      <c r="AX22" s="22" t="s">
        <v>2937</v>
      </c>
      <c r="AY22" s="23" t="s">
        <v>1342</v>
      </c>
      <c r="AZ22" s="22"/>
      <c r="BA22" s="22"/>
      <c r="BB22" s="22" t="s">
        <v>1358</v>
      </c>
      <c r="BC22" s="22"/>
      <c r="BD22" s="22"/>
      <c r="BE22" s="22" t="s">
        <v>3113</v>
      </c>
      <c r="BF22" s="22"/>
      <c r="BG22" s="22"/>
      <c r="BH22" s="22">
        <v>2.5</v>
      </c>
      <c r="BI22" s="22">
        <v>4</v>
      </c>
      <c r="BJ22" s="22"/>
      <c r="BK22" s="22" t="s">
        <v>1434</v>
      </c>
      <c r="BL22" s="22" t="s">
        <v>1434</v>
      </c>
      <c r="BM22" s="22"/>
      <c r="BN22" s="23" t="s">
        <v>1342</v>
      </c>
      <c r="BO22" s="22"/>
      <c r="BP22" s="22"/>
      <c r="BQ22" s="23" t="s">
        <v>1383</v>
      </c>
      <c r="BR22" s="23" t="s">
        <v>1342</v>
      </c>
      <c r="BS22" s="27">
        <v>0</v>
      </c>
      <c r="BT22" s="23" t="s">
        <v>1383</v>
      </c>
      <c r="BU22" s="23" t="s">
        <v>3114</v>
      </c>
      <c r="BV22" s="23" t="s">
        <v>1342</v>
      </c>
      <c r="BW22" s="22"/>
      <c r="BX22" s="23" t="s">
        <v>1383</v>
      </c>
      <c r="BY22" s="23" t="s">
        <v>3115</v>
      </c>
      <c r="BZ22" s="22" t="s">
        <v>3075</v>
      </c>
      <c r="CA22" s="23" t="s">
        <v>3116</v>
      </c>
      <c r="CB22" s="22" t="s">
        <v>1364</v>
      </c>
      <c r="CC22" s="22" t="s">
        <v>1364</v>
      </c>
      <c r="CD22" s="22" t="s">
        <v>1364</v>
      </c>
      <c r="CE22" s="22">
        <v>10800</v>
      </c>
      <c r="CF22" s="22">
        <v>12000</v>
      </c>
      <c r="CG22" s="22">
        <v>14400</v>
      </c>
      <c r="CH22" s="22">
        <v>70</v>
      </c>
      <c r="CI22" s="22">
        <v>100</v>
      </c>
      <c r="CJ22" s="22">
        <v>100</v>
      </c>
      <c r="CK22" s="27">
        <v>0.6</v>
      </c>
      <c r="CL22" s="27">
        <v>0.6</v>
      </c>
      <c r="CM22" s="27">
        <v>0.4</v>
      </c>
      <c r="CN22" s="27">
        <v>0.4</v>
      </c>
      <c r="CO22" s="22" t="s">
        <v>2904</v>
      </c>
      <c r="CP22" s="22" t="s">
        <v>1366</v>
      </c>
      <c r="CQ22" s="22"/>
      <c r="CR22" s="22"/>
      <c r="CS22" s="22"/>
      <c r="CT22" s="22"/>
      <c r="CU22" s="22"/>
      <c r="CV22" s="22"/>
      <c r="CW22" s="23" t="s">
        <v>1383</v>
      </c>
      <c r="CX22" s="27">
        <v>0.1</v>
      </c>
      <c r="CY22" s="27">
        <v>0.8</v>
      </c>
      <c r="CZ22" s="22" t="s">
        <v>3117</v>
      </c>
      <c r="DA22" s="22" t="s">
        <v>2980</v>
      </c>
      <c r="DB22" s="22">
        <v>10</v>
      </c>
      <c r="DC22" s="22"/>
      <c r="DD22" s="22" t="s">
        <v>2907</v>
      </c>
      <c r="DE22" s="22" t="s">
        <v>2908</v>
      </c>
      <c r="DF22" s="22" t="s">
        <v>2909</v>
      </c>
      <c r="DG22" s="22"/>
      <c r="DH22" s="22" t="s">
        <v>3118</v>
      </c>
      <c r="DI22" s="22" t="s">
        <v>3119</v>
      </c>
      <c r="DJ22" s="22" t="s">
        <v>1381</v>
      </c>
      <c r="DK22" s="22"/>
      <c r="DL22" s="22" t="s">
        <v>3120</v>
      </c>
      <c r="DM22" s="22" t="s">
        <v>3121</v>
      </c>
      <c r="DN22" s="23" t="s">
        <v>1345</v>
      </c>
      <c r="DO22" s="22" t="s">
        <v>3122</v>
      </c>
      <c r="DP22" s="23" t="s">
        <v>1342</v>
      </c>
      <c r="DQ22" s="22"/>
      <c r="DR22" s="23" t="s">
        <v>1342</v>
      </c>
      <c r="DS22" s="22"/>
      <c r="DT22" s="22"/>
      <c r="DU22" s="22"/>
      <c r="DV22" s="23" t="s">
        <v>1383</v>
      </c>
      <c r="DW22" s="22" t="s">
        <v>3123</v>
      </c>
      <c r="DX22" s="23" t="s">
        <v>1383</v>
      </c>
      <c r="DY22" s="23" t="s">
        <v>1342</v>
      </c>
      <c r="DZ22" s="22" t="s">
        <v>3017</v>
      </c>
      <c r="EA22" s="23" t="s">
        <v>1383</v>
      </c>
      <c r="EB22" s="23" t="s">
        <v>1383</v>
      </c>
      <c r="EC22" s="23" t="s">
        <v>1383</v>
      </c>
      <c r="ED22" s="22" t="s">
        <v>3033</v>
      </c>
      <c r="EE22" s="27">
        <v>0.5</v>
      </c>
      <c r="EF22" s="22" t="s">
        <v>2931</v>
      </c>
      <c r="EG22" s="23" t="s">
        <v>1383</v>
      </c>
      <c r="EH22" s="27">
        <v>0.5</v>
      </c>
      <c r="EI22" s="22" t="s">
        <v>3124</v>
      </c>
      <c r="EJ22" s="22" t="s">
        <v>3125</v>
      </c>
      <c r="EK22" s="22" t="s">
        <v>3126</v>
      </c>
      <c r="EL22" s="22"/>
      <c r="EM22" s="23">
        <v>4</v>
      </c>
      <c r="EN22" s="22" t="s">
        <v>3127</v>
      </c>
      <c r="EO22" s="23">
        <v>3</v>
      </c>
      <c r="EP22" s="22" t="s">
        <v>3128</v>
      </c>
      <c r="EQ22" s="23">
        <v>2</v>
      </c>
      <c r="ER22" s="22" t="s">
        <v>3129</v>
      </c>
      <c r="ES22" s="23">
        <v>3</v>
      </c>
      <c r="ET22" s="22" t="s">
        <v>3130</v>
      </c>
      <c r="EU22" s="23">
        <v>3</v>
      </c>
      <c r="EV22" s="22" t="s">
        <v>3131</v>
      </c>
      <c r="EW22" s="23">
        <v>4</v>
      </c>
      <c r="EX22" s="22" t="s">
        <v>3132</v>
      </c>
      <c r="EY22" s="23">
        <v>0</v>
      </c>
      <c r="EZ22" s="22" t="s">
        <v>2974</v>
      </c>
      <c r="FA22" s="22"/>
    </row>
    <row r="23" spans="1:157">
      <c r="A23" s="17">
        <v>436</v>
      </c>
      <c r="B23" s="17">
        <v>9</v>
      </c>
      <c r="C23" s="13" t="s">
        <v>2278</v>
      </c>
      <c r="D23" s="18">
        <v>43747</v>
      </c>
      <c r="E23" s="13" t="s">
        <v>2741</v>
      </c>
      <c r="F23" s="19"/>
      <c r="G23" s="19"/>
      <c r="H23" s="13" t="s">
        <v>1086</v>
      </c>
      <c r="I23" s="13" t="s">
        <v>1065</v>
      </c>
      <c r="J23" s="13" t="s">
        <v>184</v>
      </c>
      <c r="K23" s="13" t="s">
        <v>2742</v>
      </c>
      <c r="L23" s="13">
        <v>3</v>
      </c>
      <c r="M23" s="13" t="s">
        <v>2637</v>
      </c>
      <c r="N23" s="13" t="s">
        <v>1343</v>
      </c>
      <c r="O23" s="13" t="s">
        <v>2743</v>
      </c>
      <c r="P23" s="13" t="s">
        <v>552</v>
      </c>
      <c r="Q23" s="13" t="s">
        <v>2744</v>
      </c>
      <c r="R23" s="13" t="s">
        <v>1345</v>
      </c>
      <c r="S23" s="13">
        <v>4</v>
      </c>
      <c r="T23" s="13" t="s">
        <v>1544</v>
      </c>
      <c r="U23" s="13">
        <v>2004</v>
      </c>
      <c r="V23" s="13" t="s">
        <v>2286</v>
      </c>
      <c r="W23" s="13" t="s">
        <v>2735</v>
      </c>
      <c r="X23" s="13" t="s">
        <v>1345</v>
      </c>
      <c r="Y23" s="13">
        <v>2018</v>
      </c>
      <c r="Z23" s="13" t="s">
        <v>2641</v>
      </c>
      <c r="AA23" s="30">
        <v>32</v>
      </c>
      <c r="AB23" s="13" t="s">
        <v>1349</v>
      </c>
      <c r="AC23" s="13">
        <v>4</v>
      </c>
      <c r="AD23" s="30" t="s">
        <v>1345</v>
      </c>
      <c r="AE23" s="13" t="s">
        <v>1345</v>
      </c>
      <c r="AF23" s="13" t="s">
        <v>1349</v>
      </c>
      <c r="AG23" s="13" t="s">
        <v>1349</v>
      </c>
      <c r="AH23" s="13" t="s">
        <v>2745</v>
      </c>
      <c r="AI23" s="13">
        <v>2004</v>
      </c>
      <c r="AJ23" s="13" t="s">
        <v>1349</v>
      </c>
      <c r="AK23" s="13" t="s">
        <v>2726</v>
      </c>
      <c r="AL23" s="13" t="s">
        <v>1612</v>
      </c>
      <c r="AM23" s="13" t="s">
        <v>1612</v>
      </c>
      <c r="AN23" s="13" t="s">
        <v>1612</v>
      </c>
      <c r="AO23" s="13" t="s">
        <v>1612</v>
      </c>
      <c r="AP23" s="13" t="s">
        <v>1612</v>
      </c>
      <c r="AQ23" s="13" t="s">
        <v>2096</v>
      </c>
      <c r="AR23" s="13" t="s">
        <v>2096</v>
      </c>
      <c r="AS23" s="13" t="s">
        <v>1550</v>
      </c>
      <c r="AT23" s="13" t="s">
        <v>2643</v>
      </c>
      <c r="AU23" s="13" t="s">
        <v>2644</v>
      </c>
      <c r="AV23" s="13">
        <v>500</v>
      </c>
      <c r="AW23" s="13" t="s">
        <v>2645</v>
      </c>
      <c r="AX23" s="13" t="s">
        <v>2646</v>
      </c>
      <c r="AY23" s="13" t="s">
        <v>2746</v>
      </c>
      <c r="AZ23" s="13" t="s">
        <v>2647</v>
      </c>
      <c r="BA23" s="13" t="s">
        <v>2647</v>
      </c>
      <c r="BB23" s="13" t="s">
        <v>2648</v>
      </c>
      <c r="BC23" s="13" t="s">
        <v>2648</v>
      </c>
      <c r="BD23" s="13" t="s">
        <v>2648</v>
      </c>
      <c r="BE23" s="13" t="s">
        <v>2747</v>
      </c>
      <c r="BF23" s="13" t="s">
        <v>2747</v>
      </c>
      <c r="BG23" s="13" t="s">
        <v>2747</v>
      </c>
      <c r="BH23" s="13">
        <v>6</v>
      </c>
      <c r="BI23" s="13">
        <v>6</v>
      </c>
      <c r="BJ23" s="13">
        <v>6</v>
      </c>
      <c r="BK23" s="13" t="s">
        <v>2730</v>
      </c>
      <c r="BL23" s="13" t="s">
        <v>2730</v>
      </c>
      <c r="BM23" s="13" t="s">
        <v>2730</v>
      </c>
      <c r="BN23" s="13" t="s">
        <v>1349</v>
      </c>
      <c r="BO23" s="13" t="s">
        <v>2643</v>
      </c>
      <c r="BP23" s="13" t="s">
        <v>2643</v>
      </c>
      <c r="BQ23" s="13" t="s">
        <v>1349</v>
      </c>
      <c r="BR23" s="13" t="s">
        <v>1349</v>
      </c>
      <c r="BS23" s="13" t="s">
        <v>2643</v>
      </c>
      <c r="BT23" s="13" t="s">
        <v>1345</v>
      </c>
      <c r="BU23" s="13" t="s">
        <v>2748</v>
      </c>
      <c r="BV23" s="13" t="s">
        <v>1349</v>
      </c>
      <c r="BW23" s="13" t="s">
        <v>2643</v>
      </c>
      <c r="BX23" s="13" t="s">
        <v>1345</v>
      </c>
      <c r="BY23" s="13" t="s">
        <v>2167</v>
      </c>
      <c r="BZ23" s="13" t="s">
        <v>2650</v>
      </c>
      <c r="CA23" s="13" t="s">
        <v>2300</v>
      </c>
      <c r="CB23" s="13" t="s">
        <v>1548</v>
      </c>
      <c r="CC23" s="13" t="s">
        <v>1548</v>
      </c>
      <c r="CD23" s="13" t="s">
        <v>1548</v>
      </c>
      <c r="CE23" s="13">
        <v>3960</v>
      </c>
      <c r="CF23" s="13">
        <v>2400</v>
      </c>
      <c r="CG23" s="13">
        <v>3000</v>
      </c>
      <c r="CH23" s="13">
        <v>30</v>
      </c>
      <c r="CI23" s="13">
        <v>20</v>
      </c>
      <c r="CJ23" s="13">
        <v>25</v>
      </c>
      <c r="CK23" s="20">
        <v>0.6</v>
      </c>
      <c r="CL23" s="20">
        <v>0.4</v>
      </c>
      <c r="CM23" s="20">
        <v>0.1</v>
      </c>
      <c r="CN23" s="20">
        <v>0.2</v>
      </c>
      <c r="CO23" s="13" t="s">
        <v>2652</v>
      </c>
      <c r="CP23" s="13" t="s">
        <v>2643</v>
      </c>
      <c r="CQ23" s="13" t="s">
        <v>2308</v>
      </c>
      <c r="CR23" s="13">
        <v>4</v>
      </c>
      <c r="CS23" s="13" t="s">
        <v>1368</v>
      </c>
      <c r="CT23" s="13" t="s">
        <v>2697</v>
      </c>
      <c r="CU23" s="13" t="s">
        <v>1345</v>
      </c>
      <c r="CV23" s="13" t="s">
        <v>2654</v>
      </c>
      <c r="CW23" s="13" t="s">
        <v>1349</v>
      </c>
      <c r="CX23" s="20" t="s">
        <v>2643</v>
      </c>
      <c r="CY23" s="20" t="s">
        <v>2643</v>
      </c>
      <c r="CZ23" s="13" t="s">
        <v>2655</v>
      </c>
      <c r="DA23" s="13" t="s">
        <v>2656</v>
      </c>
      <c r="DB23" s="13" t="s">
        <v>2643</v>
      </c>
      <c r="DC23" s="13" t="s">
        <v>2657</v>
      </c>
      <c r="DD23" s="13" t="s">
        <v>2658</v>
      </c>
      <c r="DE23" s="13" t="s">
        <v>2685</v>
      </c>
      <c r="DF23" s="13" t="s">
        <v>2660</v>
      </c>
      <c r="DG23" s="13" t="s">
        <v>1977</v>
      </c>
      <c r="DH23" s="13" t="s">
        <v>2661</v>
      </c>
      <c r="DI23" s="13" t="s">
        <v>2698</v>
      </c>
      <c r="DJ23" s="13" t="s">
        <v>2300</v>
      </c>
      <c r="DK23" s="13" t="s">
        <v>2300</v>
      </c>
      <c r="DL23" s="13" t="s">
        <v>2662</v>
      </c>
      <c r="DM23" s="13" t="s">
        <v>2663</v>
      </c>
      <c r="DN23" s="13" t="s">
        <v>1349</v>
      </c>
      <c r="DO23" s="13" t="s">
        <v>1342</v>
      </c>
      <c r="DP23" s="13" t="s">
        <v>1349</v>
      </c>
      <c r="DQ23" s="13" t="s">
        <v>2300</v>
      </c>
      <c r="DR23" s="13" t="s">
        <v>1349</v>
      </c>
      <c r="DS23" s="13" t="s">
        <v>2643</v>
      </c>
      <c r="DT23" s="13" t="s">
        <v>2643</v>
      </c>
      <c r="DU23" s="13" t="s">
        <v>2643</v>
      </c>
      <c r="DV23" s="13" t="s">
        <v>1345</v>
      </c>
      <c r="DW23" s="13" t="s">
        <v>2664</v>
      </c>
      <c r="DX23" s="13" t="s">
        <v>1345</v>
      </c>
      <c r="DY23" s="13" t="s">
        <v>1349</v>
      </c>
      <c r="DZ23" s="13" t="s">
        <v>2665</v>
      </c>
      <c r="EA23" s="13" t="s">
        <v>1345</v>
      </c>
      <c r="EB23" s="13" t="s">
        <v>1345</v>
      </c>
      <c r="EC23" s="13" t="s">
        <v>1345</v>
      </c>
      <c r="ED23" s="13" t="s">
        <v>2666</v>
      </c>
      <c r="EE23" s="20">
        <v>0.5</v>
      </c>
      <c r="EF23" s="13" t="s">
        <v>2370</v>
      </c>
      <c r="EG23" s="13" t="s">
        <v>1349</v>
      </c>
      <c r="EH23" s="13" t="s">
        <v>2643</v>
      </c>
      <c r="EI23" s="13" t="s">
        <v>2326</v>
      </c>
      <c r="EJ23" s="17" t="s">
        <v>2667</v>
      </c>
      <c r="EK23" s="13" t="s">
        <v>2300</v>
      </c>
      <c r="EL23" s="13" t="s">
        <v>1389</v>
      </c>
      <c r="EM23" s="13">
        <v>3</v>
      </c>
      <c r="EN23" s="13" t="s">
        <v>2388</v>
      </c>
      <c r="EO23" s="13">
        <v>3</v>
      </c>
      <c r="EP23" s="13" t="s">
        <v>2731</v>
      </c>
      <c r="EQ23" s="13">
        <v>4</v>
      </c>
      <c r="ER23" s="17" t="s">
        <v>2331</v>
      </c>
      <c r="ES23" s="13">
        <v>4</v>
      </c>
      <c r="ET23" s="17" t="s">
        <v>2421</v>
      </c>
      <c r="EU23" s="13">
        <v>4</v>
      </c>
      <c r="EV23" s="17" t="s">
        <v>2669</v>
      </c>
      <c r="EW23" s="13">
        <v>4</v>
      </c>
      <c r="EX23" s="17" t="s">
        <v>2732</v>
      </c>
      <c r="EY23" s="13">
        <v>1</v>
      </c>
      <c r="EZ23" s="17" t="s">
        <v>2424</v>
      </c>
      <c r="FA23" s="22"/>
    </row>
    <row r="24" spans="1:157">
      <c r="A24" s="17">
        <v>437</v>
      </c>
      <c r="B24" s="17">
        <v>66</v>
      </c>
      <c r="C24" s="23" t="s">
        <v>1795</v>
      </c>
      <c r="D24" s="37" t="s">
        <v>3467</v>
      </c>
      <c r="E24" s="23" t="s">
        <v>7087</v>
      </c>
      <c r="F24" s="25" t="s">
        <v>1728</v>
      </c>
      <c r="G24" s="25" t="s">
        <v>56</v>
      </c>
      <c r="H24" s="23" t="s">
        <v>3292</v>
      </c>
      <c r="I24" s="23" t="s">
        <v>3293</v>
      </c>
      <c r="J24" s="23" t="s">
        <v>56</v>
      </c>
      <c r="K24" s="23" t="s">
        <v>7100</v>
      </c>
      <c r="L24" s="23">
        <v>15</v>
      </c>
      <c r="M24" s="23" t="s">
        <v>3468</v>
      </c>
      <c r="N24" s="23" t="s">
        <v>1343</v>
      </c>
      <c r="O24" s="23" t="s">
        <v>3469</v>
      </c>
      <c r="P24" s="23" t="s">
        <v>574</v>
      </c>
      <c r="Q24" s="23">
        <v>55550908</v>
      </c>
      <c r="R24" s="23" t="s">
        <v>1345</v>
      </c>
      <c r="S24" s="23">
        <v>7</v>
      </c>
      <c r="T24" s="23" t="s">
        <v>1499</v>
      </c>
      <c r="U24" s="23">
        <v>2013</v>
      </c>
      <c r="V24" s="22" t="s">
        <v>3470</v>
      </c>
      <c r="W24" s="23" t="s">
        <v>3471</v>
      </c>
      <c r="X24" s="23" t="s">
        <v>1345</v>
      </c>
      <c r="Y24" s="23"/>
      <c r="Z24" s="23">
        <v>2013</v>
      </c>
      <c r="AA24" s="32">
        <v>25</v>
      </c>
      <c r="AB24" s="23" t="s">
        <v>1345</v>
      </c>
      <c r="AC24" s="23">
        <v>4</v>
      </c>
      <c r="AD24" s="32" t="s">
        <v>1345</v>
      </c>
      <c r="AE24" s="23" t="s">
        <v>1345</v>
      </c>
      <c r="AF24" s="23" t="s">
        <v>1349</v>
      </c>
      <c r="AG24" s="23" t="s">
        <v>1349</v>
      </c>
      <c r="AH24" s="23" t="s">
        <v>1358</v>
      </c>
      <c r="AI24" s="23">
        <v>2013</v>
      </c>
      <c r="AJ24" s="23" t="s">
        <v>1349</v>
      </c>
      <c r="AK24" s="23" t="s">
        <v>3297</v>
      </c>
      <c r="AL24" s="23" t="s">
        <v>1550</v>
      </c>
      <c r="AM24" s="23" t="s">
        <v>1550</v>
      </c>
      <c r="AN24" s="23" t="s">
        <v>1550</v>
      </c>
      <c r="AO24" s="23" t="s">
        <v>1550</v>
      </c>
      <c r="AP24" s="23" t="s">
        <v>1550</v>
      </c>
      <c r="AQ24" s="23" t="s">
        <v>1352</v>
      </c>
      <c r="AR24" s="23" t="s">
        <v>1352</v>
      </c>
      <c r="AS24" s="23" t="s">
        <v>1862</v>
      </c>
      <c r="AT24" s="23" t="s">
        <v>3472</v>
      </c>
      <c r="AU24" s="22"/>
      <c r="AV24" s="23">
        <v>1000</v>
      </c>
      <c r="AW24" s="23" t="s">
        <v>3424</v>
      </c>
      <c r="AX24" s="23" t="s">
        <v>3425</v>
      </c>
      <c r="AY24" s="23" t="s">
        <v>1345</v>
      </c>
      <c r="AZ24" s="23" t="s">
        <v>3473</v>
      </c>
      <c r="BA24" s="23" t="s">
        <v>3474</v>
      </c>
      <c r="BB24" s="23" t="s">
        <v>1358</v>
      </c>
      <c r="BC24" s="23" t="s">
        <v>1358</v>
      </c>
      <c r="BD24" s="23" t="s">
        <v>1358</v>
      </c>
      <c r="BE24" s="23" t="s">
        <v>3447</v>
      </c>
      <c r="BF24" s="22"/>
      <c r="BG24" s="22"/>
      <c r="BH24" s="23">
        <v>4</v>
      </c>
      <c r="BI24" s="23">
        <v>17.5</v>
      </c>
      <c r="BJ24" s="23">
        <v>18</v>
      </c>
      <c r="BK24" s="23" t="s">
        <v>3304</v>
      </c>
      <c r="BL24" s="23" t="s">
        <v>3475</v>
      </c>
      <c r="BM24" s="23" t="s">
        <v>3475</v>
      </c>
      <c r="BN24" s="23" t="s">
        <v>1345</v>
      </c>
      <c r="BO24" s="23" t="s">
        <v>3476</v>
      </c>
      <c r="BP24" s="23" t="s">
        <v>3477</v>
      </c>
      <c r="BQ24" s="23" t="s">
        <v>1345</v>
      </c>
      <c r="BR24" s="23" t="s">
        <v>1345</v>
      </c>
      <c r="BS24" s="23" t="s">
        <v>1358</v>
      </c>
      <c r="BT24" s="23" t="s">
        <v>1345</v>
      </c>
      <c r="BU24" s="23" t="s">
        <v>3478</v>
      </c>
      <c r="BV24" s="23" t="s">
        <v>1349</v>
      </c>
      <c r="BW24" s="22"/>
      <c r="BX24" s="23" t="s">
        <v>1345</v>
      </c>
      <c r="BY24" s="23" t="s">
        <v>1362</v>
      </c>
      <c r="BZ24" s="23" t="s">
        <v>3307</v>
      </c>
      <c r="CA24" s="23" t="s">
        <v>3479</v>
      </c>
      <c r="CB24" s="23" t="s">
        <v>1935</v>
      </c>
      <c r="CC24" s="23" t="s">
        <v>1935</v>
      </c>
      <c r="CD24" s="23" t="s">
        <v>1935</v>
      </c>
      <c r="CE24" s="23">
        <v>1200</v>
      </c>
      <c r="CF24" s="23">
        <v>2000</v>
      </c>
      <c r="CG24" s="23" t="s">
        <v>3480</v>
      </c>
      <c r="CH24" s="23">
        <v>345</v>
      </c>
      <c r="CI24" s="23">
        <v>210</v>
      </c>
      <c r="CJ24" s="23" t="s">
        <v>3309</v>
      </c>
      <c r="CK24" s="26">
        <v>0.33</v>
      </c>
      <c r="CL24" s="26">
        <v>0.4</v>
      </c>
      <c r="CM24" s="26">
        <v>0.66</v>
      </c>
      <c r="CN24" s="26">
        <v>0.6</v>
      </c>
      <c r="CO24" s="23" t="s">
        <v>3481</v>
      </c>
      <c r="CP24" s="22"/>
      <c r="CQ24" s="23" t="s">
        <v>3482</v>
      </c>
      <c r="CR24" s="23">
        <v>0.1</v>
      </c>
      <c r="CS24" s="23" t="s">
        <v>1368</v>
      </c>
      <c r="CT24" s="23" t="s">
        <v>3484</v>
      </c>
      <c r="CU24" s="23" t="s">
        <v>1349</v>
      </c>
      <c r="CV24" s="23" t="s">
        <v>3485</v>
      </c>
      <c r="CW24" s="23" t="s">
        <v>1349</v>
      </c>
      <c r="CX24" s="22"/>
      <c r="CY24" s="27"/>
      <c r="CZ24" s="23" t="s">
        <v>3486</v>
      </c>
      <c r="DA24" s="22" t="s">
        <v>3350</v>
      </c>
      <c r="DB24" s="22"/>
      <c r="DC24" s="22" t="s">
        <v>3487</v>
      </c>
      <c r="DD24" s="22" t="s">
        <v>3488</v>
      </c>
      <c r="DE24" s="22" t="s">
        <v>3489</v>
      </c>
      <c r="DF24" s="22" t="s">
        <v>3490</v>
      </c>
      <c r="DG24" s="22" t="s">
        <v>3491</v>
      </c>
      <c r="DH24" s="22" t="s">
        <v>3492</v>
      </c>
      <c r="DI24" s="22"/>
      <c r="DJ24" s="22"/>
      <c r="DK24" s="22"/>
      <c r="DL24" s="22"/>
      <c r="DM24" s="22" t="s">
        <v>3493</v>
      </c>
      <c r="DN24" s="23" t="s">
        <v>1349</v>
      </c>
      <c r="DO24" s="22" t="s">
        <v>1358</v>
      </c>
      <c r="DP24" s="23" t="s">
        <v>1349</v>
      </c>
      <c r="DQ24" s="22" t="s">
        <v>1358</v>
      </c>
      <c r="DR24" s="23" t="s">
        <v>3494</v>
      </c>
      <c r="DS24" s="22" t="s">
        <v>3495</v>
      </c>
      <c r="DT24" s="23" t="s">
        <v>3496</v>
      </c>
      <c r="DU24" s="23" t="s">
        <v>3497</v>
      </c>
      <c r="DV24" s="23" t="s">
        <v>1345</v>
      </c>
      <c r="DW24" s="23" t="s">
        <v>3498</v>
      </c>
      <c r="DX24" s="23" t="s">
        <v>1345</v>
      </c>
      <c r="DY24" s="23" t="s">
        <v>1349</v>
      </c>
      <c r="DZ24" s="23" t="s">
        <v>3499</v>
      </c>
      <c r="EA24" s="23" t="s">
        <v>1345</v>
      </c>
      <c r="EB24" s="23" t="s">
        <v>1345</v>
      </c>
      <c r="EC24" s="23" t="s">
        <v>1345</v>
      </c>
      <c r="ED24" s="23" t="s">
        <v>3500</v>
      </c>
      <c r="EE24" s="27">
        <v>0.5</v>
      </c>
      <c r="EF24" s="23" t="s">
        <v>3501</v>
      </c>
      <c r="EG24" s="23" t="s">
        <v>1349</v>
      </c>
      <c r="EH24" s="22"/>
      <c r="EI24" s="23" t="s">
        <v>3502</v>
      </c>
      <c r="EJ24" s="23" t="s">
        <v>3503</v>
      </c>
      <c r="EK24" s="23" t="s">
        <v>3504</v>
      </c>
      <c r="EL24" s="23" t="s">
        <v>1389</v>
      </c>
      <c r="EM24" s="23">
        <v>5</v>
      </c>
      <c r="EN24" s="23" t="s">
        <v>3505</v>
      </c>
      <c r="EO24" s="23">
        <v>5</v>
      </c>
      <c r="EP24" s="23" t="s">
        <v>3506</v>
      </c>
      <c r="EQ24" s="23">
        <v>2</v>
      </c>
      <c r="ER24" s="22" t="s">
        <v>3507</v>
      </c>
      <c r="ES24" s="23">
        <v>4</v>
      </c>
      <c r="ET24" s="23" t="s">
        <v>3508</v>
      </c>
      <c r="EU24" s="23">
        <v>2</v>
      </c>
      <c r="EV24" s="22" t="s">
        <v>3509</v>
      </c>
      <c r="EW24" s="23">
        <v>2</v>
      </c>
      <c r="EX24" s="22" t="s">
        <v>3510</v>
      </c>
      <c r="EY24" s="23">
        <v>1</v>
      </c>
      <c r="EZ24" s="22" t="s">
        <v>3338</v>
      </c>
      <c r="FA24" s="22"/>
    </row>
    <row r="25" spans="1:157">
      <c r="A25" s="17">
        <v>438</v>
      </c>
      <c r="B25" s="17">
        <v>80</v>
      </c>
      <c r="C25" s="44" t="s">
        <v>1795</v>
      </c>
      <c r="D25" s="45">
        <v>43756</v>
      </c>
      <c r="E25" s="44" t="s">
        <v>3704</v>
      </c>
      <c r="F25" s="46" t="s">
        <v>1728</v>
      </c>
      <c r="G25" s="46" t="s">
        <v>507</v>
      </c>
      <c r="H25" s="44" t="s">
        <v>3292</v>
      </c>
      <c r="I25" s="44" t="s">
        <v>3293</v>
      </c>
      <c r="J25" s="44" t="s">
        <v>507</v>
      </c>
      <c r="K25" s="44" t="s">
        <v>3555</v>
      </c>
      <c r="L25" s="47">
        <v>1</v>
      </c>
      <c r="M25" s="48" t="s">
        <v>2181</v>
      </c>
      <c r="N25" s="48" t="s">
        <v>1343</v>
      </c>
      <c r="O25" s="48" t="s">
        <v>3705</v>
      </c>
      <c r="P25" s="48" t="s">
        <v>3706</v>
      </c>
      <c r="Q25" s="44">
        <v>73247759</v>
      </c>
      <c r="R25" s="44" t="s">
        <v>1383</v>
      </c>
      <c r="S25" s="44">
        <v>7</v>
      </c>
      <c r="T25" s="48" t="s">
        <v>1346</v>
      </c>
      <c r="U25" s="44">
        <v>1999</v>
      </c>
      <c r="V25" s="48" t="s">
        <v>3707</v>
      </c>
      <c r="W25" s="48" t="s">
        <v>3708</v>
      </c>
      <c r="X25" s="44" t="s">
        <v>1349</v>
      </c>
      <c r="Y25" s="44"/>
      <c r="Z25" s="44"/>
      <c r="AA25" s="44">
        <v>45</v>
      </c>
      <c r="AB25" s="44" t="s">
        <v>1345</v>
      </c>
      <c r="AC25" s="44">
        <v>0</v>
      </c>
      <c r="AD25" s="44" t="s">
        <v>1345</v>
      </c>
      <c r="AE25" s="44" t="s">
        <v>1345</v>
      </c>
      <c r="AF25" s="44" t="s">
        <v>1349</v>
      </c>
      <c r="AG25" s="44" t="s">
        <v>1349</v>
      </c>
      <c r="AH25" s="48" t="s">
        <v>1358</v>
      </c>
      <c r="AI25" s="44">
        <v>2012</v>
      </c>
      <c r="AJ25" s="44" t="s">
        <v>1349</v>
      </c>
      <c r="AK25" s="44" t="s">
        <v>3297</v>
      </c>
      <c r="AL25" s="44" t="s">
        <v>1550</v>
      </c>
      <c r="AM25" s="44" t="s">
        <v>1550</v>
      </c>
      <c r="AN25" s="44" t="s">
        <v>1550</v>
      </c>
      <c r="AO25" s="44" t="s">
        <v>1550</v>
      </c>
      <c r="AP25" s="44" t="s">
        <v>1550</v>
      </c>
      <c r="AQ25" s="44" t="s">
        <v>1352</v>
      </c>
      <c r="AR25" s="48" t="s">
        <v>1352</v>
      </c>
      <c r="AS25" s="48" t="s">
        <v>1550</v>
      </c>
      <c r="AT25" s="48" t="s">
        <v>1804</v>
      </c>
      <c r="AU25" s="48"/>
      <c r="AV25" s="48">
        <v>1000</v>
      </c>
      <c r="AW25" s="44" t="s">
        <v>3659</v>
      </c>
      <c r="AX25" s="48" t="s">
        <v>3709</v>
      </c>
      <c r="AY25" s="44" t="s">
        <v>1345</v>
      </c>
      <c r="AZ25" s="48" t="s">
        <v>3710</v>
      </c>
      <c r="BA25" s="48"/>
      <c r="BB25" s="48" t="s">
        <v>1358</v>
      </c>
      <c r="BC25" s="48" t="s">
        <v>1358</v>
      </c>
      <c r="BD25" s="48" t="s">
        <v>1358</v>
      </c>
      <c r="BE25" s="48" t="s">
        <v>1810</v>
      </c>
      <c r="BF25" s="48"/>
      <c r="BG25" s="48"/>
      <c r="BH25" s="48">
        <v>3</v>
      </c>
      <c r="BI25" s="48">
        <v>3</v>
      </c>
      <c r="BJ25" s="48">
        <v>10</v>
      </c>
      <c r="BK25" s="44" t="s">
        <v>3598</v>
      </c>
      <c r="BL25" s="44" t="s">
        <v>3598</v>
      </c>
      <c r="BM25" s="44" t="s">
        <v>3598</v>
      </c>
      <c r="BN25" s="44" t="s">
        <v>1349</v>
      </c>
      <c r="BO25" s="48"/>
      <c r="BP25" s="48"/>
      <c r="BQ25" s="44" t="s">
        <v>1345</v>
      </c>
      <c r="BR25" s="44" t="s">
        <v>1345</v>
      </c>
      <c r="BS25" s="48" t="s">
        <v>1358</v>
      </c>
      <c r="BT25" s="44" t="s">
        <v>1383</v>
      </c>
      <c r="BU25" s="48" t="s">
        <v>3711</v>
      </c>
      <c r="BV25" s="44" t="s">
        <v>1349</v>
      </c>
      <c r="BW25" s="48"/>
      <c r="BX25" s="44" t="s">
        <v>1345</v>
      </c>
      <c r="BY25" s="48" t="s">
        <v>1362</v>
      </c>
      <c r="BZ25" s="44" t="s">
        <v>3600</v>
      </c>
      <c r="CA25" s="44" t="s">
        <v>3555</v>
      </c>
      <c r="CB25" s="48" t="s">
        <v>1935</v>
      </c>
      <c r="CC25" s="48" t="s">
        <v>1935</v>
      </c>
      <c r="CD25" s="44" t="s">
        <v>1935</v>
      </c>
      <c r="CE25" s="48" t="s">
        <v>1904</v>
      </c>
      <c r="CF25" s="48" t="s">
        <v>3712</v>
      </c>
      <c r="CG25" s="48"/>
      <c r="CH25" s="48"/>
      <c r="CI25" s="48"/>
      <c r="CJ25" s="48"/>
      <c r="CK25" s="48"/>
      <c r="CL25" s="48" t="s">
        <v>1904</v>
      </c>
      <c r="CM25" s="48"/>
      <c r="CN25" s="48" t="s">
        <v>1904</v>
      </c>
      <c r="CO25" s="48" t="s">
        <v>3713</v>
      </c>
      <c r="CP25" s="48" t="s">
        <v>1366</v>
      </c>
      <c r="CQ25" s="48" t="s">
        <v>1367</v>
      </c>
      <c r="CR25" s="44" t="s">
        <v>3695</v>
      </c>
      <c r="CS25" s="48"/>
      <c r="CT25" s="44" t="s">
        <v>3696</v>
      </c>
      <c r="CU25" s="44" t="s">
        <v>1349</v>
      </c>
      <c r="CV25" s="48"/>
      <c r="CW25" s="44" t="s">
        <v>1345</v>
      </c>
      <c r="CX25" s="48" t="s">
        <v>3673</v>
      </c>
      <c r="CY25" s="48"/>
      <c r="CZ25" s="44" t="s">
        <v>3568</v>
      </c>
      <c r="DA25" s="48" t="s">
        <v>3714</v>
      </c>
      <c r="DB25" s="48" t="s">
        <v>3698</v>
      </c>
      <c r="DC25" s="44" t="s">
        <v>1824</v>
      </c>
      <c r="DD25" s="44" t="s">
        <v>3715</v>
      </c>
      <c r="DE25" s="44" t="s">
        <v>3637</v>
      </c>
      <c r="DF25" s="44" t="s">
        <v>3716</v>
      </c>
      <c r="DG25" s="48" t="s">
        <v>3717</v>
      </c>
      <c r="DH25" s="48" t="s">
        <v>3573</v>
      </c>
      <c r="DI25" s="48" t="s">
        <v>3718</v>
      </c>
      <c r="DJ25" s="48" t="s">
        <v>3575</v>
      </c>
      <c r="DK25" s="48" t="s">
        <v>3576</v>
      </c>
      <c r="DL25" s="48" t="s">
        <v>3621</v>
      </c>
      <c r="DM25" s="48" t="s">
        <v>3719</v>
      </c>
      <c r="DN25" s="44" t="s">
        <v>1349</v>
      </c>
      <c r="DO25" s="48" t="s">
        <v>1358</v>
      </c>
      <c r="DP25" s="44" t="s">
        <v>1349</v>
      </c>
      <c r="DQ25" s="48" t="s">
        <v>1358</v>
      </c>
      <c r="DR25" s="44" t="s">
        <v>1349</v>
      </c>
      <c r="DS25" s="48"/>
      <c r="DT25" s="48"/>
      <c r="DU25" s="48"/>
      <c r="DV25" s="44" t="s">
        <v>1345</v>
      </c>
      <c r="DW25" s="48" t="s">
        <v>3720</v>
      </c>
      <c r="DX25" s="44" t="s">
        <v>1345</v>
      </c>
      <c r="DY25" s="44" t="s">
        <v>1349</v>
      </c>
      <c r="DZ25" s="48" t="s">
        <v>3721</v>
      </c>
      <c r="EA25" s="44" t="s">
        <v>1345</v>
      </c>
      <c r="EB25" s="44" t="s">
        <v>1345</v>
      </c>
      <c r="EC25" s="44" t="s">
        <v>1345</v>
      </c>
      <c r="ED25" s="44" t="s">
        <v>3665</v>
      </c>
      <c r="EE25" s="49">
        <v>0.3</v>
      </c>
      <c r="EF25" s="48" t="s">
        <v>3580</v>
      </c>
      <c r="EG25" s="44" t="s">
        <v>1349</v>
      </c>
      <c r="EH25" s="48"/>
      <c r="EI25" s="44" t="s">
        <v>3611</v>
      </c>
      <c r="EJ25" s="44" t="s">
        <v>3582</v>
      </c>
      <c r="EK25" s="44" t="s">
        <v>3613</v>
      </c>
      <c r="EL25" s="44" t="s">
        <v>1389</v>
      </c>
      <c r="EM25" s="44">
        <v>3</v>
      </c>
      <c r="EN25" s="44" t="s">
        <v>3666</v>
      </c>
      <c r="EO25" s="44">
        <v>2</v>
      </c>
      <c r="EP25" s="48" t="s">
        <v>3722</v>
      </c>
      <c r="EQ25" s="44">
        <v>3</v>
      </c>
      <c r="ER25" s="48" t="s">
        <v>3586</v>
      </c>
      <c r="ES25" s="44">
        <v>3</v>
      </c>
      <c r="ET25" s="48" t="s">
        <v>3723</v>
      </c>
      <c r="EU25" s="44">
        <v>2</v>
      </c>
      <c r="EV25" s="48" t="s">
        <v>3724</v>
      </c>
      <c r="EW25" s="44">
        <v>3</v>
      </c>
      <c r="EX25" s="48" t="s">
        <v>3589</v>
      </c>
      <c r="EY25" s="44">
        <v>1</v>
      </c>
      <c r="EZ25" s="48" t="s">
        <v>3590</v>
      </c>
      <c r="FA25" s="22"/>
    </row>
    <row r="26" spans="1:157">
      <c r="A26" s="17">
        <v>439</v>
      </c>
      <c r="B26" s="17">
        <v>76</v>
      </c>
      <c r="C26" s="38" t="s">
        <v>1795</v>
      </c>
      <c r="D26" s="39">
        <v>43753</v>
      </c>
      <c r="E26" s="38" t="s">
        <v>3655</v>
      </c>
      <c r="F26" s="40" t="s">
        <v>1728</v>
      </c>
      <c r="G26" s="40" t="s">
        <v>507</v>
      </c>
      <c r="H26" s="38" t="s">
        <v>3292</v>
      </c>
      <c r="I26" s="38" t="s">
        <v>3293</v>
      </c>
      <c r="J26" s="38" t="s">
        <v>507</v>
      </c>
      <c r="K26" s="38" t="s">
        <v>3555</v>
      </c>
      <c r="L26" s="41">
        <v>1</v>
      </c>
      <c r="M26" s="38" t="s">
        <v>2181</v>
      </c>
      <c r="N26" s="38" t="s">
        <v>1343</v>
      </c>
      <c r="O26" s="38" t="s">
        <v>3656</v>
      </c>
      <c r="P26" s="38" t="s">
        <v>3657</v>
      </c>
      <c r="Q26" s="38">
        <v>53833463</v>
      </c>
      <c r="R26" s="38" t="s">
        <v>1345</v>
      </c>
      <c r="S26" s="38">
        <v>7</v>
      </c>
      <c r="T26" s="38" t="s">
        <v>1346</v>
      </c>
      <c r="U26" s="38">
        <v>1998</v>
      </c>
      <c r="V26" s="38" t="s">
        <v>3593</v>
      </c>
      <c r="W26" s="38" t="s">
        <v>3658</v>
      </c>
      <c r="X26" s="38" t="s">
        <v>1349</v>
      </c>
      <c r="Y26" s="38"/>
      <c r="Z26" s="38"/>
      <c r="AA26" s="38">
        <v>40</v>
      </c>
      <c r="AB26" s="38" t="s">
        <v>1345</v>
      </c>
      <c r="AC26" s="38">
        <v>0</v>
      </c>
      <c r="AD26" s="38" t="s">
        <v>1345</v>
      </c>
      <c r="AE26" s="38" t="s">
        <v>1349</v>
      </c>
      <c r="AF26" s="38" t="s">
        <v>1349</v>
      </c>
      <c r="AG26" s="38" t="s">
        <v>1349</v>
      </c>
      <c r="AH26" s="38" t="s">
        <v>1358</v>
      </c>
      <c r="AI26" s="38" t="s">
        <v>3451</v>
      </c>
      <c r="AJ26" s="38" t="s">
        <v>1349</v>
      </c>
      <c r="AK26" s="38" t="s">
        <v>3560</v>
      </c>
      <c r="AL26" s="38" t="s">
        <v>1550</v>
      </c>
      <c r="AM26" s="38" t="s">
        <v>1550</v>
      </c>
      <c r="AN26" s="38" t="s">
        <v>1550</v>
      </c>
      <c r="AO26" s="38" t="s">
        <v>1550</v>
      </c>
      <c r="AP26" s="38" t="s">
        <v>1550</v>
      </c>
      <c r="AQ26" s="38" t="s">
        <v>1352</v>
      </c>
      <c r="AR26" s="38" t="s">
        <v>3451</v>
      </c>
      <c r="AS26" s="38" t="s">
        <v>1550</v>
      </c>
      <c r="AT26" s="38" t="s">
        <v>1804</v>
      </c>
      <c r="AU26" s="42"/>
      <c r="AV26" s="38">
        <v>500</v>
      </c>
      <c r="AW26" s="38" t="s">
        <v>3659</v>
      </c>
      <c r="AX26" s="42"/>
      <c r="AY26" s="38" t="s">
        <v>1342</v>
      </c>
      <c r="AZ26" s="42"/>
      <c r="BA26" s="42"/>
      <c r="BB26" s="38" t="s">
        <v>1358</v>
      </c>
      <c r="BC26" s="38" t="s">
        <v>1358</v>
      </c>
      <c r="BD26" s="38" t="s">
        <v>1358</v>
      </c>
      <c r="BE26" s="38" t="s">
        <v>1358</v>
      </c>
      <c r="BF26" s="42"/>
      <c r="BG26" s="42"/>
      <c r="BH26" s="38">
        <v>2.5</v>
      </c>
      <c r="BI26" s="38">
        <v>2.5</v>
      </c>
      <c r="BJ26" s="38">
        <v>7</v>
      </c>
      <c r="BK26" s="38" t="s">
        <v>3598</v>
      </c>
      <c r="BL26" s="38" t="s">
        <v>3598</v>
      </c>
      <c r="BM26" s="38" t="s">
        <v>3598</v>
      </c>
      <c r="BN26" s="38" t="s">
        <v>1349</v>
      </c>
      <c r="BO26" s="42"/>
      <c r="BP26" s="42"/>
      <c r="BQ26" s="38" t="s">
        <v>1345</v>
      </c>
      <c r="BR26" s="38" t="s">
        <v>1345</v>
      </c>
      <c r="BS26" s="38" t="s">
        <v>1345</v>
      </c>
      <c r="BT26" s="38" t="s">
        <v>1345</v>
      </c>
      <c r="BU26" s="38" t="s">
        <v>3660</v>
      </c>
      <c r="BV26" s="38" t="s">
        <v>1349</v>
      </c>
      <c r="BW26" s="42"/>
      <c r="BX26" s="38" t="s">
        <v>1345</v>
      </c>
      <c r="BY26" s="38" t="s">
        <v>1362</v>
      </c>
      <c r="BZ26" s="38" t="s">
        <v>3600</v>
      </c>
      <c r="CA26" s="38" t="s">
        <v>3661</v>
      </c>
      <c r="CB26" s="38" t="s">
        <v>1935</v>
      </c>
      <c r="CC26" s="38" t="s">
        <v>1935</v>
      </c>
      <c r="CD26" s="38" t="s">
        <v>1935</v>
      </c>
      <c r="CE26" s="38" t="s">
        <v>3515</v>
      </c>
      <c r="CF26" s="38">
        <v>4800</v>
      </c>
      <c r="CG26" s="38">
        <v>8000</v>
      </c>
      <c r="CH26" s="38">
        <v>0</v>
      </c>
      <c r="CI26" s="38">
        <v>0</v>
      </c>
      <c r="CJ26" s="38" t="s">
        <v>1935</v>
      </c>
      <c r="CK26" s="42"/>
      <c r="CL26" s="43">
        <v>0.9</v>
      </c>
      <c r="CM26" s="42"/>
      <c r="CN26" s="43">
        <v>0.1</v>
      </c>
      <c r="CO26" s="38" t="s">
        <v>3451</v>
      </c>
      <c r="CP26" s="42"/>
      <c r="CQ26" s="42"/>
      <c r="CR26" s="42"/>
      <c r="CS26" s="42"/>
      <c r="CT26" s="42"/>
      <c r="CU26" s="38"/>
      <c r="CV26" s="42"/>
      <c r="CW26" s="38" t="s">
        <v>1345</v>
      </c>
      <c r="CX26" s="43">
        <v>0.15</v>
      </c>
      <c r="CY26" s="43">
        <v>0.8</v>
      </c>
      <c r="CZ26" s="42" t="s">
        <v>3568</v>
      </c>
      <c r="DA26" s="42" t="s">
        <v>3662</v>
      </c>
      <c r="DB26" s="42" t="s">
        <v>3388</v>
      </c>
      <c r="DC26" s="42" t="s">
        <v>2144</v>
      </c>
      <c r="DD26" s="42" t="s">
        <v>3604</v>
      </c>
      <c r="DE26" s="42" t="s">
        <v>3605</v>
      </c>
      <c r="DF26" s="42" t="s">
        <v>3409</v>
      </c>
      <c r="DG26" s="42" t="s">
        <v>3663</v>
      </c>
      <c r="DH26" s="42" t="s">
        <v>3573</v>
      </c>
      <c r="DI26" s="42" t="s">
        <v>3640</v>
      </c>
      <c r="DJ26" s="42" t="s">
        <v>3575</v>
      </c>
      <c r="DK26" s="42" t="s">
        <v>3576</v>
      </c>
      <c r="DL26" s="42" t="s">
        <v>3621</v>
      </c>
      <c r="DM26" s="42" t="s">
        <v>3384</v>
      </c>
      <c r="DN26" s="38" t="s">
        <v>1349</v>
      </c>
      <c r="DO26" s="42" t="s">
        <v>1358</v>
      </c>
      <c r="DP26" s="38" t="s">
        <v>1349</v>
      </c>
      <c r="DQ26" s="42" t="s">
        <v>1358</v>
      </c>
      <c r="DR26" s="38" t="s">
        <v>1349</v>
      </c>
      <c r="DS26" s="42"/>
      <c r="DT26" s="42"/>
      <c r="DU26" s="42"/>
      <c r="DV26" s="38" t="s">
        <v>1345</v>
      </c>
      <c r="DW26" s="42" t="s">
        <v>3664</v>
      </c>
      <c r="DX26" s="38" t="s">
        <v>1345</v>
      </c>
      <c r="DY26" s="38" t="s">
        <v>1349</v>
      </c>
      <c r="DZ26" s="38" t="s">
        <v>3578</v>
      </c>
      <c r="EA26" s="38" t="s">
        <v>1345</v>
      </c>
      <c r="EB26" s="38" t="s">
        <v>1345</v>
      </c>
      <c r="EC26" s="38" t="s">
        <v>1345</v>
      </c>
      <c r="ED26" s="38" t="s">
        <v>3665</v>
      </c>
      <c r="EE26" s="43">
        <v>0.3</v>
      </c>
      <c r="EF26" s="38" t="s">
        <v>3580</v>
      </c>
      <c r="EG26" s="38" t="s">
        <v>1349</v>
      </c>
      <c r="EH26" s="42"/>
      <c r="EI26" s="38" t="s">
        <v>3611</v>
      </c>
      <c r="EJ26" s="38" t="s">
        <v>3582</v>
      </c>
      <c r="EK26" s="38" t="s">
        <v>3613</v>
      </c>
      <c r="EL26" s="38" t="s">
        <v>1389</v>
      </c>
      <c r="EM26" s="38">
        <v>3</v>
      </c>
      <c r="EN26" s="38" t="s">
        <v>3666</v>
      </c>
      <c r="EO26" s="38">
        <v>1</v>
      </c>
      <c r="EP26" s="38" t="s">
        <v>3585</v>
      </c>
      <c r="EQ26" s="38">
        <v>3</v>
      </c>
      <c r="ER26" s="42" t="s">
        <v>3586</v>
      </c>
      <c r="ES26" s="38">
        <v>3</v>
      </c>
      <c r="ET26" s="38" t="s">
        <v>3667</v>
      </c>
      <c r="EU26" s="38">
        <v>2</v>
      </c>
      <c r="EV26" s="42" t="s">
        <v>3588</v>
      </c>
      <c r="EW26" s="38">
        <v>3</v>
      </c>
      <c r="EX26" s="42" t="s">
        <v>3589</v>
      </c>
      <c r="EY26" s="38">
        <v>1</v>
      </c>
      <c r="EZ26" s="42" t="s">
        <v>3590</v>
      </c>
      <c r="FA26" s="22"/>
    </row>
    <row r="27" spans="1:157">
      <c r="A27" s="17">
        <v>440</v>
      </c>
      <c r="B27" s="17">
        <v>50</v>
      </c>
      <c r="C27" s="23" t="s">
        <v>1337</v>
      </c>
      <c r="D27" s="24">
        <v>43754</v>
      </c>
      <c r="E27" s="23" t="s">
        <v>3175</v>
      </c>
      <c r="F27" s="25" t="e">
        <v>#N/A</v>
      </c>
      <c r="G27" s="25" t="s">
        <v>3086</v>
      </c>
      <c r="H27" s="23" t="s">
        <v>1086</v>
      </c>
      <c r="I27" s="23" t="s">
        <v>1065</v>
      </c>
      <c r="J27" s="23" t="s">
        <v>3086</v>
      </c>
      <c r="K27" s="23" t="s">
        <v>3086</v>
      </c>
      <c r="L27" s="23">
        <v>8</v>
      </c>
      <c r="M27" s="23" t="s">
        <v>1342</v>
      </c>
      <c r="N27" s="23" t="s">
        <v>1343</v>
      </c>
      <c r="O27" s="23" t="s">
        <v>3088</v>
      </c>
      <c r="P27" s="23" t="s">
        <v>3176</v>
      </c>
      <c r="Q27" s="23">
        <v>51933722</v>
      </c>
      <c r="R27" s="23" t="s">
        <v>1345</v>
      </c>
      <c r="S27" s="23">
        <v>3</v>
      </c>
      <c r="T27" s="23" t="s">
        <v>1346</v>
      </c>
      <c r="U27" s="23">
        <v>2013</v>
      </c>
      <c r="V27" s="22" t="s">
        <v>3048</v>
      </c>
      <c r="W27" s="22" t="s">
        <v>2925</v>
      </c>
      <c r="X27" s="23" t="s">
        <v>1342</v>
      </c>
      <c r="Y27" s="23"/>
      <c r="Z27" s="23"/>
      <c r="AA27" s="32">
        <v>25</v>
      </c>
      <c r="AB27" s="23" t="s">
        <v>1342</v>
      </c>
      <c r="AC27" s="23" t="s">
        <v>2926</v>
      </c>
      <c r="AD27" s="32" t="s">
        <v>1345</v>
      </c>
      <c r="AE27" s="23" t="s">
        <v>1345</v>
      </c>
      <c r="AF27" s="23" t="s">
        <v>1342</v>
      </c>
      <c r="AG27" s="23" t="s">
        <v>1342</v>
      </c>
      <c r="AH27" s="23" t="s">
        <v>1342</v>
      </c>
      <c r="AI27" s="23">
        <v>2018</v>
      </c>
      <c r="AJ27" s="23" t="s">
        <v>1342</v>
      </c>
      <c r="AK27" s="22" t="s">
        <v>2897</v>
      </c>
      <c r="AL27" s="23" t="s">
        <v>1351</v>
      </c>
      <c r="AM27" s="23" t="s">
        <v>1352</v>
      </c>
      <c r="AN27" s="23" t="s">
        <v>1352</v>
      </c>
      <c r="AO27" s="23" t="s">
        <v>1352</v>
      </c>
      <c r="AP27" s="23" t="s">
        <v>1352</v>
      </c>
      <c r="AQ27" s="23" t="s">
        <v>1352</v>
      </c>
      <c r="AR27" s="23" t="s">
        <v>1352</v>
      </c>
      <c r="AS27" s="23" t="s">
        <v>1353</v>
      </c>
      <c r="AT27" s="23" t="s">
        <v>1342</v>
      </c>
      <c r="AU27" s="22">
        <v>4800</v>
      </c>
      <c r="AV27" s="22">
        <v>1000</v>
      </c>
      <c r="AW27" s="22" t="s">
        <v>3177</v>
      </c>
      <c r="AX27" s="22" t="s">
        <v>2937</v>
      </c>
      <c r="AY27" s="23" t="s">
        <v>1342</v>
      </c>
      <c r="AZ27" s="22"/>
      <c r="BA27" s="22"/>
      <c r="BB27" s="22" t="s">
        <v>1358</v>
      </c>
      <c r="BC27" s="22"/>
      <c r="BD27" s="22"/>
      <c r="BE27" s="22" t="s">
        <v>3086</v>
      </c>
      <c r="BF27" s="22"/>
      <c r="BG27" s="22"/>
      <c r="BH27" s="22">
        <v>3</v>
      </c>
      <c r="BI27" s="22">
        <v>5</v>
      </c>
      <c r="BJ27" s="22"/>
      <c r="BK27" s="22" t="s">
        <v>1434</v>
      </c>
      <c r="BL27" s="22" t="s">
        <v>1434</v>
      </c>
      <c r="BM27" s="22"/>
      <c r="BN27" s="23" t="s">
        <v>1342</v>
      </c>
      <c r="BO27" s="22"/>
      <c r="BP27" s="22"/>
      <c r="BQ27" s="23" t="s">
        <v>1383</v>
      </c>
      <c r="BR27" s="23" t="s">
        <v>1342</v>
      </c>
      <c r="BS27" s="27">
        <v>0</v>
      </c>
      <c r="BT27" s="23" t="s">
        <v>1383</v>
      </c>
      <c r="BU27" s="23" t="s">
        <v>1342</v>
      </c>
      <c r="BV27" s="23"/>
      <c r="BW27" s="22"/>
      <c r="BX27" s="23" t="s">
        <v>1383</v>
      </c>
      <c r="BY27" s="23" t="s">
        <v>1362</v>
      </c>
      <c r="BZ27" s="22" t="s">
        <v>3075</v>
      </c>
      <c r="CA27" s="23" t="s">
        <v>3178</v>
      </c>
      <c r="CB27" s="22" t="s">
        <v>1364</v>
      </c>
      <c r="CC27" s="22" t="s">
        <v>1364</v>
      </c>
      <c r="CD27" s="22" t="s">
        <v>1364</v>
      </c>
      <c r="CE27" s="22">
        <v>3600</v>
      </c>
      <c r="CF27" s="22">
        <v>3240</v>
      </c>
      <c r="CG27" s="22">
        <v>6000</v>
      </c>
      <c r="CH27" s="22">
        <v>0</v>
      </c>
      <c r="CI27" s="22">
        <v>20</v>
      </c>
      <c r="CJ27" s="22">
        <v>35</v>
      </c>
      <c r="CK27" s="27">
        <v>0.6</v>
      </c>
      <c r="CL27" s="27">
        <v>0.6</v>
      </c>
      <c r="CM27" s="27">
        <v>0.4</v>
      </c>
      <c r="CN27" s="27">
        <v>0.4</v>
      </c>
      <c r="CO27" s="22" t="s">
        <v>1564</v>
      </c>
      <c r="CP27" s="22" t="s">
        <v>1366</v>
      </c>
      <c r="CQ27" s="22" t="s">
        <v>3095</v>
      </c>
      <c r="CR27" s="22">
        <v>3</v>
      </c>
      <c r="CS27" s="22" t="s">
        <v>1706</v>
      </c>
      <c r="CT27" s="22" t="s">
        <v>3096</v>
      </c>
      <c r="CU27" s="23" t="s">
        <v>1383</v>
      </c>
      <c r="CV27" s="22" t="s">
        <v>3097</v>
      </c>
      <c r="CW27" s="23" t="s">
        <v>1383</v>
      </c>
      <c r="CX27" s="27">
        <v>0.1</v>
      </c>
      <c r="CY27" s="27">
        <v>0.8</v>
      </c>
      <c r="CZ27" s="22" t="s">
        <v>3117</v>
      </c>
      <c r="DA27" s="22" t="s">
        <v>1372</v>
      </c>
      <c r="DB27" s="22">
        <v>8</v>
      </c>
      <c r="DC27" s="22"/>
      <c r="DD27" s="22" t="s">
        <v>2907</v>
      </c>
      <c r="DE27" s="22" t="s">
        <v>2908</v>
      </c>
      <c r="DF27" s="22" t="s">
        <v>2909</v>
      </c>
      <c r="DG27" s="22"/>
      <c r="DH27" s="22" t="s">
        <v>3098</v>
      </c>
      <c r="DI27" s="22" t="s">
        <v>3099</v>
      </c>
      <c r="DJ27" s="22"/>
      <c r="DK27" s="22"/>
      <c r="DL27" s="22" t="s">
        <v>3179</v>
      </c>
      <c r="DM27" s="22" t="s">
        <v>3121</v>
      </c>
      <c r="DN27" s="23" t="s">
        <v>1345</v>
      </c>
      <c r="DO27" s="22" t="s">
        <v>3102</v>
      </c>
      <c r="DP27" s="23" t="s">
        <v>1342</v>
      </c>
      <c r="DQ27" s="22"/>
      <c r="DR27" s="23" t="s">
        <v>1342</v>
      </c>
      <c r="DS27" s="22"/>
      <c r="DT27" s="22"/>
      <c r="DU27" s="22"/>
      <c r="DV27" s="23" t="s">
        <v>1383</v>
      </c>
      <c r="DW27" s="22" t="s">
        <v>1747</v>
      </c>
      <c r="DX27" s="23" t="s">
        <v>1383</v>
      </c>
      <c r="DY27" s="23" t="s">
        <v>1342</v>
      </c>
      <c r="DZ27" s="22" t="s">
        <v>3017</v>
      </c>
      <c r="EA27" s="23" t="s">
        <v>1383</v>
      </c>
      <c r="EB27" s="23" t="s">
        <v>1342</v>
      </c>
      <c r="EC27" s="23" t="s">
        <v>1383</v>
      </c>
      <c r="ED27" s="22" t="s">
        <v>2948</v>
      </c>
      <c r="EE27" s="27">
        <v>0.3</v>
      </c>
      <c r="EF27" s="22" t="s">
        <v>3103</v>
      </c>
      <c r="EG27" s="23" t="s">
        <v>1342</v>
      </c>
      <c r="EH27" s="22"/>
      <c r="EI27" s="22"/>
      <c r="EJ27" s="22"/>
      <c r="EK27" s="22"/>
      <c r="EL27" s="23" t="s">
        <v>1389</v>
      </c>
      <c r="EM27" s="23">
        <v>3</v>
      </c>
      <c r="EN27" s="22" t="s">
        <v>2917</v>
      </c>
      <c r="EO27" s="23">
        <v>3</v>
      </c>
      <c r="EP27" s="22" t="s">
        <v>3180</v>
      </c>
      <c r="EQ27" s="23">
        <v>2</v>
      </c>
      <c r="ER27" s="22" t="s">
        <v>3129</v>
      </c>
      <c r="ES27" s="23">
        <v>3</v>
      </c>
      <c r="ET27" s="22" t="s">
        <v>3174</v>
      </c>
      <c r="EU27" s="23">
        <v>3</v>
      </c>
      <c r="EV27" s="22" t="s">
        <v>3108</v>
      </c>
      <c r="EW27" s="23">
        <v>3</v>
      </c>
      <c r="EX27" s="22" t="s">
        <v>3109</v>
      </c>
      <c r="EY27" s="23">
        <v>0</v>
      </c>
      <c r="EZ27" s="22" t="s">
        <v>2974</v>
      </c>
      <c r="FA27" s="22"/>
    </row>
    <row r="28" spans="1:157">
      <c r="A28" s="17">
        <v>441</v>
      </c>
      <c r="B28" s="17">
        <v>51</v>
      </c>
      <c r="C28" s="22" t="s">
        <v>1337</v>
      </c>
      <c r="D28" s="33">
        <v>43756</v>
      </c>
      <c r="E28" s="22" t="s">
        <v>3181</v>
      </c>
      <c r="F28" s="22"/>
      <c r="G28" s="22" t="s">
        <v>3086</v>
      </c>
      <c r="H28" s="22" t="s">
        <v>1086</v>
      </c>
      <c r="I28" s="22" t="s">
        <v>1065</v>
      </c>
      <c r="J28" s="22" t="s">
        <v>3086</v>
      </c>
      <c r="K28" s="22" t="s">
        <v>3182</v>
      </c>
      <c r="L28" s="22">
        <v>8</v>
      </c>
      <c r="M28" s="22" t="s">
        <v>1342</v>
      </c>
      <c r="N28" s="22" t="s">
        <v>1541</v>
      </c>
      <c r="O28" s="22" t="s">
        <v>3088</v>
      </c>
      <c r="P28" s="22" t="s">
        <v>3183</v>
      </c>
      <c r="Q28" s="22">
        <v>64547736</v>
      </c>
      <c r="R28" s="22" t="s">
        <v>1345</v>
      </c>
      <c r="S28" s="22">
        <v>3</v>
      </c>
      <c r="T28" s="22" t="s">
        <v>1346</v>
      </c>
      <c r="U28" s="22">
        <v>2013</v>
      </c>
      <c r="V28" s="22" t="s">
        <v>2896</v>
      </c>
      <c r="W28" s="22" t="s">
        <v>3184</v>
      </c>
      <c r="X28" s="22" t="s">
        <v>1349</v>
      </c>
      <c r="Y28" s="22"/>
      <c r="Z28" s="22"/>
      <c r="AA28" s="34">
        <v>35</v>
      </c>
      <c r="AB28" s="22" t="s">
        <v>1349</v>
      </c>
      <c r="AC28" s="22" t="s">
        <v>3172</v>
      </c>
      <c r="AD28" s="34" t="s">
        <v>1345</v>
      </c>
      <c r="AE28" s="22" t="s">
        <v>1349</v>
      </c>
      <c r="AF28" s="22" t="s">
        <v>1349</v>
      </c>
      <c r="AG28" s="22" t="s">
        <v>1349</v>
      </c>
      <c r="AH28" s="22"/>
      <c r="AI28" s="22"/>
      <c r="AJ28" s="22" t="s">
        <v>1349</v>
      </c>
      <c r="AK28" s="22" t="s">
        <v>2967</v>
      </c>
      <c r="AL28" s="22" t="s">
        <v>1351</v>
      </c>
      <c r="AM28" s="22" t="s">
        <v>1351</v>
      </c>
      <c r="AN28" s="22" t="s">
        <v>1351</v>
      </c>
      <c r="AO28" s="22" t="s">
        <v>1351</v>
      </c>
      <c r="AP28" s="22" t="s">
        <v>1351</v>
      </c>
      <c r="AQ28" s="22" t="s">
        <v>1352</v>
      </c>
      <c r="AR28" s="22" t="s">
        <v>1351</v>
      </c>
      <c r="AS28" s="22" t="s">
        <v>1353</v>
      </c>
      <c r="AT28" s="22"/>
      <c r="AU28" s="22">
        <v>9600</v>
      </c>
      <c r="AV28" s="22">
        <v>1000</v>
      </c>
      <c r="AW28" s="22" t="s">
        <v>2955</v>
      </c>
      <c r="AX28" s="22" t="s">
        <v>2989</v>
      </c>
      <c r="AY28" s="22"/>
      <c r="AZ28" s="22"/>
      <c r="BA28" s="22"/>
      <c r="BB28" s="22" t="s">
        <v>1358</v>
      </c>
      <c r="BC28" s="22"/>
      <c r="BD28" s="22"/>
      <c r="BE28" s="22" t="s">
        <v>3182</v>
      </c>
      <c r="BF28" s="22"/>
      <c r="BG28" s="22" t="s">
        <v>3028</v>
      </c>
      <c r="BH28" s="22">
        <v>2</v>
      </c>
      <c r="BI28" s="22">
        <v>3</v>
      </c>
      <c r="BJ28" s="22"/>
      <c r="BK28" s="22" t="s">
        <v>1360</v>
      </c>
      <c r="BL28" s="22" t="s">
        <v>1434</v>
      </c>
      <c r="BM28" s="22"/>
      <c r="BN28" s="22" t="s">
        <v>1349</v>
      </c>
      <c r="BO28" s="22"/>
      <c r="BP28" s="22"/>
      <c r="BQ28" s="22" t="s">
        <v>1345</v>
      </c>
      <c r="BR28" s="22" t="s">
        <v>1342</v>
      </c>
      <c r="BS28" s="27">
        <v>0</v>
      </c>
      <c r="BT28" s="22" t="s">
        <v>1342</v>
      </c>
      <c r="BU28" s="22"/>
      <c r="BV28" s="22"/>
      <c r="BW28" s="22"/>
      <c r="BX28" s="22" t="s">
        <v>1345</v>
      </c>
      <c r="BY28" s="22" t="s">
        <v>1561</v>
      </c>
      <c r="BZ28" s="22" t="s">
        <v>3185</v>
      </c>
      <c r="CA28" s="22" t="s">
        <v>3182</v>
      </c>
      <c r="CB28" s="22" t="s">
        <v>1364</v>
      </c>
      <c r="CC28" s="22" t="s">
        <v>1364</v>
      </c>
      <c r="CD28" s="22" t="s">
        <v>1364</v>
      </c>
      <c r="CE28" s="22">
        <v>1800</v>
      </c>
      <c r="CF28" s="22">
        <v>1440</v>
      </c>
      <c r="CG28" s="22">
        <v>1800</v>
      </c>
      <c r="CH28" s="22">
        <v>0</v>
      </c>
      <c r="CI28" s="22">
        <v>0</v>
      </c>
      <c r="CJ28" s="22">
        <v>0</v>
      </c>
      <c r="CK28" s="27">
        <v>0.5</v>
      </c>
      <c r="CL28" s="27">
        <v>0.5</v>
      </c>
      <c r="CM28" s="27">
        <v>0.5</v>
      </c>
      <c r="CN28" s="27">
        <v>0.5</v>
      </c>
      <c r="CO28" s="22" t="s">
        <v>3186</v>
      </c>
      <c r="CP28" s="22"/>
      <c r="CQ28" s="27"/>
      <c r="CR28" s="22"/>
      <c r="CS28" s="22"/>
      <c r="CT28" s="22"/>
      <c r="CU28" s="22"/>
      <c r="CV28" s="22"/>
      <c r="CW28" s="22" t="s">
        <v>1345</v>
      </c>
      <c r="CX28" s="27">
        <v>0.2</v>
      </c>
      <c r="CY28" s="27">
        <v>0.75</v>
      </c>
      <c r="CZ28" s="22" t="s">
        <v>3117</v>
      </c>
      <c r="DA28" s="22" t="s">
        <v>1372</v>
      </c>
      <c r="DB28" s="22">
        <v>8</v>
      </c>
      <c r="DC28" s="22"/>
      <c r="DD28" s="22" t="s">
        <v>2907</v>
      </c>
      <c r="DE28" s="22" t="s">
        <v>2908</v>
      </c>
      <c r="DF28" s="22" t="s">
        <v>2909</v>
      </c>
      <c r="DG28" s="22"/>
      <c r="DH28" s="22" t="s">
        <v>3187</v>
      </c>
      <c r="DI28" s="22"/>
      <c r="DJ28" s="22"/>
      <c r="DK28" s="22"/>
      <c r="DL28" s="22" t="s">
        <v>3157</v>
      </c>
      <c r="DM28" s="22"/>
      <c r="DN28" s="22" t="s">
        <v>1383</v>
      </c>
      <c r="DO28" s="22" t="s">
        <v>3188</v>
      </c>
      <c r="DP28" s="22" t="s">
        <v>1349</v>
      </c>
      <c r="DQ28" s="22"/>
      <c r="DR28" s="22" t="s">
        <v>1349</v>
      </c>
      <c r="DS28" s="22"/>
      <c r="DT28" s="22"/>
      <c r="DU28" s="22"/>
      <c r="DV28" s="22" t="s">
        <v>1383</v>
      </c>
      <c r="DW28" s="22" t="s">
        <v>3054</v>
      </c>
      <c r="DX28" s="22" t="s">
        <v>1345</v>
      </c>
      <c r="DY28" s="22" t="s">
        <v>1349</v>
      </c>
      <c r="DZ28" s="22" t="s">
        <v>3078</v>
      </c>
      <c r="EA28" s="22" t="s">
        <v>1345</v>
      </c>
      <c r="EB28" s="22" t="s">
        <v>1345</v>
      </c>
      <c r="EC28" s="22" t="s">
        <v>1345</v>
      </c>
      <c r="ED28" s="22" t="s">
        <v>2948</v>
      </c>
      <c r="EE28" s="27">
        <v>0.2</v>
      </c>
      <c r="EF28" s="22" t="s">
        <v>3189</v>
      </c>
      <c r="EG28" s="22" t="s">
        <v>1342</v>
      </c>
      <c r="EH28" s="22"/>
      <c r="EI28" s="22"/>
      <c r="EJ28" s="22"/>
      <c r="EK28" s="22"/>
      <c r="EL28" s="22" t="s">
        <v>1389</v>
      </c>
      <c r="EM28" s="22">
        <v>3</v>
      </c>
      <c r="EN28" s="22" t="s">
        <v>2917</v>
      </c>
      <c r="EO28" s="22">
        <v>0</v>
      </c>
      <c r="EP28" s="22" t="s">
        <v>3020</v>
      </c>
      <c r="EQ28" s="22">
        <v>2</v>
      </c>
      <c r="ER28" s="22" t="s">
        <v>3190</v>
      </c>
      <c r="ES28" s="22">
        <v>3</v>
      </c>
      <c r="ET28" s="22" t="s">
        <v>3174</v>
      </c>
      <c r="EU28" s="22">
        <v>4</v>
      </c>
      <c r="EV28" s="22" t="s">
        <v>3191</v>
      </c>
      <c r="EW28" s="22">
        <v>3</v>
      </c>
      <c r="EX28" s="22" t="s">
        <v>3109</v>
      </c>
      <c r="EY28" s="22">
        <v>0</v>
      </c>
      <c r="EZ28" s="22" t="s">
        <v>2974</v>
      </c>
      <c r="FA28" s="22"/>
    </row>
    <row r="29" spans="1:157">
      <c r="A29" s="17">
        <v>442</v>
      </c>
      <c r="B29" s="17">
        <v>59</v>
      </c>
      <c r="C29" s="23" t="s">
        <v>1795</v>
      </c>
      <c r="D29" s="36">
        <v>43742</v>
      </c>
      <c r="E29" s="23" t="s">
        <v>3290</v>
      </c>
      <c r="F29" s="25" t="s">
        <v>1728</v>
      </c>
      <c r="G29" s="25" t="s">
        <v>3291</v>
      </c>
      <c r="H29" s="23" t="s">
        <v>3292</v>
      </c>
      <c r="I29" s="23" t="s">
        <v>3293</v>
      </c>
      <c r="J29" s="23" t="s">
        <v>3291</v>
      </c>
      <c r="K29" s="23" t="s">
        <v>3291</v>
      </c>
      <c r="L29" s="23">
        <v>2</v>
      </c>
      <c r="M29" s="23" t="s">
        <v>3294</v>
      </c>
      <c r="N29" s="23" t="s">
        <v>1343</v>
      </c>
      <c r="O29" s="23" t="s">
        <v>3522</v>
      </c>
      <c r="P29" s="23" t="s">
        <v>7101</v>
      </c>
      <c r="Q29" s="23">
        <v>54137155</v>
      </c>
      <c r="R29" s="23" t="s">
        <v>1345</v>
      </c>
      <c r="S29" s="23">
        <v>7</v>
      </c>
      <c r="T29" s="23" t="s">
        <v>1499</v>
      </c>
      <c r="U29" s="23">
        <v>2002</v>
      </c>
      <c r="V29" s="22" t="s">
        <v>3295</v>
      </c>
      <c r="W29" s="23" t="s">
        <v>3296</v>
      </c>
      <c r="X29" s="23" t="s">
        <v>1345</v>
      </c>
      <c r="Y29" s="23"/>
      <c r="Z29" s="23">
        <v>2012</v>
      </c>
      <c r="AA29" s="32">
        <v>20</v>
      </c>
      <c r="AB29" s="23" t="s">
        <v>1345</v>
      </c>
      <c r="AC29" s="23">
        <v>1</v>
      </c>
      <c r="AD29" s="32" t="s">
        <v>1345</v>
      </c>
      <c r="AE29" s="23" t="s">
        <v>1345</v>
      </c>
      <c r="AF29" s="23" t="s">
        <v>1345</v>
      </c>
      <c r="AG29" s="23" t="s">
        <v>1345</v>
      </c>
      <c r="AH29" s="23" t="s">
        <v>1358</v>
      </c>
      <c r="AI29" s="23">
        <v>2002</v>
      </c>
      <c r="AJ29" s="23" t="s">
        <v>1349</v>
      </c>
      <c r="AK29" s="23" t="s">
        <v>3297</v>
      </c>
      <c r="AL29" s="23" t="s">
        <v>1550</v>
      </c>
      <c r="AM29" s="23" t="s">
        <v>1550</v>
      </c>
      <c r="AN29" s="23" t="s">
        <v>1550</v>
      </c>
      <c r="AO29" s="23" t="s">
        <v>1550</v>
      </c>
      <c r="AP29" s="23" t="s">
        <v>1550</v>
      </c>
      <c r="AQ29" s="23" t="s">
        <v>1352</v>
      </c>
      <c r="AR29" s="23" t="s">
        <v>1352</v>
      </c>
      <c r="AS29" s="23" t="s">
        <v>1550</v>
      </c>
      <c r="AT29" s="23" t="s">
        <v>1804</v>
      </c>
      <c r="AU29" s="23" t="s">
        <v>3298</v>
      </c>
      <c r="AV29" s="23">
        <v>1000</v>
      </c>
      <c r="AW29" s="23" t="s">
        <v>3299</v>
      </c>
      <c r="AX29" s="23" t="s">
        <v>3300</v>
      </c>
      <c r="AY29" s="23" t="s">
        <v>1345</v>
      </c>
      <c r="AZ29" s="23" t="s">
        <v>3301</v>
      </c>
      <c r="BA29" s="23" t="s">
        <v>3302</v>
      </c>
      <c r="BB29" s="23" t="s">
        <v>1358</v>
      </c>
      <c r="BC29" s="23" t="s">
        <v>1358</v>
      </c>
      <c r="BD29" s="23" t="s">
        <v>1358</v>
      </c>
      <c r="BE29" s="23" t="s">
        <v>3303</v>
      </c>
      <c r="BF29" s="23" t="s">
        <v>3303</v>
      </c>
      <c r="BG29" s="23" t="s">
        <v>3303</v>
      </c>
      <c r="BH29" s="23">
        <v>6</v>
      </c>
      <c r="BI29" s="23">
        <v>6</v>
      </c>
      <c r="BJ29" s="23">
        <v>6</v>
      </c>
      <c r="BK29" s="23" t="s">
        <v>3304</v>
      </c>
      <c r="BL29" s="23" t="s">
        <v>3305</v>
      </c>
      <c r="BM29" s="23" t="s">
        <v>3305</v>
      </c>
      <c r="BN29" s="23" t="s">
        <v>1349</v>
      </c>
      <c r="BO29" s="22"/>
      <c r="BP29" s="22"/>
      <c r="BQ29" s="23" t="s">
        <v>1345</v>
      </c>
      <c r="BR29" s="23" t="s">
        <v>1345</v>
      </c>
      <c r="BS29" s="23" t="s">
        <v>1358</v>
      </c>
      <c r="BT29" s="23" t="s">
        <v>1345</v>
      </c>
      <c r="BU29" s="23" t="s">
        <v>3306</v>
      </c>
      <c r="BV29" s="23" t="s">
        <v>1349</v>
      </c>
      <c r="BW29" s="22"/>
      <c r="BX29" s="23" t="s">
        <v>1345</v>
      </c>
      <c r="BY29" s="23" t="s">
        <v>1362</v>
      </c>
      <c r="BZ29" s="23" t="s">
        <v>3307</v>
      </c>
      <c r="CA29" s="23" t="s">
        <v>3308</v>
      </c>
      <c r="CB29" s="23" t="s">
        <v>1935</v>
      </c>
      <c r="CC29" s="23" t="s">
        <v>1935</v>
      </c>
      <c r="CD29" s="23" t="s">
        <v>1935</v>
      </c>
      <c r="CE29" s="23">
        <v>360</v>
      </c>
      <c r="CF29" s="23">
        <v>600</v>
      </c>
      <c r="CG29" s="23" t="s">
        <v>1904</v>
      </c>
      <c r="CH29" s="23" t="s">
        <v>3309</v>
      </c>
      <c r="CI29" s="23" t="s">
        <v>3309</v>
      </c>
      <c r="CJ29" s="23" t="s">
        <v>3309</v>
      </c>
      <c r="CK29" s="26">
        <v>0.6</v>
      </c>
      <c r="CL29" s="26">
        <v>0.6</v>
      </c>
      <c r="CM29" s="26">
        <v>0.4</v>
      </c>
      <c r="CN29" s="26">
        <v>0.4</v>
      </c>
      <c r="CO29" s="23" t="s">
        <v>3310</v>
      </c>
      <c r="CP29" s="23" t="s">
        <v>1358</v>
      </c>
      <c r="CQ29" s="23" t="s">
        <v>1367</v>
      </c>
      <c r="CR29" s="23">
        <v>15</v>
      </c>
      <c r="CS29" s="23" t="s">
        <v>2230</v>
      </c>
      <c r="CT29" s="23" t="s">
        <v>3311</v>
      </c>
      <c r="CU29" s="23" t="s">
        <v>1349</v>
      </c>
      <c r="CV29" s="23" t="s">
        <v>3312</v>
      </c>
      <c r="CW29" s="23" t="s">
        <v>1349</v>
      </c>
      <c r="CX29" s="22"/>
      <c r="CY29" s="27">
        <v>1</v>
      </c>
      <c r="CZ29" s="22" t="s">
        <v>3313</v>
      </c>
      <c r="DA29" s="22" t="s">
        <v>3314</v>
      </c>
      <c r="DB29" s="22"/>
      <c r="DC29" s="22" t="s">
        <v>1824</v>
      </c>
      <c r="DD29" s="22" t="s">
        <v>3315</v>
      </c>
      <c r="DE29" s="22" t="s">
        <v>3316</v>
      </c>
      <c r="DF29" s="22" t="s">
        <v>3317</v>
      </c>
      <c r="DG29" s="22" t="s">
        <v>3318</v>
      </c>
      <c r="DH29" s="22" t="s">
        <v>3319</v>
      </c>
      <c r="DI29" s="22" t="s">
        <v>3319</v>
      </c>
      <c r="DJ29" s="22" t="s">
        <v>3319</v>
      </c>
      <c r="DK29" s="22" t="s">
        <v>3319</v>
      </c>
      <c r="DL29" s="22" t="s">
        <v>1358</v>
      </c>
      <c r="DM29" s="22" t="s">
        <v>1358</v>
      </c>
      <c r="DN29" s="23" t="s">
        <v>1349</v>
      </c>
      <c r="DO29" s="22" t="s">
        <v>1358</v>
      </c>
      <c r="DP29" s="23" t="s">
        <v>1349</v>
      </c>
      <c r="DQ29" s="22" t="s">
        <v>1358</v>
      </c>
      <c r="DR29" s="23" t="s">
        <v>1345</v>
      </c>
      <c r="DS29" s="22" t="s">
        <v>3320</v>
      </c>
      <c r="DT29" s="23" t="s">
        <v>3321</v>
      </c>
      <c r="DU29" s="23" t="s">
        <v>3321</v>
      </c>
      <c r="DV29" s="23" t="s">
        <v>3322</v>
      </c>
      <c r="DW29" s="22" t="s">
        <v>1904</v>
      </c>
      <c r="DX29" s="23" t="s">
        <v>3323</v>
      </c>
      <c r="DY29" s="23" t="s">
        <v>1349</v>
      </c>
      <c r="DZ29" s="23" t="s">
        <v>3324</v>
      </c>
      <c r="EA29" s="23" t="s">
        <v>1345</v>
      </c>
      <c r="EB29" s="23" t="s">
        <v>1345</v>
      </c>
      <c r="EC29" s="23" t="s">
        <v>3325</v>
      </c>
      <c r="ED29" s="23" t="s">
        <v>3326</v>
      </c>
      <c r="EE29" s="27">
        <v>0.5</v>
      </c>
      <c r="EF29" s="23" t="s">
        <v>3327</v>
      </c>
      <c r="EG29" s="23" t="s">
        <v>1345</v>
      </c>
      <c r="EH29" s="23" t="s">
        <v>3328</v>
      </c>
      <c r="EI29" s="23" t="s">
        <v>3329</v>
      </c>
      <c r="EJ29" s="23" t="s">
        <v>3330</v>
      </c>
      <c r="EK29" s="23" t="s">
        <v>3331</v>
      </c>
      <c r="EL29" s="23" t="s">
        <v>1841</v>
      </c>
      <c r="EM29" s="23">
        <v>5</v>
      </c>
      <c r="EN29" s="23" t="s">
        <v>3332</v>
      </c>
      <c r="EO29" s="23">
        <v>3</v>
      </c>
      <c r="EP29" s="23" t="s">
        <v>3333</v>
      </c>
      <c r="EQ29" s="23">
        <v>3</v>
      </c>
      <c r="ER29" s="22" t="s">
        <v>3334</v>
      </c>
      <c r="ES29" s="23">
        <v>4</v>
      </c>
      <c r="ET29" s="23" t="s">
        <v>3335</v>
      </c>
      <c r="EU29" s="23">
        <v>1</v>
      </c>
      <c r="EV29" s="22" t="s">
        <v>3336</v>
      </c>
      <c r="EW29" s="23">
        <v>3</v>
      </c>
      <c r="EX29" s="22" t="s">
        <v>3337</v>
      </c>
      <c r="EY29" s="23">
        <v>1</v>
      </c>
      <c r="EZ29" s="22" t="s">
        <v>3338</v>
      </c>
      <c r="FA29" s="22"/>
    </row>
    <row r="30" spans="1:157">
      <c r="A30" s="17">
        <v>443</v>
      </c>
      <c r="B30" s="17">
        <v>16</v>
      </c>
      <c r="C30" s="23" t="s">
        <v>2278</v>
      </c>
      <c r="D30" s="24">
        <v>43752</v>
      </c>
      <c r="E30" s="23" t="s">
        <v>2814</v>
      </c>
      <c r="F30" s="25" t="e">
        <v>#N/A</v>
      </c>
      <c r="G30" s="25" t="e">
        <v>#N/A</v>
      </c>
      <c r="H30" s="23" t="s">
        <v>1086</v>
      </c>
      <c r="I30" s="23" t="s">
        <v>1065</v>
      </c>
      <c r="J30" s="23" t="s">
        <v>2784</v>
      </c>
      <c r="K30" s="23" t="s">
        <v>2815</v>
      </c>
      <c r="L30" s="23">
        <v>19</v>
      </c>
      <c r="M30" s="23" t="s">
        <v>2809</v>
      </c>
      <c r="N30" s="23" t="s">
        <v>1541</v>
      </c>
      <c r="O30" s="23" t="s">
        <v>627</v>
      </c>
      <c r="P30" s="23" t="s">
        <v>2816</v>
      </c>
      <c r="Q30" s="23">
        <v>72317834</v>
      </c>
      <c r="R30" s="23" t="s">
        <v>1345</v>
      </c>
      <c r="S30" s="23">
        <v>3</v>
      </c>
      <c r="T30" s="23" t="s">
        <v>2285</v>
      </c>
      <c r="U30" s="23">
        <v>2009</v>
      </c>
      <c r="V30" s="23" t="s">
        <v>2787</v>
      </c>
      <c r="W30" s="23" t="s">
        <v>2287</v>
      </c>
      <c r="X30" s="23" t="s">
        <v>1345</v>
      </c>
      <c r="Y30" s="23">
        <v>2018</v>
      </c>
      <c r="Z30" s="23" t="s">
        <v>2288</v>
      </c>
      <c r="AA30" s="32">
        <v>36</v>
      </c>
      <c r="AB30" s="23" t="s">
        <v>1349</v>
      </c>
      <c r="AC30" s="23">
        <v>3</v>
      </c>
      <c r="AD30" s="32" t="s">
        <v>1345</v>
      </c>
      <c r="AE30" s="23" t="s">
        <v>1345</v>
      </c>
      <c r="AF30" s="23" t="s">
        <v>1349</v>
      </c>
      <c r="AG30" s="23" t="s">
        <v>1349</v>
      </c>
      <c r="AH30" s="23" t="s">
        <v>2428</v>
      </c>
      <c r="AI30" s="23">
        <v>2009</v>
      </c>
      <c r="AJ30" s="23" t="s">
        <v>1349</v>
      </c>
      <c r="AK30" s="23" t="s">
        <v>2290</v>
      </c>
      <c r="AL30" s="23" t="s">
        <v>1612</v>
      </c>
      <c r="AM30" s="23" t="s">
        <v>1612</v>
      </c>
      <c r="AN30" s="23" t="s">
        <v>1612</v>
      </c>
      <c r="AO30" s="23" t="s">
        <v>1612</v>
      </c>
      <c r="AP30" s="23" t="s">
        <v>1612</v>
      </c>
      <c r="AQ30" s="23" t="s">
        <v>2291</v>
      </c>
      <c r="AR30" s="23" t="s">
        <v>2291</v>
      </c>
      <c r="AS30" s="23" t="s">
        <v>1802</v>
      </c>
      <c r="AT30" s="23" t="s">
        <v>1358</v>
      </c>
      <c r="AU30" s="23" t="s">
        <v>2778</v>
      </c>
      <c r="AV30" s="23" t="s">
        <v>2789</v>
      </c>
      <c r="AW30" s="23" t="s">
        <v>2805</v>
      </c>
      <c r="AX30" s="23" t="s">
        <v>2812</v>
      </c>
      <c r="AY30" s="23" t="s">
        <v>1349</v>
      </c>
      <c r="AZ30" s="23" t="s">
        <v>2431</v>
      </c>
      <c r="BA30" s="23" t="s">
        <v>2361</v>
      </c>
      <c r="BB30" s="23" t="s">
        <v>2762</v>
      </c>
      <c r="BC30" s="23" t="s">
        <v>2289</v>
      </c>
      <c r="BD30" s="23" t="s">
        <v>2289</v>
      </c>
      <c r="BE30" s="23" t="s">
        <v>2815</v>
      </c>
      <c r="BF30" s="23" t="s">
        <v>2300</v>
      </c>
      <c r="BG30" s="23" t="s">
        <v>2300</v>
      </c>
      <c r="BH30" s="23">
        <v>8</v>
      </c>
      <c r="BI30" s="23">
        <v>8</v>
      </c>
      <c r="BJ30" s="23">
        <v>8</v>
      </c>
      <c r="BK30" s="23" t="s">
        <v>2594</v>
      </c>
      <c r="BL30" s="23" t="s">
        <v>2594</v>
      </c>
      <c r="BM30" s="23" t="s">
        <v>2594</v>
      </c>
      <c r="BN30" s="23" t="s">
        <v>1349</v>
      </c>
      <c r="BO30" s="23" t="s">
        <v>2300</v>
      </c>
      <c r="BP30" s="23" t="s">
        <v>2300</v>
      </c>
      <c r="BQ30" s="23" t="s">
        <v>1349</v>
      </c>
      <c r="BR30" s="23" t="s">
        <v>1349</v>
      </c>
      <c r="BS30" s="23" t="s">
        <v>1804</v>
      </c>
      <c r="BT30" s="23" t="s">
        <v>1345</v>
      </c>
      <c r="BU30" s="23" t="s">
        <v>2402</v>
      </c>
      <c r="BV30" s="23" t="s">
        <v>1349</v>
      </c>
      <c r="BW30" s="23" t="s">
        <v>2300</v>
      </c>
      <c r="BX30" s="23" t="s">
        <v>1349</v>
      </c>
      <c r="BY30" s="23" t="s">
        <v>1366</v>
      </c>
      <c r="BZ30" s="23" t="s">
        <v>2300</v>
      </c>
      <c r="CA30" s="23" t="s">
        <v>2300</v>
      </c>
      <c r="CB30" s="23" t="s">
        <v>2289</v>
      </c>
      <c r="CC30" s="23" t="s">
        <v>2289</v>
      </c>
      <c r="CD30" s="23" t="s">
        <v>2289</v>
      </c>
      <c r="CE30" s="23">
        <v>2760</v>
      </c>
      <c r="CF30" s="23">
        <v>3720</v>
      </c>
      <c r="CG30" s="23">
        <v>3720</v>
      </c>
      <c r="CH30" s="23">
        <v>35</v>
      </c>
      <c r="CI30" s="23">
        <v>20</v>
      </c>
      <c r="CJ30" s="23">
        <v>35</v>
      </c>
      <c r="CK30" s="27">
        <v>1</v>
      </c>
      <c r="CL30" s="27">
        <v>1</v>
      </c>
      <c r="CM30" s="27">
        <v>0</v>
      </c>
      <c r="CN30" s="27">
        <v>0</v>
      </c>
      <c r="CO30" s="23" t="s">
        <v>2307</v>
      </c>
      <c r="CP30" s="23" t="s">
        <v>1565</v>
      </c>
      <c r="CQ30" s="23" t="s">
        <v>1565</v>
      </c>
      <c r="CR30" s="23" t="s">
        <v>2767</v>
      </c>
      <c r="CS30" s="23" t="s">
        <v>1706</v>
      </c>
      <c r="CT30" s="23" t="s">
        <v>2767</v>
      </c>
      <c r="CU30" s="23" t="s">
        <v>2767</v>
      </c>
      <c r="CV30" s="23" t="s">
        <v>2767</v>
      </c>
      <c r="CW30" s="23" t="s">
        <v>1345</v>
      </c>
      <c r="CX30" s="26">
        <v>0.05</v>
      </c>
      <c r="CY30" s="26">
        <v>0.95</v>
      </c>
      <c r="CZ30" s="23" t="s">
        <v>2791</v>
      </c>
      <c r="DA30" s="23" t="s">
        <v>2494</v>
      </c>
      <c r="DB30" s="23" t="s">
        <v>1903</v>
      </c>
      <c r="DC30" s="23" t="s">
        <v>2408</v>
      </c>
      <c r="DD30" s="22" t="s">
        <v>2792</v>
      </c>
      <c r="DE30" s="23" t="s">
        <v>2793</v>
      </c>
      <c r="DF30" s="23" t="s">
        <v>2315</v>
      </c>
      <c r="DG30" s="23" t="s">
        <v>2817</v>
      </c>
      <c r="DH30" s="23" t="s">
        <v>2794</v>
      </c>
      <c r="DI30" s="23" t="s">
        <v>1556</v>
      </c>
      <c r="DJ30" s="23" t="s">
        <v>1556</v>
      </c>
      <c r="DK30" s="23" t="s">
        <v>1556</v>
      </c>
      <c r="DL30" s="23" t="s">
        <v>2795</v>
      </c>
      <c r="DM30" s="23" t="s">
        <v>2770</v>
      </c>
      <c r="DN30" s="23" t="s">
        <v>1345</v>
      </c>
      <c r="DO30" s="23" t="s">
        <v>2796</v>
      </c>
      <c r="DP30" s="23" t="s">
        <v>1349</v>
      </c>
      <c r="DQ30" s="23" t="s">
        <v>1358</v>
      </c>
      <c r="DR30" s="23" t="s">
        <v>1349</v>
      </c>
      <c r="DS30" s="23" t="s">
        <v>2300</v>
      </c>
      <c r="DT30" s="23" t="s">
        <v>2300</v>
      </c>
      <c r="DU30" s="23" t="s">
        <v>2300</v>
      </c>
      <c r="DV30" s="23" t="s">
        <v>1345</v>
      </c>
      <c r="DW30" s="23" t="s">
        <v>2797</v>
      </c>
      <c r="DX30" s="23" t="s">
        <v>1345</v>
      </c>
      <c r="DY30" s="23" t="s">
        <v>1349</v>
      </c>
      <c r="DZ30" s="23" t="s">
        <v>2322</v>
      </c>
      <c r="EA30" s="23" t="s">
        <v>1345</v>
      </c>
      <c r="EB30" s="23" t="s">
        <v>1345</v>
      </c>
      <c r="EC30" s="23" t="s">
        <v>1345</v>
      </c>
      <c r="ED30" s="23" t="s">
        <v>2353</v>
      </c>
      <c r="EE30" s="27">
        <v>0.25</v>
      </c>
      <c r="EF30" s="23" t="s">
        <v>2324</v>
      </c>
      <c r="EG30" s="23" t="s">
        <v>1342</v>
      </c>
      <c r="EH30" s="23" t="s">
        <v>2300</v>
      </c>
      <c r="EI30" s="23" t="s">
        <v>2326</v>
      </c>
      <c r="EJ30" s="22" t="s">
        <v>2327</v>
      </c>
      <c r="EK30" s="23" t="s">
        <v>2419</v>
      </c>
      <c r="EL30" s="23" t="s">
        <v>1389</v>
      </c>
      <c r="EM30" s="23">
        <v>3</v>
      </c>
      <c r="EN30" s="23" t="s">
        <v>2388</v>
      </c>
      <c r="EO30" s="23">
        <v>4</v>
      </c>
      <c r="EP30" s="23" t="s">
        <v>2798</v>
      </c>
      <c r="EQ30" s="23">
        <v>4</v>
      </c>
      <c r="ER30" s="22" t="s">
        <v>2331</v>
      </c>
      <c r="ES30" s="23">
        <v>4</v>
      </c>
      <c r="ET30" s="22" t="s">
        <v>2799</v>
      </c>
      <c r="EU30" s="23">
        <v>4</v>
      </c>
      <c r="EV30" s="22" t="s">
        <v>2508</v>
      </c>
      <c r="EW30" s="23">
        <v>3</v>
      </c>
      <c r="EX30" s="22" t="s">
        <v>2801</v>
      </c>
      <c r="EY30" s="23">
        <v>2</v>
      </c>
      <c r="EZ30" s="22" t="s">
        <v>2424</v>
      </c>
      <c r="FA30" s="22"/>
    </row>
    <row r="31" spans="1:157">
      <c r="A31" s="17">
        <v>444</v>
      </c>
      <c r="B31" s="17">
        <v>74</v>
      </c>
      <c r="C31" s="38" t="s">
        <v>1795</v>
      </c>
      <c r="D31" s="39">
        <v>43752</v>
      </c>
      <c r="E31" s="38" t="s">
        <v>3628</v>
      </c>
      <c r="F31" s="40" t="s">
        <v>1728</v>
      </c>
      <c r="G31" s="40" t="s">
        <v>507</v>
      </c>
      <c r="H31" s="38" t="s">
        <v>3292</v>
      </c>
      <c r="I31" s="38" t="s">
        <v>3293</v>
      </c>
      <c r="J31" s="38" t="s">
        <v>507</v>
      </c>
      <c r="K31" s="38" t="s">
        <v>3629</v>
      </c>
      <c r="L31" s="41">
        <v>5</v>
      </c>
      <c r="M31" s="38" t="s">
        <v>3539</v>
      </c>
      <c r="N31" s="38" t="s">
        <v>1343</v>
      </c>
      <c r="O31" s="38" t="s">
        <v>725</v>
      </c>
      <c r="P31" s="38" t="s">
        <v>3630</v>
      </c>
      <c r="Q31" s="38">
        <v>72609605</v>
      </c>
      <c r="R31" s="38" t="s">
        <v>1345</v>
      </c>
      <c r="S31" s="38">
        <v>7</v>
      </c>
      <c r="T31" s="38" t="s">
        <v>1346</v>
      </c>
      <c r="U31" s="38">
        <v>2006</v>
      </c>
      <c r="V31" s="38" t="s">
        <v>3593</v>
      </c>
      <c r="W31" s="38" t="s">
        <v>3594</v>
      </c>
      <c r="X31" s="38" t="s">
        <v>1349</v>
      </c>
      <c r="Y31" s="38"/>
      <c r="Z31" s="38"/>
      <c r="AA31" s="38">
        <v>27</v>
      </c>
      <c r="AB31" s="38" t="s">
        <v>1345</v>
      </c>
      <c r="AC31" s="38">
        <v>0</v>
      </c>
      <c r="AD31" s="38" t="s">
        <v>1345</v>
      </c>
      <c r="AE31" s="38" t="s">
        <v>1349</v>
      </c>
      <c r="AF31" s="38" t="s">
        <v>1349</v>
      </c>
      <c r="AG31" s="38" t="s">
        <v>1349</v>
      </c>
      <c r="AH31" s="38" t="s">
        <v>1358</v>
      </c>
      <c r="AI31" s="38" t="s">
        <v>3451</v>
      </c>
      <c r="AJ31" s="38" t="s">
        <v>1349</v>
      </c>
      <c r="AK31" s="38" t="s">
        <v>3560</v>
      </c>
      <c r="AL31" s="38" t="s">
        <v>1550</v>
      </c>
      <c r="AM31" s="38" t="s">
        <v>1550</v>
      </c>
      <c r="AN31" s="38" t="s">
        <v>1550</v>
      </c>
      <c r="AO31" s="38" t="s">
        <v>1550</v>
      </c>
      <c r="AP31" s="38" t="s">
        <v>1550</v>
      </c>
      <c r="AQ31" s="38" t="s">
        <v>1352</v>
      </c>
      <c r="AR31" s="38" t="s">
        <v>3451</v>
      </c>
      <c r="AS31" s="38" t="s">
        <v>1550</v>
      </c>
      <c r="AT31" s="38" t="s">
        <v>1804</v>
      </c>
      <c r="AU31" s="42"/>
      <c r="AV31" s="38">
        <v>1000</v>
      </c>
      <c r="AW31" s="38" t="s">
        <v>3631</v>
      </c>
      <c r="AX31" s="38" t="s">
        <v>3632</v>
      </c>
      <c r="AY31" s="38" t="s">
        <v>1345</v>
      </c>
      <c r="AZ31" s="38" t="s">
        <v>1904</v>
      </c>
      <c r="BA31" s="38" t="s">
        <v>1904</v>
      </c>
      <c r="BB31" s="38" t="s">
        <v>1358</v>
      </c>
      <c r="BC31" s="38" t="s">
        <v>1358</v>
      </c>
      <c r="BD31" s="38" t="s">
        <v>1358</v>
      </c>
      <c r="BE31" s="38" t="s">
        <v>1810</v>
      </c>
      <c r="BF31" s="42"/>
      <c r="BG31" s="42"/>
      <c r="BH31" s="38">
        <v>5</v>
      </c>
      <c r="BI31" s="38">
        <v>5</v>
      </c>
      <c r="BJ31" s="38">
        <v>12</v>
      </c>
      <c r="BK31" s="38" t="s">
        <v>3598</v>
      </c>
      <c r="BL31" s="38" t="s">
        <v>3598</v>
      </c>
      <c r="BM31" s="38" t="s">
        <v>3598</v>
      </c>
      <c r="BN31" s="38" t="s">
        <v>1349</v>
      </c>
      <c r="BO31" s="42"/>
      <c r="BP31" s="42"/>
      <c r="BQ31" s="38" t="s">
        <v>1345</v>
      </c>
      <c r="BR31" s="38" t="s">
        <v>1345</v>
      </c>
      <c r="BS31" s="38" t="s">
        <v>1358</v>
      </c>
      <c r="BT31" s="38" t="s">
        <v>1345</v>
      </c>
      <c r="BU31" s="38" t="s">
        <v>3633</v>
      </c>
      <c r="BV31" s="38" t="s">
        <v>1349</v>
      </c>
      <c r="BW31" s="42"/>
      <c r="BX31" s="38" t="s">
        <v>1345</v>
      </c>
      <c r="BY31" s="38" t="s">
        <v>1362</v>
      </c>
      <c r="BZ31" s="38" t="s">
        <v>3600</v>
      </c>
      <c r="CA31" s="38" t="s">
        <v>3629</v>
      </c>
      <c r="CB31" s="38" t="s">
        <v>1935</v>
      </c>
      <c r="CC31" s="38" t="s">
        <v>1935</v>
      </c>
      <c r="CD31" s="38" t="s">
        <v>1935</v>
      </c>
      <c r="CE31" s="38" t="s">
        <v>3515</v>
      </c>
      <c r="CF31" s="38" t="s">
        <v>3515</v>
      </c>
      <c r="CG31" s="38" t="s">
        <v>3515</v>
      </c>
      <c r="CH31" s="42"/>
      <c r="CI31" s="42"/>
      <c r="CJ31" s="42"/>
      <c r="CK31" s="42"/>
      <c r="CL31" s="43">
        <v>0.9</v>
      </c>
      <c r="CM31" s="42"/>
      <c r="CN31" s="43">
        <v>0.1</v>
      </c>
      <c r="CO31" s="38" t="s">
        <v>3451</v>
      </c>
      <c r="CP31" s="42"/>
      <c r="CQ31" s="42"/>
      <c r="CR31" s="42"/>
      <c r="CS31" s="42"/>
      <c r="CT31" s="42"/>
      <c r="CU31" s="38"/>
      <c r="CV31" s="42"/>
      <c r="CW31" s="38" t="s">
        <v>1345</v>
      </c>
      <c r="CX31" s="42" t="s">
        <v>3603</v>
      </c>
      <c r="CY31" s="42"/>
      <c r="CZ31" s="42" t="s">
        <v>3634</v>
      </c>
      <c r="DA31" s="42" t="s">
        <v>3635</v>
      </c>
      <c r="DB31" s="42" t="s">
        <v>1904</v>
      </c>
      <c r="DC31" s="42" t="s">
        <v>1976</v>
      </c>
      <c r="DD31" s="42" t="s">
        <v>3636</v>
      </c>
      <c r="DE31" s="42" t="s">
        <v>3637</v>
      </c>
      <c r="DF31" s="42" t="s">
        <v>3638</v>
      </c>
      <c r="DG31" s="42" t="s">
        <v>3639</v>
      </c>
      <c r="DH31" s="42" t="s">
        <v>3573</v>
      </c>
      <c r="DI31" s="42" t="s">
        <v>3640</v>
      </c>
      <c r="DJ31" s="42" t="s">
        <v>3575</v>
      </c>
      <c r="DK31" s="42" t="s">
        <v>3576</v>
      </c>
      <c r="DL31" s="42"/>
      <c r="DM31" s="42" t="s">
        <v>3641</v>
      </c>
      <c r="DN31" s="38" t="s">
        <v>1349</v>
      </c>
      <c r="DO31" s="42" t="s">
        <v>1358</v>
      </c>
      <c r="DP31" s="38" t="s">
        <v>1349</v>
      </c>
      <c r="DQ31" s="42" t="s">
        <v>1358</v>
      </c>
      <c r="DR31" s="38" t="s">
        <v>1349</v>
      </c>
      <c r="DS31" s="42"/>
      <c r="DT31" s="42"/>
      <c r="DU31" s="42"/>
      <c r="DV31" s="38" t="s">
        <v>1345</v>
      </c>
      <c r="DW31" s="42" t="s">
        <v>3528</v>
      </c>
      <c r="DX31" s="38" t="s">
        <v>1345</v>
      </c>
      <c r="DY31" s="38" t="s">
        <v>1349</v>
      </c>
      <c r="DZ31" s="38" t="s">
        <v>3578</v>
      </c>
      <c r="EA31" s="38" t="s">
        <v>1345</v>
      </c>
      <c r="EB31" s="38" t="s">
        <v>1345</v>
      </c>
      <c r="EC31" s="38" t="s">
        <v>1345</v>
      </c>
      <c r="ED31" s="38" t="s">
        <v>3623</v>
      </c>
      <c r="EE31" s="43">
        <v>0.2</v>
      </c>
      <c r="EF31" s="38" t="s">
        <v>3580</v>
      </c>
      <c r="EG31" s="38" t="s">
        <v>1349</v>
      </c>
      <c r="EH31" s="42"/>
      <c r="EI31" s="38" t="s">
        <v>3611</v>
      </c>
      <c r="EJ31" s="38" t="s">
        <v>3582</v>
      </c>
      <c r="EK31" s="38" t="s">
        <v>3613</v>
      </c>
      <c r="EL31" s="38" t="s">
        <v>1389</v>
      </c>
      <c r="EM31" s="38">
        <v>3</v>
      </c>
      <c r="EN31" s="38" t="s">
        <v>3642</v>
      </c>
      <c r="EO31" s="38">
        <v>1</v>
      </c>
      <c r="EP31" s="38" t="s">
        <v>3585</v>
      </c>
      <c r="EQ31" s="38">
        <v>3</v>
      </c>
      <c r="ER31" s="42" t="s">
        <v>3586</v>
      </c>
      <c r="ES31" s="38">
        <v>3</v>
      </c>
      <c r="ET31" s="38" t="s">
        <v>3643</v>
      </c>
      <c r="EU31" s="38">
        <v>2</v>
      </c>
      <c r="EV31" s="42" t="s">
        <v>3588</v>
      </c>
      <c r="EW31" s="38">
        <v>3</v>
      </c>
      <c r="EX31" s="42" t="s">
        <v>3589</v>
      </c>
      <c r="EY31" s="38">
        <v>1</v>
      </c>
      <c r="EZ31" s="42" t="s">
        <v>3590</v>
      </c>
      <c r="FA31" s="22"/>
    </row>
    <row r="32" spans="1:157">
      <c r="A32" s="17">
        <v>445</v>
      </c>
      <c r="B32" s="17">
        <v>77</v>
      </c>
      <c r="C32" s="38" t="s">
        <v>1795</v>
      </c>
      <c r="D32" s="39">
        <v>43753</v>
      </c>
      <c r="E32" s="38" t="s">
        <v>3668</v>
      </c>
      <c r="F32" s="40" t="s">
        <v>1728</v>
      </c>
      <c r="G32" s="40" t="s">
        <v>507</v>
      </c>
      <c r="H32" s="38" t="s">
        <v>3292</v>
      </c>
      <c r="I32" s="38" t="s">
        <v>3293</v>
      </c>
      <c r="J32" s="38" t="s">
        <v>507</v>
      </c>
      <c r="K32" s="38" t="s">
        <v>3669</v>
      </c>
      <c r="L32" s="41">
        <v>1</v>
      </c>
      <c r="M32" s="38" t="s">
        <v>2181</v>
      </c>
      <c r="N32" s="38" t="s">
        <v>1343</v>
      </c>
      <c r="O32" s="38" t="s">
        <v>725</v>
      </c>
      <c r="P32" s="38" t="s">
        <v>3670</v>
      </c>
      <c r="Q32" s="38">
        <v>53610236</v>
      </c>
      <c r="R32" s="38" t="s">
        <v>1345</v>
      </c>
      <c r="S32" s="38">
        <v>7</v>
      </c>
      <c r="T32" s="38" t="s">
        <v>1346</v>
      </c>
      <c r="U32" s="38">
        <v>2009</v>
      </c>
      <c r="V32" s="42" t="s">
        <v>3671</v>
      </c>
      <c r="W32" s="38" t="s">
        <v>3672</v>
      </c>
      <c r="X32" s="38" t="s">
        <v>1349</v>
      </c>
      <c r="Y32" s="38"/>
      <c r="Z32" s="38"/>
      <c r="AA32" s="38">
        <v>35</v>
      </c>
      <c r="AB32" s="38" t="s">
        <v>1345</v>
      </c>
      <c r="AC32" s="38">
        <v>1</v>
      </c>
      <c r="AD32" s="38" t="s">
        <v>1345</v>
      </c>
      <c r="AE32" s="38" t="s">
        <v>1349</v>
      </c>
      <c r="AF32" s="38" t="s">
        <v>1349</v>
      </c>
      <c r="AG32" s="38" t="s">
        <v>1349</v>
      </c>
      <c r="AH32" s="38" t="s">
        <v>1358</v>
      </c>
      <c r="AI32" s="38" t="s">
        <v>3451</v>
      </c>
      <c r="AJ32" s="38" t="s">
        <v>1349</v>
      </c>
      <c r="AK32" s="38" t="s">
        <v>3560</v>
      </c>
      <c r="AL32" s="38" t="s">
        <v>1550</v>
      </c>
      <c r="AM32" s="38" t="s">
        <v>1550</v>
      </c>
      <c r="AN32" s="38" t="s">
        <v>1550</v>
      </c>
      <c r="AO32" s="38" t="s">
        <v>1550</v>
      </c>
      <c r="AP32" s="38" t="s">
        <v>1550</v>
      </c>
      <c r="AQ32" s="38" t="s">
        <v>1352</v>
      </c>
      <c r="AR32" s="38" t="s">
        <v>3451</v>
      </c>
      <c r="AS32" s="38" t="s">
        <v>1550</v>
      </c>
      <c r="AT32" s="38" t="s">
        <v>1804</v>
      </c>
      <c r="AU32" s="42"/>
      <c r="AV32" s="38">
        <v>1000</v>
      </c>
      <c r="AW32" s="38" t="s">
        <v>3659</v>
      </c>
      <c r="AX32" s="38" t="s">
        <v>3597</v>
      </c>
      <c r="AY32" s="38" t="s">
        <v>1349</v>
      </c>
      <c r="AZ32" s="42"/>
      <c r="BA32" s="42"/>
      <c r="BB32" s="38" t="s">
        <v>1358</v>
      </c>
      <c r="BC32" s="38" t="s">
        <v>1358</v>
      </c>
      <c r="BD32" s="38" t="s">
        <v>1358</v>
      </c>
      <c r="BE32" s="38" t="s">
        <v>1358</v>
      </c>
      <c r="BF32" s="42"/>
      <c r="BG32" s="42"/>
      <c r="BH32" s="38">
        <v>3</v>
      </c>
      <c r="BI32" s="38">
        <v>3</v>
      </c>
      <c r="BJ32" s="38">
        <v>9</v>
      </c>
      <c r="BK32" s="38" t="s">
        <v>3598</v>
      </c>
      <c r="BL32" s="38" t="s">
        <v>3598</v>
      </c>
      <c r="BM32" s="38" t="s">
        <v>3598</v>
      </c>
      <c r="BN32" s="38" t="s">
        <v>1349</v>
      </c>
      <c r="BO32" s="42"/>
      <c r="BP32" s="42"/>
      <c r="BQ32" s="38" t="s">
        <v>1345</v>
      </c>
      <c r="BR32" s="38" t="s">
        <v>1345</v>
      </c>
      <c r="BS32" s="38" t="s">
        <v>1345</v>
      </c>
      <c r="BT32" s="38" t="s">
        <v>1345</v>
      </c>
      <c r="BU32" s="42"/>
      <c r="BV32" s="38" t="s">
        <v>1349</v>
      </c>
      <c r="BW32" s="42"/>
      <c r="BX32" s="38" t="s">
        <v>1345</v>
      </c>
      <c r="BY32" s="38" t="s">
        <v>1362</v>
      </c>
      <c r="BZ32" s="38" t="s">
        <v>3600</v>
      </c>
      <c r="CA32" s="38" t="s">
        <v>3555</v>
      </c>
      <c r="CB32" s="38" t="s">
        <v>1935</v>
      </c>
      <c r="CC32" s="38" t="s">
        <v>1935</v>
      </c>
      <c r="CD32" s="38" t="s">
        <v>1935</v>
      </c>
      <c r="CE32" s="38" t="s">
        <v>3515</v>
      </c>
      <c r="CF32" s="38">
        <v>2400</v>
      </c>
      <c r="CG32" s="38">
        <v>3200</v>
      </c>
      <c r="CH32" s="38">
        <v>0</v>
      </c>
      <c r="CI32" s="38">
        <v>0</v>
      </c>
      <c r="CJ32" s="38">
        <v>0</v>
      </c>
      <c r="CK32" s="42"/>
      <c r="CL32" s="79">
        <v>0.8</v>
      </c>
      <c r="CM32" s="42"/>
      <c r="CN32" s="79">
        <v>0.2</v>
      </c>
      <c r="CO32" s="38" t="s">
        <v>3451</v>
      </c>
      <c r="CP32" s="42"/>
      <c r="CQ32" s="42"/>
      <c r="CR32" s="42"/>
      <c r="CS32" s="42"/>
      <c r="CT32" s="42"/>
      <c r="CU32" s="38"/>
      <c r="CV32" s="42"/>
      <c r="CW32" s="38" t="s">
        <v>1345</v>
      </c>
      <c r="CX32" s="42" t="s">
        <v>3673</v>
      </c>
      <c r="CY32" s="42"/>
      <c r="CZ32" s="42" t="s">
        <v>3568</v>
      </c>
      <c r="DA32" s="42" t="s">
        <v>3662</v>
      </c>
      <c r="DB32" s="42" t="s">
        <v>1489</v>
      </c>
      <c r="DC32" s="42" t="s">
        <v>2144</v>
      </c>
      <c r="DD32" s="42" t="s">
        <v>3604</v>
      </c>
      <c r="DE32" s="42" t="s">
        <v>3605</v>
      </c>
      <c r="DF32" s="42" t="s">
        <v>3409</v>
      </c>
      <c r="DG32" s="42" t="s">
        <v>3663</v>
      </c>
      <c r="DH32" s="42" t="s">
        <v>3573</v>
      </c>
      <c r="DI32" s="42" t="s">
        <v>3640</v>
      </c>
      <c r="DJ32" s="42" t="s">
        <v>3575</v>
      </c>
      <c r="DK32" s="42" t="s">
        <v>3576</v>
      </c>
      <c r="DL32" s="42" t="s">
        <v>3621</v>
      </c>
      <c r="DM32" s="42" t="s">
        <v>3384</v>
      </c>
      <c r="DN32" s="38" t="s">
        <v>1349</v>
      </c>
      <c r="DO32" s="42" t="s">
        <v>1358</v>
      </c>
      <c r="DP32" s="38" t="s">
        <v>1349</v>
      </c>
      <c r="DQ32" s="42" t="s">
        <v>1358</v>
      </c>
      <c r="DR32" s="38" t="s">
        <v>1349</v>
      </c>
      <c r="DS32" s="42"/>
      <c r="DT32" s="42"/>
      <c r="DU32" s="42"/>
      <c r="DV32" s="38" t="s">
        <v>1345</v>
      </c>
      <c r="DW32" s="42" t="s">
        <v>3664</v>
      </c>
      <c r="DX32" s="38" t="s">
        <v>1345</v>
      </c>
      <c r="DY32" s="38" t="s">
        <v>1349</v>
      </c>
      <c r="DZ32" s="38" t="s">
        <v>3578</v>
      </c>
      <c r="EA32" s="38" t="s">
        <v>1345</v>
      </c>
      <c r="EB32" s="38" t="s">
        <v>1345</v>
      </c>
      <c r="EC32" s="38" t="s">
        <v>1345</v>
      </c>
      <c r="ED32" s="38" t="s">
        <v>3665</v>
      </c>
      <c r="EE32" s="43">
        <v>0.3</v>
      </c>
      <c r="EF32" s="38" t="s">
        <v>3580</v>
      </c>
      <c r="EG32" s="38" t="s">
        <v>1349</v>
      </c>
      <c r="EH32" s="42"/>
      <c r="EI32" s="38" t="s">
        <v>3674</v>
      </c>
      <c r="EJ32" s="38" t="s">
        <v>3675</v>
      </c>
      <c r="EK32" s="38" t="s">
        <v>3676</v>
      </c>
      <c r="EL32" s="38" t="s">
        <v>1389</v>
      </c>
      <c r="EM32" s="38">
        <v>3</v>
      </c>
      <c r="EN32" s="38" t="s">
        <v>3666</v>
      </c>
      <c r="EO32" s="38">
        <v>1</v>
      </c>
      <c r="EP32" s="38" t="s">
        <v>3585</v>
      </c>
      <c r="EQ32" s="38">
        <v>3</v>
      </c>
      <c r="ER32" s="42" t="s">
        <v>3586</v>
      </c>
      <c r="ES32" s="38">
        <v>3</v>
      </c>
      <c r="ET32" s="38" t="s">
        <v>3677</v>
      </c>
      <c r="EU32" s="38">
        <v>2</v>
      </c>
      <c r="EV32" s="42" t="s">
        <v>3588</v>
      </c>
      <c r="EW32" s="38">
        <v>3</v>
      </c>
      <c r="EX32" s="42" t="s">
        <v>3589</v>
      </c>
      <c r="EY32" s="38">
        <v>1</v>
      </c>
      <c r="EZ32" s="42" t="s">
        <v>3590</v>
      </c>
      <c r="FA32" s="22"/>
    </row>
    <row r="33" spans="1:157">
      <c r="A33" s="17">
        <v>446</v>
      </c>
      <c r="B33" s="17">
        <v>82</v>
      </c>
      <c r="C33" s="44" t="s">
        <v>1795</v>
      </c>
      <c r="D33" s="45">
        <v>43759</v>
      </c>
      <c r="E33" s="44" t="s">
        <v>3741</v>
      </c>
      <c r="F33" s="46" t="s">
        <v>1728</v>
      </c>
      <c r="G33" s="46" t="s">
        <v>507</v>
      </c>
      <c r="H33" s="44" t="s">
        <v>3292</v>
      </c>
      <c r="I33" s="44" t="s">
        <v>3293</v>
      </c>
      <c r="J33" s="44" t="s">
        <v>507</v>
      </c>
      <c r="K33" s="44" t="s">
        <v>3198</v>
      </c>
      <c r="L33" s="47">
        <v>1</v>
      </c>
      <c r="M33" s="48" t="s">
        <v>2181</v>
      </c>
      <c r="N33" s="48" t="s">
        <v>1343</v>
      </c>
      <c r="O33" s="48" t="s">
        <v>725</v>
      </c>
      <c r="P33" s="48" t="s">
        <v>3742</v>
      </c>
      <c r="Q33" s="44">
        <v>71129050</v>
      </c>
      <c r="R33" s="44" t="s">
        <v>1345</v>
      </c>
      <c r="S33" s="44">
        <v>7</v>
      </c>
      <c r="T33" s="48" t="s">
        <v>1346</v>
      </c>
      <c r="U33" s="44"/>
      <c r="V33" s="48" t="s">
        <v>3743</v>
      </c>
      <c r="W33" s="48" t="s">
        <v>3744</v>
      </c>
      <c r="X33" s="44" t="s">
        <v>1349</v>
      </c>
      <c r="Y33" s="44"/>
      <c r="Z33" s="44"/>
      <c r="AA33" s="44">
        <v>30</v>
      </c>
      <c r="AB33" s="44" t="s">
        <v>1345</v>
      </c>
      <c r="AC33" s="44">
        <v>0</v>
      </c>
      <c r="AD33" s="44" t="s">
        <v>1345</v>
      </c>
      <c r="AE33" s="44" t="s">
        <v>1349</v>
      </c>
      <c r="AF33" s="44" t="s">
        <v>1349</v>
      </c>
      <c r="AG33" s="44" t="s">
        <v>1349</v>
      </c>
      <c r="AH33" s="48" t="s">
        <v>1358</v>
      </c>
      <c r="AI33" s="44" t="s">
        <v>3384</v>
      </c>
      <c r="AJ33" s="44" t="s">
        <v>1349</v>
      </c>
      <c r="AK33" s="48" t="s">
        <v>3730</v>
      </c>
      <c r="AL33" s="44" t="s">
        <v>1550</v>
      </c>
      <c r="AM33" s="44" t="s">
        <v>1550</v>
      </c>
      <c r="AN33" s="44" t="s">
        <v>1550</v>
      </c>
      <c r="AO33" s="44" t="s">
        <v>1550</v>
      </c>
      <c r="AP33" s="44" t="s">
        <v>1550</v>
      </c>
      <c r="AQ33" s="44" t="s">
        <v>1352</v>
      </c>
      <c r="AR33" s="48" t="s">
        <v>3745</v>
      </c>
      <c r="AS33" s="48" t="s">
        <v>1550</v>
      </c>
      <c r="AT33" s="48" t="s">
        <v>1804</v>
      </c>
      <c r="AU33" s="48"/>
      <c r="AV33" s="48">
        <v>1000</v>
      </c>
      <c r="AW33" s="48" t="s">
        <v>3746</v>
      </c>
      <c r="AX33" s="48" t="s">
        <v>3747</v>
      </c>
      <c r="AY33" s="44" t="s">
        <v>1345</v>
      </c>
      <c r="AZ33" s="48" t="s">
        <v>3748</v>
      </c>
      <c r="BA33" s="48" t="s">
        <v>3749</v>
      </c>
      <c r="BB33" s="48" t="s">
        <v>1358</v>
      </c>
      <c r="BC33" s="48" t="s">
        <v>1358</v>
      </c>
      <c r="BD33" s="48" t="s">
        <v>1358</v>
      </c>
      <c r="BE33" s="48" t="s">
        <v>1810</v>
      </c>
      <c r="BF33" s="48"/>
      <c r="BG33" s="48"/>
      <c r="BH33" s="48">
        <v>2.5</v>
      </c>
      <c r="BI33" s="48">
        <v>2.5</v>
      </c>
      <c r="BJ33" s="48">
        <v>10</v>
      </c>
      <c r="BK33" s="44" t="s">
        <v>3598</v>
      </c>
      <c r="BL33" s="44" t="s">
        <v>3598</v>
      </c>
      <c r="BM33" s="44" t="s">
        <v>3598</v>
      </c>
      <c r="BN33" s="44" t="s">
        <v>1349</v>
      </c>
      <c r="BO33" s="48"/>
      <c r="BP33" s="48"/>
      <c r="BQ33" s="44" t="s">
        <v>1345</v>
      </c>
      <c r="BR33" s="44" t="s">
        <v>1345</v>
      </c>
      <c r="BS33" s="48" t="s">
        <v>1358</v>
      </c>
      <c r="BT33" s="44" t="s">
        <v>1383</v>
      </c>
      <c r="BU33" s="48" t="s">
        <v>3711</v>
      </c>
      <c r="BV33" s="44" t="s">
        <v>1349</v>
      </c>
      <c r="BW33" s="48"/>
      <c r="BX33" s="44" t="s">
        <v>1345</v>
      </c>
      <c r="BY33" s="48" t="s">
        <v>1362</v>
      </c>
      <c r="BZ33" s="44" t="s">
        <v>3600</v>
      </c>
      <c r="CA33" s="44" t="s">
        <v>3733</v>
      </c>
      <c r="CB33" s="48" t="s">
        <v>1935</v>
      </c>
      <c r="CC33" s="48" t="s">
        <v>1935</v>
      </c>
      <c r="CD33" s="44" t="s">
        <v>1935</v>
      </c>
      <c r="CE33" s="48" t="s">
        <v>1489</v>
      </c>
      <c r="CF33" s="48">
        <v>2000</v>
      </c>
      <c r="CG33" s="48">
        <v>3000</v>
      </c>
      <c r="CH33" s="48">
        <v>0</v>
      </c>
      <c r="CI33" s="48"/>
      <c r="CJ33" s="48"/>
      <c r="CK33" s="48"/>
      <c r="CL33" s="49">
        <v>0.95</v>
      </c>
      <c r="CM33" s="48"/>
      <c r="CN33" s="49">
        <v>0.05</v>
      </c>
      <c r="CO33" s="48" t="s">
        <v>3451</v>
      </c>
      <c r="CP33" s="48"/>
      <c r="CQ33" s="48"/>
      <c r="CR33" s="48"/>
      <c r="CS33" s="48"/>
      <c r="CT33" s="48"/>
      <c r="CU33" s="44"/>
      <c r="CV33" s="48"/>
      <c r="CW33" s="44" t="s">
        <v>1345</v>
      </c>
      <c r="CX33" s="48" t="s">
        <v>3673</v>
      </c>
      <c r="CY33" s="48"/>
      <c r="CZ33" s="48" t="s">
        <v>7102</v>
      </c>
      <c r="DA33" s="48" t="s">
        <v>3751</v>
      </c>
      <c r="DB33" s="48" t="s">
        <v>3683</v>
      </c>
      <c r="DC33" s="48" t="s">
        <v>1976</v>
      </c>
      <c r="DD33" s="48" t="s">
        <v>3735</v>
      </c>
      <c r="DE33" s="48" t="s">
        <v>3736</v>
      </c>
      <c r="DF33" s="48" t="s">
        <v>3409</v>
      </c>
      <c r="DG33" s="48" t="s">
        <v>3752</v>
      </c>
      <c r="DH33" s="48" t="s">
        <v>3573</v>
      </c>
      <c r="DI33" s="48" t="s">
        <v>3384</v>
      </c>
      <c r="DJ33" s="48" t="s">
        <v>3575</v>
      </c>
      <c r="DK33" s="48" t="s">
        <v>3576</v>
      </c>
      <c r="DL33" s="48" t="s">
        <v>3621</v>
      </c>
      <c r="DM33" s="48" t="s">
        <v>3384</v>
      </c>
      <c r="DN33" s="44" t="s">
        <v>1349</v>
      </c>
      <c r="DO33" s="48" t="s">
        <v>1358</v>
      </c>
      <c r="DP33" s="44" t="s">
        <v>1349</v>
      </c>
      <c r="DQ33" s="48" t="s">
        <v>1358</v>
      </c>
      <c r="DR33" s="44" t="s">
        <v>1349</v>
      </c>
      <c r="DS33" s="48"/>
      <c r="DT33" s="48"/>
      <c r="DU33" s="48"/>
      <c r="DV33" s="44" t="s">
        <v>1345</v>
      </c>
      <c r="DW33" s="48" t="s">
        <v>1904</v>
      </c>
      <c r="DX33" s="44" t="s">
        <v>1345</v>
      </c>
      <c r="DY33" s="44" t="s">
        <v>1349</v>
      </c>
      <c r="DZ33" s="48" t="s">
        <v>3737</v>
      </c>
      <c r="EA33" s="44" t="s">
        <v>1345</v>
      </c>
      <c r="EB33" s="44" t="s">
        <v>1345</v>
      </c>
      <c r="EC33" s="44" t="s">
        <v>1345</v>
      </c>
      <c r="ED33" s="44" t="s">
        <v>3665</v>
      </c>
      <c r="EE33" s="49">
        <v>0.5</v>
      </c>
      <c r="EF33" s="48" t="s">
        <v>3580</v>
      </c>
      <c r="EG33" s="44" t="s">
        <v>1349</v>
      </c>
      <c r="EH33" s="48"/>
      <c r="EI33" s="48" t="s">
        <v>3753</v>
      </c>
      <c r="EJ33" s="48" t="s">
        <v>3754</v>
      </c>
      <c r="EK33" s="48"/>
      <c r="EL33" s="44" t="s">
        <v>1389</v>
      </c>
      <c r="EM33" s="44">
        <v>2</v>
      </c>
      <c r="EN33" s="48" t="s">
        <v>3740</v>
      </c>
      <c r="EO33" s="44">
        <v>1</v>
      </c>
      <c r="EP33" s="44" t="s">
        <v>3585</v>
      </c>
      <c r="EQ33" s="44">
        <v>3</v>
      </c>
      <c r="ER33" s="48" t="s">
        <v>3586</v>
      </c>
      <c r="ES33" s="44">
        <v>3</v>
      </c>
      <c r="ET33" s="48" t="s">
        <v>3723</v>
      </c>
      <c r="EU33" s="44">
        <v>2</v>
      </c>
      <c r="EV33" s="48" t="s">
        <v>3724</v>
      </c>
      <c r="EW33" s="44">
        <v>3</v>
      </c>
      <c r="EX33" s="48" t="s">
        <v>3589</v>
      </c>
      <c r="EY33" s="44">
        <v>1</v>
      </c>
      <c r="EZ33" s="48" t="s">
        <v>3590</v>
      </c>
      <c r="FA33" s="22"/>
    </row>
    <row r="34" spans="1:157">
      <c r="A34" s="17">
        <v>447</v>
      </c>
      <c r="B34" s="17">
        <v>1</v>
      </c>
      <c r="C34" s="13" t="s">
        <v>2278</v>
      </c>
      <c r="D34" s="18">
        <v>43742</v>
      </c>
      <c r="E34" s="13" t="s">
        <v>2636</v>
      </c>
      <c r="F34" s="19"/>
      <c r="G34" s="19"/>
      <c r="H34" s="13" t="s">
        <v>1086</v>
      </c>
      <c r="I34" s="13" t="s">
        <v>1065</v>
      </c>
      <c r="J34" s="13" t="s">
        <v>184</v>
      </c>
      <c r="K34" s="13" t="s">
        <v>1106</v>
      </c>
      <c r="L34" s="13">
        <v>4</v>
      </c>
      <c r="M34" s="13" t="s">
        <v>2637</v>
      </c>
      <c r="N34" s="13" t="s">
        <v>1343</v>
      </c>
      <c r="O34" s="13" t="s">
        <v>729</v>
      </c>
      <c r="P34" s="13" t="s">
        <v>2638</v>
      </c>
      <c r="Q34" s="13" t="s">
        <v>2639</v>
      </c>
      <c r="R34" s="13" t="s">
        <v>1345</v>
      </c>
      <c r="S34" s="13">
        <v>4</v>
      </c>
      <c r="T34" s="13" t="s">
        <v>1544</v>
      </c>
      <c r="U34" s="13">
        <v>2011</v>
      </c>
      <c r="V34" s="13" t="s">
        <v>2286</v>
      </c>
      <c r="W34" s="13" t="s">
        <v>2640</v>
      </c>
      <c r="X34" s="13" t="s">
        <v>1345</v>
      </c>
      <c r="Y34" s="13">
        <v>2017</v>
      </c>
      <c r="Z34" s="13" t="s">
        <v>2641</v>
      </c>
      <c r="AA34" s="30">
        <v>30</v>
      </c>
      <c r="AB34" s="13" t="s">
        <v>1349</v>
      </c>
      <c r="AC34" s="13">
        <v>3</v>
      </c>
      <c r="AD34" s="30" t="s">
        <v>1345</v>
      </c>
      <c r="AE34" s="13" t="s">
        <v>1345</v>
      </c>
      <c r="AF34" s="13" t="s">
        <v>1349</v>
      </c>
      <c r="AG34" s="13" t="s">
        <v>1349</v>
      </c>
      <c r="AH34" s="13" t="s">
        <v>2428</v>
      </c>
      <c r="AI34" s="13">
        <v>2015</v>
      </c>
      <c r="AJ34" s="13" t="s">
        <v>1349</v>
      </c>
      <c r="AK34" s="13" t="s">
        <v>2642</v>
      </c>
      <c r="AL34" s="13" t="s">
        <v>1612</v>
      </c>
      <c r="AM34" s="13" t="s">
        <v>1612</v>
      </c>
      <c r="AN34" s="13" t="s">
        <v>1612</v>
      </c>
      <c r="AO34" s="13" t="s">
        <v>1612</v>
      </c>
      <c r="AP34" s="13" t="s">
        <v>1612</v>
      </c>
      <c r="AQ34" s="13" t="s">
        <v>2096</v>
      </c>
      <c r="AR34" s="13" t="s">
        <v>2096</v>
      </c>
      <c r="AS34" s="13" t="s">
        <v>1550</v>
      </c>
      <c r="AT34" s="13" t="s">
        <v>2643</v>
      </c>
      <c r="AU34" s="13" t="s">
        <v>2644</v>
      </c>
      <c r="AV34" s="17">
        <v>1000</v>
      </c>
      <c r="AW34" s="13" t="s">
        <v>2645</v>
      </c>
      <c r="AX34" s="13" t="s">
        <v>2646</v>
      </c>
      <c r="AY34" s="13" t="s">
        <v>1349</v>
      </c>
      <c r="AZ34" s="13" t="s">
        <v>2647</v>
      </c>
      <c r="BA34" s="13" t="s">
        <v>2647</v>
      </c>
      <c r="BB34" s="13" t="s">
        <v>2648</v>
      </c>
      <c r="BC34" s="13" t="s">
        <v>2648</v>
      </c>
      <c r="BD34" s="13" t="s">
        <v>2648</v>
      </c>
      <c r="BE34" s="13" t="s">
        <v>1106</v>
      </c>
      <c r="BF34" s="13" t="s">
        <v>1106</v>
      </c>
      <c r="BG34" s="13" t="s">
        <v>1106</v>
      </c>
      <c r="BH34" s="13">
        <v>3</v>
      </c>
      <c r="BI34" s="13">
        <v>3</v>
      </c>
      <c r="BJ34" s="13">
        <v>3</v>
      </c>
      <c r="BK34" s="13" t="s">
        <v>1702</v>
      </c>
      <c r="BL34" s="13" t="s">
        <v>1702</v>
      </c>
      <c r="BM34" s="13" t="s">
        <v>1702</v>
      </c>
      <c r="BN34" s="13" t="s">
        <v>1349</v>
      </c>
      <c r="BO34" s="13" t="s">
        <v>2643</v>
      </c>
      <c r="BP34" s="13" t="s">
        <v>2643</v>
      </c>
      <c r="BQ34" s="13" t="s">
        <v>1349</v>
      </c>
      <c r="BR34" s="13" t="s">
        <v>1349</v>
      </c>
      <c r="BS34" s="13" t="s">
        <v>2643</v>
      </c>
      <c r="BT34" s="13" t="s">
        <v>1345</v>
      </c>
      <c r="BU34" s="13" t="s">
        <v>2649</v>
      </c>
      <c r="BV34" s="13" t="s">
        <v>1349</v>
      </c>
      <c r="BW34" s="13" t="s">
        <v>2643</v>
      </c>
      <c r="BX34" s="13" t="s">
        <v>1345</v>
      </c>
      <c r="BY34" s="13" t="s">
        <v>2167</v>
      </c>
      <c r="BZ34" s="13" t="s">
        <v>2650</v>
      </c>
      <c r="CA34" s="13" t="s">
        <v>2651</v>
      </c>
      <c r="CB34" s="13" t="s">
        <v>1548</v>
      </c>
      <c r="CC34" s="13" t="s">
        <v>1548</v>
      </c>
      <c r="CD34" s="13" t="s">
        <v>1548</v>
      </c>
      <c r="CE34" s="13">
        <v>600</v>
      </c>
      <c r="CF34" s="13">
        <v>360</v>
      </c>
      <c r="CG34" s="13">
        <v>240</v>
      </c>
      <c r="CH34" s="13">
        <v>20</v>
      </c>
      <c r="CI34" s="13">
        <v>10</v>
      </c>
      <c r="CJ34" s="13">
        <v>4</v>
      </c>
      <c r="CK34" s="21">
        <v>0.7</v>
      </c>
      <c r="CL34" s="20">
        <v>0.5</v>
      </c>
      <c r="CM34" s="20">
        <v>0.3</v>
      </c>
      <c r="CN34" s="21">
        <v>0.3</v>
      </c>
      <c r="CO34" s="13" t="s">
        <v>2652</v>
      </c>
      <c r="CP34" s="13" t="s">
        <v>2643</v>
      </c>
      <c r="CQ34" s="13" t="s">
        <v>2308</v>
      </c>
      <c r="CR34" s="13">
        <v>8</v>
      </c>
      <c r="CS34" s="13" t="s">
        <v>1368</v>
      </c>
      <c r="CT34" s="13" t="s">
        <v>2653</v>
      </c>
      <c r="CU34" s="13" t="s">
        <v>1345</v>
      </c>
      <c r="CV34" s="13" t="s">
        <v>2654</v>
      </c>
      <c r="CW34" s="13" t="s">
        <v>1349</v>
      </c>
      <c r="CX34" s="13" t="s">
        <v>2643</v>
      </c>
      <c r="CY34" s="13" t="s">
        <v>2643</v>
      </c>
      <c r="CZ34" s="13" t="s">
        <v>2655</v>
      </c>
      <c r="DA34" s="13" t="s">
        <v>2656</v>
      </c>
      <c r="DB34" s="13" t="s">
        <v>2643</v>
      </c>
      <c r="DC34" s="13" t="s">
        <v>2657</v>
      </c>
      <c r="DD34" s="13" t="s">
        <v>2658</v>
      </c>
      <c r="DE34" s="13" t="s">
        <v>2659</v>
      </c>
      <c r="DF34" s="13" t="s">
        <v>2660</v>
      </c>
      <c r="DG34" s="13" t="s">
        <v>1977</v>
      </c>
      <c r="DH34" s="13" t="s">
        <v>2661</v>
      </c>
      <c r="DI34" s="13" t="s">
        <v>732</v>
      </c>
      <c r="DJ34" s="13" t="s">
        <v>2300</v>
      </c>
      <c r="DK34" s="13" t="s">
        <v>2300</v>
      </c>
      <c r="DL34" s="13" t="s">
        <v>2662</v>
      </c>
      <c r="DM34" s="13" t="s">
        <v>2663</v>
      </c>
      <c r="DN34" s="13" t="s">
        <v>1349</v>
      </c>
      <c r="DO34" s="13" t="s">
        <v>1342</v>
      </c>
      <c r="DP34" s="13" t="s">
        <v>1349</v>
      </c>
      <c r="DQ34" s="13" t="s">
        <v>2300</v>
      </c>
      <c r="DR34" s="13" t="s">
        <v>1349</v>
      </c>
      <c r="DS34" s="13" t="s">
        <v>2643</v>
      </c>
      <c r="DT34" s="13" t="s">
        <v>2643</v>
      </c>
      <c r="DU34" s="13" t="s">
        <v>2643</v>
      </c>
      <c r="DV34" s="13" t="s">
        <v>1345</v>
      </c>
      <c r="DW34" s="13" t="s">
        <v>2664</v>
      </c>
      <c r="DX34" s="13" t="s">
        <v>1345</v>
      </c>
      <c r="DY34" s="13" t="s">
        <v>1349</v>
      </c>
      <c r="DZ34" s="13" t="s">
        <v>2665</v>
      </c>
      <c r="EA34" s="13" t="s">
        <v>1345</v>
      </c>
      <c r="EB34" s="13" t="s">
        <v>1345</v>
      </c>
      <c r="EC34" s="13" t="s">
        <v>1345</v>
      </c>
      <c r="ED34" s="13" t="s">
        <v>2666</v>
      </c>
      <c r="EE34" s="20">
        <v>0.4</v>
      </c>
      <c r="EF34" s="13" t="s">
        <v>2370</v>
      </c>
      <c r="EG34" s="13" t="s">
        <v>1349</v>
      </c>
      <c r="EH34" s="13" t="s">
        <v>2643</v>
      </c>
      <c r="EI34" s="13" t="s">
        <v>2326</v>
      </c>
      <c r="EJ34" s="17" t="s">
        <v>2667</v>
      </c>
      <c r="EK34" s="13" t="s">
        <v>2300</v>
      </c>
      <c r="EL34" s="13" t="s">
        <v>1389</v>
      </c>
      <c r="EM34" s="13">
        <v>3</v>
      </c>
      <c r="EN34" s="13" t="s">
        <v>2388</v>
      </c>
      <c r="EO34" s="13">
        <v>3</v>
      </c>
      <c r="EP34" s="13" t="s">
        <v>2668</v>
      </c>
      <c r="EQ34" s="13">
        <v>4</v>
      </c>
      <c r="ER34" s="17" t="s">
        <v>2331</v>
      </c>
      <c r="ES34" s="13">
        <v>4</v>
      </c>
      <c r="ET34" s="17" t="s">
        <v>2421</v>
      </c>
      <c r="EU34" s="13">
        <v>4</v>
      </c>
      <c r="EV34" s="17" t="s">
        <v>2669</v>
      </c>
      <c r="EW34" s="13">
        <v>4</v>
      </c>
      <c r="EX34" s="17" t="s">
        <v>2670</v>
      </c>
      <c r="EY34" s="13">
        <v>1</v>
      </c>
      <c r="EZ34" s="17" t="s">
        <v>2424</v>
      </c>
      <c r="FA34" s="22"/>
    </row>
    <row r="35" spans="1:157">
      <c r="A35" s="17">
        <v>448</v>
      </c>
      <c r="B35" s="17">
        <v>78</v>
      </c>
      <c r="C35" s="38" t="s">
        <v>1795</v>
      </c>
      <c r="D35" s="39">
        <v>43754</v>
      </c>
      <c r="E35" s="38" t="s">
        <v>3678</v>
      </c>
      <c r="F35" s="40" t="s">
        <v>1728</v>
      </c>
      <c r="G35" s="40" t="s">
        <v>507</v>
      </c>
      <c r="H35" s="38" t="s">
        <v>3292</v>
      </c>
      <c r="I35" s="38" t="s">
        <v>3293</v>
      </c>
      <c r="J35" s="38" t="s">
        <v>507</v>
      </c>
      <c r="K35" s="38" t="s">
        <v>3555</v>
      </c>
      <c r="L35" s="41">
        <v>1</v>
      </c>
      <c r="M35" s="38" t="s">
        <v>2181</v>
      </c>
      <c r="N35" s="38" t="s">
        <v>1343</v>
      </c>
      <c r="O35" s="38" t="s">
        <v>705</v>
      </c>
      <c r="P35" s="38" t="s">
        <v>3679</v>
      </c>
      <c r="Q35" s="38">
        <v>62916423</v>
      </c>
      <c r="R35" s="38" t="s">
        <v>1345</v>
      </c>
      <c r="S35" s="38">
        <v>7</v>
      </c>
      <c r="T35" s="38" t="s">
        <v>1346</v>
      </c>
      <c r="U35" s="38">
        <v>1994</v>
      </c>
      <c r="V35" s="38" t="s">
        <v>3680</v>
      </c>
      <c r="W35" s="38" t="s">
        <v>3681</v>
      </c>
      <c r="X35" s="38" t="s">
        <v>1349</v>
      </c>
      <c r="Y35" s="38"/>
      <c r="Z35" s="38"/>
      <c r="AA35" s="38">
        <v>30</v>
      </c>
      <c r="AB35" s="38" t="s">
        <v>1345</v>
      </c>
      <c r="AC35" s="38">
        <v>0</v>
      </c>
      <c r="AD35" s="38" t="s">
        <v>1345</v>
      </c>
      <c r="AE35" s="38" t="s">
        <v>1349</v>
      </c>
      <c r="AF35" s="38" t="s">
        <v>1349</v>
      </c>
      <c r="AG35" s="38" t="s">
        <v>1349</v>
      </c>
      <c r="AH35" s="38" t="s">
        <v>1358</v>
      </c>
      <c r="AI35" s="38" t="s">
        <v>3451</v>
      </c>
      <c r="AJ35" s="38" t="s">
        <v>1349</v>
      </c>
      <c r="AK35" s="38" t="s">
        <v>3560</v>
      </c>
      <c r="AL35" s="38" t="s">
        <v>1550</v>
      </c>
      <c r="AM35" s="38" t="s">
        <v>1550</v>
      </c>
      <c r="AN35" s="38" t="s">
        <v>1550</v>
      </c>
      <c r="AO35" s="38" t="s">
        <v>1550</v>
      </c>
      <c r="AP35" s="38" t="s">
        <v>1550</v>
      </c>
      <c r="AQ35" s="38" t="s">
        <v>1352</v>
      </c>
      <c r="AR35" s="38" t="s">
        <v>3451</v>
      </c>
      <c r="AS35" s="38" t="s">
        <v>1550</v>
      </c>
      <c r="AT35" s="38" t="s">
        <v>1804</v>
      </c>
      <c r="AU35" s="42"/>
      <c r="AV35" s="38">
        <v>2000</v>
      </c>
      <c r="AW35" s="38" t="s">
        <v>3659</v>
      </c>
      <c r="AX35" s="38" t="s">
        <v>3597</v>
      </c>
      <c r="AY35" s="38" t="s">
        <v>1349</v>
      </c>
      <c r="AZ35" s="42"/>
      <c r="BA35" s="42"/>
      <c r="BB35" s="38" t="s">
        <v>1358</v>
      </c>
      <c r="BC35" s="38" t="s">
        <v>1358</v>
      </c>
      <c r="BD35" s="38" t="s">
        <v>1358</v>
      </c>
      <c r="BE35" s="38" t="s">
        <v>1358</v>
      </c>
      <c r="BF35" s="42"/>
      <c r="BG35" s="42"/>
      <c r="BH35" s="38">
        <v>3</v>
      </c>
      <c r="BI35" s="38">
        <v>3</v>
      </c>
      <c r="BJ35" s="38">
        <v>10</v>
      </c>
      <c r="BK35" s="38" t="s">
        <v>3598</v>
      </c>
      <c r="BL35" s="38" t="s">
        <v>3598</v>
      </c>
      <c r="BM35" s="38" t="s">
        <v>3598</v>
      </c>
      <c r="BN35" s="38" t="s">
        <v>1349</v>
      </c>
      <c r="BO35" s="42"/>
      <c r="BP35" s="42"/>
      <c r="BQ35" s="38" t="s">
        <v>1345</v>
      </c>
      <c r="BR35" s="38" t="s">
        <v>1345</v>
      </c>
      <c r="BS35" s="38" t="s">
        <v>1345</v>
      </c>
      <c r="BT35" s="38" t="s">
        <v>1345</v>
      </c>
      <c r="BU35" s="38" t="s">
        <v>3682</v>
      </c>
      <c r="BV35" s="38" t="s">
        <v>1349</v>
      </c>
      <c r="BW35" s="42"/>
      <c r="BX35" s="38" t="s">
        <v>1345</v>
      </c>
      <c r="BY35" s="38" t="s">
        <v>1362</v>
      </c>
      <c r="BZ35" s="38" t="s">
        <v>3600</v>
      </c>
      <c r="CA35" s="38" t="s">
        <v>3555</v>
      </c>
      <c r="CB35" s="38" t="s">
        <v>1935</v>
      </c>
      <c r="CC35" s="38" t="s">
        <v>1935</v>
      </c>
      <c r="CD35" s="38" t="s">
        <v>1935</v>
      </c>
      <c r="CE35" s="38" t="s">
        <v>1489</v>
      </c>
      <c r="CF35" s="38">
        <v>5000</v>
      </c>
      <c r="CG35" s="38">
        <v>5800</v>
      </c>
      <c r="CH35" s="38">
        <v>0</v>
      </c>
      <c r="CI35" s="38">
        <v>0</v>
      </c>
      <c r="CJ35" s="38">
        <v>0</v>
      </c>
      <c r="CK35" s="42"/>
      <c r="CL35" s="43">
        <v>0.8</v>
      </c>
      <c r="CM35" s="42"/>
      <c r="CN35" s="43">
        <v>0.2</v>
      </c>
      <c r="CO35" s="38" t="s">
        <v>3451</v>
      </c>
      <c r="CP35" s="42"/>
      <c r="CQ35" s="42"/>
      <c r="CR35" s="42"/>
      <c r="CS35" s="42"/>
      <c r="CT35" s="42"/>
      <c r="CU35" s="38"/>
      <c r="CV35" s="42"/>
      <c r="CW35" s="38" t="s">
        <v>1345</v>
      </c>
      <c r="CX35" s="42" t="s">
        <v>3673</v>
      </c>
      <c r="CY35" s="42"/>
      <c r="CZ35" s="42" t="s">
        <v>3568</v>
      </c>
      <c r="DA35" s="42" t="s">
        <v>3662</v>
      </c>
      <c r="DB35" s="42" t="s">
        <v>3683</v>
      </c>
      <c r="DC35" s="42" t="s">
        <v>2204</v>
      </c>
      <c r="DD35" s="42" t="s">
        <v>3570</v>
      </c>
      <c r="DE35" s="42" t="s">
        <v>3571</v>
      </c>
      <c r="DF35" s="42" t="s">
        <v>3409</v>
      </c>
      <c r="DG35" s="42" t="s">
        <v>3649</v>
      </c>
      <c r="DH35" s="42" t="s">
        <v>3573</v>
      </c>
      <c r="DI35" s="42" t="s">
        <v>3640</v>
      </c>
      <c r="DJ35" s="42" t="s">
        <v>3575</v>
      </c>
      <c r="DK35" s="42" t="s">
        <v>3576</v>
      </c>
      <c r="DL35" s="42" t="s">
        <v>3621</v>
      </c>
      <c r="DM35" s="42" t="s">
        <v>3384</v>
      </c>
      <c r="DN35" s="38" t="s">
        <v>1349</v>
      </c>
      <c r="DO35" s="42" t="s">
        <v>1358</v>
      </c>
      <c r="DP35" s="38" t="s">
        <v>1349</v>
      </c>
      <c r="DQ35" s="42" t="s">
        <v>1358</v>
      </c>
      <c r="DR35" s="38" t="s">
        <v>1349</v>
      </c>
      <c r="DS35" s="42"/>
      <c r="DT35" s="42"/>
      <c r="DU35" s="42"/>
      <c r="DV35" s="38" t="s">
        <v>1345</v>
      </c>
      <c r="DW35" s="42" t="s">
        <v>1904</v>
      </c>
      <c r="DX35" s="38" t="s">
        <v>1345</v>
      </c>
      <c r="DY35" s="38" t="s">
        <v>1349</v>
      </c>
      <c r="DZ35" s="38" t="s">
        <v>3578</v>
      </c>
      <c r="EA35" s="38" t="s">
        <v>1345</v>
      </c>
      <c r="EB35" s="38" t="s">
        <v>1345</v>
      </c>
      <c r="EC35" s="38" t="s">
        <v>1345</v>
      </c>
      <c r="ED35" s="38" t="s">
        <v>3665</v>
      </c>
      <c r="EE35" s="43">
        <v>0.2</v>
      </c>
      <c r="EF35" s="38" t="s">
        <v>3684</v>
      </c>
      <c r="EG35" s="38" t="s">
        <v>1349</v>
      </c>
      <c r="EH35" s="42"/>
      <c r="EI35" s="38" t="s">
        <v>3611</v>
      </c>
      <c r="EJ35" s="38" t="s">
        <v>3582</v>
      </c>
      <c r="EK35" s="38" t="s">
        <v>3613</v>
      </c>
      <c r="EL35" s="38" t="s">
        <v>1389</v>
      </c>
      <c r="EM35" s="38">
        <v>3</v>
      </c>
      <c r="EN35" s="38" t="s">
        <v>3666</v>
      </c>
      <c r="EO35" s="38">
        <v>1</v>
      </c>
      <c r="EP35" s="38" t="s">
        <v>3585</v>
      </c>
      <c r="EQ35" s="38">
        <v>3</v>
      </c>
      <c r="ER35" s="42" t="s">
        <v>3685</v>
      </c>
      <c r="ES35" s="38">
        <v>3</v>
      </c>
      <c r="ET35" s="38" t="s">
        <v>3677</v>
      </c>
      <c r="EU35" s="38">
        <v>2</v>
      </c>
      <c r="EV35" s="42" t="s">
        <v>3588</v>
      </c>
      <c r="EW35" s="38">
        <v>3</v>
      </c>
      <c r="EX35" s="42" t="s">
        <v>3589</v>
      </c>
      <c r="EY35" s="38">
        <v>1</v>
      </c>
      <c r="EZ35" s="42" t="s">
        <v>3590</v>
      </c>
      <c r="FA35" s="22"/>
    </row>
    <row r="36" spans="1:157">
      <c r="A36" s="17">
        <v>449</v>
      </c>
      <c r="B36" s="17">
        <v>70</v>
      </c>
      <c r="C36" s="38" t="s">
        <v>1795</v>
      </c>
      <c r="D36" s="39">
        <v>43749</v>
      </c>
      <c r="E36" s="38" t="s">
        <v>3537</v>
      </c>
      <c r="F36" s="40" t="s">
        <v>1728</v>
      </c>
      <c r="G36" s="40" t="s">
        <v>56</v>
      </c>
      <c r="H36" s="38" t="s">
        <v>3292</v>
      </c>
      <c r="I36" s="38" t="s">
        <v>3293</v>
      </c>
      <c r="J36" s="38" t="s">
        <v>56</v>
      </c>
      <c r="K36" s="38" t="s">
        <v>3538</v>
      </c>
      <c r="L36" s="41">
        <v>15</v>
      </c>
      <c r="M36" s="38" t="s">
        <v>3539</v>
      </c>
      <c r="N36" s="38" t="s">
        <v>1343</v>
      </c>
      <c r="O36" s="38" t="s">
        <v>3540</v>
      </c>
      <c r="P36" s="38" t="s">
        <v>552</v>
      </c>
      <c r="Q36" s="38">
        <v>55362368</v>
      </c>
      <c r="R36" s="38" t="s">
        <v>1345</v>
      </c>
      <c r="S36" s="38">
        <v>7</v>
      </c>
      <c r="T36" s="38" t="s">
        <v>1346</v>
      </c>
      <c r="U36" s="38">
        <v>2013</v>
      </c>
      <c r="V36" s="42" t="s">
        <v>3470</v>
      </c>
      <c r="W36" s="38" t="s">
        <v>3296</v>
      </c>
      <c r="X36" s="38" t="s">
        <v>1345</v>
      </c>
      <c r="Y36" s="38">
        <v>2018</v>
      </c>
      <c r="Z36" s="38"/>
      <c r="AA36" s="38">
        <v>25</v>
      </c>
      <c r="AB36" s="38" t="s">
        <v>1345</v>
      </c>
      <c r="AC36" s="38">
        <v>0</v>
      </c>
      <c r="AD36" s="38" t="s">
        <v>1345</v>
      </c>
      <c r="AE36" s="38" t="s">
        <v>1345</v>
      </c>
      <c r="AF36" s="38" t="s">
        <v>1349</v>
      </c>
      <c r="AG36" s="38" t="s">
        <v>1349</v>
      </c>
      <c r="AH36" s="38" t="s">
        <v>1358</v>
      </c>
      <c r="AI36" s="38">
        <v>2013</v>
      </c>
      <c r="AJ36" s="38" t="s">
        <v>1349</v>
      </c>
      <c r="AK36" s="38" t="s">
        <v>3297</v>
      </c>
      <c r="AL36" s="38" t="s">
        <v>1550</v>
      </c>
      <c r="AM36" s="38" t="s">
        <v>1550</v>
      </c>
      <c r="AN36" s="38" t="s">
        <v>1550</v>
      </c>
      <c r="AO36" s="38" t="s">
        <v>1550</v>
      </c>
      <c r="AP36" s="38" t="s">
        <v>1550</v>
      </c>
      <c r="AQ36" s="38" t="s">
        <v>1352</v>
      </c>
      <c r="AR36" s="38" t="s">
        <v>1352</v>
      </c>
      <c r="AS36" s="38" t="s">
        <v>1550</v>
      </c>
      <c r="AT36" s="38" t="s">
        <v>1804</v>
      </c>
      <c r="AU36" s="42"/>
      <c r="AV36" s="38">
        <v>1000</v>
      </c>
      <c r="AW36" s="38" t="s">
        <v>3541</v>
      </c>
      <c r="AX36" s="38" t="s">
        <v>3542</v>
      </c>
      <c r="AY36" s="38" t="s">
        <v>1345</v>
      </c>
      <c r="AZ36" s="38" t="s">
        <v>3543</v>
      </c>
      <c r="BA36" s="38" t="s">
        <v>3544</v>
      </c>
      <c r="BB36" s="38" t="s">
        <v>1358</v>
      </c>
      <c r="BC36" s="38" t="s">
        <v>1358</v>
      </c>
      <c r="BD36" s="38" t="s">
        <v>1358</v>
      </c>
      <c r="BE36" s="38" t="s">
        <v>3545</v>
      </c>
      <c r="BF36" s="42"/>
      <c r="BG36" s="42"/>
      <c r="BH36" s="38">
        <v>3</v>
      </c>
      <c r="BI36" s="38">
        <v>10</v>
      </c>
      <c r="BJ36" s="38">
        <v>15</v>
      </c>
      <c r="BK36" s="38" t="s">
        <v>3402</v>
      </c>
      <c r="BL36" s="38" t="s">
        <v>3402</v>
      </c>
      <c r="BM36" s="38" t="s">
        <v>3402</v>
      </c>
      <c r="BN36" s="38" t="s">
        <v>1349</v>
      </c>
      <c r="BO36" s="42"/>
      <c r="BP36" s="42"/>
      <c r="BQ36" s="38" t="s">
        <v>1345</v>
      </c>
      <c r="BR36" s="38" t="s">
        <v>1345</v>
      </c>
      <c r="BS36" s="38" t="s">
        <v>1358</v>
      </c>
      <c r="BT36" s="38" t="s">
        <v>1345</v>
      </c>
      <c r="BU36" s="38" t="s">
        <v>3546</v>
      </c>
      <c r="BV36" s="38" t="s">
        <v>1349</v>
      </c>
      <c r="BW36" s="42"/>
      <c r="BX36" s="38" t="s">
        <v>1345</v>
      </c>
      <c r="BY36" s="38" t="s">
        <v>1362</v>
      </c>
      <c r="BZ36" s="38" t="s">
        <v>3547</v>
      </c>
      <c r="CA36" s="38" t="s">
        <v>3538</v>
      </c>
      <c r="CB36" s="38" t="s">
        <v>1935</v>
      </c>
      <c r="CC36" s="38" t="s">
        <v>1935</v>
      </c>
      <c r="CD36" s="38" t="s">
        <v>1935</v>
      </c>
      <c r="CE36" s="38">
        <v>1100</v>
      </c>
      <c r="CF36" s="38">
        <v>1900</v>
      </c>
      <c r="CG36" s="38" t="s">
        <v>1489</v>
      </c>
      <c r="CH36" s="38">
        <v>150</v>
      </c>
      <c r="CI36" s="38">
        <v>120</v>
      </c>
      <c r="CJ36" s="38" t="s">
        <v>3309</v>
      </c>
      <c r="CK36" s="38" t="s">
        <v>1489</v>
      </c>
      <c r="CL36" s="79">
        <v>0.8</v>
      </c>
      <c r="CM36" s="38" t="s">
        <v>1489</v>
      </c>
      <c r="CN36" s="79">
        <v>0.2</v>
      </c>
      <c r="CO36" s="38" t="s">
        <v>1564</v>
      </c>
      <c r="CP36" s="38" t="s">
        <v>3529</v>
      </c>
      <c r="CQ36" s="38" t="s">
        <v>3482</v>
      </c>
      <c r="CR36" s="38">
        <v>6</v>
      </c>
      <c r="CS36" s="38" t="s">
        <v>2230</v>
      </c>
      <c r="CT36" s="38" t="s">
        <v>3548</v>
      </c>
      <c r="CU36" s="38" t="s">
        <v>1349</v>
      </c>
      <c r="CV36" s="38" t="s">
        <v>3485</v>
      </c>
      <c r="CW36" s="38" t="s">
        <v>1349</v>
      </c>
      <c r="CX36" s="42"/>
      <c r="CY36" s="42"/>
      <c r="CZ36" s="38" t="s">
        <v>3486</v>
      </c>
      <c r="DA36" s="38" t="s">
        <v>3549</v>
      </c>
      <c r="DB36" s="38" t="s">
        <v>3388</v>
      </c>
      <c r="DC36" s="38" t="s">
        <v>3487</v>
      </c>
      <c r="DD36" s="38" t="s">
        <v>3550</v>
      </c>
      <c r="DE36" s="38" t="s">
        <v>3455</v>
      </c>
      <c r="DF36" s="38" t="s">
        <v>3490</v>
      </c>
      <c r="DG36" s="42" t="s">
        <v>3491</v>
      </c>
      <c r="DH36" s="42" t="s">
        <v>3492</v>
      </c>
      <c r="DI36" s="42"/>
      <c r="DJ36" s="42"/>
      <c r="DK36" s="42"/>
      <c r="DL36" s="42" t="s">
        <v>1358</v>
      </c>
      <c r="DM36" s="42" t="s">
        <v>3551</v>
      </c>
      <c r="DN36" s="38" t="s">
        <v>1349</v>
      </c>
      <c r="DO36" s="42" t="s">
        <v>1358</v>
      </c>
      <c r="DP36" s="38" t="s">
        <v>1349</v>
      </c>
      <c r="DQ36" s="42" t="s">
        <v>1358</v>
      </c>
      <c r="DR36" s="38" t="s">
        <v>3531</v>
      </c>
      <c r="DS36" s="42" t="s">
        <v>3495</v>
      </c>
      <c r="DT36" s="42"/>
      <c r="DU36" s="42"/>
      <c r="DV36" s="38" t="s">
        <v>1345</v>
      </c>
      <c r="DW36" s="38" t="s">
        <v>3498</v>
      </c>
      <c r="DX36" s="38" t="s">
        <v>1345</v>
      </c>
      <c r="DY36" s="38" t="s">
        <v>1349</v>
      </c>
      <c r="DZ36" s="38" t="s">
        <v>3499</v>
      </c>
      <c r="EA36" s="38" t="s">
        <v>1345</v>
      </c>
      <c r="EB36" s="38" t="s">
        <v>1345</v>
      </c>
      <c r="EC36" s="38" t="s">
        <v>1345</v>
      </c>
      <c r="ED36" s="38" t="s">
        <v>3500</v>
      </c>
      <c r="EE36" s="43">
        <v>0.5</v>
      </c>
      <c r="EF36" s="38" t="s">
        <v>1948</v>
      </c>
      <c r="EG36" s="38" t="s">
        <v>1349</v>
      </c>
      <c r="EH36" s="42"/>
      <c r="EI36" s="38" t="s">
        <v>3552</v>
      </c>
      <c r="EJ36" s="38" t="s">
        <v>3553</v>
      </c>
      <c r="EK36" s="42"/>
      <c r="EL36" s="38" t="s">
        <v>1389</v>
      </c>
      <c r="EM36" s="38">
        <v>4</v>
      </c>
      <c r="EN36" s="38" t="s">
        <v>3554</v>
      </c>
      <c r="EO36" s="38">
        <v>5</v>
      </c>
      <c r="EP36" s="38" t="s">
        <v>3533</v>
      </c>
      <c r="EQ36" s="38">
        <v>3</v>
      </c>
      <c r="ER36" s="42" t="s">
        <v>3334</v>
      </c>
      <c r="ES36" s="38">
        <v>3</v>
      </c>
      <c r="ET36" s="38" t="s">
        <v>3335</v>
      </c>
      <c r="EU36" s="38">
        <v>2</v>
      </c>
      <c r="EV36" s="42" t="s">
        <v>3509</v>
      </c>
      <c r="EW36" s="38">
        <v>2</v>
      </c>
      <c r="EX36" s="42" t="s">
        <v>3510</v>
      </c>
      <c r="EY36" s="38">
        <v>1</v>
      </c>
      <c r="EZ36" s="42" t="s">
        <v>3338</v>
      </c>
      <c r="FA36" s="22"/>
    </row>
    <row r="37" spans="1:157">
      <c r="A37" s="17">
        <v>450</v>
      </c>
      <c r="B37" s="17">
        <v>57</v>
      </c>
      <c r="C37" s="23" t="s">
        <v>1337</v>
      </c>
      <c r="D37" s="24">
        <v>43760</v>
      </c>
      <c r="E37" s="23" t="s">
        <v>3273</v>
      </c>
      <c r="F37" s="25" t="e">
        <v>#N/A</v>
      </c>
      <c r="G37" s="25" t="s">
        <v>3198</v>
      </c>
      <c r="H37" s="23" t="s">
        <v>1086</v>
      </c>
      <c r="I37" s="23" t="s">
        <v>1065</v>
      </c>
      <c r="J37" s="23" t="s">
        <v>507</v>
      </c>
      <c r="K37" s="23" t="s">
        <v>1080</v>
      </c>
      <c r="L37" s="23">
        <v>2</v>
      </c>
      <c r="M37" s="23" t="s">
        <v>3231</v>
      </c>
      <c r="N37" s="23" t="s">
        <v>1541</v>
      </c>
      <c r="O37" s="23" t="s">
        <v>3274</v>
      </c>
      <c r="P37" s="23" t="s">
        <v>566</v>
      </c>
      <c r="Q37" s="23" t="s">
        <v>3275</v>
      </c>
      <c r="R37" s="23" t="s">
        <v>1345</v>
      </c>
      <c r="S37" s="23">
        <v>3</v>
      </c>
      <c r="T37" s="23" t="s">
        <v>1346</v>
      </c>
      <c r="U37" s="23">
        <v>2011</v>
      </c>
      <c r="V37" s="23" t="s">
        <v>3202</v>
      </c>
      <c r="W37" s="23" t="s">
        <v>3203</v>
      </c>
      <c r="X37" s="23" t="s">
        <v>1345</v>
      </c>
      <c r="Y37" s="23">
        <v>2018</v>
      </c>
      <c r="Z37" s="23" t="s">
        <v>1547</v>
      </c>
      <c r="AA37" s="32">
        <v>40</v>
      </c>
      <c r="AB37" s="23" t="s">
        <v>1349</v>
      </c>
      <c r="AC37" s="23" t="s">
        <v>3276</v>
      </c>
      <c r="AD37" s="32" t="s">
        <v>1345</v>
      </c>
      <c r="AE37" s="23" t="s">
        <v>1349</v>
      </c>
      <c r="AF37" s="23" t="s">
        <v>1349</v>
      </c>
      <c r="AG37" s="23" t="s">
        <v>1349</v>
      </c>
      <c r="AH37" s="22"/>
      <c r="AI37" s="23"/>
      <c r="AJ37" s="23" t="s">
        <v>1349</v>
      </c>
      <c r="AK37" s="22" t="s">
        <v>2967</v>
      </c>
      <c r="AL37" s="22" t="s">
        <v>1802</v>
      </c>
      <c r="AM37" s="22" t="s">
        <v>1802</v>
      </c>
      <c r="AN37" s="22" t="s">
        <v>1802</v>
      </c>
      <c r="AO37" s="22" t="s">
        <v>1802</v>
      </c>
      <c r="AP37" s="22" t="s">
        <v>1802</v>
      </c>
      <c r="AQ37" s="22" t="s">
        <v>1352</v>
      </c>
      <c r="AR37" s="22" t="s">
        <v>1802</v>
      </c>
      <c r="AS37" s="22" t="s">
        <v>1802</v>
      </c>
      <c r="AT37" s="22"/>
      <c r="AU37" s="22" t="s">
        <v>3277</v>
      </c>
      <c r="AV37" s="22">
        <v>1000</v>
      </c>
      <c r="AW37" s="22" t="s">
        <v>3207</v>
      </c>
      <c r="AX37" s="22" t="s">
        <v>3262</v>
      </c>
      <c r="AY37" s="23"/>
      <c r="AZ37" s="22"/>
      <c r="BA37" s="22"/>
      <c r="BB37" s="22" t="s">
        <v>1358</v>
      </c>
      <c r="BC37" s="22"/>
      <c r="BD37" s="22"/>
      <c r="BE37" s="22" t="s">
        <v>1080</v>
      </c>
      <c r="BF37" s="22" t="s">
        <v>1080</v>
      </c>
      <c r="BG37" s="22" t="s">
        <v>1080</v>
      </c>
      <c r="BH37" s="22">
        <v>3</v>
      </c>
      <c r="BI37" s="22"/>
      <c r="BJ37" s="22">
        <v>15</v>
      </c>
      <c r="BK37" s="22" t="s">
        <v>3237</v>
      </c>
      <c r="BL37" s="22"/>
      <c r="BM37" s="22" t="s">
        <v>3209</v>
      </c>
      <c r="BN37" s="23" t="s">
        <v>1349</v>
      </c>
      <c r="BO37" s="22"/>
      <c r="BP37" s="22"/>
      <c r="BQ37" s="23" t="s">
        <v>1345</v>
      </c>
      <c r="BR37" s="23" t="s">
        <v>1345</v>
      </c>
      <c r="BS37" s="26">
        <v>0</v>
      </c>
      <c r="BT37" s="23" t="s">
        <v>1345</v>
      </c>
      <c r="BU37" s="23" t="s">
        <v>3278</v>
      </c>
      <c r="BV37" s="23" t="s">
        <v>1349</v>
      </c>
      <c r="BW37" s="22"/>
      <c r="BX37" s="23" t="s">
        <v>1345</v>
      </c>
      <c r="BY37" s="23" t="s">
        <v>1561</v>
      </c>
      <c r="BZ37" s="23" t="s">
        <v>3185</v>
      </c>
      <c r="CA37" s="23" t="s">
        <v>3278</v>
      </c>
      <c r="CB37" s="22" t="s">
        <v>1364</v>
      </c>
      <c r="CC37" s="22" t="s">
        <v>1364</v>
      </c>
      <c r="CD37" s="22" t="s">
        <v>1364</v>
      </c>
      <c r="CE37" s="35">
        <v>4000</v>
      </c>
      <c r="CF37" s="35">
        <v>8000</v>
      </c>
      <c r="CG37" s="35">
        <v>6800</v>
      </c>
      <c r="CH37" s="22"/>
      <c r="CI37" s="22">
        <v>100</v>
      </c>
      <c r="CJ37" s="22">
        <v>150</v>
      </c>
      <c r="CK37" s="27">
        <v>0.2</v>
      </c>
      <c r="CL37" s="27">
        <v>0.2</v>
      </c>
      <c r="CM37" s="27">
        <v>0.8</v>
      </c>
      <c r="CN37" s="27">
        <v>0.8</v>
      </c>
      <c r="CO37" s="22" t="s">
        <v>3186</v>
      </c>
      <c r="CP37" s="22"/>
      <c r="CQ37" s="22"/>
      <c r="CR37" s="22"/>
      <c r="CS37" s="22"/>
      <c r="CT37" s="22"/>
      <c r="CU37" s="23"/>
      <c r="CV37" s="22"/>
      <c r="CW37" s="23" t="s">
        <v>1349</v>
      </c>
      <c r="CX37" s="22"/>
      <c r="CY37" s="22"/>
      <c r="CZ37" s="22"/>
      <c r="DA37" s="22"/>
      <c r="DB37" s="22"/>
      <c r="DC37" s="22"/>
      <c r="DD37" s="22"/>
      <c r="DE37" s="22"/>
      <c r="DF37" s="22"/>
      <c r="DG37" s="22"/>
      <c r="DH37" s="22" t="s">
        <v>3212</v>
      </c>
      <c r="DI37" s="22" t="s">
        <v>3279</v>
      </c>
      <c r="DJ37" s="22"/>
      <c r="DK37" s="22"/>
      <c r="DL37" s="22" t="s">
        <v>3214</v>
      </c>
      <c r="DM37" s="22" t="s">
        <v>3279</v>
      </c>
      <c r="DN37" s="23"/>
      <c r="DO37" s="22"/>
      <c r="DP37" s="23" t="s">
        <v>1349</v>
      </c>
      <c r="DQ37" s="22" t="s">
        <v>3240</v>
      </c>
      <c r="DR37" s="23" t="s">
        <v>1345</v>
      </c>
      <c r="DS37" s="22" t="s">
        <v>3241</v>
      </c>
      <c r="DT37" s="23" t="s">
        <v>3280</v>
      </c>
      <c r="DU37" s="22" t="s">
        <v>1482</v>
      </c>
      <c r="DV37" s="23" t="s">
        <v>1349</v>
      </c>
      <c r="DW37" s="22"/>
      <c r="DX37" s="23" t="s">
        <v>1345</v>
      </c>
      <c r="DY37" s="23" t="s">
        <v>1349</v>
      </c>
      <c r="DZ37" s="23" t="s">
        <v>3216</v>
      </c>
      <c r="EA37" s="23" t="s">
        <v>1345</v>
      </c>
      <c r="EB37" s="23" t="s">
        <v>1345</v>
      </c>
      <c r="EC37" s="23" t="s">
        <v>1345</v>
      </c>
      <c r="ED37" s="23" t="s">
        <v>3217</v>
      </c>
      <c r="EE37" s="22"/>
      <c r="EF37" s="23" t="s">
        <v>3218</v>
      </c>
      <c r="EG37" s="23" t="s">
        <v>1345</v>
      </c>
      <c r="EH37" s="22"/>
      <c r="EI37" s="23" t="s">
        <v>3219</v>
      </c>
      <c r="EJ37" s="23" t="s">
        <v>3220</v>
      </c>
      <c r="EK37" s="23" t="s">
        <v>3221</v>
      </c>
      <c r="EL37" s="23" t="s">
        <v>1389</v>
      </c>
      <c r="EM37" s="23">
        <v>3</v>
      </c>
      <c r="EN37" s="23" t="s">
        <v>3222</v>
      </c>
      <c r="EO37" s="23">
        <v>2</v>
      </c>
      <c r="EP37" s="23" t="s">
        <v>3223</v>
      </c>
      <c r="EQ37" s="23">
        <v>2</v>
      </c>
      <c r="ER37" s="22" t="s">
        <v>3281</v>
      </c>
      <c r="ES37" s="23">
        <v>4</v>
      </c>
      <c r="ET37" s="22" t="s">
        <v>3282</v>
      </c>
      <c r="EU37" s="23">
        <v>5</v>
      </c>
      <c r="EV37" s="22" t="s">
        <v>3226</v>
      </c>
      <c r="EW37" s="23">
        <v>3</v>
      </c>
      <c r="EX37" s="22" t="s">
        <v>3227</v>
      </c>
      <c r="EY37" s="23">
        <v>1</v>
      </c>
      <c r="EZ37" s="22" t="s">
        <v>3228</v>
      </c>
      <c r="FA37" s="22"/>
    </row>
    <row r="38" spans="1:157">
      <c r="A38" s="17">
        <v>451</v>
      </c>
      <c r="B38" s="17">
        <v>7</v>
      </c>
      <c r="C38" s="13" t="s">
        <v>2278</v>
      </c>
      <c r="D38" s="18">
        <v>43746</v>
      </c>
      <c r="E38" s="13" t="s">
        <v>2721</v>
      </c>
      <c r="F38" s="19"/>
      <c r="G38" s="19"/>
      <c r="H38" s="13" t="s">
        <v>1086</v>
      </c>
      <c r="I38" s="13" t="s">
        <v>1065</v>
      </c>
      <c r="J38" s="13" t="s">
        <v>184</v>
      </c>
      <c r="K38" s="13" t="s">
        <v>2722</v>
      </c>
      <c r="L38" s="13">
        <v>2</v>
      </c>
      <c r="M38" s="13" t="s">
        <v>2637</v>
      </c>
      <c r="N38" s="13" t="s">
        <v>1343</v>
      </c>
      <c r="O38" s="13" t="s">
        <v>715</v>
      </c>
      <c r="P38" s="13" t="s">
        <v>2723</v>
      </c>
      <c r="Q38" s="13" t="s">
        <v>2724</v>
      </c>
      <c r="R38" s="13" t="s">
        <v>1345</v>
      </c>
      <c r="S38" s="13">
        <v>3</v>
      </c>
      <c r="T38" s="13" t="s">
        <v>1544</v>
      </c>
      <c r="U38" s="13">
        <v>2008</v>
      </c>
      <c r="V38" s="13" t="s">
        <v>2286</v>
      </c>
      <c r="W38" s="13" t="s">
        <v>2725</v>
      </c>
      <c r="X38" s="13" t="s">
        <v>1345</v>
      </c>
      <c r="Y38" s="13">
        <v>2017</v>
      </c>
      <c r="Z38" s="13" t="s">
        <v>2641</v>
      </c>
      <c r="AA38" s="30">
        <v>38</v>
      </c>
      <c r="AB38" s="13" t="s">
        <v>1345</v>
      </c>
      <c r="AC38" s="13">
        <v>2</v>
      </c>
      <c r="AD38" s="30" t="s">
        <v>1345</v>
      </c>
      <c r="AE38" s="13" t="s">
        <v>1345</v>
      </c>
      <c r="AF38" s="13" t="s">
        <v>1349</v>
      </c>
      <c r="AG38" s="13" t="s">
        <v>1349</v>
      </c>
      <c r="AH38" s="13" t="s">
        <v>2300</v>
      </c>
      <c r="AI38" s="13">
        <v>2010</v>
      </c>
      <c r="AJ38" s="13" t="s">
        <v>1349</v>
      </c>
      <c r="AK38" s="13" t="s">
        <v>2726</v>
      </c>
      <c r="AL38" s="13" t="s">
        <v>1612</v>
      </c>
      <c r="AM38" s="13" t="s">
        <v>1612</v>
      </c>
      <c r="AN38" s="13" t="s">
        <v>1612</v>
      </c>
      <c r="AO38" s="13" t="s">
        <v>1612</v>
      </c>
      <c r="AP38" s="13" t="s">
        <v>1612</v>
      </c>
      <c r="AQ38" s="13" t="s">
        <v>2096</v>
      </c>
      <c r="AR38" s="13" t="s">
        <v>2096</v>
      </c>
      <c r="AS38" s="13" t="s">
        <v>1550</v>
      </c>
      <c r="AT38" s="13" t="s">
        <v>2643</v>
      </c>
      <c r="AU38" s="13" t="s">
        <v>2727</v>
      </c>
      <c r="AV38" s="13">
        <v>1000</v>
      </c>
      <c r="AW38" s="13" t="s">
        <v>2645</v>
      </c>
      <c r="AX38" s="13" t="s">
        <v>2646</v>
      </c>
      <c r="AY38" s="13" t="s">
        <v>2728</v>
      </c>
      <c r="AZ38" s="13" t="s">
        <v>2647</v>
      </c>
      <c r="BA38" s="13" t="s">
        <v>2647</v>
      </c>
      <c r="BB38" s="13" t="s">
        <v>2648</v>
      </c>
      <c r="BC38" s="13" t="s">
        <v>2648</v>
      </c>
      <c r="BD38" s="13" t="s">
        <v>2648</v>
      </c>
      <c r="BE38" s="13" t="s">
        <v>2729</v>
      </c>
      <c r="BF38" s="13" t="s">
        <v>2729</v>
      </c>
      <c r="BG38" s="13" t="s">
        <v>2729</v>
      </c>
      <c r="BH38" s="13">
        <v>6</v>
      </c>
      <c r="BI38" s="13">
        <v>6</v>
      </c>
      <c r="BJ38" s="13">
        <v>6</v>
      </c>
      <c r="BK38" s="13" t="s">
        <v>2730</v>
      </c>
      <c r="BL38" s="13" t="s">
        <v>2730</v>
      </c>
      <c r="BM38" s="13" t="s">
        <v>2730</v>
      </c>
      <c r="BN38" s="13" t="s">
        <v>1349</v>
      </c>
      <c r="BO38" s="13" t="s">
        <v>2643</v>
      </c>
      <c r="BP38" s="13" t="s">
        <v>2643</v>
      </c>
      <c r="BQ38" s="13" t="s">
        <v>1349</v>
      </c>
      <c r="BR38" s="13" t="s">
        <v>1345</v>
      </c>
      <c r="BS38" s="13" t="s">
        <v>2643</v>
      </c>
      <c r="BT38" s="13" t="s">
        <v>1345</v>
      </c>
      <c r="BU38" s="13" t="s">
        <v>2717</v>
      </c>
      <c r="BV38" s="13" t="s">
        <v>1349</v>
      </c>
      <c r="BW38" s="13" t="s">
        <v>2643</v>
      </c>
      <c r="BX38" s="13" t="s">
        <v>1345</v>
      </c>
      <c r="BY38" s="13" t="s">
        <v>2167</v>
      </c>
      <c r="BZ38" s="13" t="s">
        <v>2650</v>
      </c>
      <c r="CA38" s="13" t="s">
        <v>2300</v>
      </c>
      <c r="CB38" s="13" t="s">
        <v>1548</v>
      </c>
      <c r="CC38" s="13" t="s">
        <v>1548</v>
      </c>
      <c r="CD38" s="13" t="s">
        <v>1548</v>
      </c>
      <c r="CE38" s="13">
        <v>720</v>
      </c>
      <c r="CF38" s="13">
        <v>480</v>
      </c>
      <c r="CG38" s="13">
        <v>960</v>
      </c>
      <c r="CH38" s="13">
        <v>100</v>
      </c>
      <c r="CI38" s="13">
        <v>30</v>
      </c>
      <c r="CJ38" s="13">
        <v>25</v>
      </c>
      <c r="CK38" s="20">
        <v>0.3</v>
      </c>
      <c r="CL38" s="20">
        <v>0.4</v>
      </c>
      <c r="CM38" s="20">
        <v>0.2</v>
      </c>
      <c r="CN38" s="20">
        <v>0.4</v>
      </c>
      <c r="CO38" s="13" t="s">
        <v>2652</v>
      </c>
      <c r="CP38" s="13" t="s">
        <v>2643</v>
      </c>
      <c r="CQ38" s="13" t="s">
        <v>2308</v>
      </c>
      <c r="CR38" s="13">
        <v>4</v>
      </c>
      <c r="CS38" s="13" t="s">
        <v>1368</v>
      </c>
      <c r="CT38" s="13" t="s">
        <v>2653</v>
      </c>
      <c r="CU38" s="13" t="s">
        <v>1345</v>
      </c>
      <c r="CV38" s="13" t="s">
        <v>2654</v>
      </c>
      <c r="CW38" s="13" t="s">
        <v>1349</v>
      </c>
      <c r="CX38" s="13" t="s">
        <v>2643</v>
      </c>
      <c r="CY38" s="13" t="s">
        <v>2643</v>
      </c>
      <c r="CZ38" s="13" t="s">
        <v>2655</v>
      </c>
      <c r="DA38" s="13" t="s">
        <v>2656</v>
      </c>
      <c r="DB38" s="13" t="s">
        <v>2643</v>
      </c>
      <c r="DC38" s="13" t="s">
        <v>2657</v>
      </c>
      <c r="DD38" s="13" t="s">
        <v>2658</v>
      </c>
      <c r="DE38" s="13" t="s">
        <v>2685</v>
      </c>
      <c r="DF38" s="13" t="s">
        <v>2660</v>
      </c>
      <c r="DG38" s="13" t="s">
        <v>1977</v>
      </c>
      <c r="DH38" s="13" t="s">
        <v>2661</v>
      </c>
      <c r="DI38" s="13" t="s">
        <v>2698</v>
      </c>
      <c r="DJ38" s="13" t="s">
        <v>2300</v>
      </c>
      <c r="DK38" s="13" t="s">
        <v>2300</v>
      </c>
      <c r="DL38" s="13" t="s">
        <v>2662</v>
      </c>
      <c r="DM38" s="13" t="s">
        <v>2663</v>
      </c>
      <c r="DN38" s="13" t="s">
        <v>1349</v>
      </c>
      <c r="DO38" s="13" t="s">
        <v>1342</v>
      </c>
      <c r="DP38" s="13" t="s">
        <v>1349</v>
      </c>
      <c r="DQ38" s="13" t="s">
        <v>2300</v>
      </c>
      <c r="DR38" s="13" t="s">
        <v>1349</v>
      </c>
      <c r="DS38" s="13" t="s">
        <v>2643</v>
      </c>
      <c r="DT38" s="13" t="s">
        <v>2643</v>
      </c>
      <c r="DU38" s="13" t="s">
        <v>2643</v>
      </c>
      <c r="DV38" s="13" t="s">
        <v>1345</v>
      </c>
      <c r="DW38" s="13" t="s">
        <v>2664</v>
      </c>
      <c r="DX38" s="13" t="s">
        <v>1345</v>
      </c>
      <c r="DY38" s="13" t="s">
        <v>1349</v>
      </c>
      <c r="DZ38" s="13" t="s">
        <v>2665</v>
      </c>
      <c r="EA38" s="13" t="s">
        <v>1345</v>
      </c>
      <c r="EB38" s="13" t="s">
        <v>1345</v>
      </c>
      <c r="EC38" s="13" t="s">
        <v>1345</v>
      </c>
      <c r="ED38" s="13" t="s">
        <v>2666</v>
      </c>
      <c r="EE38" s="20">
        <v>0.5</v>
      </c>
      <c r="EF38" s="13" t="s">
        <v>2370</v>
      </c>
      <c r="EG38" s="13" t="s">
        <v>1349</v>
      </c>
      <c r="EH38" s="13" t="s">
        <v>2643</v>
      </c>
      <c r="EI38" s="13" t="s">
        <v>2326</v>
      </c>
      <c r="EJ38" s="17" t="s">
        <v>2667</v>
      </c>
      <c r="EK38" s="13" t="s">
        <v>2300</v>
      </c>
      <c r="EL38" s="13" t="s">
        <v>1389</v>
      </c>
      <c r="EM38" s="13">
        <v>3</v>
      </c>
      <c r="EN38" s="13" t="s">
        <v>2388</v>
      </c>
      <c r="EO38" s="13">
        <v>3</v>
      </c>
      <c r="EP38" s="13" t="s">
        <v>2731</v>
      </c>
      <c r="EQ38" s="13">
        <v>4</v>
      </c>
      <c r="ER38" s="17" t="s">
        <v>2331</v>
      </c>
      <c r="ES38" s="13">
        <v>4</v>
      </c>
      <c r="ET38" s="17" t="s">
        <v>2421</v>
      </c>
      <c r="EU38" s="13">
        <v>4</v>
      </c>
      <c r="EV38" s="17" t="s">
        <v>2669</v>
      </c>
      <c r="EW38" s="13">
        <v>4</v>
      </c>
      <c r="EX38" s="17" t="s">
        <v>2732</v>
      </c>
      <c r="EY38" s="13">
        <v>1</v>
      </c>
      <c r="EZ38" s="17" t="s">
        <v>2424</v>
      </c>
      <c r="FA38" s="22"/>
    </row>
    <row r="39" spans="1:157">
      <c r="A39" s="17">
        <v>452</v>
      </c>
      <c r="B39" s="17">
        <v>13</v>
      </c>
      <c r="C39" s="23" t="s">
        <v>2278</v>
      </c>
      <c r="D39" s="24">
        <v>43749</v>
      </c>
      <c r="E39" s="23" t="s">
        <v>2783</v>
      </c>
      <c r="F39" s="25" t="e">
        <v>#N/A</v>
      </c>
      <c r="G39" s="25" t="e">
        <v>#N/A</v>
      </c>
      <c r="H39" s="23" t="s">
        <v>1086</v>
      </c>
      <c r="I39" s="23" t="s">
        <v>1065</v>
      </c>
      <c r="J39" s="23" t="s">
        <v>2784</v>
      </c>
      <c r="K39" s="23" t="s">
        <v>2785</v>
      </c>
      <c r="L39" s="23">
        <v>9</v>
      </c>
      <c r="M39" s="23" t="s">
        <v>2281</v>
      </c>
      <c r="N39" s="23" t="s">
        <v>1541</v>
      </c>
      <c r="O39" s="23" t="s">
        <v>715</v>
      </c>
      <c r="P39" s="23" t="s">
        <v>2786</v>
      </c>
      <c r="Q39" s="23" t="s">
        <v>2767</v>
      </c>
      <c r="R39" s="23" t="s">
        <v>1345</v>
      </c>
      <c r="S39" s="23">
        <v>3</v>
      </c>
      <c r="T39" s="23" t="s">
        <v>2285</v>
      </c>
      <c r="U39" s="23">
        <v>2006</v>
      </c>
      <c r="V39" s="23" t="s">
        <v>2787</v>
      </c>
      <c r="W39" s="23" t="s">
        <v>2359</v>
      </c>
      <c r="X39" s="23" t="s">
        <v>1345</v>
      </c>
      <c r="Y39" s="23">
        <v>2018</v>
      </c>
      <c r="Z39" s="23" t="s">
        <v>2288</v>
      </c>
      <c r="AA39" s="32">
        <v>34</v>
      </c>
      <c r="AB39" s="23" t="s">
        <v>1345</v>
      </c>
      <c r="AC39" s="23">
        <v>3</v>
      </c>
      <c r="AD39" s="32" t="s">
        <v>1345</v>
      </c>
      <c r="AE39" s="23" t="s">
        <v>1345</v>
      </c>
      <c r="AF39" s="23" t="s">
        <v>1349</v>
      </c>
      <c r="AG39" s="23" t="s">
        <v>1349</v>
      </c>
      <c r="AH39" s="23" t="s">
        <v>2788</v>
      </c>
      <c r="AI39" s="23">
        <v>2006</v>
      </c>
      <c r="AJ39" s="23" t="s">
        <v>1349</v>
      </c>
      <c r="AK39" s="23" t="s">
        <v>2290</v>
      </c>
      <c r="AL39" s="23" t="s">
        <v>1612</v>
      </c>
      <c r="AM39" s="23" t="s">
        <v>1612</v>
      </c>
      <c r="AN39" s="23" t="s">
        <v>1612</v>
      </c>
      <c r="AO39" s="23" t="s">
        <v>1612</v>
      </c>
      <c r="AP39" s="23" t="s">
        <v>1612</v>
      </c>
      <c r="AQ39" s="23" t="s">
        <v>2291</v>
      </c>
      <c r="AR39" s="23" t="s">
        <v>2291</v>
      </c>
      <c r="AS39" s="23" t="s">
        <v>1802</v>
      </c>
      <c r="AT39" s="23" t="s">
        <v>1358</v>
      </c>
      <c r="AU39" s="23" t="s">
        <v>2778</v>
      </c>
      <c r="AV39" s="23" t="s">
        <v>2789</v>
      </c>
      <c r="AW39" s="23" t="s">
        <v>2343</v>
      </c>
      <c r="AX39" s="23" t="s">
        <v>2790</v>
      </c>
      <c r="AY39" s="23" t="s">
        <v>1349</v>
      </c>
      <c r="AZ39" s="23" t="s">
        <v>2431</v>
      </c>
      <c r="BA39" s="23" t="s">
        <v>2361</v>
      </c>
      <c r="BB39" s="23" t="s">
        <v>2762</v>
      </c>
      <c r="BC39" s="23" t="s">
        <v>2289</v>
      </c>
      <c r="BD39" s="23" t="s">
        <v>2289</v>
      </c>
      <c r="BE39" s="23" t="s">
        <v>2785</v>
      </c>
      <c r="BF39" s="23" t="s">
        <v>2300</v>
      </c>
      <c r="BG39" s="23" t="s">
        <v>2300</v>
      </c>
      <c r="BH39" s="23">
        <v>5</v>
      </c>
      <c r="BI39" s="23">
        <v>5</v>
      </c>
      <c r="BJ39" s="23">
        <v>5</v>
      </c>
      <c r="BK39" s="23" t="s">
        <v>2594</v>
      </c>
      <c r="BL39" s="23" t="s">
        <v>2594</v>
      </c>
      <c r="BM39" s="23" t="s">
        <v>2594</v>
      </c>
      <c r="BN39" s="23" t="s">
        <v>1349</v>
      </c>
      <c r="BO39" s="23" t="s">
        <v>2300</v>
      </c>
      <c r="BP39" s="23" t="s">
        <v>2300</v>
      </c>
      <c r="BQ39" s="23" t="s">
        <v>1349</v>
      </c>
      <c r="BR39" s="23" t="s">
        <v>1349</v>
      </c>
      <c r="BS39" s="23" t="s">
        <v>1804</v>
      </c>
      <c r="BT39" s="23" t="s">
        <v>1345</v>
      </c>
      <c r="BU39" s="23" t="s">
        <v>2301</v>
      </c>
      <c r="BV39" s="23" t="s">
        <v>1349</v>
      </c>
      <c r="BW39" s="23" t="s">
        <v>2300</v>
      </c>
      <c r="BX39" s="23" t="s">
        <v>1349</v>
      </c>
      <c r="BY39" s="23" t="s">
        <v>1366</v>
      </c>
      <c r="BZ39" s="23" t="s">
        <v>2300</v>
      </c>
      <c r="CA39" s="23" t="s">
        <v>2347</v>
      </c>
      <c r="CB39" s="23" t="s">
        <v>2289</v>
      </c>
      <c r="CC39" s="23" t="s">
        <v>2289</v>
      </c>
      <c r="CD39" s="23" t="s">
        <v>2289</v>
      </c>
      <c r="CE39" s="23">
        <v>8400</v>
      </c>
      <c r="CF39" s="23">
        <v>8400</v>
      </c>
      <c r="CG39" s="23">
        <v>10800</v>
      </c>
      <c r="CH39" s="23">
        <v>80</v>
      </c>
      <c r="CI39" s="23">
        <v>45</v>
      </c>
      <c r="CJ39" s="23">
        <v>80</v>
      </c>
      <c r="CK39" s="27">
        <v>1</v>
      </c>
      <c r="CL39" s="27">
        <v>1</v>
      </c>
      <c r="CM39" s="27">
        <v>0</v>
      </c>
      <c r="CN39" s="27">
        <v>0</v>
      </c>
      <c r="CO39" s="23" t="s">
        <v>2307</v>
      </c>
      <c r="CP39" s="23" t="s">
        <v>1565</v>
      </c>
      <c r="CQ39" s="23" t="s">
        <v>1565</v>
      </c>
      <c r="CR39" s="23" t="s">
        <v>2767</v>
      </c>
      <c r="CS39" s="23" t="s">
        <v>1706</v>
      </c>
      <c r="CT39" s="23" t="s">
        <v>2767</v>
      </c>
      <c r="CU39" s="23" t="s">
        <v>2767</v>
      </c>
      <c r="CV39" s="23" t="s">
        <v>2767</v>
      </c>
      <c r="CW39" s="23" t="s">
        <v>1345</v>
      </c>
      <c r="CX39" s="26">
        <v>0.1</v>
      </c>
      <c r="CY39" s="26">
        <v>0.9</v>
      </c>
      <c r="CZ39" s="23" t="s">
        <v>2791</v>
      </c>
      <c r="DA39" s="23" t="s">
        <v>2494</v>
      </c>
      <c r="DB39" s="23" t="s">
        <v>1903</v>
      </c>
      <c r="DC39" s="23" t="s">
        <v>2499</v>
      </c>
      <c r="DD39" s="22" t="s">
        <v>2792</v>
      </c>
      <c r="DE39" s="23" t="s">
        <v>2793</v>
      </c>
      <c r="DF39" s="23" t="s">
        <v>2315</v>
      </c>
      <c r="DG39" s="23" t="s">
        <v>2316</v>
      </c>
      <c r="DH39" s="23" t="s">
        <v>2794</v>
      </c>
      <c r="DI39" s="23" t="s">
        <v>1556</v>
      </c>
      <c r="DJ39" s="23" t="s">
        <v>1556</v>
      </c>
      <c r="DK39" s="23" t="s">
        <v>1556</v>
      </c>
      <c r="DL39" s="23" t="s">
        <v>2795</v>
      </c>
      <c r="DM39" s="23" t="s">
        <v>2770</v>
      </c>
      <c r="DN39" s="23" t="s">
        <v>1345</v>
      </c>
      <c r="DO39" s="23" t="s">
        <v>2796</v>
      </c>
      <c r="DP39" s="23" t="s">
        <v>1349</v>
      </c>
      <c r="DQ39" s="23" t="s">
        <v>1358</v>
      </c>
      <c r="DR39" s="23" t="s">
        <v>1349</v>
      </c>
      <c r="DS39" s="23" t="s">
        <v>2300</v>
      </c>
      <c r="DT39" s="23" t="s">
        <v>2300</v>
      </c>
      <c r="DU39" s="23" t="s">
        <v>2300</v>
      </c>
      <c r="DV39" s="23" t="s">
        <v>1345</v>
      </c>
      <c r="DW39" s="23" t="s">
        <v>2797</v>
      </c>
      <c r="DX39" s="23" t="s">
        <v>1345</v>
      </c>
      <c r="DY39" s="23" t="s">
        <v>1349</v>
      </c>
      <c r="DZ39" s="23" t="s">
        <v>2322</v>
      </c>
      <c r="EA39" s="23" t="s">
        <v>1345</v>
      </c>
      <c r="EB39" s="23" t="s">
        <v>1345</v>
      </c>
      <c r="EC39" s="23" t="s">
        <v>1345</v>
      </c>
      <c r="ED39" s="23" t="s">
        <v>2353</v>
      </c>
      <c r="EE39" s="27">
        <v>0.2</v>
      </c>
      <c r="EF39" s="23" t="s">
        <v>2324</v>
      </c>
      <c r="EG39" s="23" t="s">
        <v>1342</v>
      </c>
      <c r="EH39" s="23" t="s">
        <v>2300</v>
      </c>
      <c r="EI39" s="23" t="s">
        <v>2326</v>
      </c>
      <c r="EJ39" s="22" t="s">
        <v>2327</v>
      </c>
      <c r="EK39" s="23" t="s">
        <v>2419</v>
      </c>
      <c r="EL39" s="23" t="s">
        <v>1389</v>
      </c>
      <c r="EM39" s="23">
        <v>4</v>
      </c>
      <c r="EN39" s="23" t="s">
        <v>2329</v>
      </c>
      <c r="EO39" s="23">
        <v>3</v>
      </c>
      <c r="EP39" s="23" t="s">
        <v>2798</v>
      </c>
      <c r="EQ39" s="23">
        <v>4</v>
      </c>
      <c r="ER39" s="22" t="s">
        <v>2331</v>
      </c>
      <c r="ES39" s="23">
        <v>4</v>
      </c>
      <c r="ET39" s="22" t="s">
        <v>2799</v>
      </c>
      <c r="EU39" s="23">
        <v>4</v>
      </c>
      <c r="EV39" s="22" t="s">
        <v>2800</v>
      </c>
      <c r="EW39" s="23">
        <v>3</v>
      </c>
      <c r="EX39" s="22" t="s">
        <v>2801</v>
      </c>
      <c r="EY39" s="23">
        <v>2</v>
      </c>
      <c r="EZ39" s="22" t="s">
        <v>2424</v>
      </c>
      <c r="FA39" s="22"/>
    </row>
    <row r="40" spans="1:157">
      <c r="A40" s="17">
        <v>453</v>
      </c>
      <c r="B40" s="17">
        <v>19</v>
      </c>
      <c r="C40" s="23" t="s">
        <v>2278</v>
      </c>
      <c r="D40" s="24">
        <v>43754</v>
      </c>
      <c r="E40" s="23" t="s">
        <v>2832</v>
      </c>
      <c r="F40" s="25" t="e">
        <v>#N/A</v>
      </c>
      <c r="G40" s="25" t="e">
        <v>#N/A</v>
      </c>
      <c r="H40" s="23" t="s">
        <v>1086</v>
      </c>
      <c r="I40" s="23" t="s">
        <v>1065</v>
      </c>
      <c r="J40" s="23" t="s">
        <v>2833</v>
      </c>
      <c r="K40" s="23" t="s">
        <v>2834</v>
      </c>
      <c r="L40" s="23">
        <v>45</v>
      </c>
      <c r="M40" s="23" t="s">
        <v>2393</v>
      </c>
      <c r="N40" s="23" t="s">
        <v>1541</v>
      </c>
      <c r="O40" s="23" t="s">
        <v>715</v>
      </c>
      <c r="P40" s="23" t="s">
        <v>2835</v>
      </c>
      <c r="Q40" s="23">
        <v>65876590</v>
      </c>
      <c r="R40" s="23" t="s">
        <v>1345</v>
      </c>
      <c r="S40" s="23">
        <v>5</v>
      </c>
      <c r="T40" s="23" t="s">
        <v>2285</v>
      </c>
      <c r="U40" s="23">
        <v>2015</v>
      </c>
      <c r="V40" s="23" t="s">
        <v>2787</v>
      </c>
      <c r="W40" s="23" t="s">
        <v>2359</v>
      </c>
      <c r="X40" s="23" t="s">
        <v>1345</v>
      </c>
      <c r="Y40" s="23">
        <v>2019</v>
      </c>
      <c r="Z40" s="23" t="s">
        <v>2288</v>
      </c>
      <c r="AA40" s="32">
        <v>35</v>
      </c>
      <c r="AB40" s="23" t="s">
        <v>1345</v>
      </c>
      <c r="AC40" s="23">
        <v>2</v>
      </c>
      <c r="AD40" s="32" t="s">
        <v>1345</v>
      </c>
      <c r="AE40" s="23" t="s">
        <v>1345</v>
      </c>
      <c r="AF40" s="23" t="s">
        <v>1349</v>
      </c>
      <c r="AG40" s="23" t="s">
        <v>1349</v>
      </c>
      <c r="AH40" s="23" t="s">
        <v>1556</v>
      </c>
      <c r="AI40" s="23">
        <v>2015</v>
      </c>
      <c r="AJ40" s="23" t="s">
        <v>1349</v>
      </c>
      <c r="AK40" s="23" t="s">
        <v>2290</v>
      </c>
      <c r="AL40" s="23" t="s">
        <v>1612</v>
      </c>
      <c r="AM40" s="23" t="s">
        <v>1612</v>
      </c>
      <c r="AN40" s="23" t="s">
        <v>1612</v>
      </c>
      <c r="AO40" s="23" t="s">
        <v>1612</v>
      </c>
      <c r="AP40" s="23" t="s">
        <v>1612</v>
      </c>
      <c r="AQ40" s="23" t="s">
        <v>2291</v>
      </c>
      <c r="AR40" s="23" t="s">
        <v>2291</v>
      </c>
      <c r="AS40" s="23" t="s">
        <v>1802</v>
      </c>
      <c r="AT40" s="23" t="s">
        <v>1358</v>
      </c>
      <c r="AU40" s="23" t="s">
        <v>2778</v>
      </c>
      <c r="AV40" s="22" t="s">
        <v>2789</v>
      </c>
      <c r="AW40" s="23" t="s">
        <v>2487</v>
      </c>
      <c r="AX40" s="23" t="s">
        <v>2430</v>
      </c>
      <c r="AY40" s="23" t="s">
        <v>1349</v>
      </c>
      <c r="AZ40" s="23" t="s">
        <v>2361</v>
      </c>
      <c r="BA40" s="23" t="s">
        <v>2361</v>
      </c>
      <c r="BB40" s="23" t="s">
        <v>2289</v>
      </c>
      <c r="BC40" s="23" t="s">
        <v>2289</v>
      </c>
      <c r="BD40" s="23" t="s">
        <v>2289</v>
      </c>
      <c r="BE40" s="23" t="s">
        <v>2834</v>
      </c>
      <c r="BF40" s="23" t="s">
        <v>2300</v>
      </c>
      <c r="BG40" s="23" t="s">
        <v>2300</v>
      </c>
      <c r="BH40" s="22">
        <v>4</v>
      </c>
      <c r="BI40" s="22">
        <v>4</v>
      </c>
      <c r="BJ40" s="22">
        <v>4</v>
      </c>
      <c r="BK40" s="23" t="s">
        <v>2594</v>
      </c>
      <c r="BL40" s="23" t="s">
        <v>2594</v>
      </c>
      <c r="BM40" s="23" t="s">
        <v>2594</v>
      </c>
      <c r="BN40" s="23" t="s">
        <v>1349</v>
      </c>
      <c r="BO40" s="23" t="s">
        <v>2300</v>
      </c>
      <c r="BP40" s="23" t="s">
        <v>2300</v>
      </c>
      <c r="BQ40" s="23" t="s">
        <v>1345</v>
      </c>
      <c r="BR40" s="23" t="s">
        <v>1345</v>
      </c>
      <c r="BS40" s="23" t="s">
        <v>1804</v>
      </c>
      <c r="BT40" s="23" t="s">
        <v>1345</v>
      </c>
      <c r="BU40" s="23" t="s">
        <v>2491</v>
      </c>
      <c r="BV40" s="23" t="s">
        <v>1349</v>
      </c>
      <c r="BW40" s="23" t="s">
        <v>2300</v>
      </c>
      <c r="BX40" s="23" t="s">
        <v>1349</v>
      </c>
      <c r="BY40" s="23" t="s">
        <v>1565</v>
      </c>
      <c r="BZ40" s="23" t="s">
        <v>2300</v>
      </c>
      <c r="CA40" s="23" t="s">
        <v>2300</v>
      </c>
      <c r="CB40" s="23" t="s">
        <v>2289</v>
      </c>
      <c r="CC40" s="23" t="s">
        <v>2289</v>
      </c>
      <c r="CD40" s="23" t="s">
        <v>2289</v>
      </c>
      <c r="CE40" s="23">
        <v>8400</v>
      </c>
      <c r="CF40" s="23">
        <v>8400</v>
      </c>
      <c r="CG40" s="23">
        <v>9600</v>
      </c>
      <c r="CH40" s="23">
        <v>45</v>
      </c>
      <c r="CI40" s="23">
        <v>45</v>
      </c>
      <c r="CJ40" s="23">
        <v>30</v>
      </c>
      <c r="CK40" s="27">
        <v>1</v>
      </c>
      <c r="CL40" s="27">
        <v>1</v>
      </c>
      <c r="CM40" s="27">
        <v>0</v>
      </c>
      <c r="CN40" s="27">
        <v>0</v>
      </c>
      <c r="CO40" s="23" t="s">
        <v>2307</v>
      </c>
      <c r="CP40" s="23" t="s">
        <v>1565</v>
      </c>
      <c r="CQ40" s="23" t="s">
        <v>1565</v>
      </c>
      <c r="CR40" s="23" t="s">
        <v>2767</v>
      </c>
      <c r="CS40" s="23" t="s">
        <v>1706</v>
      </c>
      <c r="CT40" s="23" t="s">
        <v>2767</v>
      </c>
      <c r="CU40" s="23" t="s">
        <v>2767</v>
      </c>
      <c r="CV40" s="23" t="s">
        <v>2767</v>
      </c>
      <c r="CW40" s="23" t="s">
        <v>1345</v>
      </c>
      <c r="CX40" s="26">
        <v>0.05</v>
      </c>
      <c r="CY40" s="27">
        <v>0.95</v>
      </c>
      <c r="CZ40" s="23" t="s">
        <v>2791</v>
      </c>
      <c r="DA40" s="23" t="s">
        <v>2494</v>
      </c>
      <c r="DB40" s="23" t="s">
        <v>1903</v>
      </c>
      <c r="DC40" s="23" t="s">
        <v>2836</v>
      </c>
      <c r="DD40" s="22" t="s">
        <v>2837</v>
      </c>
      <c r="DE40" s="23" t="s">
        <v>2838</v>
      </c>
      <c r="DF40" s="23" t="s">
        <v>2839</v>
      </c>
      <c r="DG40" s="23" t="s">
        <v>2840</v>
      </c>
      <c r="DH40" s="23" t="s">
        <v>2794</v>
      </c>
      <c r="DI40" s="23" t="s">
        <v>1556</v>
      </c>
      <c r="DJ40" s="23" t="s">
        <v>1556</v>
      </c>
      <c r="DK40" s="23" t="s">
        <v>1556</v>
      </c>
      <c r="DL40" s="23" t="s">
        <v>2795</v>
      </c>
      <c r="DM40" s="23" t="s">
        <v>2770</v>
      </c>
      <c r="DN40" s="23" t="s">
        <v>1345</v>
      </c>
      <c r="DO40" s="23" t="s">
        <v>2796</v>
      </c>
      <c r="DP40" s="23" t="s">
        <v>1349</v>
      </c>
      <c r="DQ40" s="23" t="s">
        <v>1358</v>
      </c>
      <c r="DR40" s="23" t="s">
        <v>1349</v>
      </c>
      <c r="DS40" s="23" t="s">
        <v>2300</v>
      </c>
      <c r="DT40" s="23" t="s">
        <v>2300</v>
      </c>
      <c r="DU40" s="23" t="s">
        <v>2300</v>
      </c>
      <c r="DV40" s="23" t="s">
        <v>1345</v>
      </c>
      <c r="DW40" s="23" t="s">
        <v>2797</v>
      </c>
      <c r="DX40" s="23" t="s">
        <v>1345</v>
      </c>
      <c r="DY40" s="23" t="s">
        <v>1349</v>
      </c>
      <c r="DZ40" s="23" t="s">
        <v>2322</v>
      </c>
      <c r="EA40" s="23" t="s">
        <v>1345</v>
      </c>
      <c r="EB40" s="23" t="s">
        <v>1345</v>
      </c>
      <c r="EC40" s="23" t="s">
        <v>1345</v>
      </c>
      <c r="ED40" s="23" t="s">
        <v>2353</v>
      </c>
      <c r="EE40" s="27">
        <v>0.1</v>
      </c>
      <c r="EF40" s="23" t="s">
        <v>2324</v>
      </c>
      <c r="EG40" s="23" t="s">
        <v>1342</v>
      </c>
      <c r="EH40" s="23" t="s">
        <v>2300</v>
      </c>
      <c r="EI40" s="23" t="s">
        <v>2326</v>
      </c>
      <c r="EJ40" s="22" t="s">
        <v>2327</v>
      </c>
      <c r="EK40" s="23" t="s">
        <v>2419</v>
      </c>
      <c r="EL40" s="23" t="s">
        <v>1389</v>
      </c>
      <c r="EM40" s="23">
        <v>3</v>
      </c>
      <c r="EN40" s="23" t="s">
        <v>2388</v>
      </c>
      <c r="EO40" s="23">
        <v>3</v>
      </c>
      <c r="EP40" s="23" t="s">
        <v>2841</v>
      </c>
      <c r="EQ40" s="23">
        <v>4</v>
      </c>
      <c r="ER40" s="22" t="s">
        <v>2331</v>
      </c>
      <c r="ES40" s="23">
        <v>4</v>
      </c>
      <c r="ET40" s="22" t="s">
        <v>2842</v>
      </c>
      <c r="EU40" s="23">
        <v>4</v>
      </c>
      <c r="EV40" s="22" t="s">
        <v>2508</v>
      </c>
      <c r="EW40" s="23">
        <v>1</v>
      </c>
      <c r="EX40" s="22" t="s">
        <v>2843</v>
      </c>
      <c r="EY40" s="23">
        <v>2</v>
      </c>
      <c r="EZ40" s="22" t="s">
        <v>2424</v>
      </c>
      <c r="FA40" s="22"/>
    </row>
    <row r="41" spans="1:157">
      <c r="A41" s="17">
        <v>454</v>
      </c>
      <c r="B41" s="17">
        <v>22</v>
      </c>
      <c r="C41" s="23" t="s">
        <v>2278</v>
      </c>
      <c r="D41" s="24">
        <v>43756</v>
      </c>
      <c r="E41" s="23" t="s">
        <v>2854</v>
      </c>
      <c r="F41" s="25" t="e">
        <v>#N/A</v>
      </c>
      <c r="G41" s="25" t="e">
        <v>#N/A</v>
      </c>
      <c r="H41" s="23" t="s">
        <v>1086</v>
      </c>
      <c r="I41" s="23" t="s">
        <v>1065</v>
      </c>
      <c r="J41" s="23" t="s">
        <v>2833</v>
      </c>
      <c r="K41" s="23" t="s">
        <v>2834</v>
      </c>
      <c r="L41" s="23">
        <v>45</v>
      </c>
      <c r="M41" s="23" t="s">
        <v>2393</v>
      </c>
      <c r="N41" s="23" t="s">
        <v>1541</v>
      </c>
      <c r="O41" s="23" t="s">
        <v>715</v>
      </c>
      <c r="P41" s="23" t="s">
        <v>2855</v>
      </c>
      <c r="Q41" s="23">
        <v>57569764</v>
      </c>
      <c r="R41" s="23" t="s">
        <v>1345</v>
      </c>
      <c r="S41" s="23">
        <v>5</v>
      </c>
      <c r="T41" s="23" t="s">
        <v>2285</v>
      </c>
      <c r="U41" s="23">
        <v>2013</v>
      </c>
      <c r="V41" s="23" t="s">
        <v>2787</v>
      </c>
      <c r="W41" s="23" t="s">
        <v>2359</v>
      </c>
      <c r="X41" s="23" t="s">
        <v>1345</v>
      </c>
      <c r="Y41" s="23">
        <v>2019</v>
      </c>
      <c r="Z41" s="23" t="s">
        <v>2288</v>
      </c>
      <c r="AA41" s="32">
        <v>55</v>
      </c>
      <c r="AB41" s="23" t="s">
        <v>1349</v>
      </c>
      <c r="AC41" s="23">
        <v>3</v>
      </c>
      <c r="AD41" s="32" t="s">
        <v>1345</v>
      </c>
      <c r="AE41" s="23" t="s">
        <v>1345</v>
      </c>
      <c r="AF41" s="23" t="s">
        <v>1349</v>
      </c>
      <c r="AG41" s="23" t="s">
        <v>1349</v>
      </c>
      <c r="AH41" s="23" t="s">
        <v>2788</v>
      </c>
      <c r="AI41" s="23">
        <v>2013</v>
      </c>
      <c r="AJ41" s="23" t="s">
        <v>1349</v>
      </c>
      <c r="AK41" s="23" t="s">
        <v>2851</v>
      </c>
      <c r="AL41" s="23" t="s">
        <v>1612</v>
      </c>
      <c r="AM41" s="23" t="s">
        <v>1612</v>
      </c>
      <c r="AN41" s="23" t="s">
        <v>1612</v>
      </c>
      <c r="AO41" s="23" t="s">
        <v>1612</v>
      </c>
      <c r="AP41" s="23" t="s">
        <v>1612</v>
      </c>
      <c r="AQ41" s="23" t="s">
        <v>2291</v>
      </c>
      <c r="AR41" s="23" t="s">
        <v>2291</v>
      </c>
      <c r="AS41" s="23" t="s">
        <v>1802</v>
      </c>
      <c r="AT41" s="23" t="s">
        <v>1358</v>
      </c>
      <c r="AU41" s="23" t="s">
        <v>2856</v>
      </c>
      <c r="AV41" s="22" t="s">
        <v>2789</v>
      </c>
      <c r="AW41" s="23" t="s">
        <v>2487</v>
      </c>
      <c r="AX41" s="23" t="s">
        <v>2847</v>
      </c>
      <c r="AY41" s="23" t="s">
        <v>1349</v>
      </c>
      <c r="AZ41" s="23" t="s">
        <v>2361</v>
      </c>
      <c r="BA41" s="23" t="s">
        <v>2361</v>
      </c>
      <c r="BB41" s="23" t="s">
        <v>2289</v>
      </c>
      <c r="BC41" s="23" t="s">
        <v>2289</v>
      </c>
      <c r="BD41" s="23" t="s">
        <v>2289</v>
      </c>
      <c r="BE41" s="23" t="s">
        <v>2834</v>
      </c>
      <c r="BF41" s="23" t="s">
        <v>2300</v>
      </c>
      <c r="BG41" s="23" t="s">
        <v>2300</v>
      </c>
      <c r="BH41" s="22">
        <v>6</v>
      </c>
      <c r="BI41" s="22">
        <v>6.5</v>
      </c>
      <c r="BJ41" s="22">
        <v>7</v>
      </c>
      <c r="BK41" s="23" t="s">
        <v>2594</v>
      </c>
      <c r="BL41" s="23" t="s">
        <v>2594</v>
      </c>
      <c r="BM41" s="23" t="s">
        <v>2594</v>
      </c>
      <c r="BN41" s="23" t="s">
        <v>1349</v>
      </c>
      <c r="BO41" s="23" t="s">
        <v>2300</v>
      </c>
      <c r="BP41" s="23" t="s">
        <v>2300</v>
      </c>
      <c r="BQ41" s="23" t="s">
        <v>1349</v>
      </c>
      <c r="BR41" s="23" t="s">
        <v>1349</v>
      </c>
      <c r="BS41" s="23" t="s">
        <v>1804</v>
      </c>
      <c r="BT41" s="23" t="s">
        <v>1345</v>
      </c>
      <c r="BU41" s="23" t="s">
        <v>1358</v>
      </c>
      <c r="BV41" s="23" t="s">
        <v>1349</v>
      </c>
      <c r="BW41" s="23" t="s">
        <v>2300</v>
      </c>
      <c r="BX41" s="23" t="s">
        <v>1349</v>
      </c>
      <c r="BY41" s="23" t="s">
        <v>1565</v>
      </c>
      <c r="BZ41" s="23" t="s">
        <v>2300</v>
      </c>
      <c r="CA41" s="23" t="s">
        <v>2300</v>
      </c>
      <c r="CB41" s="23" t="s">
        <v>2289</v>
      </c>
      <c r="CC41" s="23" t="s">
        <v>2289</v>
      </c>
      <c r="CD41" s="23" t="s">
        <v>2289</v>
      </c>
      <c r="CE41" s="23">
        <v>26400</v>
      </c>
      <c r="CF41" s="23">
        <v>22320</v>
      </c>
      <c r="CG41" s="23">
        <v>28800</v>
      </c>
      <c r="CH41" s="23">
        <v>30</v>
      </c>
      <c r="CI41" s="23">
        <v>20</v>
      </c>
      <c r="CJ41" s="23">
        <v>30</v>
      </c>
      <c r="CK41" s="27">
        <v>1</v>
      </c>
      <c r="CL41" s="27">
        <v>1</v>
      </c>
      <c r="CM41" s="27">
        <v>0</v>
      </c>
      <c r="CN41" s="27">
        <v>0</v>
      </c>
      <c r="CO41" s="23" t="s">
        <v>2307</v>
      </c>
      <c r="CP41" s="23" t="s">
        <v>1565</v>
      </c>
      <c r="CQ41" s="23" t="s">
        <v>1565</v>
      </c>
      <c r="CR41" s="23" t="s">
        <v>2767</v>
      </c>
      <c r="CS41" s="23" t="s">
        <v>1706</v>
      </c>
      <c r="CT41" s="23" t="s">
        <v>2767</v>
      </c>
      <c r="CU41" s="23" t="s">
        <v>2767</v>
      </c>
      <c r="CV41" s="23" t="s">
        <v>2767</v>
      </c>
      <c r="CW41" s="23" t="s">
        <v>1345</v>
      </c>
      <c r="CX41" s="26">
        <v>0.05</v>
      </c>
      <c r="CY41" s="27">
        <v>0.95</v>
      </c>
      <c r="CZ41" s="23" t="s">
        <v>2791</v>
      </c>
      <c r="DA41" s="23" t="s">
        <v>2494</v>
      </c>
      <c r="DB41" s="23" t="s">
        <v>1903</v>
      </c>
      <c r="DC41" s="23" t="s">
        <v>2836</v>
      </c>
      <c r="DD41" s="22" t="s">
        <v>2837</v>
      </c>
      <c r="DE41" s="23" t="s">
        <v>2838</v>
      </c>
      <c r="DF41" s="23" t="s">
        <v>2839</v>
      </c>
      <c r="DG41" s="23" t="s">
        <v>2848</v>
      </c>
      <c r="DH41" s="23" t="s">
        <v>2794</v>
      </c>
      <c r="DI41" s="23" t="s">
        <v>1556</v>
      </c>
      <c r="DJ41" s="23" t="s">
        <v>1556</v>
      </c>
      <c r="DK41" s="23" t="s">
        <v>1556</v>
      </c>
      <c r="DL41" s="23" t="s">
        <v>2795</v>
      </c>
      <c r="DM41" s="23" t="s">
        <v>2852</v>
      </c>
      <c r="DN41" s="23" t="s">
        <v>1345</v>
      </c>
      <c r="DO41" s="23" t="s">
        <v>2796</v>
      </c>
      <c r="DP41" s="23" t="s">
        <v>1349</v>
      </c>
      <c r="DQ41" s="23" t="s">
        <v>1358</v>
      </c>
      <c r="DR41" s="23" t="s">
        <v>1349</v>
      </c>
      <c r="DS41" s="23" t="s">
        <v>2300</v>
      </c>
      <c r="DT41" s="23" t="s">
        <v>2300</v>
      </c>
      <c r="DU41" s="23" t="s">
        <v>2300</v>
      </c>
      <c r="DV41" s="23" t="s">
        <v>1345</v>
      </c>
      <c r="DW41" s="23" t="s">
        <v>2797</v>
      </c>
      <c r="DX41" s="23" t="s">
        <v>1345</v>
      </c>
      <c r="DY41" s="23" t="s">
        <v>1349</v>
      </c>
      <c r="DZ41" s="23" t="s">
        <v>2322</v>
      </c>
      <c r="EA41" s="23" t="s">
        <v>1345</v>
      </c>
      <c r="EB41" s="23" t="s">
        <v>1345</v>
      </c>
      <c r="EC41" s="23" t="s">
        <v>1345</v>
      </c>
      <c r="ED41" s="23" t="s">
        <v>2353</v>
      </c>
      <c r="EE41" s="27">
        <v>0.1</v>
      </c>
      <c r="EF41" s="23" t="s">
        <v>2324</v>
      </c>
      <c r="EG41" s="23" t="s">
        <v>1342</v>
      </c>
      <c r="EH41" s="23" t="s">
        <v>2300</v>
      </c>
      <c r="EI41" s="23" t="s">
        <v>2326</v>
      </c>
      <c r="EJ41" s="22" t="s">
        <v>2853</v>
      </c>
      <c r="EK41" s="23" t="s">
        <v>2419</v>
      </c>
      <c r="EL41" s="23" t="s">
        <v>1389</v>
      </c>
      <c r="EM41" s="23">
        <v>4</v>
      </c>
      <c r="EN41" s="23" t="s">
        <v>2388</v>
      </c>
      <c r="EO41" s="23">
        <v>4</v>
      </c>
      <c r="EP41" s="23" t="s">
        <v>2841</v>
      </c>
      <c r="EQ41" s="23">
        <v>4</v>
      </c>
      <c r="ER41" s="22" t="s">
        <v>2331</v>
      </c>
      <c r="ES41" s="23">
        <v>4</v>
      </c>
      <c r="ET41" s="22" t="s">
        <v>2842</v>
      </c>
      <c r="EU41" s="23">
        <v>4</v>
      </c>
      <c r="EV41" s="22" t="s">
        <v>2508</v>
      </c>
      <c r="EW41" s="23">
        <v>1</v>
      </c>
      <c r="EX41" s="22" t="s">
        <v>2843</v>
      </c>
      <c r="EY41" s="23">
        <v>2</v>
      </c>
      <c r="EZ41" s="22" t="s">
        <v>2424</v>
      </c>
      <c r="FA41" s="22"/>
    </row>
    <row r="42" spans="1:157">
      <c r="A42" s="17">
        <v>455</v>
      </c>
      <c r="B42" s="17">
        <v>37</v>
      </c>
      <c r="C42" s="23" t="s">
        <v>1337</v>
      </c>
      <c r="D42" s="24">
        <v>43746</v>
      </c>
      <c r="E42" s="23" t="s">
        <v>3005</v>
      </c>
      <c r="F42" s="25" t="e">
        <v>#N/A</v>
      </c>
      <c r="G42" s="25" t="e">
        <v>#N/A</v>
      </c>
      <c r="H42" s="23" t="s">
        <v>1086</v>
      </c>
      <c r="I42" s="23" t="s">
        <v>1065</v>
      </c>
      <c r="J42" s="23" t="s">
        <v>184</v>
      </c>
      <c r="K42" s="23" t="s">
        <v>1104</v>
      </c>
      <c r="L42" s="23">
        <v>0</v>
      </c>
      <c r="M42" s="23" t="s">
        <v>1345</v>
      </c>
      <c r="N42" s="23" t="s">
        <v>1541</v>
      </c>
      <c r="O42" s="23" t="s">
        <v>715</v>
      </c>
      <c r="P42" s="23" t="s">
        <v>3006</v>
      </c>
      <c r="Q42" s="23" t="s">
        <v>3007</v>
      </c>
      <c r="R42" s="23" t="s">
        <v>1345</v>
      </c>
      <c r="S42" s="23">
        <v>3</v>
      </c>
      <c r="T42" s="23" t="s">
        <v>1346</v>
      </c>
      <c r="U42" s="23">
        <v>2000</v>
      </c>
      <c r="V42" s="23" t="s">
        <v>2985</v>
      </c>
      <c r="W42" s="23" t="s">
        <v>2925</v>
      </c>
      <c r="X42" s="23" t="s">
        <v>1345</v>
      </c>
      <c r="Y42" s="23">
        <v>2018</v>
      </c>
      <c r="Z42" s="23" t="s">
        <v>1547</v>
      </c>
      <c r="AA42" s="32">
        <v>29</v>
      </c>
      <c r="AB42" s="23" t="s">
        <v>1349</v>
      </c>
      <c r="AC42" s="23" t="s">
        <v>3008</v>
      </c>
      <c r="AD42" s="32" t="s">
        <v>1345</v>
      </c>
      <c r="AE42" s="23" t="s">
        <v>1349</v>
      </c>
      <c r="AF42" s="23" t="s">
        <v>1349</v>
      </c>
      <c r="AG42" s="23" t="s">
        <v>1349</v>
      </c>
      <c r="AH42" s="23" t="s">
        <v>1349</v>
      </c>
      <c r="AI42" s="23" t="s">
        <v>1556</v>
      </c>
      <c r="AJ42" s="78" t="s">
        <v>1634</v>
      </c>
      <c r="AK42" s="23" t="s">
        <v>2967</v>
      </c>
      <c r="AL42" s="23" t="s">
        <v>1802</v>
      </c>
      <c r="AM42" s="23" t="s">
        <v>1802</v>
      </c>
      <c r="AN42" s="23" t="s">
        <v>1802</v>
      </c>
      <c r="AO42" s="23" t="s">
        <v>1802</v>
      </c>
      <c r="AP42" s="23" t="s">
        <v>1802</v>
      </c>
      <c r="AQ42" s="23" t="s">
        <v>1551</v>
      </c>
      <c r="AR42" s="23" t="s">
        <v>1556</v>
      </c>
      <c r="AS42" s="23" t="s">
        <v>1802</v>
      </c>
      <c r="AT42" s="23" t="s">
        <v>3009</v>
      </c>
      <c r="AU42" s="23">
        <v>12000</v>
      </c>
      <c r="AV42" s="22">
        <v>2500</v>
      </c>
      <c r="AW42" s="23" t="s">
        <v>3010</v>
      </c>
      <c r="AX42" s="23" t="s">
        <v>3011</v>
      </c>
      <c r="AY42" s="23" t="s">
        <v>1383</v>
      </c>
      <c r="AZ42" s="23" t="s">
        <v>2728</v>
      </c>
      <c r="BA42" s="22"/>
      <c r="BB42" s="23" t="s">
        <v>2991</v>
      </c>
      <c r="BC42" s="23" t="s">
        <v>2991</v>
      </c>
      <c r="BD42" s="23" t="s">
        <v>2991</v>
      </c>
      <c r="BE42" s="23" t="s">
        <v>1104</v>
      </c>
      <c r="BF42" s="23"/>
      <c r="BG42" s="23"/>
      <c r="BH42" s="23">
        <v>2</v>
      </c>
      <c r="BI42" s="23">
        <v>3</v>
      </c>
      <c r="BJ42" s="23" t="s">
        <v>1556</v>
      </c>
      <c r="BK42" s="23" t="s">
        <v>2993</v>
      </c>
      <c r="BL42" s="23" t="s">
        <v>1556</v>
      </c>
      <c r="BM42" s="23" t="s">
        <v>1556</v>
      </c>
      <c r="BN42" s="23" t="s">
        <v>1349</v>
      </c>
      <c r="BO42" s="23"/>
      <c r="BP42" s="23"/>
      <c r="BQ42" s="23" t="s">
        <v>1345</v>
      </c>
      <c r="BR42" s="23" t="s">
        <v>1349</v>
      </c>
      <c r="BS42" s="23" t="s">
        <v>1349</v>
      </c>
      <c r="BT42" s="23" t="s">
        <v>1345</v>
      </c>
      <c r="BU42" s="23" t="s">
        <v>3012</v>
      </c>
      <c r="BV42" s="23" t="s">
        <v>1634</v>
      </c>
      <c r="BW42" s="23" t="s">
        <v>3013</v>
      </c>
      <c r="BX42" s="23" t="s">
        <v>1345</v>
      </c>
      <c r="BY42" s="23" t="s">
        <v>1561</v>
      </c>
      <c r="BZ42" s="23" t="s">
        <v>3014</v>
      </c>
      <c r="CA42" s="23" t="s">
        <v>1104</v>
      </c>
      <c r="CB42" s="23" t="s">
        <v>1364</v>
      </c>
      <c r="CC42" s="23" t="s">
        <v>1364</v>
      </c>
      <c r="CD42" s="23" t="s">
        <v>1364</v>
      </c>
      <c r="CE42" s="23">
        <v>600</v>
      </c>
      <c r="CF42" s="23">
        <v>240</v>
      </c>
      <c r="CG42" s="23">
        <v>600</v>
      </c>
      <c r="CH42" s="23">
        <v>0</v>
      </c>
      <c r="CI42" s="23">
        <v>0</v>
      </c>
      <c r="CJ42" s="23">
        <v>0</v>
      </c>
      <c r="CK42" s="27">
        <v>0.8</v>
      </c>
      <c r="CL42" s="26">
        <v>0.8</v>
      </c>
      <c r="CM42" s="26">
        <v>0.2</v>
      </c>
      <c r="CN42" s="26">
        <v>0.2</v>
      </c>
      <c r="CO42" s="38" t="s">
        <v>3451</v>
      </c>
      <c r="CP42" s="23" t="s">
        <v>1556</v>
      </c>
      <c r="CQ42" s="23" t="s">
        <v>1556</v>
      </c>
      <c r="CR42" s="23" t="s">
        <v>1556</v>
      </c>
      <c r="CS42" s="23" t="s">
        <v>1556</v>
      </c>
      <c r="CT42" s="23" t="s">
        <v>1556</v>
      </c>
      <c r="CU42" s="23" t="s">
        <v>1556</v>
      </c>
      <c r="CV42" s="23" t="s">
        <v>1556</v>
      </c>
      <c r="CW42" s="23" t="s">
        <v>1349</v>
      </c>
      <c r="CX42" s="23" t="s">
        <v>1556</v>
      </c>
      <c r="CY42" s="23" t="s">
        <v>1556</v>
      </c>
      <c r="CZ42" s="23" t="s">
        <v>1556</v>
      </c>
      <c r="DA42" s="23" t="s">
        <v>1556</v>
      </c>
      <c r="DB42" s="23" t="s">
        <v>1556</v>
      </c>
      <c r="DC42" s="23" t="s">
        <v>1556</v>
      </c>
      <c r="DD42" s="23" t="s">
        <v>1556</v>
      </c>
      <c r="DE42" s="23" t="s">
        <v>1556</v>
      </c>
      <c r="DF42" s="23" t="s">
        <v>1556</v>
      </c>
      <c r="DG42" s="23" t="s">
        <v>1556</v>
      </c>
      <c r="DH42" s="23" t="s">
        <v>3015</v>
      </c>
      <c r="DI42" s="23" t="s">
        <v>1556</v>
      </c>
      <c r="DJ42" s="23" t="s">
        <v>1556</v>
      </c>
      <c r="DK42" s="23" t="s">
        <v>1556</v>
      </c>
      <c r="DL42" s="23" t="s">
        <v>2912</v>
      </c>
      <c r="DM42" s="23" t="s">
        <v>2913</v>
      </c>
      <c r="DN42" s="23" t="s">
        <v>1342</v>
      </c>
      <c r="DO42" s="23" t="s">
        <v>1342</v>
      </c>
      <c r="DP42" s="23" t="s">
        <v>1349</v>
      </c>
      <c r="DQ42" s="23" t="s">
        <v>2996</v>
      </c>
      <c r="DR42" s="23" t="s">
        <v>1345</v>
      </c>
      <c r="DS42" s="23" t="s">
        <v>3016</v>
      </c>
      <c r="DT42" s="23" t="s">
        <v>2686</v>
      </c>
      <c r="DU42" s="23" t="s">
        <v>1556</v>
      </c>
      <c r="DV42" s="23" t="s">
        <v>1345</v>
      </c>
      <c r="DW42" s="27">
        <v>0.15</v>
      </c>
      <c r="DX42" s="23" t="s">
        <v>1345</v>
      </c>
      <c r="DY42" s="23" t="s">
        <v>1349</v>
      </c>
      <c r="DZ42" s="23" t="s">
        <v>3017</v>
      </c>
      <c r="EA42" s="23" t="s">
        <v>1383</v>
      </c>
      <c r="EB42" s="23" t="s">
        <v>1345</v>
      </c>
      <c r="EC42" s="23" t="s">
        <v>1345</v>
      </c>
      <c r="ED42" s="23" t="s">
        <v>3018</v>
      </c>
      <c r="EE42" s="27">
        <v>0.05</v>
      </c>
      <c r="EF42" s="23" t="s">
        <v>2999</v>
      </c>
      <c r="EG42" s="23" t="s">
        <v>1349</v>
      </c>
      <c r="EH42" s="23"/>
      <c r="EI42" s="23"/>
      <c r="EJ42" s="23"/>
      <c r="EK42" s="23"/>
      <c r="EL42" s="23" t="s">
        <v>1389</v>
      </c>
      <c r="EM42" s="23">
        <v>3</v>
      </c>
      <c r="EN42" s="23" t="s">
        <v>3019</v>
      </c>
      <c r="EO42" s="23">
        <v>0</v>
      </c>
      <c r="EP42" s="23" t="s">
        <v>3020</v>
      </c>
      <c r="EQ42" s="23">
        <v>3</v>
      </c>
      <c r="ER42" s="22" t="s">
        <v>2919</v>
      </c>
      <c r="ES42" s="23">
        <v>2</v>
      </c>
      <c r="ET42" s="22" t="s">
        <v>3021</v>
      </c>
      <c r="EU42" s="23">
        <v>5</v>
      </c>
      <c r="EV42" s="22" t="s">
        <v>3002</v>
      </c>
      <c r="EW42" s="23">
        <v>5</v>
      </c>
      <c r="EX42" s="22" t="s">
        <v>2922</v>
      </c>
      <c r="EY42" s="23">
        <v>1</v>
      </c>
      <c r="EZ42" s="22" t="s">
        <v>3004</v>
      </c>
      <c r="FA42" s="22"/>
    </row>
    <row r="43" spans="1:157">
      <c r="A43" s="17">
        <v>456</v>
      </c>
      <c r="B43" s="17">
        <v>46</v>
      </c>
      <c r="C43" s="23" t="s">
        <v>1337</v>
      </c>
      <c r="D43" s="33">
        <v>43753</v>
      </c>
      <c r="E43" s="23" t="s">
        <v>3143</v>
      </c>
      <c r="F43" s="22"/>
      <c r="G43" s="25" t="s">
        <v>2893</v>
      </c>
      <c r="H43" s="23" t="s">
        <v>1086</v>
      </c>
      <c r="I43" s="23" t="s">
        <v>1065</v>
      </c>
      <c r="J43" s="23" t="s">
        <v>2893</v>
      </c>
      <c r="K43" s="23" t="s">
        <v>2962</v>
      </c>
      <c r="L43" s="23">
        <v>0</v>
      </c>
      <c r="M43" s="23" t="s">
        <v>1342</v>
      </c>
      <c r="N43" s="23" t="s">
        <v>1692</v>
      </c>
      <c r="O43" s="23" t="s">
        <v>715</v>
      </c>
      <c r="P43" s="23" t="s">
        <v>7103</v>
      </c>
      <c r="Q43" s="22">
        <v>62765501</v>
      </c>
      <c r="R43" s="23" t="s">
        <v>1345</v>
      </c>
      <c r="S43" s="23">
        <v>3</v>
      </c>
      <c r="T43" s="23" t="s">
        <v>1346</v>
      </c>
      <c r="U43" s="23">
        <v>2012</v>
      </c>
      <c r="V43" s="22" t="s">
        <v>2896</v>
      </c>
      <c r="W43" s="22" t="s">
        <v>2925</v>
      </c>
      <c r="X43" s="23" t="s">
        <v>1342</v>
      </c>
      <c r="Y43" s="22"/>
      <c r="Z43" s="22"/>
      <c r="AA43" s="32">
        <v>35</v>
      </c>
      <c r="AB43" s="23" t="s">
        <v>1342</v>
      </c>
      <c r="AC43" s="22" t="s">
        <v>2926</v>
      </c>
      <c r="AD43" s="32" t="s">
        <v>1345</v>
      </c>
      <c r="AE43" s="23" t="s">
        <v>1342</v>
      </c>
      <c r="AF43" s="23" t="s">
        <v>1342</v>
      </c>
      <c r="AG43" s="23" t="s">
        <v>1342</v>
      </c>
      <c r="AH43" s="23" t="s">
        <v>3026</v>
      </c>
      <c r="AI43" s="22"/>
      <c r="AJ43" s="23" t="s">
        <v>1342</v>
      </c>
      <c r="AK43" s="22" t="s">
        <v>2967</v>
      </c>
      <c r="AL43" s="23" t="s">
        <v>1351</v>
      </c>
      <c r="AM43" s="23" t="s">
        <v>1351</v>
      </c>
      <c r="AN43" s="23" t="s">
        <v>1351</v>
      </c>
      <c r="AO43" s="23" t="s">
        <v>1351</v>
      </c>
      <c r="AP43" s="23" t="s">
        <v>1351</v>
      </c>
      <c r="AQ43" s="23" t="s">
        <v>1352</v>
      </c>
      <c r="AR43" s="23" t="s">
        <v>1351</v>
      </c>
      <c r="AS43" s="23" t="s">
        <v>1353</v>
      </c>
      <c r="AT43" s="23" t="s">
        <v>1342</v>
      </c>
      <c r="AU43" s="22">
        <v>14400</v>
      </c>
      <c r="AV43" s="22">
        <v>1000</v>
      </c>
      <c r="AW43" s="22" t="s">
        <v>2955</v>
      </c>
      <c r="AX43" s="22" t="s">
        <v>2989</v>
      </c>
      <c r="AY43" s="23" t="s">
        <v>1342</v>
      </c>
      <c r="AZ43" s="22"/>
      <c r="BA43" s="22"/>
      <c r="BB43" s="22" t="s">
        <v>1358</v>
      </c>
      <c r="BC43" s="22" t="s">
        <v>1358</v>
      </c>
      <c r="BD43" s="22" t="s">
        <v>1358</v>
      </c>
      <c r="BE43" s="22" t="s">
        <v>3144</v>
      </c>
      <c r="BF43" s="22"/>
      <c r="BG43" s="22"/>
      <c r="BH43" s="22">
        <v>2</v>
      </c>
      <c r="BI43" s="22">
        <v>3</v>
      </c>
      <c r="BJ43" s="22"/>
      <c r="BK43" s="22" t="s">
        <v>1434</v>
      </c>
      <c r="BL43" s="22" t="s">
        <v>1434</v>
      </c>
      <c r="BM43" s="22"/>
      <c r="BN43" s="23" t="s">
        <v>1342</v>
      </c>
      <c r="BO43" s="22"/>
      <c r="BP43" s="22"/>
      <c r="BQ43" s="23" t="s">
        <v>1383</v>
      </c>
      <c r="BR43" s="23" t="s">
        <v>1342</v>
      </c>
      <c r="BS43" s="27">
        <v>0</v>
      </c>
      <c r="BT43" s="23" t="s">
        <v>1383</v>
      </c>
      <c r="BU43" s="22" t="s">
        <v>3145</v>
      </c>
      <c r="BV43" s="23" t="s">
        <v>1342</v>
      </c>
      <c r="BW43" s="22"/>
      <c r="BX43" s="23" t="s">
        <v>1383</v>
      </c>
      <c r="BY43" s="23" t="s">
        <v>1362</v>
      </c>
      <c r="BZ43" s="22" t="s">
        <v>3075</v>
      </c>
      <c r="CA43" s="23" t="s">
        <v>3144</v>
      </c>
      <c r="CB43" s="22" t="s">
        <v>1364</v>
      </c>
      <c r="CC43" s="22" t="s">
        <v>1364</v>
      </c>
      <c r="CD43" s="22" t="s">
        <v>1364</v>
      </c>
      <c r="CE43" s="22">
        <v>4200</v>
      </c>
      <c r="CF43" s="22">
        <v>3960</v>
      </c>
      <c r="CG43" s="22">
        <v>6000</v>
      </c>
      <c r="CH43" s="22">
        <v>0</v>
      </c>
      <c r="CI43" s="22">
        <v>0</v>
      </c>
      <c r="CJ43" s="22">
        <v>0</v>
      </c>
      <c r="CK43" s="27">
        <v>0.8</v>
      </c>
      <c r="CL43" s="27">
        <v>0.8</v>
      </c>
      <c r="CM43" s="27">
        <v>0.2</v>
      </c>
      <c r="CN43" s="27">
        <v>0.2</v>
      </c>
      <c r="CO43" s="22" t="s">
        <v>2904</v>
      </c>
      <c r="CP43" s="22" t="s">
        <v>1366</v>
      </c>
      <c r="CQ43" s="22"/>
      <c r="CR43" s="22"/>
      <c r="CS43" s="22"/>
      <c r="CT43" s="22"/>
      <c r="CU43" s="22"/>
      <c r="CV43" s="22"/>
      <c r="CW43" s="23" t="s">
        <v>1383</v>
      </c>
      <c r="CX43" s="27">
        <v>0.1</v>
      </c>
      <c r="CY43" s="27">
        <v>0.8</v>
      </c>
      <c r="CZ43" s="22" t="s">
        <v>3146</v>
      </c>
      <c r="DA43" s="22" t="s">
        <v>1372</v>
      </c>
      <c r="DB43" s="22">
        <v>8</v>
      </c>
      <c r="DC43" s="22"/>
      <c r="DD43" s="22" t="s">
        <v>2907</v>
      </c>
      <c r="DE43" s="22" t="s">
        <v>2908</v>
      </c>
      <c r="DF43" s="22" t="s">
        <v>2909</v>
      </c>
      <c r="DG43" s="22"/>
      <c r="DH43" s="22" t="s">
        <v>3138</v>
      </c>
      <c r="DI43" s="22"/>
      <c r="DJ43" s="22"/>
      <c r="DK43" s="22"/>
      <c r="DL43" s="22" t="s">
        <v>3139</v>
      </c>
      <c r="DM43" s="22" t="s">
        <v>3121</v>
      </c>
      <c r="DN43" s="23" t="s">
        <v>1345</v>
      </c>
      <c r="DO43" s="22" t="s">
        <v>3122</v>
      </c>
      <c r="DP43" s="23" t="s">
        <v>1342</v>
      </c>
      <c r="DQ43" s="22"/>
      <c r="DR43" s="23" t="s">
        <v>1342</v>
      </c>
      <c r="DS43" s="22"/>
      <c r="DT43" s="22"/>
      <c r="DU43" s="22"/>
      <c r="DV43" s="23" t="s">
        <v>1383</v>
      </c>
      <c r="DW43" s="22" t="s">
        <v>1413</v>
      </c>
      <c r="DX43" s="23" t="s">
        <v>1383</v>
      </c>
      <c r="DY43" s="23" t="s">
        <v>1342</v>
      </c>
      <c r="DZ43" s="22" t="s">
        <v>3078</v>
      </c>
      <c r="EA43" s="23" t="s">
        <v>1383</v>
      </c>
      <c r="EB43" s="23" t="s">
        <v>1383</v>
      </c>
      <c r="EC43" s="23" t="s">
        <v>1383</v>
      </c>
      <c r="ED43" s="22" t="s">
        <v>3033</v>
      </c>
      <c r="EE43" s="27">
        <v>0.1</v>
      </c>
      <c r="EF43" s="22" t="s">
        <v>2931</v>
      </c>
      <c r="EG43" s="23" t="s">
        <v>1342</v>
      </c>
      <c r="EH43" s="22"/>
      <c r="EI43" s="22"/>
      <c r="EJ43" s="22"/>
      <c r="EK43" s="22"/>
      <c r="EL43" s="23" t="s">
        <v>1416</v>
      </c>
      <c r="EM43" s="23">
        <v>3</v>
      </c>
      <c r="EN43" s="22" t="s">
        <v>2917</v>
      </c>
      <c r="EO43" s="23">
        <v>0</v>
      </c>
      <c r="EP43" s="22" t="s">
        <v>3020</v>
      </c>
      <c r="EQ43" s="23">
        <v>2</v>
      </c>
      <c r="ER43" s="22" t="s">
        <v>3129</v>
      </c>
      <c r="ES43" s="23">
        <v>3</v>
      </c>
      <c r="ET43" s="22" t="s">
        <v>3130</v>
      </c>
      <c r="EU43" s="23">
        <v>3</v>
      </c>
      <c r="EV43" s="22" t="s">
        <v>3131</v>
      </c>
      <c r="EW43" s="23">
        <v>4</v>
      </c>
      <c r="EX43" s="22" t="s">
        <v>3132</v>
      </c>
      <c r="EY43" s="23">
        <v>0</v>
      </c>
      <c r="EZ43" s="22" t="s">
        <v>2974</v>
      </c>
      <c r="FA43" s="22"/>
    </row>
    <row r="44" spans="1:157">
      <c r="A44" s="17">
        <v>457</v>
      </c>
      <c r="B44" s="17">
        <v>54</v>
      </c>
      <c r="C44" s="23" t="s">
        <v>1337</v>
      </c>
      <c r="D44" s="24">
        <v>43759</v>
      </c>
      <c r="E44" s="23" t="s">
        <v>3229</v>
      </c>
      <c r="F44" s="25" t="e">
        <v>#N/A</v>
      </c>
      <c r="G44" s="25" t="s">
        <v>3198</v>
      </c>
      <c r="H44" s="23" t="s">
        <v>1086</v>
      </c>
      <c r="I44" s="23" t="s">
        <v>1065</v>
      </c>
      <c r="J44" s="23" t="s">
        <v>507</v>
      </c>
      <c r="K44" s="23" t="s">
        <v>3230</v>
      </c>
      <c r="L44" s="23">
        <v>1</v>
      </c>
      <c r="M44" s="23" t="s">
        <v>3231</v>
      </c>
      <c r="N44" s="23" t="s">
        <v>1541</v>
      </c>
      <c r="O44" s="23" t="s">
        <v>715</v>
      </c>
      <c r="P44" s="23" t="s">
        <v>3232</v>
      </c>
      <c r="Q44" s="23" t="s">
        <v>3233</v>
      </c>
      <c r="R44" s="23" t="s">
        <v>1345</v>
      </c>
      <c r="S44" s="23">
        <v>3</v>
      </c>
      <c r="T44" s="23" t="s">
        <v>1346</v>
      </c>
      <c r="U44" s="23">
        <v>2012</v>
      </c>
      <c r="V44" s="23" t="s">
        <v>3202</v>
      </c>
      <c r="W44" s="23" t="s">
        <v>3203</v>
      </c>
      <c r="X44" s="23" t="s">
        <v>1345</v>
      </c>
      <c r="Y44" s="23">
        <v>2019</v>
      </c>
      <c r="Z44" s="23" t="s">
        <v>1547</v>
      </c>
      <c r="AA44" s="32">
        <v>35</v>
      </c>
      <c r="AB44" s="23" t="s">
        <v>1349</v>
      </c>
      <c r="AC44" s="23" t="s">
        <v>3234</v>
      </c>
      <c r="AD44" s="32" t="s">
        <v>1345</v>
      </c>
      <c r="AE44" s="23" t="s">
        <v>1345</v>
      </c>
      <c r="AF44" s="23" t="s">
        <v>1349</v>
      </c>
      <c r="AG44" s="23" t="s">
        <v>1349</v>
      </c>
      <c r="AH44" s="22"/>
      <c r="AI44" s="23">
        <v>2013</v>
      </c>
      <c r="AJ44" s="23" t="s">
        <v>1349</v>
      </c>
      <c r="AK44" s="22" t="s">
        <v>3205</v>
      </c>
      <c r="AL44" s="22" t="s">
        <v>1802</v>
      </c>
      <c r="AM44" s="22" t="s">
        <v>1802</v>
      </c>
      <c r="AN44" s="22" t="s">
        <v>1802</v>
      </c>
      <c r="AO44" s="22" t="s">
        <v>1802</v>
      </c>
      <c r="AP44" s="22" t="s">
        <v>1802</v>
      </c>
      <c r="AQ44" s="22" t="s">
        <v>1352</v>
      </c>
      <c r="AR44" s="22" t="s">
        <v>1352</v>
      </c>
      <c r="AS44" s="22" t="s">
        <v>1802</v>
      </c>
      <c r="AT44" s="22"/>
      <c r="AU44" s="22" t="s">
        <v>1897</v>
      </c>
      <c r="AV44" s="22">
        <v>1250</v>
      </c>
      <c r="AW44" s="22" t="s">
        <v>3235</v>
      </c>
      <c r="AX44" s="22" t="s">
        <v>3236</v>
      </c>
      <c r="AY44" s="23"/>
      <c r="AZ44" s="22"/>
      <c r="BA44" s="22"/>
      <c r="BB44" s="22" t="s">
        <v>1358</v>
      </c>
      <c r="BC44" s="22"/>
      <c r="BD44" s="22"/>
      <c r="BE44" s="22" t="s">
        <v>3230</v>
      </c>
      <c r="BF44" s="22" t="s">
        <v>3230</v>
      </c>
      <c r="BG44" s="22" t="s">
        <v>3230</v>
      </c>
      <c r="BH44" s="22">
        <v>4</v>
      </c>
      <c r="BI44" s="22"/>
      <c r="BJ44" s="22">
        <v>32</v>
      </c>
      <c r="BK44" s="22" t="s">
        <v>3209</v>
      </c>
      <c r="BL44" s="22"/>
      <c r="BM44" s="22" t="s">
        <v>3237</v>
      </c>
      <c r="BN44" s="23" t="s">
        <v>1349</v>
      </c>
      <c r="BO44" s="22"/>
      <c r="BP44" s="22"/>
      <c r="BQ44" s="23" t="s">
        <v>1345</v>
      </c>
      <c r="BR44" s="23" t="s">
        <v>1345</v>
      </c>
      <c r="BS44" s="26">
        <v>0</v>
      </c>
      <c r="BT44" s="23" t="s">
        <v>1345</v>
      </c>
      <c r="BU44" s="23"/>
      <c r="BV44" s="23"/>
      <c r="BW44" s="22"/>
      <c r="BX44" s="23" t="s">
        <v>1345</v>
      </c>
      <c r="BY44" s="23" t="s">
        <v>1561</v>
      </c>
      <c r="BZ44" s="23" t="s">
        <v>3185</v>
      </c>
      <c r="CA44" s="23" t="s">
        <v>3238</v>
      </c>
      <c r="CB44" s="22" t="s">
        <v>1364</v>
      </c>
      <c r="CC44" s="22" t="s">
        <v>1364</v>
      </c>
      <c r="CD44" s="22" t="s">
        <v>1364</v>
      </c>
      <c r="CE44" s="35">
        <v>3000</v>
      </c>
      <c r="CF44" s="35">
        <v>6400</v>
      </c>
      <c r="CG44" s="35">
        <v>8300</v>
      </c>
      <c r="CH44" s="22">
        <v>150</v>
      </c>
      <c r="CI44" s="22">
        <v>125</v>
      </c>
      <c r="CJ44" s="22">
        <v>300</v>
      </c>
      <c r="CK44" s="27">
        <v>0.2</v>
      </c>
      <c r="CL44" s="27">
        <v>0.2</v>
      </c>
      <c r="CM44" s="27">
        <v>0.8</v>
      </c>
      <c r="CN44" s="27">
        <v>0.8</v>
      </c>
      <c r="CO44" s="22" t="s">
        <v>3186</v>
      </c>
      <c r="CP44" s="22"/>
      <c r="CQ44" s="22"/>
      <c r="CR44" s="22"/>
      <c r="CS44" s="22"/>
      <c r="CT44" s="22"/>
      <c r="CU44" s="23"/>
      <c r="CV44" s="22"/>
      <c r="CW44" s="23" t="s">
        <v>1349</v>
      </c>
      <c r="CX44" s="22"/>
      <c r="CY44" s="27">
        <v>1</v>
      </c>
      <c r="CZ44" s="22"/>
      <c r="DA44" s="22"/>
      <c r="DB44" s="22"/>
      <c r="DC44" s="22"/>
      <c r="DD44" s="22"/>
      <c r="DE44" s="22"/>
      <c r="DF44" s="22"/>
      <c r="DG44" s="22"/>
      <c r="DH44" s="22" t="s">
        <v>3212</v>
      </c>
      <c r="DI44" s="22" t="s">
        <v>3239</v>
      </c>
      <c r="DJ44" s="22"/>
      <c r="DK44" s="22"/>
      <c r="DL44" s="22" t="s">
        <v>3214</v>
      </c>
      <c r="DM44" s="22" t="s">
        <v>3239</v>
      </c>
      <c r="DN44" s="23"/>
      <c r="DO44" s="22"/>
      <c r="DP44" s="23" t="s">
        <v>1349</v>
      </c>
      <c r="DQ44" s="22" t="s">
        <v>3240</v>
      </c>
      <c r="DR44" s="23" t="s">
        <v>1345</v>
      </c>
      <c r="DS44" s="22" t="s">
        <v>3241</v>
      </c>
      <c r="DT44" s="23" t="s">
        <v>3242</v>
      </c>
      <c r="DU44" s="22" t="s">
        <v>1464</v>
      </c>
      <c r="DV44" s="23" t="s">
        <v>1349</v>
      </c>
      <c r="DW44" s="22"/>
      <c r="DX44" s="23" t="s">
        <v>1345</v>
      </c>
      <c r="DY44" s="23" t="s">
        <v>1349</v>
      </c>
      <c r="DZ44" s="23" t="s">
        <v>3216</v>
      </c>
      <c r="EA44" s="23" t="s">
        <v>1345</v>
      </c>
      <c r="EB44" s="23" t="s">
        <v>1345</v>
      </c>
      <c r="EC44" s="23" t="s">
        <v>1345</v>
      </c>
      <c r="ED44" s="23" t="s">
        <v>3217</v>
      </c>
      <c r="EE44" s="23"/>
      <c r="EF44" s="23" t="s">
        <v>3218</v>
      </c>
      <c r="EG44" s="23" t="s">
        <v>1345</v>
      </c>
      <c r="EH44" s="22"/>
      <c r="EI44" s="23" t="s">
        <v>3219</v>
      </c>
      <c r="EJ44" s="23" t="s">
        <v>3220</v>
      </c>
      <c r="EK44" s="23" t="s">
        <v>3221</v>
      </c>
      <c r="EL44" s="23" t="s">
        <v>1389</v>
      </c>
      <c r="EM44" s="23">
        <v>3</v>
      </c>
      <c r="EN44" s="23" t="s">
        <v>3222</v>
      </c>
      <c r="EO44" s="23">
        <v>2</v>
      </c>
      <c r="EP44" s="23" t="s">
        <v>3223</v>
      </c>
      <c r="EQ44" s="23">
        <v>2</v>
      </c>
      <c r="ER44" s="22" t="s">
        <v>3243</v>
      </c>
      <c r="ES44" s="23">
        <v>3</v>
      </c>
      <c r="ET44" s="22" t="s">
        <v>3244</v>
      </c>
      <c r="EU44" s="23">
        <v>5</v>
      </c>
      <c r="EV44" s="22" t="s">
        <v>3226</v>
      </c>
      <c r="EW44" s="23">
        <v>3</v>
      </c>
      <c r="EX44" s="22" t="s">
        <v>3227</v>
      </c>
      <c r="EY44" s="23">
        <v>1</v>
      </c>
      <c r="EZ44" s="22" t="s">
        <v>3228</v>
      </c>
      <c r="FA44" s="22"/>
    </row>
    <row r="45" spans="1:157">
      <c r="A45" s="17">
        <v>458</v>
      </c>
      <c r="B45" s="17">
        <v>63</v>
      </c>
      <c r="C45" s="23" t="s">
        <v>1795</v>
      </c>
      <c r="D45" s="36">
        <v>43745</v>
      </c>
      <c r="E45" s="23" t="s">
        <v>3394</v>
      </c>
      <c r="F45" s="25" t="s">
        <v>1728</v>
      </c>
      <c r="G45" s="25" t="s">
        <v>3291</v>
      </c>
      <c r="H45" s="23" t="s">
        <v>3292</v>
      </c>
      <c r="I45" s="23" t="s">
        <v>3293</v>
      </c>
      <c r="J45" s="23" t="s">
        <v>3291</v>
      </c>
      <c r="K45" s="23" t="s">
        <v>1104</v>
      </c>
      <c r="L45" s="23" t="s">
        <v>1904</v>
      </c>
      <c r="M45" s="23" t="s">
        <v>3395</v>
      </c>
      <c r="N45" s="23" t="s">
        <v>1343</v>
      </c>
      <c r="O45" s="23" t="s">
        <v>733</v>
      </c>
      <c r="P45" s="23" t="s">
        <v>3396</v>
      </c>
      <c r="Q45" s="23">
        <v>73880294</v>
      </c>
      <c r="R45" s="23" t="s">
        <v>1345</v>
      </c>
      <c r="S45" s="23">
        <v>7</v>
      </c>
      <c r="T45" s="23" t="s">
        <v>1346</v>
      </c>
      <c r="U45" s="23">
        <v>2002</v>
      </c>
      <c r="V45" s="22" t="s">
        <v>3397</v>
      </c>
      <c r="W45" s="23" t="s">
        <v>3398</v>
      </c>
      <c r="X45" s="23" t="s">
        <v>1345</v>
      </c>
      <c r="Y45" s="23">
        <v>2018</v>
      </c>
      <c r="Z45" s="23"/>
      <c r="AA45" s="32">
        <v>30</v>
      </c>
      <c r="AB45" s="23" t="s">
        <v>1345</v>
      </c>
      <c r="AC45" s="23">
        <v>2</v>
      </c>
      <c r="AD45" s="32" t="s">
        <v>1345</v>
      </c>
      <c r="AE45" s="23" t="s">
        <v>1345</v>
      </c>
      <c r="AF45" s="23" t="s">
        <v>1345</v>
      </c>
      <c r="AG45" s="23" t="s">
        <v>1345</v>
      </c>
      <c r="AH45" s="23" t="s">
        <v>1358</v>
      </c>
      <c r="AI45" s="23">
        <v>2010</v>
      </c>
      <c r="AJ45" s="23" t="s">
        <v>1349</v>
      </c>
      <c r="AK45" s="23" t="s">
        <v>3297</v>
      </c>
      <c r="AL45" s="23" t="s">
        <v>1550</v>
      </c>
      <c r="AM45" s="23" t="s">
        <v>1550</v>
      </c>
      <c r="AN45" s="23" t="s">
        <v>1550</v>
      </c>
      <c r="AO45" s="23" t="s">
        <v>1550</v>
      </c>
      <c r="AP45" s="23" t="s">
        <v>1550</v>
      </c>
      <c r="AQ45" s="23" t="s">
        <v>1352</v>
      </c>
      <c r="AR45" s="23" t="s">
        <v>1352</v>
      </c>
      <c r="AS45" s="23" t="s">
        <v>1862</v>
      </c>
      <c r="AT45" s="23" t="s">
        <v>3399</v>
      </c>
      <c r="AU45" s="22"/>
      <c r="AV45" s="23">
        <v>5000</v>
      </c>
      <c r="AW45" s="23" t="s">
        <v>3299</v>
      </c>
      <c r="AX45" s="23" t="s">
        <v>3300</v>
      </c>
      <c r="AY45" s="23" t="s">
        <v>1345</v>
      </c>
      <c r="AZ45" s="23" t="s">
        <v>3400</v>
      </c>
      <c r="BA45" s="22"/>
      <c r="BB45" s="23" t="s">
        <v>1358</v>
      </c>
      <c r="BC45" s="23" t="s">
        <v>1358</v>
      </c>
      <c r="BD45" s="23" t="s">
        <v>1358</v>
      </c>
      <c r="BE45" s="23" t="s">
        <v>3401</v>
      </c>
      <c r="BF45" s="22"/>
      <c r="BG45" s="22"/>
      <c r="BH45" s="23">
        <v>3</v>
      </c>
      <c r="BI45" s="23">
        <v>3</v>
      </c>
      <c r="BJ45" s="23">
        <v>3</v>
      </c>
      <c r="BK45" s="23" t="s">
        <v>3402</v>
      </c>
      <c r="BL45" s="23" t="s">
        <v>3402</v>
      </c>
      <c r="BM45" s="23" t="s">
        <v>3402</v>
      </c>
      <c r="BN45" s="23" t="s">
        <v>1349</v>
      </c>
      <c r="BO45" s="22"/>
      <c r="BP45" s="22"/>
      <c r="BQ45" s="23" t="s">
        <v>1345</v>
      </c>
      <c r="BR45" s="23" t="s">
        <v>1345</v>
      </c>
      <c r="BS45" s="23" t="s">
        <v>1358</v>
      </c>
      <c r="BT45" s="23" t="s">
        <v>1345</v>
      </c>
      <c r="BU45" s="23" t="s">
        <v>3403</v>
      </c>
      <c r="BV45" s="23" t="s">
        <v>1349</v>
      </c>
      <c r="BW45" s="22"/>
      <c r="BX45" s="23" t="s">
        <v>1345</v>
      </c>
      <c r="BY45" s="23" t="s">
        <v>1362</v>
      </c>
      <c r="BZ45" s="23" t="s">
        <v>3307</v>
      </c>
      <c r="CA45" s="23" t="s">
        <v>3404</v>
      </c>
      <c r="CB45" s="23" t="s">
        <v>1935</v>
      </c>
      <c r="CC45" s="23" t="s">
        <v>1935</v>
      </c>
      <c r="CD45" s="23" t="s">
        <v>1935</v>
      </c>
      <c r="CE45" s="23" t="s">
        <v>1904</v>
      </c>
      <c r="CF45" s="23">
        <v>1200</v>
      </c>
      <c r="CG45" s="23">
        <v>5000</v>
      </c>
      <c r="CH45" s="23" t="s">
        <v>1904</v>
      </c>
      <c r="CI45" s="23">
        <v>25</v>
      </c>
      <c r="CJ45" s="23">
        <v>70</v>
      </c>
      <c r="CK45" s="23" t="s">
        <v>1904</v>
      </c>
      <c r="CL45" s="26">
        <v>0.7</v>
      </c>
      <c r="CM45" s="23" t="s">
        <v>1904</v>
      </c>
      <c r="CN45" s="26">
        <v>0.3</v>
      </c>
      <c r="CO45" s="23" t="s">
        <v>3310</v>
      </c>
      <c r="CP45" s="23" t="s">
        <v>1358</v>
      </c>
      <c r="CQ45" s="23" t="s">
        <v>1367</v>
      </c>
      <c r="CR45" s="23">
        <v>15</v>
      </c>
      <c r="CS45" s="23" t="s">
        <v>3405</v>
      </c>
      <c r="CT45" s="23" t="s">
        <v>3311</v>
      </c>
      <c r="CU45" s="23" t="s">
        <v>1349</v>
      </c>
      <c r="CV45" s="23" t="s">
        <v>3406</v>
      </c>
      <c r="CW45" s="23" t="s">
        <v>1349</v>
      </c>
      <c r="CX45" s="22"/>
      <c r="CY45" s="27"/>
      <c r="CZ45" s="23" t="s">
        <v>3313</v>
      </c>
      <c r="DA45" s="23" t="s">
        <v>3387</v>
      </c>
      <c r="DB45" s="22"/>
      <c r="DC45" s="22" t="s">
        <v>1976</v>
      </c>
      <c r="DD45" s="22" t="s">
        <v>3407</v>
      </c>
      <c r="DE45" s="22" t="s">
        <v>3408</v>
      </c>
      <c r="DF45" s="22" t="s">
        <v>3409</v>
      </c>
      <c r="DG45" s="22" t="s">
        <v>3410</v>
      </c>
      <c r="DH45" s="22" t="s">
        <v>3319</v>
      </c>
      <c r="DI45" s="22" t="s">
        <v>3319</v>
      </c>
      <c r="DJ45" s="22" t="s">
        <v>3319</v>
      </c>
      <c r="DK45" s="22" t="s">
        <v>3319</v>
      </c>
      <c r="DL45" s="22" t="s">
        <v>1358</v>
      </c>
      <c r="DM45" s="22" t="s">
        <v>1358</v>
      </c>
      <c r="DN45" s="23" t="s">
        <v>1349</v>
      </c>
      <c r="DO45" s="22" t="s">
        <v>1358</v>
      </c>
      <c r="DP45" s="23" t="s">
        <v>1349</v>
      </c>
      <c r="DQ45" s="22" t="s">
        <v>1358</v>
      </c>
      <c r="DR45" s="23" t="s">
        <v>1345</v>
      </c>
      <c r="DS45" s="22" t="s">
        <v>3320</v>
      </c>
      <c r="DT45" s="23" t="s">
        <v>3411</v>
      </c>
      <c r="DU45" s="23" t="s">
        <v>3321</v>
      </c>
      <c r="DV45" s="23" t="s">
        <v>3412</v>
      </c>
      <c r="DW45" s="22"/>
      <c r="DX45" s="23" t="s">
        <v>3323</v>
      </c>
      <c r="DY45" s="23" t="s">
        <v>1349</v>
      </c>
      <c r="DZ45" s="23" t="s">
        <v>3355</v>
      </c>
      <c r="EA45" s="23" t="s">
        <v>1345</v>
      </c>
      <c r="EB45" s="23" t="s">
        <v>1345</v>
      </c>
      <c r="EC45" s="23" t="s">
        <v>3325</v>
      </c>
      <c r="ED45" s="23" t="s">
        <v>3326</v>
      </c>
      <c r="EE45" s="27">
        <v>0.5</v>
      </c>
      <c r="EF45" s="23" t="s">
        <v>3327</v>
      </c>
      <c r="EG45" s="23" t="s">
        <v>1349</v>
      </c>
      <c r="EH45" s="22"/>
      <c r="EI45" s="23" t="s">
        <v>3413</v>
      </c>
      <c r="EJ45" s="23" t="s">
        <v>3414</v>
      </c>
      <c r="EK45" s="23" t="s">
        <v>3415</v>
      </c>
      <c r="EL45" s="23" t="s">
        <v>1841</v>
      </c>
      <c r="EM45" s="23">
        <v>5</v>
      </c>
      <c r="EN45" s="23" t="s">
        <v>3377</v>
      </c>
      <c r="EO45" s="23">
        <v>3</v>
      </c>
      <c r="EP45" s="23" t="s">
        <v>3416</v>
      </c>
      <c r="EQ45" s="23">
        <v>3</v>
      </c>
      <c r="ER45" s="22" t="s">
        <v>3334</v>
      </c>
      <c r="ES45" s="23">
        <v>3</v>
      </c>
      <c r="ET45" s="23" t="s">
        <v>3335</v>
      </c>
      <c r="EU45" s="23">
        <v>1</v>
      </c>
      <c r="EV45" s="22" t="s">
        <v>3336</v>
      </c>
      <c r="EW45" s="23">
        <v>3</v>
      </c>
      <c r="EX45" s="22" t="s">
        <v>3337</v>
      </c>
      <c r="EY45" s="23">
        <v>1</v>
      </c>
      <c r="EZ45" s="22" t="s">
        <v>3338</v>
      </c>
      <c r="FA45" s="22"/>
    </row>
    <row r="46" spans="1:157">
      <c r="A46" s="17">
        <v>459</v>
      </c>
      <c r="B46" s="17">
        <v>65</v>
      </c>
      <c r="C46" s="23" t="s">
        <v>1795</v>
      </c>
      <c r="D46" s="36">
        <v>43746</v>
      </c>
      <c r="E46" s="23" t="s">
        <v>3439</v>
      </c>
      <c r="F46" s="25" t="s">
        <v>1728</v>
      </c>
      <c r="G46" s="25" t="s">
        <v>3291</v>
      </c>
      <c r="H46" s="23" t="s">
        <v>3292</v>
      </c>
      <c r="I46" s="23" t="s">
        <v>3293</v>
      </c>
      <c r="J46" s="23" t="s">
        <v>3291</v>
      </c>
      <c r="K46" s="23" t="s">
        <v>3440</v>
      </c>
      <c r="L46" s="23">
        <v>5</v>
      </c>
      <c r="M46" s="23" t="s">
        <v>3441</v>
      </c>
      <c r="N46" s="23" t="s">
        <v>1343</v>
      </c>
      <c r="O46" s="23" t="s">
        <v>733</v>
      </c>
      <c r="P46" s="23" t="s">
        <v>3442</v>
      </c>
      <c r="Q46" s="23">
        <v>56265518</v>
      </c>
      <c r="R46" s="23" t="s">
        <v>1345</v>
      </c>
      <c r="S46" s="23">
        <v>7</v>
      </c>
      <c r="T46" s="23" t="s">
        <v>1346</v>
      </c>
      <c r="U46" s="23">
        <v>2002</v>
      </c>
      <c r="V46" s="22" t="s">
        <v>3443</v>
      </c>
      <c r="W46" s="23" t="s">
        <v>3444</v>
      </c>
      <c r="X46" s="23" t="s">
        <v>1345</v>
      </c>
      <c r="Y46" s="23">
        <v>2018</v>
      </c>
      <c r="Z46" s="23"/>
      <c r="AA46" s="32">
        <v>65</v>
      </c>
      <c r="AB46" s="23" t="s">
        <v>1345</v>
      </c>
      <c r="AC46" s="23">
        <v>0</v>
      </c>
      <c r="AD46" s="32" t="s">
        <v>1345</v>
      </c>
      <c r="AE46" s="23" t="s">
        <v>1349</v>
      </c>
      <c r="AF46" s="23" t="s">
        <v>1349</v>
      </c>
      <c r="AG46" s="23" t="s">
        <v>1349</v>
      </c>
      <c r="AH46" s="23" t="s">
        <v>1358</v>
      </c>
      <c r="AI46" s="23">
        <v>2002</v>
      </c>
      <c r="AJ46" s="23" t="s">
        <v>1349</v>
      </c>
      <c r="AK46" s="23" t="s">
        <v>2752</v>
      </c>
      <c r="AL46" s="23" t="s">
        <v>1550</v>
      </c>
      <c r="AM46" s="23" t="s">
        <v>1550</v>
      </c>
      <c r="AN46" s="23" t="s">
        <v>1550</v>
      </c>
      <c r="AO46" s="23" t="s">
        <v>1550</v>
      </c>
      <c r="AP46" s="23" t="s">
        <v>1550</v>
      </c>
      <c r="AQ46" s="23" t="s">
        <v>1352</v>
      </c>
      <c r="AR46" s="23" t="s">
        <v>3445</v>
      </c>
      <c r="AS46" s="23" t="s">
        <v>1550</v>
      </c>
      <c r="AT46" s="23" t="s">
        <v>1804</v>
      </c>
      <c r="AU46" s="22"/>
      <c r="AV46" s="23">
        <v>5000</v>
      </c>
      <c r="AW46" s="23" t="s">
        <v>3424</v>
      </c>
      <c r="AX46" s="23" t="s">
        <v>3425</v>
      </c>
      <c r="AY46" s="23" t="s">
        <v>1345</v>
      </c>
      <c r="AZ46" s="23" t="s">
        <v>3446</v>
      </c>
      <c r="BA46" s="22"/>
      <c r="BB46" s="23" t="s">
        <v>1358</v>
      </c>
      <c r="BC46" s="23" t="s">
        <v>1358</v>
      </c>
      <c r="BD46" s="23" t="s">
        <v>1358</v>
      </c>
      <c r="BE46" s="23" t="s">
        <v>3447</v>
      </c>
      <c r="BF46" s="22"/>
      <c r="BG46" s="22"/>
      <c r="BH46" s="23">
        <v>2</v>
      </c>
      <c r="BI46" s="23">
        <v>3</v>
      </c>
      <c r="BJ46" s="23">
        <v>3</v>
      </c>
      <c r="BK46" s="23" t="s">
        <v>3402</v>
      </c>
      <c r="BL46" s="23" t="s">
        <v>3402</v>
      </c>
      <c r="BM46" s="23" t="s">
        <v>3402</v>
      </c>
      <c r="BN46" s="23" t="s">
        <v>1349</v>
      </c>
      <c r="BO46" s="22"/>
      <c r="BP46" s="22"/>
      <c r="BQ46" s="23" t="s">
        <v>1345</v>
      </c>
      <c r="BR46" s="23" t="s">
        <v>1345</v>
      </c>
      <c r="BS46" s="23" t="s">
        <v>1358</v>
      </c>
      <c r="BT46" s="23" t="s">
        <v>1345</v>
      </c>
      <c r="BU46" s="23" t="s">
        <v>3448</v>
      </c>
      <c r="BV46" s="23" t="s">
        <v>1349</v>
      </c>
      <c r="BW46" s="22"/>
      <c r="BX46" s="23" t="s">
        <v>1345</v>
      </c>
      <c r="BY46" s="23" t="s">
        <v>1362</v>
      </c>
      <c r="BZ46" s="23" t="s">
        <v>3307</v>
      </c>
      <c r="CA46" s="23" t="s">
        <v>3449</v>
      </c>
      <c r="CB46" s="23" t="s">
        <v>1935</v>
      </c>
      <c r="CC46" s="23" t="s">
        <v>1935</v>
      </c>
      <c r="CD46" s="23" t="s">
        <v>1935</v>
      </c>
      <c r="CE46" s="23">
        <v>600</v>
      </c>
      <c r="CF46" s="23">
        <v>1000</v>
      </c>
      <c r="CG46" s="23">
        <v>2000</v>
      </c>
      <c r="CH46" s="23" t="s">
        <v>3450</v>
      </c>
      <c r="CI46" s="23" t="s">
        <v>3450</v>
      </c>
      <c r="CJ46" s="23" t="s">
        <v>3450</v>
      </c>
      <c r="CK46" s="23" t="s">
        <v>1904</v>
      </c>
      <c r="CL46" s="27">
        <v>1</v>
      </c>
      <c r="CM46" s="23" t="s">
        <v>1904</v>
      </c>
      <c r="CN46" s="27">
        <v>0</v>
      </c>
      <c r="CO46" s="23" t="s">
        <v>3451</v>
      </c>
      <c r="CP46" s="22"/>
      <c r="CQ46" s="22"/>
      <c r="CR46" s="22"/>
      <c r="CS46" s="22"/>
      <c r="CT46" s="22"/>
      <c r="CU46" s="23"/>
      <c r="CV46" s="22"/>
      <c r="CW46" s="23" t="s">
        <v>1862</v>
      </c>
      <c r="CX46" s="22" t="s">
        <v>3452</v>
      </c>
      <c r="CY46" s="22" t="s">
        <v>3452</v>
      </c>
      <c r="CZ46" s="23" t="s">
        <v>3313</v>
      </c>
      <c r="DA46" s="22" t="s">
        <v>3350</v>
      </c>
      <c r="DB46" s="22" t="s">
        <v>3453</v>
      </c>
      <c r="DC46" s="22" t="s">
        <v>2234</v>
      </c>
      <c r="DD46" s="22" t="s">
        <v>3454</v>
      </c>
      <c r="DE46" s="22" t="s">
        <v>3455</v>
      </c>
      <c r="DF46" s="22" t="s">
        <v>3456</v>
      </c>
      <c r="DG46" s="22" t="s">
        <v>3457</v>
      </c>
      <c r="DH46" s="22" t="s">
        <v>3319</v>
      </c>
      <c r="DI46" s="22" t="s">
        <v>3458</v>
      </c>
      <c r="DJ46" s="22"/>
      <c r="DK46" s="22"/>
      <c r="DL46" s="22" t="s">
        <v>1358</v>
      </c>
      <c r="DM46" s="22"/>
      <c r="DN46" s="23" t="s">
        <v>1349</v>
      </c>
      <c r="DO46" s="22" t="s">
        <v>1358</v>
      </c>
      <c r="DP46" s="23" t="s">
        <v>1349</v>
      </c>
      <c r="DQ46" s="22" t="s">
        <v>1358</v>
      </c>
      <c r="DR46" s="23" t="s">
        <v>1345</v>
      </c>
      <c r="DS46" s="22" t="s">
        <v>3320</v>
      </c>
      <c r="DT46" s="23" t="s">
        <v>3432</v>
      </c>
      <c r="DU46" s="22"/>
      <c r="DV46" s="23" t="s">
        <v>3433</v>
      </c>
      <c r="DW46" s="22"/>
      <c r="DX46" s="23" t="s">
        <v>3323</v>
      </c>
      <c r="DY46" s="23" t="s">
        <v>1349</v>
      </c>
      <c r="DZ46" s="23" t="s">
        <v>3459</v>
      </c>
      <c r="EA46" s="23" t="s">
        <v>1345</v>
      </c>
      <c r="EB46" s="23" t="s">
        <v>1345</v>
      </c>
      <c r="EC46" s="23" t="s">
        <v>3325</v>
      </c>
      <c r="ED46" s="23" t="s">
        <v>3460</v>
      </c>
      <c r="EE46" s="27">
        <v>0.5</v>
      </c>
      <c r="EF46" s="23" t="s">
        <v>1948</v>
      </c>
      <c r="EG46" s="23" t="s">
        <v>1349</v>
      </c>
      <c r="EH46" s="22"/>
      <c r="EI46" s="23" t="s">
        <v>3461</v>
      </c>
      <c r="EJ46" s="23" t="s">
        <v>3414</v>
      </c>
      <c r="EK46" s="23" t="s">
        <v>3462</v>
      </c>
      <c r="EL46" s="23" t="s">
        <v>1389</v>
      </c>
      <c r="EM46" s="23">
        <v>4</v>
      </c>
      <c r="EN46" s="23" t="s">
        <v>3463</v>
      </c>
      <c r="EO46" s="23">
        <v>1</v>
      </c>
      <c r="EP46" s="23" t="s">
        <v>3464</v>
      </c>
      <c r="EQ46" s="23">
        <v>2</v>
      </c>
      <c r="ER46" s="23" t="s">
        <v>3465</v>
      </c>
      <c r="ES46" s="23">
        <v>3</v>
      </c>
      <c r="ET46" s="23" t="s">
        <v>3335</v>
      </c>
      <c r="EU46" s="23">
        <v>1</v>
      </c>
      <c r="EV46" s="22" t="s">
        <v>3336</v>
      </c>
      <c r="EW46" s="23">
        <v>2</v>
      </c>
      <c r="EX46" s="22" t="s">
        <v>3466</v>
      </c>
      <c r="EY46" s="23">
        <v>1</v>
      </c>
      <c r="EZ46" s="22" t="s">
        <v>3338</v>
      </c>
      <c r="FA46" s="22"/>
    </row>
    <row r="47" spans="1:157">
      <c r="A47" s="17">
        <v>460</v>
      </c>
      <c r="B47" s="17">
        <v>81</v>
      </c>
      <c r="C47" s="44" t="s">
        <v>1795</v>
      </c>
      <c r="D47" s="45">
        <v>43756</v>
      </c>
      <c r="E47" s="44" t="s">
        <v>3725</v>
      </c>
      <c r="F47" s="46" t="s">
        <v>1728</v>
      </c>
      <c r="G47" s="46" t="s">
        <v>507</v>
      </c>
      <c r="H47" s="44" t="s">
        <v>3292</v>
      </c>
      <c r="I47" s="44" t="s">
        <v>3293</v>
      </c>
      <c r="J47" s="44" t="s">
        <v>507</v>
      </c>
      <c r="K47" s="44" t="s">
        <v>3198</v>
      </c>
      <c r="L47" s="47">
        <v>1</v>
      </c>
      <c r="M47" s="48" t="s">
        <v>2181</v>
      </c>
      <c r="N47" s="48" t="s">
        <v>1343</v>
      </c>
      <c r="O47" s="48" t="s">
        <v>3726</v>
      </c>
      <c r="P47" s="48" t="s">
        <v>3727</v>
      </c>
      <c r="Q47" s="44">
        <v>72867242</v>
      </c>
      <c r="R47" s="44" t="s">
        <v>1345</v>
      </c>
      <c r="S47" s="44">
        <v>7</v>
      </c>
      <c r="T47" s="48" t="s">
        <v>1346</v>
      </c>
      <c r="U47" s="44" t="s">
        <v>3728</v>
      </c>
      <c r="V47" s="48" t="s">
        <v>3680</v>
      </c>
      <c r="W47" s="48" t="s">
        <v>3729</v>
      </c>
      <c r="X47" s="44" t="s">
        <v>1349</v>
      </c>
      <c r="Y47" s="44"/>
      <c r="Z47" s="44"/>
      <c r="AA47" s="44">
        <v>40</v>
      </c>
      <c r="AB47" s="44" t="s">
        <v>1345</v>
      </c>
      <c r="AC47" s="44">
        <v>0</v>
      </c>
      <c r="AD47" s="44" t="s">
        <v>1345</v>
      </c>
      <c r="AE47" s="44" t="s">
        <v>1349</v>
      </c>
      <c r="AF47" s="44" t="s">
        <v>1349</v>
      </c>
      <c r="AG47" s="44" t="s">
        <v>1349</v>
      </c>
      <c r="AH47" s="48" t="s">
        <v>1358</v>
      </c>
      <c r="AI47" s="44" t="s">
        <v>3384</v>
      </c>
      <c r="AJ47" s="44" t="s">
        <v>1349</v>
      </c>
      <c r="AK47" s="48" t="s">
        <v>3730</v>
      </c>
      <c r="AL47" s="44" t="s">
        <v>1550</v>
      </c>
      <c r="AM47" s="44" t="s">
        <v>1550</v>
      </c>
      <c r="AN47" s="44" t="s">
        <v>1550</v>
      </c>
      <c r="AO47" s="44" t="s">
        <v>1550</v>
      </c>
      <c r="AP47" s="44" t="s">
        <v>1550</v>
      </c>
      <c r="AQ47" s="44" t="s">
        <v>1352</v>
      </c>
      <c r="AR47" s="48" t="s">
        <v>3384</v>
      </c>
      <c r="AS47" s="48" t="s">
        <v>1550</v>
      </c>
      <c r="AT47" s="48" t="s">
        <v>1804</v>
      </c>
      <c r="AU47" s="48"/>
      <c r="AV47" s="48">
        <v>1000</v>
      </c>
      <c r="AW47" s="48" t="s">
        <v>3731</v>
      </c>
      <c r="AX47" s="48" t="s">
        <v>3732</v>
      </c>
      <c r="AY47" s="44" t="s">
        <v>1349</v>
      </c>
      <c r="AZ47" s="48"/>
      <c r="BA47" s="48"/>
      <c r="BB47" s="48" t="s">
        <v>1358</v>
      </c>
      <c r="BC47" s="48" t="s">
        <v>1358</v>
      </c>
      <c r="BD47" s="48" t="s">
        <v>1358</v>
      </c>
      <c r="BE47" s="48" t="s">
        <v>1810</v>
      </c>
      <c r="BF47" s="48"/>
      <c r="BG47" s="48"/>
      <c r="BH47" s="48">
        <v>2</v>
      </c>
      <c r="BI47" s="48">
        <v>2</v>
      </c>
      <c r="BJ47" s="48">
        <v>8</v>
      </c>
      <c r="BK47" s="44" t="s">
        <v>3598</v>
      </c>
      <c r="BL47" s="44" t="s">
        <v>3598</v>
      </c>
      <c r="BM47" s="44" t="s">
        <v>3598</v>
      </c>
      <c r="BN47" s="44" t="s">
        <v>1349</v>
      </c>
      <c r="BO47" s="48"/>
      <c r="BP47" s="48"/>
      <c r="BQ47" s="44" t="s">
        <v>1345</v>
      </c>
      <c r="BR47" s="44" t="s">
        <v>1345</v>
      </c>
      <c r="BS47" s="48" t="s">
        <v>1358</v>
      </c>
      <c r="BT47" s="44" t="s">
        <v>1383</v>
      </c>
      <c r="BU47" s="48" t="s">
        <v>3711</v>
      </c>
      <c r="BV47" s="44" t="s">
        <v>1349</v>
      </c>
      <c r="BW47" s="48"/>
      <c r="BX47" s="44" t="s">
        <v>1345</v>
      </c>
      <c r="BY47" s="48" t="s">
        <v>1362</v>
      </c>
      <c r="BZ47" s="44" t="s">
        <v>3600</v>
      </c>
      <c r="CA47" s="44" t="s">
        <v>3733</v>
      </c>
      <c r="CB47" s="48" t="s">
        <v>1935</v>
      </c>
      <c r="CC47" s="48" t="s">
        <v>1935</v>
      </c>
      <c r="CD47" s="44" t="s">
        <v>1935</v>
      </c>
      <c r="CE47" s="48" t="s">
        <v>1904</v>
      </c>
      <c r="CF47" s="48">
        <v>3000</v>
      </c>
      <c r="CG47" s="48">
        <v>4000</v>
      </c>
      <c r="CH47" s="48">
        <v>0</v>
      </c>
      <c r="CI47" s="48"/>
      <c r="CJ47" s="48"/>
      <c r="CK47" s="48"/>
      <c r="CL47" s="49">
        <v>0.8</v>
      </c>
      <c r="CM47" s="48"/>
      <c r="CN47" s="49">
        <v>0.2</v>
      </c>
      <c r="CO47" s="48" t="s">
        <v>3451</v>
      </c>
      <c r="CP47" s="48"/>
      <c r="CQ47" s="48"/>
      <c r="CR47" s="48"/>
      <c r="CS47" s="48"/>
      <c r="CT47" s="48"/>
      <c r="CU47" s="44"/>
      <c r="CV47" s="48"/>
      <c r="CW47" s="44" t="s">
        <v>1345</v>
      </c>
      <c r="CX47" s="49">
        <v>0.05</v>
      </c>
      <c r="CY47" s="49">
        <v>0.9</v>
      </c>
      <c r="CZ47" s="44" t="s">
        <v>3568</v>
      </c>
      <c r="DA47" s="48" t="s">
        <v>3734</v>
      </c>
      <c r="DB47" s="48" t="s">
        <v>1808</v>
      </c>
      <c r="DC47" s="48" t="s">
        <v>1976</v>
      </c>
      <c r="DD47" s="48" t="s">
        <v>3735</v>
      </c>
      <c r="DE47" s="48" t="s">
        <v>3736</v>
      </c>
      <c r="DF47" s="48" t="s">
        <v>3409</v>
      </c>
      <c r="DG47" s="48" t="s">
        <v>3663</v>
      </c>
      <c r="DH47" s="48" t="s">
        <v>3573</v>
      </c>
      <c r="DI47" s="48" t="s">
        <v>3384</v>
      </c>
      <c r="DJ47" s="48" t="s">
        <v>3575</v>
      </c>
      <c r="DK47" s="48" t="s">
        <v>3576</v>
      </c>
      <c r="DL47" s="48" t="s">
        <v>3621</v>
      </c>
      <c r="DM47" s="48" t="s">
        <v>3384</v>
      </c>
      <c r="DN47" s="44" t="s">
        <v>1349</v>
      </c>
      <c r="DO47" s="48" t="s">
        <v>1358</v>
      </c>
      <c r="DP47" s="44" t="s">
        <v>1349</v>
      </c>
      <c r="DQ47" s="48" t="s">
        <v>1358</v>
      </c>
      <c r="DR47" s="44" t="s">
        <v>1349</v>
      </c>
      <c r="DS47" s="48"/>
      <c r="DT47" s="48"/>
      <c r="DU47" s="48"/>
      <c r="DV47" s="44" t="s">
        <v>1345</v>
      </c>
      <c r="DW47" s="48" t="s">
        <v>1904</v>
      </c>
      <c r="DX47" s="44" t="s">
        <v>1345</v>
      </c>
      <c r="DY47" s="44" t="s">
        <v>1349</v>
      </c>
      <c r="DZ47" s="48" t="s">
        <v>3737</v>
      </c>
      <c r="EA47" s="44" t="s">
        <v>1345</v>
      </c>
      <c r="EB47" s="44" t="s">
        <v>1345</v>
      </c>
      <c r="EC47" s="44" t="s">
        <v>1345</v>
      </c>
      <c r="ED47" s="44" t="s">
        <v>3665</v>
      </c>
      <c r="EE47" s="49">
        <v>0.5</v>
      </c>
      <c r="EF47" s="48" t="s">
        <v>3580</v>
      </c>
      <c r="EG47" s="44" t="s">
        <v>1349</v>
      </c>
      <c r="EH47" s="48"/>
      <c r="EI47" s="48" t="s">
        <v>3738</v>
      </c>
      <c r="EJ47" s="44" t="s">
        <v>3582</v>
      </c>
      <c r="EK47" s="48" t="s">
        <v>3739</v>
      </c>
      <c r="EL47" s="44" t="s">
        <v>1389</v>
      </c>
      <c r="EM47" s="44">
        <v>2</v>
      </c>
      <c r="EN47" s="48" t="s">
        <v>3740</v>
      </c>
      <c r="EO47" s="44">
        <v>1</v>
      </c>
      <c r="EP47" s="44" t="s">
        <v>3585</v>
      </c>
      <c r="EQ47" s="44">
        <v>3</v>
      </c>
      <c r="ER47" s="48" t="s">
        <v>3586</v>
      </c>
      <c r="ES47" s="44">
        <v>3</v>
      </c>
      <c r="ET47" s="48" t="s">
        <v>3723</v>
      </c>
      <c r="EU47" s="44">
        <v>2</v>
      </c>
      <c r="EV47" s="48" t="s">
        <v>3724</v>
      </c>
      <c r="EW47" s="44">
        <v>3</v>
      </c>
      <c r="EX47" s="48" t="s">
        <v>3589</v>
      </c>
      <c r="EY47" s="44">
        <v>1</v>
      </c>
      <c r="EZ47" s="48" t="s">
        <v>3590</v>
      </c>
      <c r="FA47" s="22"/>
    </row>
    <row r="48" spans="1:157">
      <c r="A48" s="17">
        <v>461</v>
      </c>
      <c r="B48" s="17">
        <v>11</v>
      </c>
      <c r="C48" s="23" t="s">
        <v>2278</v>
      </c>
      <c r="D48" s="24">
        <v>43749</v>
      </c>
      <c r="E48" s="23" t="s">
        <v>2756</v>
      </c>
      <c r="F48" s="25" t="e">
        <v>#N/A</v>
      </c>
      <c r="G48" s="25" t="e">
        <v>#N/A</v>
      </c>
      <c r="H48" s="23" t="s">
        <v>1086</v>
      </c>
      <c r="I48" s="23" t="s">
        <v>1065</v>
      </c>
      <c r="J48" s="23" t="s">
        <v>184</v>
      </c>
      <c r="K48" s="23" t="s">
        <v>2757</v>
      </c>
      <c r="L48" s="23">
        <v>2</v>
      </c>
      <c r="M48" s="23" t="s">
        <v>2281</v>
      </c>
      <c r="N48" s="23" t="s">
        <v>1541</v>
      </c>
      <c r="O48" s="23" t="s">
        <v>727</v>
      </c>
      <c r="P48" s="23" t="s">
        <v>2758</v>
      </c>
      <c r="Q48" s="23">
        <v>61781987</v>
      </c>
      <c r="R48" s="23" t="s">
        <v>1345</v>
      </c>
      <c r="S48" s="23">
        <v>4</v>
      </c>
      <c r="T48" s="23" t="s">
        <v>2285</v>
      </c>
      <c r="U48" s="23">
        <v>2014</v>
      </c>
      <c r="V48" s="23" t="s">
        <v>2759</v>
      </c>
      <c r="W48" s="23" t="s">
        <v>2287</v>
      </c>
      <c r="X48" s="23" t="s">
        <v>1349</v>
      </c>
      <c r="Y48" s="23" t="s">
        <v>2300</v>
      </c>
      <c r="Z48" s="23"/>
      <c r="AA48" s="32">
        <v>15</v>
      </c>
      <c r="AB48" s="23" t="s">
        <v>1349</v>
      </c>
      <c r="AC48" s="23">
        <v>2</v>
      </c>
      <c r="AD48" s="32" t="s">
        <v>1345</v>
      </c>
      <c r="AE48" s="23" t="s">
        <v>1345</v>
      </c>
      <c r="AF48" s="23" t="s">
        <v>1349</v>
      </c>
      <c r="AG48" s="23" t="s">
        <v>1349</v>
      </c>
      <c r="AH48" s="23" t="s">
        <v>2289</v>
      </c>
      <c r="AI48" s="23">
        <v>2014</v>
      </c>
      <c r="AJ48" s="78" t="s">
        <v>1345</v>
      </c>
      <c r="AK48" s="23" t="s">
        <v>2290</v>
      </c>
      <c r="AL48" s="23" t="s">
        <v>1612</v>
      </c>
      <c r="AM48" s="23" t="s">
        <v>1612</v>
      </c>
      <c r="AN48" s="23" t="s">
        <v>1612</v>
      </c>
      <c r="AO48" s="23" t="s">
        <v>1612</v>
      </c>
      <c r="AP48" s="23" t="s">
        <v>1612</v>
      </c>
      <c r="AQ48" s="23" t="s">
        <v>2291</v>
      </c>
      <c r="AR48" s="23" t="s">
        <v>2291</v>
      </c>
      <c r="AS48" s="23" t="s">
        <v>1802</v>
      </c>
      <c r="AT48" s="23" t="s">
        <v>1358</v>
      </c>
      <c r="AU48" s="23" t="s">
        <v>2760</v>
      </c>
      <c r="AV48" s="22">
        <v>1000</v>
      </c>
      <c r="AW48" s="23" t="s">
        <v>2761</v>
      </c>
      <c r="AX48" s="23" t="s">
        <v>2398</v>
      </c>
      <c r="AY48" s="23" t="s">
        <v>1349</v>
      </c>
      <c r="AZ48" s="23" t="s">
        <v>2361</v>
      </c>
      <c r="BA48" s="23" t="s">
        <v>2361</v>
      </c>
      <c r="BB48" s="23" t="s">
        <v>2762</v>
      </c>
      <c r="BC48" s="23" t="s">
        <v>2289</v>
      </c>
      <c r="BD48" s="23" t="s">
        <v>2289</v>
      </c>
      <c r="BE48" s="23" t="s">
        <v>2757</v>
      </c>
      <c r="BF48" s="23" t="s">
        <v>2300</v>
      </c>
      <c r="BG48" s="23" t="s">
        <v>2300</v>
      </c>
      <c r="BH48" s="23">
        <v>5</v>
      </c>
      <c r="BI48" s="23">
        <v>5</v>
      </c>
      <c r="BJ48" s="23">
        <v>5</v>
      </c>
      <c r="BK48" s="23" t="s">
        <v>2594</v>
      </c>
      <c r="BL48" s="23" t="s">
        <v>2594</v>
      </c>
      <c r="BM48" s="23" t="s">
        <v>2594</v>
      </c>
      <c r="BN48" s="23" t="s">
        <v>1345</v>
      </c>
      <c r="BO48" s="23" t="s">
        <v>2763</v>
      </c>
      <c r="BP48" s="23" t="s">
        <v>2764</v>
      </c>
      <c r="BQ48" s="23" t="s">
        <v>1349</v>
      </c>
      <c r="BR48" s="23" t="s">
        <v>1349</v>
      </c>
      <c r="BS48" s="23" t="s">
        <v>1804</v>
      </c>
      <c r="BT48" s="23" t="s">
        <v>1345</v>
      </c>
      <c r="BU48" s="23" t="s">
        <v>2765</v>
      </c>
      <c r="BV48" s="23" t="s">
        <v>1349</v>
      </c>
      <c r="BW48" s="23" t="s">
        <v>2300</v>
      </c>
      <c r="BX48" s="23" t="s">
        <v>1345</v>
      </c>
      <c r="BY48" s="23" t="s">
        <v>2302</v>
      </c>
      <c r="BZ48" s="23" t="s">
        <v>2303</v>
      </c>
      <c r="CA48" s="23" t="s">
        <v>2766</v>
      </c>
      <c r="CB48" s="23" t="s">
        <v>2289</v>
      </c>
      <c r="CC48" s="23" t="s">
        <v>2289</v>
      </c>
      <c r="CD48" s="23" t="s">
        <v>2289</v>
      </c>
      <c r="CE48" s="23">
        <v>4560</v>
      </c>
      <c r="CF48" s="23">
        <v>5040</v>
      </c>
      <c r="CG48" s="23">
        <v>6000</v>
      </c>
      <c r="CH48" s="23">
        <v>50</v>
      </c>
      <c r="CI48" s="23">
        <v>40</v>
      </c>
      <c r="CJ48" s="23">
        <v>50</v>
      </c>
      <c r="CK48" s="26">
        <v>0.5</v>
      </c>
      <c r="CL48" s="27">
        <v>0.6</v>
      </c>
      <c r="CM48" s="27">
        <v>0.5</v>
      </c>
      <c r="CN48" s="26">
        <v>0.4</v>
      </c>
      <c r="CO48" s="23" t="s">
        <v>2307</v>
      </c>
      <c r="CP48" s="23" t="s">
        <v>1565</v>
      </c>
      <c r="CQ48" s="23" t="s">
        <v>1565</v>
      </c>
      <c r="CR48" s="23" t="s">
        <v>2767</v>
      </c>
      <c r="CS48" s="23" t="s">
        <v>1706</v>
      </c>
      <c r="CT48" s="23" t="s">
        <v>2767</v>
      </c>
      <c r="CU48" s="23" t="s">
        <v>2767</v>
      </c>
      <c r="CV48" s="23" t="s">
        <v>2767</v>
      </c>
      <c r="CW48" s="23" t="s">
        <v>1349</v>
      </c>
      <c r="CX48" s="23" t="s">
        <v>2289</v>
      </c>
      <c r="CY48" s="26">
        <v>1</v>
      </c>
      <c r="CZ48" s="23" t="s">
        <v>2311</v>
      </c>
      <c r="DA48" s="23" t="s">
        <v>1358</v>
      </c>
      <c r="DB48" s="23" t="s">
        <v>1903</v>
      </c>
      <c r="DC48" s="23" t="s">
        <v>2312</v>
      </c>
      <c r="DD48" s="22" t="s">
        <v>2313</v>
      </c>
      <c r="DE48" s="23" t="s">
        <v>2314</v>
      </c>
      <c r="DF48" s="23" t="s">
        <v>2315</v>
      </c>
      <c r="DG48" s="23" t="s">
        <v>2316</v>
      </c>
      <c r="DH48" s="23" t="s">
        <v>2768</v>
      </c>
      <c r="DI48" s="23" t="s">
        <v>1556</v>
      </c>
      <c r="DJ48" s="23" t="s">
        <v>1556</v>
      </c>
      <c r="DK48" s="23" t="s">
        <v>1556</v>
      </c>
      <c r="DL48" s="23" t="s">
        <v>2769</v>
      </c>
      <c r="DM48" s="23" t="s">
        <v>2770</v>
      </c>
      <c r="DN48" s="23" t="s">
        <v>1345</v>
      </c>
      <c r="DO48" s="23" t="s">
        <v>2320</v>
      </c>
      <c r="DP48" s="23" t="s">
        <v>1349</v>
      </c>
      <c r="DQ48" s="23" t="s">
        <v>1358</v>
      </c>
      <c r="DR48" s="23" t="s">
        <v>1349</v>
      </c>
      <c r="DS48" s="23" t="s">
        <v>2300</v>
      </c>
      <c r="DT48" s="23" t="s">
        <v>2300</v>
      </c>
      <c r="DU48" s="23" t="s">
        <v>2300</v>
      </c>
      <c r="DV48" s="23" t="s">
        <v>1345</v>
      </c>
      <c r="DW48" s="23" t="s">
        <v>2321</v>
      </c>
      <c r="DX48" s="23" t="s">
        <v>1345</v>
      </c>
      <c r="DY48" s="23" t="s">
        <v>1349</v>
      </c>
      <c r="DZ48" s="23" t="s">
        <v>2322</v>
      </c>
      <c r="EA48" s="23" t="s">
        <v>1345</v>
      </c>
      <c r="EB48" s="23" t="s">
        <v>1345</v>
      </c>
      <c r="EC48" s="23" t="s">
        <v>1345</v>
      </c>
      <c r="ED48" s="23" t="s">
        <v>2323</v>
      </c>
      <c r="EE48" s="27">
        <v>0.5</v>
      </c>
      <c r="EF48" s="23" t="s">
        <v>2324</v>
      </c>
      <c r="EG48" s="23" t="s">
        <v>1342</v>
      </c>
      <c r="EH48" s="23" t="s">
        <v>2300</v>
      </c>
      <c r="EI48" s="23" t="s">
        <v>2326</v>
      </c>
      <c r="EJ48" s="22" t="s">
        <v>2327</v>
      </c>
      <c r="EK48" s="23" t="s">
        <v>2419</v>
      </c>
      <c r="EL48" s="23" t="s">
        <v>1389</v>
      </c>
      <c r="EM48" s="23">
        <v>4</v>
      </c>
      <c r="EN48" s="23" t="s">
        <v>2329</v>
      </c>
      <c r="EO48" s="23">
        <v>4</v>
      </c>
      <c r="EP48" s="23" t="s">
        <v>2771</v>
      </c>
      <c r="EQ48" s="23">
        <v>4</v>
      </c>
      <c r="ER48" s="22" t="s">
        <v>2331</v>
      </c>
      <c r="ES48" s="23">
        <v>4</v>
      </c>
      <c r="ET48" s="22" t="s">
        <v>2772</v>
      </c>
      <c r="EU48" s="23">
        <v>4</v>
      </c>
      <c r="EV48" s="22" t="s">
        <v>2773</v>
      </c>
      <c r="EW48" s="23">
        <v>4</v>
      </c>
      <c r="EX48" s="22" t="s">
        <v>2334</v>
      </c>
      <c r="EY48" s="23">
        <v>2</v>
      </c>
      <c r="EZ48" s="22" t="s">
        <v>2424</v>
      </c>
      <c r="FA48" s="22"/>
    </row>
    <row r="49" spans="1:157">
      <c r="A49" s="17">
        <v>462</v>
      </c>
      <c r="B49" s="17">
        <v>47</v>
      </c>
      <c r="C49" s="23" t="s">
        <v>1337</v>
      </c>
      <c r="D49" s="33">
        <v>43753</v>
      </c>
      <c r="E49" s="23" t="s">
        <v>3147</v>
      </c>
      <c r="F49" s="22"/>
      <c r="G49" s="25" t="s">
        <v>3086</v>
      </c>
      <c r="H49" s="23" t="s">
        <v>1086</v>
      </c>
      <c r="I49" s="23" t="s">
        <v>1065</v>
      </c>
      <c r="J49" s="23" t="s">
        <v>3086</v>
      </c>
      <c r="K49" s="23" t="s">
        <v>3148</v>
      </c>
      <c r="L49" s="23">
        <v>12</v>
      </c>
      <c r="M49" s="23" t="s">
        <v>1345</v>
      </c>
      <c r="N49" s="23" t="s">
        <v>1343</v>
      </c>
      <c r="O49" s="23" t="s">
        <v>727</v>
      </c>
      <c r="P49" s="23" t="s">
        <v>3149</v>
      </c>
      <c r="Q49" s="22">
        <v>72135298</v>
      </c>
      <c r="R49" s="23" t="s">
        <v>1345</v>
      </c>
      <c r="S49" s="23">
        <v>3</v>
      </c>
      <c r="T49" s="23" t="s">
        <v>1346</v>
      </c>
      <c r="U49" s="23">
        <v>2015</v>
      </c>
      <c r="V49" s="22" t="s">
        <v>3150</v>
      </c>
      <c r="W49" s="22" t="s">
        <v>1401</v>
      </c>
      <c r="X49" s="23" t="s">
        <v>1342</v>
      </c>
      <c r="Y49" s="22"/>
      <c r="Z49" s="22"/>
      <c r="AA49" s="32">
        <v>45</v>
      </c>
      <c r="AB49" s="23" t="s">
        <v>1342</v>
      </c>
      <c r="AC49" s="22" t="s">
        <v>3050</v>
      </c>
      <c r="AD49" s="32" t="s">
        <v>1345</v>
      </c>
      <c r="AE49" s="23" t="s">
        <v>1342</v>
      </c>
      <c r="AF49" s="23" t="s">
        <v>1342</v>
      </c>
      <c r="AG49" s="23" t="s">
        <v>1342</v>
      </c>
      <c r="AH49" s="23" t="s">
        <v>1342</v>
      </c>
      <c r="AI49" s="22"/>
      <c r="AJ49" s="23" t="s">
        <v>1342</v>
      </c>
      <c r="AK49" s="22" t="s">
        <v>3151</v>
      </c>
      <c r="AL49" s="23" t="s">
        <v>1351</v>
      </c>
      <c r="AM49" s="23" t="s">
        <v>1351</v>
      </c>
      <c r="AN49" s="23" t="s">
        <v>1351</v>
      </c>
      <c r="AO49" s="23" t="s">
        <v>1351</v>
      </c>
      <c r="AP49" s="23" t="s">
        <v>1351</v>
      </c>
      <c r="AQ49" s="23" t="s">
        <v>1351</v>
      </c>
      <c r="AR49" s="23" t="s">
        <v>1351</v>
      </c>
      <c r="AS49" s="23" t="s">
        <v>1353</v>
      </c>
      <c r="AT49" s="23" t="s">
        <v>1342</v>
      </c>
      <c r="AU49" s="22">
        <v>6900</v>
      </c>
      <c r="AV49" s="22">
        <v>500</v>
      </c>
      <c r="AW49" s="22" t="s">
        <v>2955</v>
      </c>
      <c r="AX49" s="22" t="s">
        <v>3152</v>
      </c>
      <c r="AY49" s="23" t="s">
        <v>1342</v>
      </c>
      <c r="AZ49" s="22"/>
      <c r="BA49" s="22"/>
      <c r="BB49" s="22" t="s">
        <v>1358</v>
      </c>
      <c r="BC49" s="22"/>
      <c r="BD49" s="22"/>
      <c r="BE49" s="22" t="s">
        <v>3153</v>
      </c>
      <c r="BF49" s="22"/>
      <c r="BG49" s="22"/>
      <c r="BH49" s="22">
        <v>1</v>
      </c>
      <c r="BI49" s="22">
        <v>1.5</v>
      </c>
      <c r="BJ49" s="22"/>
      <c r="BK49" s="22" t="s">
        <v>1360</v>
      </c>
      <c r="BL49" s="22" t="s">
        <v>1360</v>
      </c>
      <c r="BM49" s="22"/>
      <c r="BN49" s="23" t="s">
        <v>1342</v>
      </c>
      <c r="BO49" s="22"/>
      <c r="BP49" s="22"/>
      <c r="BQ49" s="23" t="s">
        <v>1383</v>
      </c>
      <c r="BR49" s="23" t="s">
        <v>1342</v>
      </c>
      <c r="BS49" s="27">
        <v>0</v>
      </c>
      <c r="BT49" s="23" t="s">
        <v>1383</v>
      </c>
      <c r="BU49" s="23" t="s">
        <v>3154</v>
      </c>
      <c r="BV49" s="23" t="s">
        <v>1342</v>
      </c>
      <c r="BW49" s="22"/>
      <c r="BX49" s="23" t="s">
        <v>1383</v>
      </c>
      <c r="BY49" s="23" t="s">
        <v>1362</v>
      </c>
      <c r="BZ49" s="22" t="s">
        <v>3075</v>
      </c>
      <c r="CA49" s="23" t="s">
        <v>3153</v>
      </c>
      <c r="CB49" s="22" t="s">
        <v>1364</v>
      </c>
      <c r="CC49" s="22" t="s">
        <v>1364</v>
      </c>
      <c r="CD49" s="22" t="s">
        <v>1364</v>
      </c>
      <c r="CE49" s="22">
        <v>14400</v>
      </c>
      <c r="CF49" s="22">
        <v>12000</v>
      </c>
      <c r="CG49" s="22">
        <v>16800</v>
      </c>
      <c r="CH49" s="22">
        <v>0</v>
      </c>
      <c r="CI49" s="22">
        <v>0</v>
      </c>
      <c r="CJ49" s="22">
        <v>0</v>
      </c>
      <c r="CK49" s="27">
        <v>0.8</v>
      </c>
      <c r="CL49" s="27">
        <v>0.8</v>
      </c>
      <c r="CM49" s="27">
        <v>0.2</v>
      </c>
      <c r="CN49" s="27">
        <v>0.2</v>
      </c>
      <c r="CO49" s="22" t="s">
        <v>2904</v>
      </c>
      <c r="CP49" s="22" t="s">
        <v>1366</v>
      </c>
      <c r="CQ49" s="22"/>
      <c r="CR49" s="22"/>
      <c r="CS49" s="22"/>
      <c r="CT49" s="22"/>
      <c r="CU49" s="22"/>
      <c r="CV49" s="22"/>
      <c r="CW49" s="23" t="s">
        <v>1383</v>
      </c>
      <c r="CX49" s="27">
        <v>0.4</v>
      </c>
      <c r="CY49" s="27">
        <v>0.5</v>
      </c>
      <c r="CZ49" s="22" t="s">
        <v>3117</v>
      </c>
      <c r="DA49" s="22" t="s">
        <v>3155</v>
      </c>
      <c r="DB49" s="22">
        <v>7</v>
      </c>
      <c r="DC49" s="22"/>
      <c r="DD49" s="22" t="s">
        <v>2907</v>
      </c>
      <c r="DE49" s="22" t="s">
        <v>2908</v>
      </c>
      <c r="DF49" s="22" t="s">
        <v>2909</v>
      </c>
      <c r="DG49" s="22"/>
      <c r="DH49" s="22" t="s">
        <v>3156</v>
      </c>
      <c r="DI49" s="22"/>
      <c r="DJ49" s="22"/>
      <c r="DK49" s="22"/>
      <c r="DL49" s="22" t="s">
        <v>3157</v>
      </c>
      <c r="DM49" s="22" t="s">
        <v>3121</v>
      </c>
      <c r="DN49" s="23" t="s">
        <v>1345</v>
      </c>
      <c r="DO49" s="22" t="s">
        <v>3102</v>
      </c>
      <c r="DP49" s="23" t="s">
        <v>1342</v>
      </c>
      <c r="DQ49" s="22"/>
      <c r="DR49" s="23" t="s">
        <v>1342</v>
      </c>
      <c r="DS49" s="22"/>
      <c r="DT49" s="22"/>
      <c r="DU49" s="22"/>
      <c r="DV49" s="23" t="s">
        <v>1383</v>
      </c>
      <c r="DW49" s="22" t="s">
        <v>3158</v>
      </c>
      <c r="DX49" s="23" t="s">
        <v>1383</v>
      </c>
      <c r="DY49" s="23" t="s">
        <v>1342</v>
      </c>
      <c r="DZ49" s="22" t="s">
        <v>3078</v>
      </c>
      <c r="EA49" s="23" t="s">
        <v>1383</v>
      </c>
      <c r="EB49" s="23" t="s">
        <v>1383</v>
      </c>
      <c r="EC49" s="23" t="s">
        <v>1383</v>
      </c>
      <c r="ED49" s="22" t="s">
        <v>3033</v>
      </c>
      <c r="EE49" s="27">
        <v>0.1</v>
      </c>
      <c r="EF49" s="22" t="s">
        <v>2931</v>
      </c>
      <c r="EG49" s="23" t="s">
        <v>1383</v>
      </c>
      <c r="EH49" s="22" t="s">
        <v>3159</v>
      </c>
      <c r="EI49" s="22" t="s">
        <v>3124</v>
      </c>
      <c r="EJ49" s="22" t="s">
        <v>3125</v>
      </c>
      <c r="EK49" s="22" t="s">
        <v>1411</v>
      </c>
      <c r="EL49" s="23" t="s">
        <v>1416</v>
      </c>
      <c r="EM49" s="23">
        <v>3</v>
      </c>
      <c r="EN49" s="22" t="s">
        <v>2917</v>
      </c>
      <c r="EO49" s="23">
        <v>0</v>
      </c>
      <c r="EP49" s="22" t="s">
        <v>3020</v>
      </c>
      <c r="EQ49" s="23">
        <v>2</v>
      </c>
      <c r="ER49" s="22" t="s">
        <v>3160</v>
      </c>
      <c r="ES49" s="23">
        <v>4</v>
      </c>
      <c r="ET49" s="22" t="s">
        <v>3161</v>
      </c>
      <c r="EU49" s="23">
        <v>5</v>
      </c>
      <c r="EV49" s="22" t="s">
        <v>3162</v>
      </c>
      <c r="EW49" s="23">
        <v>1</v>
      </c>
      <c r="EX49" s="22" t="s">
        <v>3163</v>
      </c>
      <c r="EY49" s="23">
        <v>0</v>
      </c>
      <c r="EZ49" s="22" t="s">
        <v>2974</v>
      </c>
      <c r="FA49" s="22"/>
    </row>
    <row r="50" spans="1:157">
      <c r="A50" s="17">
        <v>463</v>
      </c>
      <c r="B50" s="17">
        <v>48</v>
      </c>
      <c r="C50" s="23" t="s">
        <v>1337</v>
      </c>
      <c r="D50" s="33">
        <v>43753</v>
      </c>
      <c r="E50" s="23" t="s">
        <v>3164</v>
      </c>
      <c r="F50" s="22"/>
      <c r="G50" s="25" t="s">
        <v>3086</v>
      </c>
      <c r="H50" s="23" t="s">
        <v>1086</v>
      </c>
      <c r="I50" s="23" t="s">
        <v>1065</v>
      </c>
      <c r="J50" s="23" t="s">
        <v>3086</v>
      </c>
      <c r="K50" s="23" t="s">
        <v>3148</v>
      </c>
      <c r="L50" s="23">
        <v>12</v>
      </c>
      <c r="M50" s="23" t="s">
        <v>1345</v>
      </c>
      <c r="N50" s="23" t="s">
        <v>1343</v>
      </c>
      <c r="O50" s="23" t="s">
        <v>727</v>
      </c>
      <c r="P50" s="23" t="s">
        <v>3165</v>
      </c>
      <c r="Q50" s="22">
        <v>73167589</v>
      </c>
      <c r="R50" s="23" t="s">
        <v>1345</v>
      </c>
      <c r="S50" s="23">
        <v>3</v>
      </c>
      <c r="T50" s="23" t="s">
        <v>1346</v>
      </c>
      <c r="U50" s="23">
        <v>2015</v>
      </c>
      <c r="V50" s="22" t="s">
        <v>2896</v>
      </c>
      <c r="W50" s="22" t="s">
        <v>1401</v>
      </c>
      <c r="X50" s="23" t="s">
        <v>1342</v>
      </c>
      <c r="Y50" s="22"/>
      <c r="Z50" s="22"/>
      <c r="AA50" s="32">
        <v>31</v>
      </c>
      <c r="AB50" s="23" t="s">
        <v>1342</v>
      </c>
      <c r="AC50" s="22" t="s">
        <v>3050</v>
      </c>
      <c r="AD50" s="32" t="s">
        <v>1345</v>
      </c>
      <c r="AE50" s="23" t="s">
        <v>1342</v>
      </c>
      <c r="AF50" s="23" t="s">
        <v>1342</v>
      </c>
      <c r="AG50" s="23" t="s">
        <v>1342</v>
      </c>
      <c r="AH50" s="23" t="s">
        <v>1342</v>
      </c>
      <c r="AI50" s="22"/>
      <c r="AJ50" s="23" t="s">
        <v>1342</v>
      </c>
      <c r="AK50" s="23" t="s">
        <v>3151</v>
      </c>
      <c r="AL50" s="23" t="s">
        <v>1351</v>
      </c>
      <c r="AM50" s="23" t="s">
        <v>1351</v>
      </c>
      <c r="AN50" s="23" t="s">
        <v>1351</v>
      </c>
      <c r="AO50" s="23" t="s">
        <v>1351</v>
      </c>
      <c r="AP50" s="23" t="s">
        <v>1351</v>
      </c>
      <c r="AQ50" s="23" t="s">
        <v>1351</v>
      </c>
      <c r="AR50" s="23" t="s">
        <v>1351</v>
      </c>
      <c r="AS50" s="23" t="s">
        <v>1353</v>
      </c>
      <c r="AT50" s="23" t="s">
        <v>1342</v>
      </c>
      <c r="AU50" s="22">
        <v>12000</v>
      </c>
      <c r="AV50" s="22">
        <v>1000</v>
      </c>
      <c r="AW50" s="22" t="s">
        <v>3073</v>
      </c>
      <c r="AX50" s="22" t="s">
        <v>2956</v>
      </c>
      <c r="AY50" s="23" t="s">
        <v>1342</v>
      </c>
      <c r="AZ50" s="22"/>
      <c r="BA50" s="22"/>
      <c r="BB50" s="22" t="s">
        <v>1358</v>
      </c>
      <c r="BC50" s="22"/>
      <c r="BD50" s="22"/>
      <c r="BE50" s="22" t="s">
        <v>3166</v>
      </c>
      <c r="BF50" s="22"/>
      <c r="BG50" s="22"/>
      <c r="BH50" s="22">
        <v>1</v>
      </c>
      <c r="BI50" s="22">
        <v>2</v>
      </c>
      <c r="BJ50" s="22"/>
      <c r="BK50" s="22" t="s">
        <v>1360</v>
      </c>
      <c r="BL50" s="22" t="s">
        <v>1360</v>
      </c>
      <c r="BM50" s="22"/>
      <c r="BN50" s="23" t="s">
        <v>1342</v>
      </c>
      <c r="BO50" s="22"/>
      <c r="BP50" s="22"/>
      <c r="BQ50" s="23" t="s">
        <v>1383</v>
      </c>
      <c r="BR50" s="23" t="s">
        <v>1342</v>
      </c>
      <c r="BS50" s="27">
        <v>0</v>
      </c>
      <c r="BT50" s="23" t="s">
        <v>1383</v>
      </c>
      <c r="BU50" s="22" t="s">
        <v>3167</v>
      </c>
      <c r="BV50" s="23" t="s">
        <v>1342</v>
      </c>
      <c r="BW50" s="22"/>
      <c r="BX50" s="23" t="s">
        <v>1383</v>
      </c>
      <c r="BY50" s="23" t="s">
        <v>1362</v>
      </c>
      <c r="BZ50" s="22" t="s">
        <v>3075</v>
      </c>
      <c r="CA50" s="23" t="s">
        <v>3148</v>
      </c>
      <c r="CB50" s="22" t="s">
        <v>1364</v>
      </c>
      <c r="CC50" s="22" t="s">
        <v>1364</v>
      </c>
      <c r="CD50" s="22" t="s">
        <v>1364</v>
      </c>
      <c r="CE50" s="22">
        <v>4200</v>
      </c>
      <c r="CF50" s="22">
        <v>5160</v>
      </c>
      <c r="CG50" s="22">
        <v>7800</v>
      </c>
      <c r="CH50" s="22">
        <v>0</v>
      </c>
      <c r="CI50" s="22">
        <v>0</v>
      </c>
      <c r="CJ50" s="22">
        <v>0</v>
      </c>
      <c r="CK50" s="27">
        <v>0.8</v>
      </c>
      <c r="CL50" s="27">
        <v>0.8</v>
      </c>
      <c r="CM50" s="27">
        <v>0.2</v>
      </c>
      <c r="CN50" s="27">
        <v>0.2</v>
      </c>
      <c r="CO50" s="22" t="s">
        <v>2904</v>
      </c>
      <c r="CP50" s="22" t="s">
        <v>1366</v>
      </c>
      <c r="CQ50" s="22"/>
      <c r="CR50" s="22"/>
      <c r="CS50" s="22"/>
      <c r="CT50" s="22"/>
      <c r="CU50" s="22"/>
      <c r="CV50" s="22"/>
      <c r="CW50" s="23" t="s">
        <v>1383</v>
      </c>
      <c r="CX50" s="27">
        <v>0.3</v>
      </c>
      <c r="CY50" s="27">
        <v>0.6</v>
      </c>
      <c r="CZ50" s="22" t="s">
        <v>3117</v>
      </c>
      <c r="DA50" s="22" t="s">
        <v>3168</v>
      </c>
      <c r="DB50" s="22">
        <v>10</v>
      </c>
      <c r="DC50" s="22"/>
      <c r="DD50" s="22" t="s">
        <v>2907</v>
      </c>
      <c r="DE50" s="22" t="s">
        <v>2908</v>
      </c>
      <c r="DF50" s="22" t="s">
        <v>2909</v>
      </c>
      <c r="DG50" s="22"/>
      <c r="DH50" s="22" t="s">
        <v>3156</v>
      </c>
      <c r="DI50" s="22"/>
      <c r="DJ50" s="22"/>
      <c r="DK50" s="22"/>
      <c r="DL50" s="22" t="s">
        <v>3157</v>
      </c>
      <c r="DM50" s="22" t="s">
        <v>3121</v>
      </c>
      <c r="DN50" s="23" t="s">
        <v>1345</v>
      </c>
      <c r="DO50" s="22" t="s">
        <v>3122</v>
      </c>
      <c r="DP50" s="23" t="s">
        <v>1342</v>
      </c>
      <c r="DQ50" s="22"/>
      <c r="DR50" s="23" t="s">
        <v>1342</v>
      </c>
      <c r="DS50" s="22"/>
      <c r="DT50" s="22"/>
      <c r="DU50" s="22"/>
      <c r="DV50" s="23" t="s">
        <v>1383</v>
      </c>
      <c r="DW50" s="22" t="s">
        <v>1413</v>
      </c>
      <c r="DX50" s="23" t="s">
        <v>1383</v>
      </c>
      <c r="DY50" s="23" t="s">
        <v>1342</v>
      </c>
      <c r="DZ50" s="22" t="s">
        <v>3078</v>
      </c>
      <c r="EA50" s="23" t="s">
        <v>1383</v>
      </c>
      <c r="EB50" s="23" t="s">
        <v>1383</v>
      </c>
      <c r="EC50" s="23" t="s">
        <v>1383</v>
      </c>
      <c r="ED50" s="22" t="s">
        <v>3033</v>
      </c>
      <c r="EE50" s="27">
        <v>0.2</v>
      </c>
      <c r="EF50" s="22" t="s">
        <v>2931</v>
      </c>
      <c r="EG50" s="23" t="s">
        <v>1342</v>
      </c>
      <c r="EH50" s="22"/>
      <c r="EI50" s="22"/>
      <c r="EJ50" s="22"/>
      <c r="EK50" s="22"/>
      <c r="EL50" s="23" t="s">
        <v>1416</v>
      </c>
      <c r="EM50" s="23">
        <v>3</v>
      </c>
      <c r="EN50" s="22" t="s">
        <v>2917</v>
      </c>
      <c r="EO50" s="23">
        <v>0</v>
      </c>
      <c r="EP50" s="22" t="s">
        <v>3020</v>
      </c>
      <c r="EQ50" s="23">
        <v>2</v>
      </c>
      <c r="ER50" s="22" t="s">
        <v>3169</v>
      </c>
      <c r="ES50" s="23">
        <v>4</v>
      </c>
      <c r="ET50" s="22" t="s">
        <v>3161</v>
      </c>
      <c r="EU50" s="23">
        <v>5</v>
      </c>
      <c r="EV50" s="22" t="s">
        <v>3162</v>
      </c>
      <c r="EW50" s="23">
        <v>1</v>
      </c>
      <c r="EX50" s="22" t="s">
        <v>3163</v>
      </c>
      <c r="EY50" s="23">
        <v>0</v>
      </c>
      <c r="EZ50" s="22" t="s">
        <v>2974</v>
      </c>
      <c r="FA50" s="22"/>
    </row>
    <row r="51" spans="1:157">
      <c r="A51" s="17">
        <v>464</v>
      </c>
      <c r="B51" s="17">
        <v>49</v>
      </c>
      <c r="C51" s="23" t="s">
        <v>1337</v>
      </c>
      <c r="D51" s="24">
        <v>43754</v>
      </c>
      <c r="E51" s="23" t="s">
        <v>3170</v>
      </c>
      <c r="F51" s="25" t="e">
        <v>#N/A</v>
      </c>
      <c r="G51" s="25" t="s">
        <v>3086</v>
      </c>
      <c r="H51" s="23" t="s">
        <v>1086</v>
      </c>
      <c r="I51" s="23" t="s">
        <v>1065</v>
      </c>
      <c r="J51" s="23" t="s">
        <v>3086</v>
      </c>
      <c r="K51" s="23" t="s">
        <v>3171</v>
      </c>
      <c r="L51" s="23">
        <v>8</v>
      </c>
      <c r="M51" s="23" t="s">
        <v>1342</v>
      </c>
      <c r="N51" s="23" t="s">
        <v>1343</v>
      </c>
      <c r="O51" s="23" t="s">
        <v>727</v>
      </c>
      <c r="P51" s="23" t="s">
        <v>1654</v>
      </c>
      <c r="Q51" s="23">
        <v>71533236</v>
      </c>
      <c r="R51" s="23" t="s">
        <v>1345</v>
      </c>
      <c r="S51" s="23">
        <v>3</v>
      </c>
      <c r="T51" s="23" t="s">
        <v>1346</v>
      </c>
      <c r="U51" s="23">
        <v>2011</v>
      </c>
      <c r="V51" s="22" t="s">
        <v>3048</v>
      </c>
      <c r="W51" s="22" t="s">
        <v>3060</v>
      </c>
      <c r="X51" s="23" t="s">
        <v>1342</v>
      </c>
      <c r="Y51" s="23"/>
      <c r="Z51" s="23"/>
      <c r="AA51" s="32">
        <v>30</v>
      </c>
      <c r="AB51" s="23" t="s">
        <v>1342</v>
      </c>
      <c r="AC51" s="23" t="s">
        <v>3172</v>
      </c>
      <c r="AD51" s="32" t="s">
        <v>1345</v>
      </c>
      <c r="AE51" s="23" t="s">
        <v>1342</v>
      </c>
      <c r="AF51" s="23" t="s">
        <v>1342</v>
      </c>
      <c r="AG51" s="23" t="s">
        <v>1342</v>
      </c>
      <c r="AH51" s="23" t="s">
        <v>1342</v>
      </c>
      <c r="AI51" s="23"/>
      <c r="AJ51" s="23" t="s">
        <v>1342</v>
      </c>
      <c r="AK51" s="22" t="s">
        <v>2967</v>
      </c>
      <c r="AL51" s="23" t="s">
        <v>1351</v>
      </c>
      <c r="AM51" s="23" t="s">
        <v>1351</v>
      </c>
      <c r="AN51" s="23" t="s">
        <v>1351</v>
      </c>
      <c r="AO51" s="23" t="s">
        <v>1351</v>
      </c>
      <c r="AP51" s="23" t="s">
        <v>1351</v>
      </c>
      <c r="AQ51" s="23" t="s">
        <v>1351</v>
      </c>
      <c r="AR51" s="23" t="s">
        <v>1351</v>
      </c>
      <c r="AS51" s="23" t="s">
        <v>1353</v>
      </c>
      <c r="AT51" s="23" t="s">
        <v>1342</v>
      </c>
      <c r="AU51" s="22">
        <v>9600</v>
      </c>
      <c r="AV51" s="22">
        <v>1000</v>
      </c>
      <c r="AW51" s="22" t="s">
        <v>2977</v>
      </c>
      <c r="AX51" s="22" t="s">
        <v>2989</v>
      </c>
      <c r="AY51" s="23" t="s">
        <v>1342</v>
      </c>
      <c r="AZ51" s="22"/>
      <c r="BA51" s="22"/>
      <c r="BB51" s="22" t="s">
        <v>1358</v>
      </c>
      <c r="BC51" s="22"/>
      <c r="BD51" s="22"/>
      <c r="BE51" s="22" t="s">
        <v>3171</v>
      </c>
      <c r="BF51" s="22"/>
      <c r="BG51" s="22"/>
      <c r="BH51" s="22">
        <v>3</v>
      </c>
      <c r="BI51" s="22">
        <v>4</v>
      </c>
      <c r="BJ51" s="22"/>
      <c r="BK51" s="22" t="s">
        <v>1434</v>
      </c>
      <c r="BL51" s="22" t="s">
        <v>1434</v>
      </c>
      <c r="BM51" s="22"/>
      <c r="BN51" s="23" t="s">
        <v>1342</v>
      </c>
      <c r="BO51" s="22"/>
      <c r="BP51" s="22"/>
      <c r="BQ51" s="23" t="s">
        <v>1383</v>
      </c>
      <c r="BR51" s="23" t="s">
        <v>1342</v>
      </c>
      <c r="BS51" s="27">
        <v>0</v>
      </c>
      <c r="BT51" s="23" t="s">
        <v>1383</v>
      </c>
      <c r="BU51" s="23" t="s">
        <v>1342</v>
      </c>
      <c r="BV51" s="23"/>
      <c r="BW51" s="22"/>
      <c r="BX51" s="23" t="s">
        <v>1383</v>
      </c>
      <c r="BY51" s="23" t="s">
        <v>2167</v>
      </c>
      <c r="BZ51" s="22" t="s">
        <v>3075</v>
      </c>
      <c r="CA51" s="23" t="s">
        <v>3173</v>
      </c>
      <c r="CB51" s="22" t="s">
        <v>1364</v>
      </c>
      <c r="CC51" s="22" t="s">
        <v>1364</v>
      </c>
      <c r="CD51" s="22" t="s">
        <v>1364</v>
      </c>
      <c r="CE51" s="22">
        <v>16000</v>
      </c>
      <c r="CF51" s="22">
        <v>2160</v>
      </c>
      <c r="CG51" s="22">
        <v>2760</v>
      </c>
      <c r="CH51" s="22">
        <v>0</v>
      </c>
      <c r="CI51" s="22">
        <v>0</v>
      </c>
      <c r="CJ51" s="22">
        <v>0</v>
      </c>
      <c r="CK51" s="27">
        <v>0.7</v>
      </c>
      <c r="CL51" s="27">
        <v>0.8</v>
      </c>
      <c r="CM51" s="27">
        <v>0.3</v>
      </c>
      <c r="CN51" s="27">
        <v>0.2</v>
      </c>
      <c r="CO51" s="22"/>
      <c r="CP51" s="22"/>
      <c r="CQ51" s="22"/>
      <c r="CR51" s="22"/>
      <c r="CS51" s="22"/>
      <c r="CT51" s="22"/>
      <c r="CU51" s="23"/>
      <c r="CV51" s="22"/>
      <c r="CW51" s="23" t="s">
        <v>1383</v>
      </c>
      <c r="CX51" s="27">
        <v>0.1</v>
      </c>
      <c r="CY51" s="27">
        <v>0.8</v>
      </c>
      <c r="CZ51" s="22" t="s">
        <v>3117</v>
      </c>
      <c r="DA51" s="22" t="s">
        <v>1372</v>
      </c>
      <c r="DB51" s="22">
        <v>6</v>
      </c>
      <c r="DC51" s="22"/>
      <c r="DD51" s="22" t="s">
        <v>2907</v>
      </c>
      <c r="DE51" s="22" t="s">
        <v>2908</v>
      </c>
      <c r="DF51" s="22" t="s">
        <v>2909</v>
      </c>
      <c r="DG51" s="22"/>
      <c r="DH51" s="22" t="s">
        <v>3098</v>
      </c>
      <c r="DI51" s="22"/>
      <c r="DJ51" s="22"/>
      <c r="DK51" s="22"/>
      <c r="DL51" s="22" t="s">
        <v>3157</v>
      </c>
      <c r="DM51" s="22"/>
      <c r="DN51" s="23" t="s">
        <v>1345</v>
      </c>
      <c r="DO51" s="22" t="s">
        <v>3032</v>
      </c>
      <c r="DP51" s="23" t="s">
        <v>1342</v>
      </c>
      <c r="DQ51" s="22"/>
      <c r="DR51" s="23" t="s">
        <v>1342</v>
      </c>
      <c r="DS51" s="22"/>
      <c r="DT51" s="22"/>
      <c r="DU51" s="22"/>
      <c r="DV51" s="23" t="s">
        <v>1383</v>
      </c>
      <c r="DW51" s="22" t="s">
        <v>1436</v>
      </c>
      <c r="DX51" s="23" t="s">
        <v>1383</v>
      </c>
      <c r="DY51" s="23" t="s">
        <v>1342</v>
      </c>
      <c r="DZ51" s="22" t="s">
        <v>3017</v>
      </c>
      <c r="EA51" s="23" t="s">
        <v>1383</v>
      </c>
      <c r="EB51" s="23" t="s">
        <v>1342</v>
      </c>
      <c r="EC51" s="23" t="s">
        <v>1383</v>
      </c>
      <c r="ED51" s="22" t="s">
        <v>2948</v>
      </c>
      <c r="EE51" s="27">
        <v>0.2</v>
      </c>
      <c r="EF51" s="22" t="s">
        <v>3103</v>
      </c>
      <c r="EG51" s="23" t="s">
        <v>1342</v>
      </c>
      <c r="EH51" s="22"/>
      <c r="EI51" s="22"/>
      <c r="EJ51" s="22"/>
      <c r="EK51" s="22"/>
      <c r="EL51" s="23" t="s">
        <v>1389</v>
      </c>
      <c r="EM51" s="23">
        <v>3</v>
      </c>
      <c r="EN51" s="22" t="s">
        <v>2917</v>
      </c>
      <c r="EO51" s="23">
        <v>0</v>
      </c>
      <c r="EP51" s="22" t="s">
        <v>3020</v>
      </c>
      <c r="EQ51" s="23">
        <v>2</v>
      </c>
      <c r="ER51" s="22" t="s">
        <v>3129</v>
      </c>
      <c r="ES51" s="23">
        <v>3</v>
      </c>
      <c r="ET51" s="22" t="s">
        <v>3174</v>
      </c>
      <c r="EU51" s="23">
        <v>3</v>
      </c>
      <c r="EV51" s="22" t="s">
        <v>3108</v>
      </c>
      <c r="EW51" s="23">
        <v>3</v>
      </c>
      <c r="EX51" s="22" t="s">
        <v>3109</v>
      </c>
      <c r="EY51" s="23">
        <v>0</v>
      </c>
      <c r="EZ51" s="22" t="s">
        <v>2974</v>
      </c>
      <c r="FA51" s="22"/>
    </row>
    <row r="52" spans="1:157">
      <c r="A52" s="17">
        <v>465</v>
      </c>
      <c r="B52" s="17">
        <v>73</v>
      </c>
      <c r="C52" s="38" t="s">
        <v>1795</v>
      </c>
      <c r="D52" s="39">
        <v>43752</v>
      </c>
      <c r="E52" s="38" t="s">
        <v>3616</v>
      </c>
      <c r="F52" s="40" t="s">
        <v>1728</v>
      </c>
      <c r="G52" s="40" t="s">
        <v>507</v>
      </c>
      <c r="H52" s="38" t="s">
        <v>3292</v>
      </c>
      <c r="I52" s="38" t="s">
        <v>3293</v>
      </c>
      <c r="J52" s="38" t="s">
        <v>507</v>
      </c>
      <c r="K52" s="38" t="s">
        <v>3555</v>
      </c>
      <c r="L52" s="41">
        <v>2</v>
      </c>
      <c r="M52" s="38" t="s">
        <v>2181</v>
      </c>
      <c r="N52" s="38" t="s">
        <v>1343</v>
      </c>
      <c r="O52" s="38" t="s">
        <v>7104</v>
      </c>
      <c r="P52" s="42" t="s">
        <v>3617</v>
      </c>
      <c r="Q52" s="38">
        <v>60720636</v>
      </c>
      <c r="R52" s="38" t="s">
        <v>1345</v>
      </c>
      <c r="S52" s="38">
        <v>7</v>
      </c>
      <c r="T52" s="38" t="s">
        <v>1346</v>
      </c>
      <c r="U52" s="38">
        <v>2012</v>
      </c>
      <c r="V52" s="42" t="s">
        <v>3558</v>
      </c>
      <c r="W52" s="38" t="s">
        <v>3618</v>
      </c>
      <c r="X52" s="38" t="s">
        <v>1349</v>
      </c>
      <c r="Y52" s="38"/>
      <c r="Z52" s="38"/>
      <c r="AA52" s="38">
        <v>32</v>
      </c>
      <c r="AB52" s="38" t="s">
        <v>1345</v>
      </c>
      <c r="AC52" s="38">
        <v>0</v>
      </c>
      <c r="AD52" s="38" t="s">
        <v>1345</v>
      </c>
      <c r="AE52" s="38" t="s">
        <v>1349</v>
      </c>
      <c r="AF52" s="38" t="s">
        <v>1349</v>
      </c>
      <c r="AG52" s="38" t="s">
        <v>1349</v>
      </c>
      <c r="AH52" s="38" t="s">
        <v>1358</v>
      </c>
      <c r="AI52" s="38" t="s">
        <v>3451</v>
      </c>
      <c r="AJ52" s="38" t="s">
        <v>1349</v>
      </c>
      <c r="AK52" s="38" t="s">
        <v>3560</v>
      </c>
      <c r="AL52" s="38" t="s">
        <v>1550</v>
      </c>
      <c r="AM52" s="38" t="s">
        <v>1550</v>
      </c>
      <c r="AN52" s="38" t="s">
        <v>1550</v>
      </c>
      <c r="AO52" s="38" t="s">
        <v>1550</v>
      </c>
      <c r="AP52" s="38" t="s">
        <v>1550</v>
      </c>
      <c r="AQ52" s="38" t="s">
        <v>1352</v>
      </c>
      <c r="AR52" s="38" t="s">
        <v>3451</v>
      </c>
      <c r="AS52" s="38" t="s">
        <v>1550</v>
      </c>
      <c r="AT52" s="38" t="s">
        <v>1804</v>
      </c>
      <c r="AU52" s="42"/>
      <c r="AV52" s="38">
        <v>1000</v>
      </c>
      <c r="AW52" s="38" t="s">
        <v>3596</v>
      </c>
      <c r="AX52" s="38" t="s">
        <v>3597</v>
      </c>
      <c r="AY52" s="38" t="s">
        <v>1345</v>
      </c>
      <c r="AZ52" s="38" t="s">
        <v>1904</v>
      </c>
      <c r="BA52" s="38" t="s">
        <v>1904</v>
      </c>
      <c r="BB52" s="38" t="s">
        <v>1358</v>
      </c>
      <c r="BC52" s="38" t="s">
        <v>1358</v>
      </c>
      <c r="BD52" s="38" t="s">
        <v>1358</v>
      </c>
      <c r="BE52" s="38" t="s">
        <v>1810</v>
      </c>
      <c r="BF52" s="42"/>
      <c r="BG52" s="42"/>
      <c r="BH52" s="38">
        <v>5</v>
      </c>
      <c r="BI52" s="38">
        <v>5</v>
      </c>
      <c r="BJ52" s="38">
        <v>20</v>
      </c>
      <c r="BK52" s="38" t="s">
        <v>3598</v>
      </c>
      <c r="BL52" s="38" t="s">
        <v>3598</v>
      </c>
      <c r="BM52" s="38" t="s">
        <v>3598</v>
      </c>
      <c r="BN52" s="38" t="s">
        <v>1349</v>
      </c>
      <c r="BO52" s="42"/>
      <c r="BP52" s="42"/>
      <c r="BQ52" s="38" t="s">
        <v>1345</v>
      </c>
      <c r="BR52" s="38" t="s">
        <v>1345</v>
      </c>
      <c r="BS52" s="38" t="s">
        <v>1358</v>
      </c>
      <c r="BT52" s="38" t="s">
        <v>1345</v>
      </c>
      <c r="BU52" s="38" t="s">
        <v>3619</v>
      </c>
      <c r="BV52" s="38" t="s">
        <v>1349</v>
      </c>
      <c r="BW52" s="42"/>
      <c r="BX52" s="38" t="s">
        <v>1345</v>
      </c>
      <c r="BY52" s="38" t="s">
        <v>1362</v>
      </c>
      <c r="BZ52" s="38" t="s">
        <v>3600</v>
      </c>
      <c r="CA52" s="38" t="s">
        <v>3555</v>
      </c>
      <c r="CB52" s="38" t="s">
        <v>1935</v>
      </c>
      <c r="CC52" s="38" t="s">
        <v>1935</v>
      </c>
      <c r="CD52" s="38" t="s">
        <v>1935</v>
      </c>
      <c r="CE52" s="38">
        <v>2800</v>
      </c>
      <c r="CF52" s="38">
        <v>3300</v>
      </c>
      <c r="CG52" s="38">
        <v>9000</v>
      </c>
      <c r="CH52" s="38">
        <v>0</v>
      </c>
      <c r="CI52" s="38">
        <v>0</v>
      </c>
      <c r="CJ52" s="38" t="s">
        <v>1935</v>
      </c>
      <c r="CK52" s="42"/>
      <c r="CL52" s="43">
        <v>0.8</v>
      </c>
      <c r="CM52" s="42"/>
      <c r="CN52" s="43">
        <v>0.2</v>
      </c>
      <c r="CO52" s="38" t="s">
        <v>3451</v>
      </c>
      <c r="CP52" s="42"/>
      <c r="CQ52" s="42"/>
      <c r="CR52" s="42"/>
      <c r="CS52" s="42"/>
      <c r="CT52" s="42"/>
      <c r="CU52" s="38"/>
      <c r="CV52" s="42"/>
      <c r="CW52" s="38" t="s">
        <v>1349</v>
      </c>
      <c r="CX52" s="42"/>
      <c r="CY52" s="42"/>
      <c r="CZ52" s="42" t="s">
        <v>3568</v>
      </c>
      <c r="DA52" s="42" t="s">
        <v>1822</v>
      </c>
      <c r="DB52" s="42" t="s">
        <v>1904</v>
      </c>
      <c r="DC52" s="42" t="s">
        <v>3620</v>
      </c>
      <c r="DD52" s="42" t="s">
        <v>3570</v>
      </c>
      <c r="DE52" s="42" t="s">
        <v>3571</v>
      </c>
      <c r="DF52" s="42" t="s">
        <v>3409</v>
      </c>
      <c r="DG52" s="42" t="s">
        <v>3572</v>
      </c>
      <c r="DH52" s="42" t="s">
        <v>3573</v>
      </c>
      <c r="DI52" s="42" t="s">
        <v>1935</v>
      </c>
      <c r="DJ52" s="42" t="s">
        <v>3575</v>
      </c>
      <c r="DK52" s="42" t="s">
        <v>3576</v>
      </c>
      <c r="DL52" s="42" t="s">
        <v>3621</v>
      </c>
      <c r="DM52" s="42" t="s">
        <v>1878</v>
      </c>
      <c r="DN52" s="38" t="s">
        <v>1349</v>
      </c>
      <c r="DO52" s="42" t="s">
        <v>1358</v>
      </c>
      <c r="DP52" s="38" t="s">
        <v>1349</v>
      </c>
      <c r="DQ52" s="42" t="s">
        <v>1358</v>
      </c>
      <c r="DR52" s="38" t="s">
        <v>1349</v>
      </c>
      <c r="DS52" s="42"/>
      <c r="DT52" s="38"/>
      <c r="DU52" s="42"/>
      <c r="DV52" s="38" t="s">
        <v>1345</v>
      </c>
      <c r="DW52" s="42" t="s">
        <v>3608</v>
      </c>
      <c r="DX52" s="38" t="s">
        <v>1345</v>
      </c>
      <c r="DY52" s="38" t="s">
        <v>1349</v>
      </c>
      <c r="DZ52" s="38" t="s">
        <v>3622</v>
      </c>
      <c r="EA52" s="38" t="s">
        <v>1345</v>
      </c>
      <c r="EB52" s="38" t="s">
        <v>1345</v>
      </c>
      <c r="EC52" s="38" t="s">
        <v>1345</v>
      </c>
      <c r="ED52" s="38" t="s">
        <v>3623</v>
      </c>
      <c r="EE52" s="43">
        <v>0.5</v>
      </c>
      <c r="EF52" s="38" t="s">
        <v>3580</v>
      </c>
      <c r="EG52" s="38" t="s">
        <v>1349</v>
      </c>
      <c r="EH52" s="42"/>
      <c r="EI52" s="38" t="s">
        <v>3624</v>
      </c>
      <c r="EJ52" s="38" t="s">
        <v>3625</v>
      </c>
      <c r="EK52" s="38" t="s">
        <v>3626</v>
      </c>
      <c r="EL52" s="38" t="s">
        <v>1389</v>
      </c>
      <c r="EM52" s="38">
        <v>3</v>
      </c>
      <c r="EN52" s="38" t="s">
        <v>3627</v>
      </c>
      <c r="EO52" s="38">
        <v>1</v>
      </c>
      <c r="EP52" s="38" t="s">
        <v>3585</v>
      </c>
      <c r="EQ52" s="38">
        <v>3</v>
      </c>
      <c r="ER52" s="42" t="s">
        <v>3586</v>
      </c>
      <c r="ES52" s="38">
        <v>3</v>
      </c>
      <c r="ET52" s="38" t="s">
        <v>3587</v>
      </c>
      <c r="EU52" s="38">
        <v>2</v>
      </c>
      <c r="EV52" s="42" t="s">
        <v>3588</v>
      </c>
      <c r="EW52" s="38">
        <v>3</v>
      </c>
      <c r="EX52" s="42" t="s">
        <v>3589</v>
      </c>
      <c r="EY52" s="38">
        <v>1</v>
      </c>
      <c r="EZ52" s="42" t="s">
        <v>3590</v>
      </c>
      <c r="FA52" s="22"/>
    </row>
    <row r="53" spans="1:157">
      <c r="A53" s="17">
        <v>466</v>
      </c>
      <c r="B53" s="17">
        <v>60</v>
      </c>
      <c r="C53" s="23" t="s">
        <v>1795</v>
      </c>
      <c r="D53" s="36">
        <v>43742</v>
      </c>
      <c r="E53" s="23" t="s">
        <v>3339</v>
      </c>
      <c r="F53" s="25" t="s">
        <v>1728</v>
      </c>
      <c r="G53" s="25" t="s">
        <v>3291</v>
      </c>
      <c r="H53" s="23" t="s">
        <v>3292</v>
      </c>
      <c r="I53" s="23" t="s">
        <v>3293</v>
      </c>
      <c r="J53" s="23" t="s">
        <v>3291</v>
      </c>
      <c r="K53" s="23" t="s">
        <v>2585</v>
      </c>
      <c r="L53" s="23">
        <v>1</v>
      </c>
      <c r="M53" s="23" t="s">
        <v>3340</v>
      </c>
      <c r="N53" s="23" t="s">
        <v>1343</v>
      </c>
      <c r="O53" s="23" t="s">
        <v>959</v>
      </c>
      <c r="P53" s="23" t="s">
        <v>3341</v>
      </c>
      <c r="Q53" s="23">
        <v>78712726</v>
      </c>
      <c r="R53" s="23" t="s">
        <v>1345</v>
      </c>
      <c r="S53" s="23">
        <v>7</v>
      </c>
      <c r="T53" s="23" t="s">
        <v>1346</v>
      </c>
      <c r="U53" s="23">
        <v>2002</v>
      </c>
      <c r="V53" s="22" t="s">
        <v>3295</v>
      </c>
      <c r="W53" s="23" t="s">
        <v>3296</v>
      </c>
      <c r="X53" s="23" t="s">
        <v>1345</v>
      </c>
      <c r="Y53" s="23">
        <v>2018</v>
      </c>
      <c r="Z53" s="23"/>
      <c r="AA53" s="32">
        <v>45</v>
      </c>
      <c r="AB53" s="23" t="s">
        <v>1862</v>
      </c>
      <c r="AC53" s="23">
        <v>2</v>
      </c>
      <c r="AD53" s="32" t="s">
        <v>1345</v>
      </c>
      <c r="AE53" s="23" t="s">
        <v>1345</v>
      </c>
      <c r="AF53" s="23" t="s">
        <v>1345</v>
      </c>
      <c r="AG53" s="23" t="s">
        <v>1345</v>
      </c>
      <c r="AH53" s="23" t="s">
        <v>1358</v>
      </c>
      <c r="AI53" s="23">
        <v>2002</v>
      </c>
      <c r="AJ53" s="23" t="s">
        <v>1349</v>
      </c>
      <c r="AK53" s="23" t="s">
        <v>3297</v>
      </c>
      <c r="AL53" s="23" t="s">
        <v>1550</v>
      </c>
      <c r="AM53" s="23" t="s">
        <v>1550</v>
      </c>
      <c r="AN53" s="23" t="s">
        <v>1550</v>
      </c>
      <c r="AO53" s="23" t="s">
        <v>1550</v>
      </c>
      <c r="AP53" s="23" t="s">
        <v>1550</v>
      </c>
      <c r="AQ53" s="23" t="s">
        <v>1352</v>
      </c>
      <c r="AR53" s="23" t="s">
        <v>1352</v>
      </c>
      <c r="AS53" s="23" t="s">
        <v>1550</v>
      </c>
      <c r="AT53" s="23" t="s">
        <v>1804</v>
      </c>
      <c r="AU53" s="23" t="s">
        <v>3342</v>
      </c>
      <c r="AV53" s="23" t="s">
        <v>3343</v>
      </c>
      <c r="AW53" s="23" t="s">
        <v>3299</v>
      </c>
      <c r="AX53" s="23" t="s">
        <v>3300</v>
      </c>
      <c r="AY53" s="23" t="s">
        <v>1345</v>
      </c>
      <c r="AZ53" s="23" t="s">
        <v>3344</v>
      </c>
      <c r="BA53" s="23" t="s">
        <v>3345</v>
      </c>
      <c r="BB53" s="23" t="s">
        <v>1358</v>
      </c>
      <c r="BC53" s="23" t="s">
        <v>1358</v>
      </c>
      <c r="BD53" s="23" t="s">
        <v>1358</v>
      </c>
      <c r="BE53" s="23" t="s">
        <v>3346</v>
      </c>
      <c r="BF53" s="22"/>
      <c r="BG53" s="22"/>
      <c r="BH53" s="23">
        <v>3</v>
      </c>
      <c r="BI53" s="23">
        <v>5</v>
      </c>
      <c r="BJ53" s="23">
        <v>5</v>
      </c>
      <c r="BK53" s="23" t="s">
        <v>3305</v>
      </c>
      <c r="BL53" s="23" t="s">
        <v>3304</v>
      </c>
      <c r="BM53" s="23" t="s">
        <v>3305</v>
      </c>
      <c r="BN53" s="23" t="s">
        <v>1349</v>
      </c>
      <c r="BO53" s="22"/>
      <c r="BP53" s="22"/>
      <c r="BQ53" s="23" t="s">
        <v>1345</v>
      </c>
      <c r="BR53" s="23" t="s">
        <v>1345</v>
      </c>
      <c r="BS53" s="23" t="s">
        <v>1358</v>
      </c>
      <c r="BT53" s="23" t="s">
        <v>1345</v>
      </c>
      <c r="BU53" s="23" t="s">
        <v>3347</v>
      </c>
      <c r="BV53" s="23" t="s">
        <v>1349</v>
      </c>
      <c r="BW53" s="22"/>
      <c r="BX53" s="23" t="s">
        <v>1345</v>
      </c>
      <c r="BY53" s="23" t="s">
        <v>1362</v>
      </c>
      <c r="BZ53" s="23" t="s">
        <v>3307</v>
      </c>
      <c r="CA53" s="23" t="s">
        <v>3291</v>
      </c>
      <c r="CB53" s="23" t="s">
        <v>1935</v>
      </c>
      <c r="CC53" s="23" t="s">
        <v>1935</v>
      </c>
      <c r="CD53" s="23" t="s">
        <v>1935</v>
      </c>
      <c r="CE53" s="23">
        <v>3600</v>
      </c>
      <c r="CF53" s="23">
        <v>2400</v>
      </c>
      <c r="CG53" s="23">
        <v>5520</v>
      </c>
      <c r="CH53" s="23">
        <v>30</v>
      </c>
      <c r="CI53" s="23">
        <v>20</v>
      </c>
      <c r="CJ53" s="23" t="s">
        <v>3309</v>
      </c>
      <c r="CK53" s="27">
        <v>0.6</v>
      </c>
      <c r="CL53" s="27">
        <v>0.6</v>
      </c>
      <c r="CM53" s="26">
        <v>0.4</v>
      </c>
      <c r="CN53" s="26">
        <v>0.4</v>
      </c>
      <c r="CO53" s="23" t="s">
        <v>3310</v>
      </c>
      <c r="CP53" s="23" t="s">
        <v>1358</v>
      </c>
      <c r="CQ53" s="23" t="s">
        <v>1367</v>
      </c>
      <c r="CR53" s="23">
        <v>15</v>
      </c>
      <c r="CS53" s="23" t="s">
        <v>2230</v>
      </c>
      <c r="CT53" s="23" t="s">
        <v>3311</v>
      </c>
      <c r="CU53" s="23" t="s">
        <v>1349</v>
      </c>
      <c r="CV53" s="23" t="s">
        <v>3348</v>
      </c>
      <c r="CW53" s="23" t="s">
        <v>3349</v>
      </c>
      <c r="CX53" s="22"/>
      <c r="CY53" s="27">
        <v>0.8</v>
      </c>
      <c r="CZ53" s="22" t="s">
        <v>3313</v>
      </c>
      <c r="DA53" s="22" t="s">
        <v>3350</v>
      </c>
      <c r="DB53" s="22"/>
      <c r="DC53" s="22" t="s">
        <v>1904</v>
      </c>
      <c r="DD53" s="22" t="s">
        <v>3351</v>
      </c>
      <c r="DE53" s="22" t="s">
        <v>3352</v>
      </c>
      <c r="DF53" s="22" t="s">
        <v>3353</v>
      </c>
      <c r="DG53" s="22" t="s">
        <v>3354</v>
      </c>
      <c r="DH53" s="22" t="s">
        <v>3319</v>
      </c>
      <c r="DI53" s="22" t="s">
        <v>3319</v>
      </c>
      <c r="DJ53" s="22" t="s">
        <v>3319</v>
      </c>
      <c r="DK53" s="22" t="s">
        <v>3319</v>
      </c>
      <c r="DL53" s="22" t="s">
        <v>1358</v>
      </c>
      <c r="DM53" s="22" t="s">
        <v>1358</v>
      </c>
      <c r="DN53" s="23" t="s">
        <v>1349</v>
      </c>
      <c r="DO53" s="22" t="s">
        <v>1358</v>
      </c>
      <c r="DP53" s="23" t="s">
        <v>1349</v>
      </c>
      <c r="DQ53" s="22" t="s">
        <v>1358</v>
      </c>
      <c r="DR53" s="23" t="s">
        <v>1345</v>
      </c>
      <c r="DS53" s="22" t="s">
        <v>3320</v>
      </c>
      <c r="DT53" s="23" t="s">
        <v>3321</v>
      </c>
      <c r="DU53" s="23" t="s">
        <v>3321</v>
      </c>
      <c r="DV53" s="23" t="s">
        <v>3322</v>
      </c>
      <c r="DW53" s="22" t="s">
        <v>1904</v>
      </c>
      <c r="DX53" s="23" t="s">
        <v>3323</v>
      </c>
      <c r="DY53" s="23" t="s">
        <v>1349</v>
      </c>
      <c r="DZ53" s="23" t="s">
        <v>3355</v>
      </c>
      <c r="EA53" s="23" t="s">
        <v>1345</v>
      </c>
      <c r="EB53" s="23" t="s">
        <v>1345</v>
      </c>
      <c r="EC53" s="23" t="s">
        <v>3325</v>
      </c>
      <c r="ED53" s="23" t="s">
        <v>3326</v>
      </c>
      <c r="EE53" s="27">
        <v>0.5</v>
      </c>
      <c r="EF53" s="23" t="s">
        <v>3327</v>
      </c>
      <c r="EG53" s="23" t="s">
        <v>1345</v>
      </c>
      <c r="EH53" s="23" t="s">
        <v>3328</v>
      </c>
      <c r="EI53" s="23" t="s">
        <v>3356</v>
      </c>
      <c r="EJ53" s="23" t="s">
        <v>3330</v>
      </c>
      <c r="EK53" s="23" t="s">
        <v>3331</v>
      </c>
      <c r="EL53" s="23" t="s">
        <v>1841</v>
      </c>
      <c r="EM53" s="23">
        <v>4</v>
      </c>
      <c r="EN53" s="23" t="s">
        <v>3357</v>
      </c>
      <c r="EO53" s="23">
        <v>3</v>
      </c>
      <c r="EP53" s="23" t="s">
        <v>3333</v>
      </c>
      <c r="EQ53" s="23">
        <v>3</v>
      </c>
      <c r="ER53" s="22" t="s">
        <v>3334</v>
      </c>
      <c r="ES53" s="23">
        <v>4</v>
      </c>
      <c r="ET53" s="23" t="s">
        <v>3335</v>
      </c>
      <c r="EU53" s="23">
        <v>1</v>
      </c>
      <c r="EV53" s="22" t="s">
        <v>3336</v>
      </c>
      <c r="EW53" s="23">
        <v>3</v>
      </c>
      <c r="EX53" s="22" t="s">
        <v>3337</v>
      </c>
      <c r="EY53" s="23">
        <v>1</v>
      </c>
      <c r="EZ53" s="22" t="s">
        <v>3338</v>
      </c>
      <c r="FA53" s="22"/>
    </row>
    <row r="54" spans="1:157">
      <c r="A54" s="17">
        <v>467</v>
      </c>
      <c r="B54" s="17">
        <v>29</v>
      </c>
      <c r="C54" s="23" t="s">
        <v>2278</v>
      </c>
      <c r="D54" s="24">
        <v>43760</v>
      </c>
      <c r="E54" s="23" t="s">
        <v>2886</v>
      </c>
      <c r="F54" s="22"/>
      <c r="G54" s="22"/>
      <c r="H54" s="23" t="s">
        <v>1086</v>
      </c>
      <c r="I54" s="23" t="s">
        <v>1065</v>
      </c>
      <c r="J54" s="23" t="s">
        <v>2833</v>
      </c>
      <c r="K54" s="23" t="s">
        <v>2887</v>
      </c>
      <c r="L54" s="23">
        <v>52</v>
      </c>
      <c r="M54" s="23" t="s">
        <v>2393</v>
      </c>
      <c r="N54" s="23" t="s">
        <v>1541</v>
      </c>
      <c r="O54" s="23" t="s">
        <v>2888</v>
      </c>
      <c r="P54" s="23" t="s">
        <v>2889</v>
      </c>
      <c r="Q54" s="23">
        <v>74102223</v>
      </c>
      <c r="R54" s="23" t="s">
        <v>1345</v>
      </c>
      <c r="S54" s="23">
        <v>5</v>
      </c>
      <c r="T54" s="23" t="s">
        <v>2285</v>
      </c>
      <c r="U54" s="23">
        <v>2014</v>
      </c>
      <c r="V54" s="23" t="s">
        <v>2787</v>
      </c>
      <c r="W54" s="23" t="s">
        <v>2359</v>
      </c>
      <c r="X54" s="23" t="s">
        <v>1345</v>
      </c>
      <c r="Y54" s="23">
        <v>2018</v>
      </c>
      <c r="Z54" s="23" t="s">
        <v>2288</v>
      </c>
      <c r="AA54" s="32">
        <v>55</v>
      </c>
      <c r="AB54" s="23" t="s">
        <v>1345</v>
      </c>
      <c r="AC54" s="23">
        <v>3</v>
      </c>
      <c r="AD54" s="32" t="s">
        <v>1345</v>
      </c>
      <c r="AE54" s="23" t="s">
        <v>1345</v>
      </c>
      <c r="AF54" s="23" t="s">
        <v>1349</v>
      </c>
      <c r="AG54" s="23" t="s">
        <v>1349</v>
      </c>
      <c r="AH54" s="23" t="s">
        <v>2788</v>
      </c>
      <c r="AI54" s="23">
        <v>2014</v>
      </c>
      <c r="AJ54" s="23" t="s">
        <v>1349</v>
      </c>
      <c r="AK54" s="23" t="s">
        <v>2341</v>
      </c>
      <c r="AL54" s="23" t="s">
        <v>1612</v>
      </c>
      <c r="AM54" s="23" t="s">
        <v>1612</v>
      </c>
      <c r="AN54" s="23" t="s">
        <v>1612</v>
      </c>
      <c r="AO54" s="23" t="s">
        <v>1612</v>
      </c>
      <c r="AP54" s="23" t="s">
        <v>1612</v>
      </c>
      <c r="AQ54" s="23" t="s">
        <v>2291</v>
      </c>
      <c r="AR54" s="23" t="s">
        <v>2291</v>
      </c>
      <c r="AS54" s="23" t="s">
        <v>1802</v>
      </c>
      <c r="AT54" s="23" t="s">
        <v>1358</v>
      </c>
      <c r="AU54" s="23" t="s">
        <v>2778</v>
      </c>
      <c r="AV54" s="22" t="s">
        <v>2789</v>
      </c>
      <c r="AW54" s="23" t="s">
        <v>2860</v>
      </c>
      <c r="AX54" s="23" t="s">
        <v>2430</v>
      </c>
      <c r="AY54" s="23" t="s">
        <v>1349</v>
      </c>
      <c r="AZ54" s="23" t="s">
        <v>2361</v>
      </c>
      <c r="BA54" s="23" t="s">
        <v>2361</v>
      </c>
      <c r="BB54" s="23" t="s">
        <v>2289</v>
      </c>
      <c r="BC54" s="23" t="s">
        <v>2289</v>
      </c>
      <c r="BD54" s="23" t="s">
        <v>2289</v>
      </c>
      <c r="BE54" s="23" t="s">
        <v>2890</v>
      </c>
      <c r="BF54" s="23" t="s">
        <v>2300</v>
      </c>
      <c r="BG54" s="23" t="s">
        <v>2300</v>
      </c>
      <c r="BH54" s="22">
        <v>6</v>
      </c>
      <c r="BI54" s="22">
        <v>6</v>
      </c>
      <c r="BJ54" s="22">
        <v>6</v>
      </c>
      <c r="BK54" s="23" t="s">
        <v>2594</v>
      </c>
      <c r="BL54" s="23" t="s">
        <v>2594</v>
      </c>
      <c r="BM54" s="23" t="s">
        <v>2594</v>
      </c>
      <c r="BN54" s="23" t="s">
        <v>1349</v>
      </c>
      <c r="BO54" s="23" t="s">
        <v>2300</v>
      </c>
      <c r="BP54" s="23" t="s">
        <v>2300</v>
      </c>
      <c r="BQ54" s="23" t="s">
        <v>1349</v>
      </c>
      <c r="BR54" s="23" t="s">
        <v>1349</v>
      </c>
      <c r="BS54" s="23" t="s">
        <v>1804</v>
      </c>
      <c r="BT54" s="23" t="s">
        <v>1345</v>
      </c>
      <c r="BU54" s="23" t="s">
        <v>1358</v>
      </c>
      <c r="BV54" s="23" t="s">
        <v>1349</v>
      </c>
      <c r="BW54" s="23" t="s">
        <v>2300</v>
      </c>
      <c r="BX54" s="23" t="s">
        <v>1349</v>
      </c>
      <c r="BY54" s="23" t="s">
        <v>1565</v>
      </c>
      <c r="BZ54" s="23" t="s">
        <v>2300</v>
      </c>
      <c r="CA54" s="23" t="s">
        <v>2300</v>
      </c>
      <c r="CB54" s="23" t="s">
        <v>2289</v>
      </c>
      <c r="CC54" s="23" t="s">
        <v>2289</v>
      </c>
      <c r="CD54" s="23" t="s">
        <v>2289</v>
      </c>
      <c r="CE54" s="23">
        <v>19800</v>
      </c>
      <c r="CF54" s="23">
        <v>16800</v>
      </c>
      <c r="CG54" s="23">
        <v>22800</v>
      </c>
      <c r="CH54" s="23">
        <v>80</v>
      </c>
      <c r="CI54" s="23">
        <v>40</v>
      </c>
      <c r="CJ54" s="23">
        <v>80</v>
      </c>
      <c r="CK54" s="27">
        <v>1</v>
      </c>
      <c r="CL54" s="27">
        <v>1</v>
      </c>
      <c r="CM54" s="27">
        <v>0</v>
      </c>
      <c r="CN54" s="27">
        <v>0</v>
      </c>
      <c r="CO54" s="23" t="s">
        <v>2307</v>
      </c>
      <c r="CP54" s="23" t="s">
        <v>1565</v>
      </c>
      <c r="CQ54" s="23" t="s">
        <v>1565</v>
      </c>
      <c r="CR54" s="23" t="s">
        <v>2767</v>
      </c>
      <c r="CS54" s="23" t="s">
        <v>1706</v>
      </c>
      <c r="CT54" s="23" t="s">
        <v>2767</v>
      </c>
      <c r="CU54" s="23" t="s">
        <v>2767</v>
      </c>
      <c r="CV54" s="23" t="s">
        <v>2767</v>
      </c>
      <c r="CW54" s="23" t="s">
        <v>1345</v>
      </c>
      <c r="CX54" s="26">
        <v>0.1</v>
      </c>
      <c r="CY54" s="26">
        <v>0.9</v>
      </c>
      <c r="CZ54" s="23" t="s">
        <v>2791</v>
      </c>
      <c r="DA54" s="23" t="s">
        <v>2874</v>
      </c>
      <c r="DB54" s="23" t="s">
        <v>1903</v>
      </c>
      <c r="DC54" s="23" t="s">
        <v>2836</v>
      </c>
      <c r="DD54" s="22" t="s">
        <v>2837</v>
      </c>
      <c r="DE54" s="23" t="s">
        <v>2838</v>
      </c>
      <c r="DF54" s="23" t="s">
        <v>2839</v>
      </c>
      <c r="DG54" s="23" t="s">
        <v>2891</v>
      </c>
      <c r="DH54" s="23" t="s">
        <v>2794</v>
      </c>
      <c r="DI54" s="23" t="s">
        <v>1556</v>
      </c>
      <c r="DJ54" s="23" t="s">
        <v>1556</v>
      </c>
      <c r="DK54" s="23" t="s">
        <v>1556</v>
      </c>
      <c r="DL54" s="23" t="s">
        <v>2795</v>
      </c>
      <c r="DM54" s="23" t="s">
        <v>2892</v>
      </c>
      <c r="DN54" s="23" t="s">
        <v>1345</v>
      </c>
      <c r="DO54" s="23" t="s">
        <v>2796</v>
      </c>
      <c r="DP54" s="23" t="s">
        <v>1349</v>
      </c>
      <c r="DQ54" s="23" t="s">
        <v>1358</v>
      </c>
      <c r="DR54" s="23" t="s">
        <v>1349</v>
      </c>
      <c r="DS54" s="23" t="s">
        <v>2300</v>
      </c>
      <c r="DT54" s="23" t="s">
        <v>2300</v>
      </c>
      <c r="DU54" s="23" t="s">
        <v>2300</v>
      </c>
      <c r="DV54" s="23" t="s">
        <v>1345</v>
      </c>
      <c r="DW54" s="23" t="s">
        <v>2797</v>
      </c>
      <c r="DX54" s="23" t="s">
        <v>1345</v>
      </c>
      <c r="DY54" s="23" t="s">
        <v>1349</v>
      </c>
      <c r="DZ54" s="23" t="s">
        <v>2322</v>
      </c>
      <c r="EA54" s="23" t="s">
        <v>1345</v>
      </c>
      <c r="EB54" s="23" t="s">
        <v>1345</v>
      </c>
      <c r="EC54" s="23" t="s">
        <v>1345</v>
      </c>
      <c r="ED54" s="23" t="s">
        <v>2353</v>
      </c>
      <c r="EE54" s="27">
        <v>0.1</v>
      </c>
      <c r="EF54" s="23" t="s">
        <v>2324</v>
      </c>
      <c r="EG54" s="23" t="s">
        <v>1342</v>
      </c>
      <c r="EH54" s="23" t="s">
        <v>2300</v>
      </c>
      <c r="EI54" s="23" t="s">
        <v>2326</v>
      </c>
      <c r="EJ54" s="22" t="s">
        <v>2853</v>
      </c>
      <c r="EK54" s="23" t="s">
        <v>2419</v>
      </c>
      <c r="EL54" s="23" t="s">
        <v>1389</v>
      </c>
      <c r="EM54" s="23">
        <v>3</v>
      </c>
      <c r="EN54" s="23" t="s">
        <v>2388</v>
      </c>
      <c r="EO54" s="23">
        <v>3</v>
      </c>
      <c r="EP54" s="23" t="s">
        <v>2841</v>
      </c>
      <c r="EQ54" s="23">
        <v>4</v>
      </c>
      <c r="ER54" s="22" t="s">
        <v>2331</v>
      </c>
      <c r="ES54" s="23">
        <v>4</v>
      </c>
      <c r="ET54" s="22" t="s">
        <v>2863</v>
      </c>
      <c r="EU54" s="23">
        <v>4</v>
      </c>
      <c r="EV54" s="22" t="s">
        <v>2508</v>
      </c>
      <c r="EW54" s="23">
        <v>1</v>
      </c>
      <c r="EX54" s="22" t="s">
        <v>2843</v>
      </c>
      <c r="EY54" s="23">
        <v>2</v>
      </c>
      <c r="EZ54" s="22" t="s">
        <v>2424</v>
      </c>
      <c r="FA54" s="22"/>
    </row>
    <row r="55" spans="1:157">
      <c r="A55" s="17">
        <v>468</v>
      </c>
      <c r="B55" s="17">
        <v>24</v>
      </c>
      <c r="C55" s="23" t="s">
        <v>2278</v>
      </c>
      <c r="D55" s="24">
        <v>43759</v>
      </c>
      <c r="E55" s="23" t="s">
        <v>2814</v>
      </c>
      <c r="F55" s="25"/>
      <c r="G55" s="25"/>
      <c r="H55" s="23" t="s">
        <v>1086</v>
      </c>
      <c r="I55" s="23" t="s">
        <v>1065</v>
      </c>
      <c r="J55" s="23" t="s">
        <v>2833</v>
      </c>
      <c r="K55" s="23" t="s">
        <v>2834</v>
      </c>
      <c r="L55" s="23">
        <v>46</v>
      </c>
      <c r="M55" s="23" t="s">
        <v>2393</v>
      </c>
      <c r="N55" s="23" t="s">
        <v>1541</v>
      </c>
      <c r="O55" s="23" t="s">
        <v>2864</v>
      </c>
      <c r="P55" s="23" t="s">
        <v>582</v>
      </c>
      <c r="Q55" s="23">
        <v>67859372</v>
      </c>
      <c r="R55" s="23" t="s">
        <v>1345</v>
      </c>
      <c r="S55" s="23">
        <v>3</v>
      </c>
      <c r="T55" s="23" t="s">
        <v>2285</v>
      </c>
      <c r="U55" s="23">
        <v>2014</v>
      </c>
      <c r="V55" s="23" t="s">
        <v>2787</v>
      </c>
      <c r="W55" s="23" t="s">
        <v>2359</v>
      </c>
      <c r="X55" s="23" t="s">
        <v>1345</v>
      </c>
      <c r="Y55" s="23">
        <v>2018</v>
      </c>
      <c r="Z55" s="23" t="s">
        <v>2288</v>
      </c>
      <c r="AA55" s="32">
        <v>36</v>
      </c>
      <c r="AB55" s="23" t="s">
        <v>1383</v>
      </c>
      <c r="AC55" s="23">
        <v>3</v>
      </c>
      <c r="AD55" s="32" t="s">
        <v>1345</v>
      </c>
      <c r="AE55" s="23" t="s">
        <v>1345</v>
      </c>
      <c r="AF55" s="23" t="s">
        <v>1349</v>
      </c>
      <c r="AG55" s="23" t="s">
        <v>1349</v>
      </c>
      <c r="AH55" s="23" t="s">
        <v>2788</v>
      </c>
      <c r="AI55" s="23">
        <v>2014</v>
      </c>
      <c r="AJ55" s="78" t="s">
        <v>1345</v>
      </c>
      <c r="AK55" s="23" t="s">
        <v>2290</v>
      </c>
      <c r="AL55" s="23" t="s">
        <v>1612</v>
      </c>
      <c r="AM55" s="23" t="s">
        <v>1612</v>
      </c>
      <c r="AN55" s="23" t="s">
        <v>1612</v>
      </c>
      <c r="AO55" s="23" t="s">
        <v>1612</v>
      </c>
      <c r="AP55" s="23" t="s">
        <v>1612</v>
      </c>
      <c r="AQ55" s="23" t="s">
        <v>2291</v>
      </c>
      <c r="AR55" s="23" t="s">
        <v>2291</v>
      </c>
      <c r="AS55" s="23" t="s">
        <v>1802</v>
      </c>
      <c r="AT55" s="23" t="s">
        <v>1358</v>
      </c>
      <c r="AU55" s="23" t="s">
        <v>2865</v>
      </c>
      <c r="AV55" s="22" t="s">
        <v>2789</v>
      </c>
      <c r="AW55" s="23" t="s">
        <v>2860</v>
      </c>
      <c r="AX55" s="23" t="s">
        <v>2847</v>
      </c>
      <c r="AY55" s="23" t="s">
        <v>1349</v>
      </c>
      <c r="AZ55" s="23" t="s">
        <v>2361</v>
      </c>
      <c r="BA55" s="23" t="s">
        <v>2361</v>
      </c>
      <c r="BB55" s="23" t="s">
        <v>2289</v>
      </c>
      <c r="BC55" s="23" t="s">
        <v>2289</v>
      </c>
      <c r="BD55" s="23" t="s">
        <v>2289</v>
      </c>
      <c r="BE55" s="23" t="s">
        <v>2834</v>
      </c>
      <c r="BF55" s="23" t="s">
        <v>2300</v>
      </c>
      <c r="BG55" s="23" t="s">
        <v>2300</v>
      </c>
      <c r="BH55" s="22">
        <v>6</v>
      </c>
      <c r="BI55" s="22">
        <v>6.5</v>
      </c>
      <c r="BJ55" s="22">
        <v>7</v>
      </c>
      <c r="BK55" s="23" t="s">
        <v>2594</v>
      </c>
      <c r="BL55" s="23" t="s">
        <v>2594</v>
      </c>
      <c r="BM55" s="23" t="s">
        <v>2594</v>
      </c>
      <c r="BN55" s="23" t="s">
        <v>1349</v>
      </c>
      <c r="BO55" s="23" t="s">
        <v>2300</v>
      </c>
      <c r="BP55" s="23" t="s">
        <v>2300</v>
      </c>
      <c r="BQ55" s="23" t="s">
        <v>1349</v>
      </c>
      <c r="BR55" s="23" t="s">
        <v>1349</v>
      </c>
      <c r="BS55" s="23" t="s">
        <v>1804</v>
      </c>
      <c r="BT55" s="23" t="s">
        <v>1345</v>
      </c>
      <c r="BU55" s="23" t="s">
        <v>1358</v>
      </c>
      <c r="BV55" s="23" t="s">
        <v>1349</v>
      </c>
      <c r="BW55" s="23" t="s">
        <v>2300</v>
      </c>
      <c r="BX55" s="23" t="s">
        <v>1349</v>
      </c>
      <c r="BY55" s="23" t="s">
        <v>1565</v>
      </c>
      <c r="BZ55" s="23" t="s">
        <v>2300</v>
      </c>
      <c r="CA55" s="23" t="s">
        <v>2300</v>
      </c>
      <c r="CB55" s="23" t="s">
        <v>2289</v>
      </c>
      <c r="CC55" s="23" t="s">
        <v>2289</v>
      </c>
      <c r="CD55" s="23" t="s">
        <v>2289</v>
      </c>
      <c r="CE55" s="23">
        <v>8400</v>
      </c>
      <c r="CF55" s="23">
        <v>6000</v>
      </c>
      <c r="CG55" s="23">
        <v>10800</v>
      </c>
      <c r="CH55" s="23">
        <v>40</v>
      </c>
      <c r="CI55" s="23">
        <v>40</v>
      </c>
      <c r="CJ55" s="23">
        <v>40</v>
      </c>
      <c r="CK55" s="27">
        <v>1</v>
      </c>
      <c r="CL55" s="27">
        <v>1</v>
      </c>
      <c r="CM55" s="27">
        <v>0</v>
      </c>
      <c r="CN55" s="27">
        <v>0</v>
      </c>
      <c r="CO55" s="23" t="s">
        <v>2307</v>
      </c>
      <c r="CP55" s="23" t="s">
        <v>1565</v>
      </c>
      <c r="CQ55" s="23" t="s">
        <v>1565</v>
      </c>
      <c r="CR55" s="23" t="s">
        <v>2767</v>
      </c>
      <c r="CS55" s="23" t="s">
        <v>1706</v>
      </c>
      <c r="CT55" s="23" t="s">
        <v>2767</v>
      </c>
      <c r="CU55" s="23" t="s">
        <v>2767</v>
      </c>
      <c r="CV55" s="23" t="s">
        <v>2767</v>
      </c>
      <c r="CW55" s="23" t="s">
        <v>1345</v>
      </c>
      <c r="CX55" s="26">
        <v>0.05</v>
      </c>
      <c r="CY55" s="27">
        <v>0.95</v>
      </c>
      <c r="CZ55" s="23" t="s">
        <v>2791</v>
      </c>
      <c r="DA55" s="23" t="s">
        <v>2494</v>
      </c>
      <c r="DB55" s="23" t="s">
        <v>1903</v>
      </c>
      <c r="DC55" s="23" t="s">
        <v>2836</v>
      </c>
      <c r="DD55" s="22" t="s">
        <v>2837</v>
      </c>
      <c r="DE55" s="23" t="s">
        <v>2838</v>
      </c>
      <c r="DF55" s="23" t="s">
        <v>2839</v>
      </c>
      <c r="DG55" s="23" t="s">
        <v>2866</v>
      </c>
      <c r="DH55" s="23" t="s">
        <v>2794</v>
      </c>
      <c r="DI55" s="23" t="s">
        <v>1556</v>
      </c>
      <c r="DJ55" s="23" t="s">
        <v>1556</v>
      </c>
      <c r="DK55" s="23" t="s">
        <v>1556</v>
      </c>
      <c r="DL55" s="23" t="s">
        <v>2795</v>
      </c>
      <c r="DM55" s="23" t="s">
        <v>2852</v>
      </c>
      <c r="DN55" s="23" t="s">
        <v>1345</v>
      </c>
      <c r="DO55" s="23" t="s">
        <v>2796</v>
      </c>
      <c r="DP55" s="23" t="s">
        <v>1349</v>
      </c>
      <c r="DQ55" s="23" t="s">
        <v>1358</v>
      </c>
      <c r="DR55" s="23" t="s">
        <v>1349</v>
      </c>
      <c r="DS55" s="23" t="s">
        <v>2300</v>
      </c>
      <c r="DT55" s="23" t="s">
        <v>2300</v>
      </c>
      <c r="DU55" s="23" t="s">
        <v>2300</v>
      </c>
      <c r="DV55" s="23" t="s">
        <v>1345</v>
      </c>
      <c r="DW55" s="23" t="s">
        <v>2797</v>
      </c>
      <c r="DX55" s="23" t="s">
        <v>1345</v>
      </c>
      <c r="DY55" s="23" t="s">
        <v>1349</v>
      </c>
      <c r="DZ55" s="23" t="s">
        <v>2322</v>
      </c>
      <c r="EA55" s="23" t="s">
        <v>1345</v>
      </c>
      <c r="EB55" s="23" t="s">
        <v>1345</v>
      </c>
      <c r="EC55" s="23" t="s">
        <v>1345</v>
      </c>
      <c r="ED55" s="23" t="s">
        <v>2353</v>
      </c>
      <c r="EE55" s="27">
        <v>0.05</v>
      </c>
      <c r="EF55" s="23" t="s">
        <v>2324</v>
      </c>
      <c r="EG55" s="23" t="s">
        <v>1342</v>
      </c>
      <c r="EH55" s="23" t="s">
        <v>2300</v>
      </c>
      <c r="EI55" s="23" t="s">
        <v>2326</v>
      </c>
      <c r="EJ55" s="22" t="s">
        <v>2853</v>
      </c>
      <c r="EK55" s="23" t="s">
        <v>2419</v>
      </c>
      <c r="EL55" s="23" t="s">
        <v>1389</v>
      </c>
      <c r="EM55" s="23">
        <v>4</v>
      </c>
      <c r="EN55" s="23" t="s">
        <v>2388</v>
      </c>
      <c r="EO55" s="23">
        <v>3</v>
      </c>
      <c r="EP55" s="23" t="s">
        <v>2862</v>
      </c>
      <c r="EQ55" s="23">
        <v>4</v>
      </c>
      <c r="ER55" s="22" t="s">
        <v>2331</v>
      </c>
      <c r="ES55" s="23">
        <v>4</v>
      </c>
      <c r="ET55" s="22" t="s">
        <v>2863</v>
      </c>
      <c r="EU55" s="23">
        <v>4</v>
      </c>
      <c r="EV55" s="22" t="s">
        <v>2508</v>
      </c>
      <c r="EW55" s="23">
        <v>1</v>
      </c>
      <c r="EX55" s="22" t="s">
        <v>2843</v>
      </c>
      <c r="EY55" s="23">
        <v>2</v>
      </c>
      <c r="EZ55" s="22" t="s">
        <v>2424</v>
      </c>
      <c r="FA55" s="22"/>
    </row>
    <row r="56" spans="1:157">
      <c r="A56" s="17">
        <v>469</v>
      </c>
      <c r="B56" s="17">
        <v>71</v>
      </c>
      <c r="C56" s="38" t="s">
        <v>1795</v>
      </c>
      <c r="D56" s="39">
        <v>43749</v>
      </c>
      <c r="E56" s="38" t="s">
        <v>1080</v>
      </c>
      <c r="F56" s="40" t="s">
        <v>1728</v>
      </c>
      <c r="G56" s="40" t="s">
        <v>507</v>
      </c>
      <c r="H56" s="38" t="s">
        <v>3292</v>
      </c>
      <c r="I56" s="38" t="s">
        <v>3293</v>
      </c>
      <c r="J56" s="38" t="s">
        <v>507</v>
      </c>
      <c r="K56" s="38" t="s">
        <v>3555</v>
      </c>
      <c r="L56" s="41">
        <v>1</v>
      </c>
      <c r="M56" s="38" t="s">
        <v>2181</v>
      </c>
      <c r="N56" s="38" t="s">
        <v>1343</v>
      </c>
      <c r="O56" s="38" t="s">
        <v>3556</v>
      </c>
      <c r="P56" s="38" t="s">
        <v>3557</v>
      </c>
      <c r="Q56" s="38">
        <v>62995573</v>
      </c>
      <c r="R56" s="38" t="s">
        <v>1345</v>
      </c>
      <c r="S56" s="38">
        <v>7</v>
      </c>
      <c r="T56" s="38" t="s">
        <v>1346</v>
      </c>
      <c r="U56" s="38">
        <v>1995</v>
      </c>
      <c r="V56" s="42" t="s">
        <v>3558</v>
      </c>
      <c r="W56" s="38" t="s">
        <v>3559</v>
      </c>
      <c r="X56" s="38" t="s">
        <v>1349</v>
      </c>
      <c r="Y56" s="38"/>
      <c r="Z56" s="38"/>
      <c r="AA56" s="38">
        <v>55</v>
      </c>
      <c r="AB56" s="38" t="s">
        <v>1345</v>
      </c>
      <c r="AC56" s="38">
        <v>0</v>
      </c>
      <c r="AD56" s="38" t="s">
        <v>1345</v>
      </c>
      <c r="AE56" s="38" t="s">
        <v>1349</v>
      </c>
      <c r="AF56" s="38" t="s">
        <v>1349</v>
      </c>
      <c r="AG56" s="38" t="s">
        <v>1349</v>
      </c>
      <c r="AH56" s="38" t="s">
        <v>1358</v>
      </c>
      <c r="AI56" s="38" t="s">
        <v>3388</v>
      </c>
      <c r="AJ56" s="38" t="s">
        <v>1349</v>
      </c>
      <c r="AK56" s="38" t="s">
        <v>3560</v>
      </c>
      <c r="AL56" s="38" t="s">
        <v>1550</v>
      </c>
      <c r="AM56" s="38" t="s">
        <v>1550</v>
      </c>
      <c r="AN56" s="38" t="s">
        <v>1550</v>
      </c>
      <c r="AO56" s="38" t="s">
        <v>1550</v>
      </c>
      <c r="AP56" s="38" t="s">
        <v>1550</v>
      </c>
      <c r="AQ56" s="38" t="s">
        <v>1352</v>
      </c>
      <c r="AR56" s="38" t="s">
        <v>3451</v>
      </c>
      <c r="AS56" s="38" t="s">
        <v>1550</v>
      </c>
      <c r="AT56" s="38" t="s">
        <v>1804</v>
      </c>
      <c r="AU56" s="42"/>
      <c r="AV56" s="38">
        <v>1000</v>
      </c>
      <c r="AW56" s="38" t="s">
        <v>3561</v>
      </c>
      <c r="AX56" s="38" t="s">
        <v>3562</v>
      </c>
      <c r="AY56" s="38" t="s">
        <v>1345</v>
      </c>
      <c r="AZ56" s="38" t="s">
        <v>1904</v>
      </c>
      <c r="BA56" s="38" t="s">
        <v>1904</v>
      </c>
      <c r="BB56" s="38" t="s">
        <v>1358</v>
      </c>
      <c r="BC56" s="38" t="s">
        <v>1358</v>
      </c>
      <c r="BD56" s="38" t="s">
        <v>1358</v>
      </c>
      <c r="BE56" s="38" t="s">
        <v>1810</v>
      </c>
      <c r="BF56" s="42"/>
      <c r="BG56" s="42"/>
      <c r="BH56" s="38">
        <v>5</v>
      </c>
      <c r="BI56" s="38">
        <v>5</v>
      </c>
      <c r="BJ56" s="38">
        <v>10</v>
      </c>
      <c r="BK56" s="38" t="s">
        <v>3563</v>
      </c>
      <c r="BL56" s="38" t="s">
        <v>3483</v>
      </c>
      <c r="BM56" s="38" t="s">
        <v>3483</v>
      </c>
      <c r="BN56" s="38" t="s">
        <v>1349</v>
      </c>
      <c r="BO56" s="42"/>
      <c r="BP56" s="42"/>
      <c r="BQ56" s="38" t="s">
        <v>1345</v>
      </c>
      <c r="BR56" s="38" t="s">
        <v>1345</v>
      </c>
      <c r="BS56" s="38" t="s">
        <v>1358</v>
      </c>
      <c r="BT56" s="38" t="s">
        <v>1345</v>
      </c>
      <c r="BU56" s="38" t="s">
        <v>3564</v>
      </c>
      <c r="BV56" s="38" t="s">
        <v>1349</v>
      </c>
      <c r="BW56" s="42"/>
      <c r="BX56" s="38" t="s">
        <v>1345</v>
      </c>
      <c r="BY56" s="38" t="s">
        <v>1362</v>
      </c>
      <c r="BZ56" s="38" t="s">
        <v>3565</v>
      </c>
      <c r="CA56" s="38" t="s">
        <v>3555</v>
      </c>
      <c r="CB56" s="38" t="s">
        <v>1935</v>
      </c>
      <c r="CC56" s="38" t="s">
        <v>1935</v>
      </c>
      <c r="CD56" s="38" t="s">
        <v>1935</v>
      </c>
      <c r="CE56" s="38" t="s">
        <v>3566</v>
      </c>
      <c r="CF56" s="42"/>
      <c r="CG56" s="42"/>
      <c r="CH56" s="38" t="s">
        <v>3567</v>
      </c>
      <c r="CI56" s="42"/>
      <c r="CJ56" s="42"/>
      <c r="CK56" s="42" t="s">
        <v>1904</v>
      </c>
      <c r="CL56" s="43">
        <v>0.8</v>
      </c>
      <c r="CM56" s="42" t="s">
        <v>1904</v>
      </c>
      <c r="CN56" s="43">
        <v>0.2</v>
      </c>
      <c r="CO56" s="38" t="s">
        <v>3451</v>
      </c>
      <c r="CP56" s="42"/>
      <c r="CQ56" s="42"/>
      <c r="CR56" s="42"/>
      <c r="CS56" s="42"/>
      <c r="CT56" s="42"/>
      <c r="CU56" s="38"/>
      <c r="CV56" s="42"/>
      <c r="CW56" s="38" t="s">
        <v>1345</v>
      </c>
      <c r="CX56" s="43">
        <v>0.2</v>
      </c>
      <c r="CY56" s="43">
        <v>0.75</v>
      </c>
      <c r="CZ56" s="42" t="s">
        <v>3568</v>
      </c>
      <c r="DA56" s="42" t="s">
        <v>1822</v>
      </c>
      <c r="DB56" s="42" t="s">
        <v>3569</v>
      </c>
      <c r="DC56" s="42" t="s">
        <v>2204</v>
      </c>
      <c r="DD56" s="42" t="s">
        <v>3570</v>
      </c>
      <c r="DE56" s="42" t="s">
        <v>3571</v>
      </c>
      <c r="DF56" s="42" t="s">
        <v>3409</v>
      </c>
      <c r="DG56" s="42" t="s">
        <v>3572</v>
      </c>
      <c r="DH56" s="42" t="s">
        <v>3573</v>
      </c>
      <c r="DI56" s="42" t="s">
        <v>3574</v>
      </c>
      <c r="DJ56" s="42" t="s">
        <v>3575</v>
      </c>
      <c r="DK56" s="42" t="s">
        <v>3576</v>
      </c>
      <c r="DL56" s="42" t="s">
        <v>3577</v>
      </c>
      <c r="DM56" s="42"/>
      <c r="DN56" s="38" t="s">
        <v>1349</v>
      </c>
      <c r="DO56" s="42" t="s">
        <v>1358</v>
      </c>
      <c r="DP56" s="38" t="s">
        <v>1349</v>
      </c>
      <c r="DQ56" s="42" t="s">
        <v>1358</v>
      </c>
      <c r="DR56" s="38" t="s">
        <v>1349</v>
      </c>
      <c r="DS56" s="42"/>
      <c r="DT56" s="42"/>
      <c r="DU56" s="42"/>
      <c r="DV56" s="38" t="s">
        <v>1345</v>
      </c>
      <c r="DW56" s="42" t="s">
        <v>3528</v>
      </c>
      <c r="DX56" s="38" t="s">
        <v>1345</v>
      </c>
      <c r="DY56" s="38" t="s">
        <v>1349</v>
      </c>
      <c r="DZ56" s="38" t="s">
        <v>3578</v>
      </c>
      <c r="EA56" s="38" t="s">
        <v>1345</v>
      </c>
      <c r="EB56" s="38" t="s">
        <v>1345</v>
      </c>
      <c r="EC56" s="38" t="s">
        <v>1345</v>
      </c>
      <c r="ED56" s="38" t="s">
        <v>3579</v>
      </c>
      <c r="EE56" s="43">
        <v>0.5</v>
      </c>
      <c r="EF56" s="38" t="s">
        <v>3580</v>
      </c>
      <c r="EG56" s="38" t="s">
        <v>1349</v>
      </c>
      <c r="EH56" s="42"/>
      <c r="EI56" s="38" t="s">
        <v>3581</v>
      </c>
      <c r="EJ56" s="38" t="s">
        <v>3582</v>
      </c>
      <c r="EK56" s="38" t="s">
        <v>3583</v>
      </c>
      <c r="EL56" s="38" t="s">
        <v>1389</v>
      </c>
      <c r="EM56" s="38">
        <v>2</v>
      </c>
      <c r="EN56" s="38" t="s">
        <v>3584</v>
      </c>
      <c r="EO56" s="38">
        <v>1</v>
      </c>
      <c r="EP56" s="38" t="s">
        <v>3585</v>
      </c>
      <c r="EQ56" s="38">
        <v>3</v>
      </c>
      <c r="ER56" s="42" t="s">
        <v>3586</v>
      </c>
      <c r="ES56" s="38">
        <v>3</v>
      </c>
      <c r="ET56" s="38" t="s">
        <v>3587</v>
      </c>
      <c r="EU56" s="38">
        <v>2</v>
      </c>
      <c r="EV56" s="42" t="s">
        <v>3588</v>
      </c>
      <c r="EW56" s="38">
        <v>3</v>
      </c>
      <c r="EX56" s="42" t="s">
        <v>3589</v>
      </c>
      <c r="EY56" s="38">
        <v>1</v>
      </c>
      <c r="EZ56" s="42" t="s">
        <v>3590</v>
      </c>
      <c r="FA56" s="22"/>
    </row>
    <row r="57" spans="1:157">
      <c r="A57" s="17">
        <v>470</v>
      </c>
      <c r="B57" s="17">
        <v>79</v>
      </c>
      <c r="C57" s="38" t="s">
        <v>1795</v>
      </c>
      <c r="D57" s="39">
        <v>43754</v>
      </c>
      <c r="E57" s="38" t="s">
        <v>3439</v>
      </c>
      <c r="F57" s="40" t="s">
        <v>1728</v>
      </c>
      <c r="G57" s="40" t="s">
        <v>507</v>
      </c>
      <c r="H57" s="38" t="s">
        <v>3292</v>
      </c>
      <c r="I57" s="38" t="s">
        <v>3293</v>
      </c>
      <c r="J57" s="38" t="s">
        <v>507</v>
      </c>
      <c r="K57" s="38" t="s">
        <v>3198</v>
      </c>
      <c r="L57" s="41">
        <v>1</v>
      </c>
      <c r="M57" s="38" t="s">
        <v>2181</v>
      </c>
      <c r="N57" s="38" t="s">
        <v>1343</v>
      </c>
      <c r="O57" s="38" t="s">
        <v>3556</v>
      </c>
      <c r="P57" s="38" t="s">
        <v>3686</v>
      </c>
      <c r="Q57" s="38">
        <v>73648338</v>
      </c>
      <c r="R57" s="38" t="s">
        <v>1345</v>
      </c>
      <c r="S57" s="38">
        <v>7</v>
      </c>
      <c r="T57" s="38" t="s">
        <v>1346</v>
      </c>
      <c r="U57" s="38"/>
      <c r="V57" s="42" t="s">
        <v>3687</v>
      </c>
      <c r="W57" s="38" t="s">
        <v>3688</v>
      </c>
      <c r="X57" s="38" t="s">
        <v>1349</v>
      </c>
      <c r="Y57" s="38"/>
      <c r="Z57" s="38"/>
      <c r="AA57" s="38">
        <v>30</v>
      </c>
      <c r="AB57" s="38" t="s">
        <v>1345</v>
      </c>
      <c r="AC57" s="38">
        <v>0</v>
      </c>
      <c r="AD57" s="38" t="s">
        <v>1345</v>
      </c>
      <c r="AE57" s="38" t="s">
        <v>1345</v>
      </c>
      <c r="AF57" s="38" t="s">
        <v>1345</v>
      </c>
      <c r="AG57" s="38" t="s">
        <v>1345</v>
      </c>
      <c r="AH57" s="38" t="s">
        <v>1358</v>
      </c>
      <c r="AI57" s="38">
        <v>2014</v>
      </c>
      <c r="AJ57" s="38" t="s">
        <v>1349</v>
      </c>
      <c r="AK57" s="38" t="s">
        <v>3297</v>
      </c>
      <c r="AL57" s="38" t="s">
        <v>1550</v>
      </c>
      <c r="AM57" s="38" t="s">
        <v>1550</v>
      </c>
      <c r="AN57" s="38" t="s">
        <v>1550</v>
      </c>
      <c r="AO57" s="38" t="s">
        <v>1550</v>
      </c>
      <c r="AP57" s="38" t="s">
        <v>1550</v>
      </c>
      <c r="AQ57" s="38" t="s">
        <v>1352</v>
      </c>
      <c r="AR57" s="38" t="s">
        <v>1352</v>
      </c>
      <c r="AS57" s="38" t="s">
        <v>1550</v>
      </c>
      <c r="AT57" s="38" t="s">
        <v>1804</v>
      </c>
      <c r="AU57" s="42"/>
      <c r="AV57" s="38">
        <v>4000</v>
      </c>
      <c r="AW57" s="38" t="s">
        <v>3689</v>
      </c>
      <c r="AX57" s="42"/>
      <c r="AY57" s="38" t="s">
        <v>1345</v>
      </c>
      <c r="AZ57" s="38" t="s">
        <v>3690</v>
      </c>
      <c r="BA57" s="38" t="s">
        <v>3691</v>
      </c>
      <c r="BB57" s="38" t="s">
        <v>1358</v>
      </c>
      <c r="BC57" s="38" t="s">
        <v>1358</v>
      </c>
      <c r="BD57" s="38" t="s">
        <v>1358</v>
      </c>
      <c r="BE57" s="38" t="s">
        <v>1358</v>
      </c>
      <c r="BF57" s="42"/>
      <c r="BG57" s="42"/>
      <c r="BH57" s="38">
        <v>2.5</v>
      </c>
      <c r="BI57" s="38">
        <v>2.5</v>
      </c>
      <c r="BJ57" s="38">
        <v>8</v>
      </c>
      <c r="BK57" s="38" t="s">
        <v>3598</v>
      </c>
      <c r="BL57" s="38" t="s">
        <v>3598</v>
      </c>
      <c r="BM57" s="38" t="s">
        <v>3598</v>
      </c>
      <c r="BN57" s="38" t="s">
        <v>1349</v>
      </c>
      <c r="BO57" s="42"/>
      <c r="BP57" s="42"/>
      <c r="BQ57" s="38" t="s">
        <v>1345</v>
      </c>
      <c r="BR57" s="38" t="s">
        <v>1345</v>
      </c>
      <c r="BS57" s="38" t="s">
        <v>1345</v>
      </c>
      <c r="BT57" s="38" t="s">
        <v>1345</v>
      </c>
      <c r="BU57" s="38" t="s">
        <v>3692</v>
      </c>
      <c r="BV57" s="38" t="s">
        <v>1349</v>
      </c>
      <c r="BW57" s="42"/>
      <c r="BX57" s="38" t="s">
        <v>1345</v>
      </c>
      <c r="BY57" s="38" t="s">
        <v>1362</v>
      </c>
      <c r="BZ57" s="38" t="s">
        <v>3693</v>
      </c>
      <c r="CA57" s="38" t="s">
        <v>3694</v>
      </c>
      <c r="CB57" s="38" t="s">
        <v>1935</v>
      </c>
      <c r="CC57" s="38" t="s">
        <v>1935</v>
      </c>
      <c r="CD57" s="38" t="s">
        <v>1935</v>
      </c>
      <c r="CE57" s="38" t="s">
        <v>1904</v>
      </c>
      <c r="CF57" s="38">
        <v>4500</v>
      </c>
      <c r="CG57" s="38">
        <v>6000</v>
      </c>
      <c r="CH57" s="42"/>
      <c r="CI57" s="38">
        <v>60</v>
      </c>
      <c r="CJ57" s="38">
        <v>100</v>
      </c>
      <c r="CK57" s="42"/>
      <c r="CL57" s="79">
        <v>0.8</v>
      </c>
      <c r="CM57" s="42"/>
      <c r="CN57" s="79">
        <v>0.2</v>
      </c>
      <c r="CO57" s="38" t="s">
        <v>1365</v>
      </c>
      <c r="CP57" s="38" t="s">
        <v>1366</v>
      </c>
      <c r="CQ57" s="38" t="s">
        <v>1367</v>
      </c>
      <c r="CR57" s="38" t="s">
        <v>3695</v>
      </c>
      <c r="CS57" s="42"/>
      <c r="CT57" s="38" t="s">
        <v>3696</v>
      </c>
      <c r="CU57" s="38" t="s">
        <v>1349</v>
      </c>
      <c r="CV57" s="38" t="s">
        <v>3697</v>
      </c>
      <c r="CW57" s="38" t="s">
        <v>1345</v>
      </c>
      <c r="CX57" s="43">
        <v>0.1</v>
      </c>
      <c r="CY57" s="43">
        <v>0.85</v>
      </c>
      <c r="CZ57" s="38" t="s">
        <v>3568</v>
      </c>
      <c r="DA57" s="38" t="s">
        <v>3549</v>
      </c>
      <c r="DB57" s="38" t="s">
        <v>3698</v>
      </c>
      <c r="DC57" s="38" t="s">
        <v>1824</v>
      </c>
      <c r="DD57" s="38" t="s">
        <v>1976</v>
      </c>
      <c r="DE57" s="38" t="s">
        <v>3637</v>
      </c>
      <c r="DF57" s="38" t="s">
        <v>3430</v>
      </c>
      <c r="DG57" s="38" t="s">
        <v>1904</v>
      </c>
      <c r="DH57" s="42" t="s">
        <v>3573</v>
      </c>
      <c r="DI57" s="38" t="s">
        <v>3699</v>
      </c>
      <c r="DJ57" s="38" t="s">
        <v>3699</v>
      </c>
      <c r="DK57" s="38" t="s">
        <v>3699</v>
      </c>
      <c r="DL57" s="38" t="s">
        <v>3700</v>
      </c>
      <c r="DM57" s="38" t="s">
        <v>3700</v>
      </c>
      <c r="DN57" s="38" t="s">
        <v>1349</v>
      </c>
      <c r="DO57" s="42" t="s">
        <v>1358</v>
      </c>
      <c r="DP57" s="38" t="s">
        <v>1349</v>
      </c>
      <c r="DQ57" s="42" t="s">
        <v>1358</v>
      </c>
      <c r="DR57" s="38" t="s">
        <v>1349</v>
      </c>
      <c r="DS57" s="42"/>
      <c r="DT57" s="42"/>
      <c r="DU57" s="42"/>
      <c r="DV57" s="38" t="s">
        <v>1345</v>
      </c>
      <c r="DW57" s="42" t="s">
        <v>1904</v>
      </c>
      <c r="DX57" s="38" t="s">
        <v>1345</v>
      </c>
      <c r="DY57" s="38" t="s">
        <v>1349</v>
      </c>
      <c r="DZ57" s="38" t="s">
        <v>3701</v>
      </c>
      <c r="EA57" s="38" t="s">
        <v>1345</v>
      </c>
      <c r="EB57" s="38" t="s">
        <v>1345</v>
      </c>
      <c r="EC57" s="38" t="s">
        <v>1345</v>
      </c>
      <c r="ED57" s="38" t="s">
        <v>3665</v>
      </c>
      <c r="EE57" s="43">
        <v>0.2</v>
      </c>
      <c r="EF57" s="38" t="s">
        <v>3684</v>
      </c>
      <c r="EG57" s="38" t="s">
        <v>1349</v>
      </c>
      <c r="EH57" s="42"/>
      <c r="EI57" s="38" t="s">
        <v>3611</v>
      </c>
      <c r="EJ57" s="38" t="s">
        <v>3582</v>
      </c>
      <c r="EK57" s="38" t="s">
        <v>3613</v>
      </c>
      <c r="EL57" s="38" t="s">
        <v>1389</v>
      </c>
      <c r="EM57" s="38">
        <v>3</v>
      </c>
      <c r="EN57" s="38" t="s">
        <v>3666</v>
      </c>
      <c r="EO57" s="38">
        <v>3</v>
      </c>
      <c r="EP57" s="38" t="s">
        <v>3702</v>
      </c>
      <c r="EQ57" s="38">
        <v>3</v>
      </c>
      <c r="ER57" s="42" t="s">
        <v>3586</v>
      </c>
      <c r="ES57" s="38">
        <v>3</v>
      </c>
      <c r="ET57" s="38" t="s">
        <v>3703</v>
      </c>
      <c r="EU57" s="38">
        <v>2</v>
      </c>
      <c r="EV57" s="42" t="s">
        <v>3588</v>
      </c>
      <c r="EW57" s="38">
        <v>3</v>
      </c>
      <c r="EX57" s="42" t="s">
        <v>3589</v>
      </c>
      <c r="EY57" s="38">
        <v>1</v>
      </c>
      <c r="EZ57" s="42" t="s">
        <v>3590</v>
      </c>
      <c r="FA57" s="22"/>
    </row>
    <row r="58" spans="1:157">
      <c r="A58" s="17">
        <v>471</v>
      </c>
      <c r="B58" s="17">
        <v>55</v>
      </c>
      <c r="C58" s="23" t="s">
        <v>1337</v>
      </c>
      <c r="D58" s="24">
        <v>43759</v>
      </c>
      <c r="E58" s="23" t="s">
        <v>3245</v>
      </c>
      <c r="F58" s="25" t="e">
        <v>#N/A</v>
      </c>
      <c r="G58" s="25" t="s">
        <v>3198</v>
      </c>
      <c r="H58" s="23" t="s">
        <v>1086</v>
      </c>
      <c r="I58" s="23" t="s">
        <v>1065</v>
      </c>
      <c r="J58" s="23" t="s">
        <v>507</v>
      </c>
      <c r="K58" s="23" t="s">
        <v>1080</v>
      </c>
      <c r="L58" s="23">
        <v>0.5</v>
      </c>
      <c r="M58" s="23" t="s">
        <v>3246</v>
      </c>
      <c r="N58" s="23" t="s">
        <v>1541</v>
      </c>
      <c r="O58" s="23" t="s">
        <v>3247</v>
      </c>
      <c r="P58" s="23" t="s">
        <v>3248</v>
      </c>
      <c r="Q58" s="23" t="s">
        <v>3249</v>
      </c>
      <c r="R58" s="23" t="s">
        <v>1345</v>
      </c>
      <c r="S58" s="23">
        <v>3</v>
      </c>
      <c r="T58" s="23" t="s">
        <v>1346</v>
      </c>
      <c r="U58" s="23">
        <v>2014</v>
      </c>
      <c r="V58" s="23" t="s">
        <v>3202</v>
      </c>
      <c r="W58" s="23" t="s">
        <v>3203</v>
      </c>
      <c r="X58" s="23" t="s">
        <v>1345</v>
      </c>
      <c r="Y58" s="23">
        <v>2019</v>
      </c>
      <c r="Z58" s="23" t="s">
        <v>1547</v>
      </c>
      <c r="AA58" s="32">
        <v>34</v>
      </c>
      <c r="AB58" s="23" t="s">
        <v>1349</v>
      </c>
      <c r="AC58" s="23" t="s">
        <v>3250</v>
      </c>
      <c r="AD58" s="32" t="s">
        <v>1345</v>
      </c>
      <c r="AE58" s="23" t="s">
        <v>1345</v>
      </c>
      <c r="AF58" s="23" t="s">
        <v>1349</v>
      </c>
      <c r="AG58" s="23" t="s">
        <v>1349</v>
      </c>
      <c r="AH58" s="22"/>
      <c r="AI58" s="23">
        <v>2015</v>
      </c>
      <c r="AJ58" s="23" t="s">
        <v>1349</v>
      </c>
      <c r="AK58" s="22" t="s">
        <v>3205</v>
      </c>
      <c r="AL58" s="22" t="s">
        <v>1802</v>
      </c>
      <c r="AM58" s="22" t="s">
        <v>1802</v>
      </c>
      <c r="AN58" s="22" t="s">
        <v>1802</v>
      </c>
      <c r="AO58" s="22" t="s">
        <v>1802</v>
      </c>
      <c r="AP58" s="22" t="s">
        <v>1802</v>
      </c>
      <c r="AQ58" s="22" t="s">
        <v>1352</v>
      </c>
      <c r="AR58" s="22" t="s">
        <v>1352</v>
      </c>
      <c r="AS58" s="22" t="s">
        <v>1802</v>
      </c>
      <c r="AT58" s="22"/>
      <c r="AU58" s="22" t="s">
        <v>1897</v>
      </c>
      <c r="AV58" s="22">
        <v>1250</v>
      </c>
      <c r="AW58" s="22" t="s">
        <v>3235</v>
      </c>
      <c r="AX58" s="22" t="s">
        <v>3236</v>
      </c>
      <c r="AY58" s="23"/>
      <c r="AZ58" s="22"/>
      <c r="BA58" s="22"/>
      <c r="BB58" s="22" t="s">
        <v>1358</v>
      </c>
      <c r="BC58" s="22"/>
      <c r="BD58" s="22"/>
      <c r="BE58" s="22" t="s">
        <v>1080</v>
      </c>
      <c r="BF58" s="22" t="s">
        <v>1080</v>
      </c>
      <c r="BG58" s="22" t="s">
        <v>1080</v>
      </c>
      <c r="BH58" s="22">
        <v>5</v>
      </c>
      <c r="BI58" s="22"/>
      <c r="BJ58" s="22">
        <v>15</v>
      </c>
      <c r="BK58" s="22" t="s">
        <v>3209</v>
      </c>
      <c r="BL58" s="22"/>
      <c r="BM58" s="22" t="s">
        <v>3209</v>
      </c>
      <c r="BN58" s="23" t="s">
        <v>1349</v>
      </c>
      <c r="BO58" s="22"/>
      <c r="BP58" s="22"/>
      <c r="BQ58" s="23" t="s">
        <v>1345</v>
      </c>
      <c r="BR58" s="23" t="s">
        <v>1345</v>
      </c>
      <c r="BS58" s="26">
        <v>0</v>
      </c>
      <c r="BT58" s="23" t="s">
        <v>1345</v>
      </c>
      <c r="BU58" s="23" t="s">
        <v>3251</v>
      </c>
      <c r="BV58" s="23" t="s">
        <v>1345</v>
      </c>
      <c r="BW58" s="23" t="s">
        <v>3252</v>
      </c>
      <c r="BX58" s="23" t="s">
        <v>1345</v>
      </c>
      <c r="BY58" s="23" t="s">
        <v>1561</v>
      </c>
      <c r="BZ58" s="23" t="s">
        <v>3185</v>
      </c>
      <c r="CA58" s="23" t="s">
        <v>3238</v>
      </c>
      <c r="CB58" s="22" t="s">
        <v>1364</v>
      </c>
      <c r="CC58" s="22" t="s">
        <v>1364</v>
      </c>
      <c r="CD58" s="22" t="s">
        <v>1364</v>
      </c>
      <c r="CE58" s="35">
        <v>3200</v>
      </c>
      <c r="CF58" s="35">
        <v>17000</v>
      </c>
      <c r="CG58" s="35">
        <v>20000</v>
      </c>
      <c r="CH58" s="22">
        <v>100</v>
      </c>
      <c r="CI58" s="22">
        <v>200</v>
      </c>
      <c r="CJ58" s="22">
        <v>300</v>
      </c>
      <c r="CK58" s="27">
        <v>0.5</v>
      </c>
      <c r="CL58" s="27">
        <v>0.5</v>
      </c>
      <c r="CM58" s="27">
        <v>0.5</v>
      </c>
      <c r="CN58" s="27">
        <v>0.5</v>
      </c>
      <c r="CO58" s="22" t="s">
        <v>3186</v>
      </c>
      <c r="CP58" s="22"/>
      <c r="CQ58" s="22"/>
      <c r="CR58" s="22"/>
      <c r="CS58" s="22"/>
      <c r="CT58" s="22"/>
      <c r="CU58" s="23"/>
      <c r="CV58" s="22"/>
      <c r="CW58" s="23" t="s">
        <v>1349</v>
      </c>
      <c r="CX58" s="22"/>
      <c r="CY58" s="27">
        <v>1</v>
      </c>
      <c r="CZ58" s="27">
        <f>AVERAGE(CY57:CY59)</f>
        <v>0.85</v>
      </c>
      <c r="DA58" s="22"/>
      <c r="DB58" s="22"/>
      <c r="DC58" s="22"/>
      <c r="DD58" s="22"/>
      <c r="DE58" s="22"/>
      <c r="DF58" s="22"/>
      <c r="DG58" s="22"/>
      <c r="DH58" s="22" t="s">
        <v>3212</v>
      </c>
      <c r="DI58" s="22" t="s">
        <v>3239</v>
      </c>
      <c r="DJ58" s="22"/>
      <c r="DK58" s="22"/>
      <c r="DL58" s="22" t="s">
        <v>3214</v>
      </c>
      <c r="DM58" s="22" t="s">
        <v>3239</v>
      </c>
      <c r="DN58" s="23"/>
      <c r="DO58" s="22"/>
      <c r="DP58" s="23" t="s">
        <v>1349</v>
      </c>
      <c r="DQ58" s="22" t="s">
        <v>3240</v>
      </c>
      <c r="DR58" s="23" t="s">
        <v>1345</v>
      </c>
      <c r="DS58" s="22" t="s">
        <v>3241</v>
      </c>
      <c r="DT58" s="22" t="s">
        <v>3253</v>
      </c>
      <c r="DU58" s="22" t="s">
        <v>1464</v>
      </c>
      <c r="DV58" s="23" t="s">
        <v>1349</v>
      </c>
      <c r="DW58" s="22"/>
      <c r="DX58" s="23" t="s">
        <v>1345</v>
      </c>
      <c r="DY58" s="23" t="s">
        <v>1349</v>
      </c>
      <c r="DZ58" s="23" t="s">
        <v>3216</v>
      </c>
      <c r="EA58" s="23" t="s">
        <v>1345</v>
      </c>
      <c r="EB58" s="23" t="s">
        <v>1345</v>
      </c>
      <c r="EC58" s="23" t="s">
        <v>1345</v>
      </c>
      <c r="ED58" s="23" t="s">
        <v>3217</v>
      </c>
      <c r="EE58" s="23"/>
      <c r="EF58" s="23" t="s">
        <v>3218</v>
      </c>
      <c r="EG58" s="23" t="s">
        <v>1345</v>
      </c>
      <c r="EH58" s="22"/>
      <c r="EI58" s="23" t="s">
        <v>3219</v>
      </c>
      <c r="EJ58" s="23" t="s">
        <v>3220</v>
      </c>
      <c r="EK58" s="23" t="s">
        <v>3221</v>
      </c>
      <c r="EL58" s="23" t="s">
        <v>1389</v>
      </c>
      <c r="EM58" s="23">
        <v>3</v>
      </c>
      <c r="EN58" s="23" t="s">
        <v>3222</v>
      </c>
      <c r="EO58" s="23">
        <v>2</v>
      </c>
      <c r="EP58" s="23" t="s">
        <v>3223</v>
      </c>
      <c r="EQ58" s="23">
        <v>2</v>
      </c>
      <c r="ER58" s="22" t="s">
        <v>3254</v>
      </c>
      <c r="ES58" s="23">
        <v>4</v>
      </c>
      <c r="ET58" s="22" t="s">
        <v>3255</v>
      </c>
      <c r="EU58" s="23">
        <v>5</v>
      </c>
      <c r="EV58" s="22" t="s">
        <v>3226</v>
      </c>
      <c r="EW58" s="23">
        <v>3</v>
      </c>
      <c r="EX58" s="22" t="s">
        <v>3227</v>
      </c>
      <c r="EY58" s="23">
        <v>1</v>
      </c>
      <c r="EZ58" s="22" t="s">
        <v>3228</v>
      </c>
      <c r="FA58" s="22"/>
    </row>
    <row r="59" spans="1:157">
      <c r="A59" s="17">
        <v>472</v>
      </c>
      <c r="B59" s="17">
        <v>31</v>
      </c>
      <c r="C59" s="23" t="s">
        <v>1337</v>
      </c>
      <c r="D59" s="24">
        <v>43742</v>
      </c>
      <c r="E59" s="23" t="s">
        <v>208</v>
      </c>
      <c r="F59" s="25">
        <v>133</v>
      </c>
      <c r="G59" s="25" t="s">
        <v>186</v>
      </c>
      <c r="H59" s="23" t="s">
        <v>1086</v>
      </c>
      <c r="I59" s="23" t="s">
        <v>1065</v>
      </c>
      <c r="J59" s="23" t="s">
        <v>2893</v>
      </c>
      <c r="K59" s="23" t="s">
        <v>2738</v>
      </c>
      <c r="L59" s="23">
        <v>0</v>
      </c>
      <c r="M59" s="23" t="s">
        <v>1342</v>
      </c>
      <c r="N59" s="23" t="s">
        <v>1343</v>
      </c>
      <c r="O59" s="23" t="s">
        <v>2923</v>
      </c>
      <c r="P59" s="23" t="s">
        <v>2924</v>
      </c>
      <c r="Q59" s="23">
        <v>7663694</v>
      </c>
      <c r="R59" s="23" t="s">
        <v>1345</v>
      </c>
      <c r="S59" s="23">
        <v>3</v>
      </c>
      <c r="T59" s="23" t="s">
        <v>1346</v>
      </c>
      <c r="U59" s="23">
        <v>2010</v>
      </c>
      <c r="V59" s="22" t="s">
        <v>2896</v>
      </c>
      <c r="W59" s="22" t="s">
        <v>2925</v>
      </c>
      <c r="X59" s="23" t="s">
        <v>1345</v>
      </c>
      <c r="Y59" s="23">
        <v>2018</v>
      </c>
      <c r="Z59" s="23"/>
      <c r="AA59" s="32">
        <v>30</v>
      </c>
      <c r="AB59" s="23" t="s">
        <v>1342</v>
      </c>
      <c r="AC59" s="23" t="s">
        <v>2926</v>
      </c>
      <c r="AD59" s="32" t="s">
        <v>1383</v>
      </c>
      <c r="AE59" s="23" t="s">
        <v>1383</v>
      </c>
      <c r="AF59" s="23" t="s">
        <v>1383</v>
      </c>
      <c r="AG59" s="23" t="s">
        <v>1342</v>
      </c>
      <c r="AH59" s="23" t="s">
        <v>1342</v>
      </c>
      <c r="AI59" s="23">
        <v>2017</v>
      </c>
      <c r="AJ59" s="23" t="s">
        <v>1342</v>
      </c>
      <c r="AK59" s="22" t="s">
        <v>2897</v>
      </c>
      <c r="AL59" s="23" t="s">
        <v>1351</v>
      </c>
      <c r="AM59" s="22" t="s">
        <v>1351</v>
      </c>
      <c r="AN59" s="22" t="s">
        <v>1351</v>
      </c>
      <c r="AO59" s="22" t="s">
        <v>1351</v>
      </c>
      <c r="AP59" s="22" t="s">
        <v>1351</v>
      </c>
      <c r="AQ59" s="23" t="s">
        <v>1352</v>
      </c>
      <c r="AR59" s="23" t="s">
        <v>1352</v>
      </c>
      <c r="AS59" s="23" t="s">
        <v>1353</v>
      </c>
      <c r="AT59" s="23" t="s">
        <v>1342</v>
      </c>
      <c r="AU59" s="22">
        <v>14400</v>
      </c>
      <c r="AV59" s="22">
        <v>2500</v>
      </c>
      <c r="AW59" s="23" t="s">
        <v>2927</v>
      </c>
      <c r="AX59" s="22" t="s">
        <v>2928</v>
      </c>
      <c r="AY59" s="23" t="s">
        <v>1342</v>
      </c>
      <c r="AZ59" s="22"/>
      <c r="BA59" s="22" t="s">
        <v>2700</v>
      </c>
      <c r="BB59" s="22" t="s">
        <v>1358</v>
      </c>
      <c r="BC59" s="22" t="s">
        <v>1358</v>
      </c>
      <c r="BD59" s="22" t="s">
        <v>1358</v>
      </c>
      <c r="BE59" s="22" t="s">
        <v>2738</v>
      </c>
      <c r="BF59" s="22"/>
      <c r="BG59" s="22"/>
      <c r="BH59" s="22">
        <v>2</v>
      </c>
      <c r="BI59" s="22">
        <v>3</v>
      </c>
      <c r="BJ59" s="22"/>
      <c r="BK59" s="22" t="s">
        <v>1434</v>
      </c>
      <c r="BL59" s="22" t="s">
        <v>1434</v>
      </c>
      <c r="BM59" s="22"/>
      <c r="BN59" s="23" t="s">
        <v>1342</v>
      </c>
      <c r="BO59" s="22"/>
      <c r="BP59" s="22"/>
      <c r="BQ59" s="23" t="s">
        <v>1383</v>
      </c>
      <c r="BR59" s="23" t="s">
        <v>1342</v>
      </c>
      <c r="BS59" s="27">
        <v>0</v>
      </c>
      <c r="BT59" s="23" t="s">
        <v>1383</v>
      </c>
      <c r="BU59" s="23" t="s">
        <v>2929</v>
      </c>
      <c r="BV59" s="23" t="s">
        <v>1342</v>
      </c>
      <c r="BW59" s="22"/>
      <c r="BX59" s="23" t="s">
        <v>1383</v>
      </c>
      <c r="BY59" s="23" t="s">
        <v>1362</v>
      </c>
      <c r="BZ59" s="22" t="s">
        <v>1363</v>
      </c>
      <c r="CA59" s="23" t="s">
        <v>2738</v>
      </c>
      <c r="CB59" s="23" t="s">
        <v>1364</v>
      </c>
      <c r="CC59" s="22" t="s">
        <v>1364</v>
      </c>
      <c r="CD59" s="22" t="s">
        <v>1364</v>
      </c>
      <c r="CE59" s="22">
        <v>960</v>
      </c>
      <c r="CF59" s="22">
        <v>600</v>
      </c>
      <c r="CG59" s="22">
        <v>1080</v>
      </c>
      <c r="CH59" s="22">
        <v>20</v>
      </c>
      <c r="CI59" s="22">
        <v>12</v>
      </c>
      <c r="CJ59" s="22">
        <v>20</v>
      </c>
      <c r="CK59" s="27">
        <v>0.5</v>
      </c>
      <c r="CL59" s="27">
        <v>0.5</v>
      </c>
      <c r="CM59" s="27">
        <v>0.5</v>
      </c>
      <c r="CN59" s="27">
        <v>0.5</v>
      </c>
      <c r="CO59" s="22" t="s">
        <v>2904</v>
      </c>
      <c r="CP59" s="22"/>
      <c r="CQ59" s="22"/>
      <c r="CR59" s="22"/>
      <c r="CS59" s="22"/>
      <c r="CT59" s="22"/>
      <c r="CU59" s="23"/>
      <c r="CV59" s="22"/>
      <c r="CW59" s="23" t="s">
        <v>1383</v>
      </c>
      <c r="CX59" s="27">
        <v>0.2</v>
      </c>
      <c r="CY59" s="27">
        <v>0.7</v>
      </c>
      <c r="CZ59" s="22" t="s">
        <v>2905</v>
      </c>
      <c r="DA59" s="22" t="s">
        <v>1372</v>
      </c>
      <c r="DB59" s="22">
        <v>6</v>
      </c>
      <c r="DC59" s="22"/>
      <c r="DD59" s="22" t="s">
        <v>2907</v>
      </c>
      <c r="DE59" s="22" t="s">
        <v>2908</v>
      </c>
      <c r="DF59" s="22" t="s">
        <v>2909</v>
      </c>
      <c r="DG59" s="22"/>
      <c r="DH59" s="22" t="s">
        <v>2910</v>
      </c>
      <c r="DI59" s="22" t="s">
        <v>2911</v>
      </c>
      <c r="DJ59" s="22"/>
      <c r="DK59" s="22"/>
      <c r="DL59" s="22" t="s">
        <v>2912</v>
      </c>
      <c r="DM59" s="22" t="s">
        <v>2913</v>
      </c>
      <c r="DN59" s="23" t="s">
        <v>1345</v>
      </c>
      <c r="DO59" s="22" t="s">
        <v>2914</v>
      </c>
      <c r="DP59" s="23" t="s">
        <v>1342</v>
      </c>
      <c r="DQ59" s="22"/>
      <c r="DR59" s="23" t="s">
        <v>1342</v>
      </c>
      <c r="DS59" s="22"/>
      <c r="DT59" s="22"/>
      <c r="DU59" s="22"/>
      <c r="DV59" s="23" t="s">
        <v>1342</v>
      </c>
      <c r="DW59" s="22"/>
      <c r="DX59" s="23" t="s">
        <v>1383</v>
      </c>
      <c r="DY59" s="23" t="s">
        <v>1342</v>
      </c>
      <c r="DZ59" s="22" t="s">
        <v>2915</v>
      </c>
      <c r="EA59" s="23" t="s">
        <v>1383</v>
      </c>
      <c r="EB59" s="23" t="s">
        <v>1383</v>
      </c>
      <c r="EC59" s="23" t="s">
        <v>1383</v>
      </c>
      <c r="ED59" s="22" t="s">
        <v>2930</v>
      </c>
      <c r="EE59" s="27">
        <v>0.4</v>
      </c>
      <c r="EF59" s="23" t="s">
        <v>2931</v>
      </c>
      <c r="EG59" s="23" t="s">
        <v>1342</v>
      </c>
      <c r="EH59" s="22"/>
      <c r="EI59" s="22"/>
      <c r="EJ59" s="22"/>
      <c r="EK59" s="22"/>
      <c r="EL59" s="23" t="s">
        <v>1389</v>
      </c>
      <c r="EM59" s="23">
        <v>3</v>
      </c>
      <c r="EN59" s="22" t="s">
        <v>2917</v>
      </c>
      <c r="EO59" s="23">
        <v>1</v>
      </c>
      <c r="EP59" s="22" t="s">
        <v>2918</v>
      </c>
      <c r="EQ59" s="23">
        <v>3</v>
      </c>
      <c r="ER59" s="22" t="s">
        <v>2919</v>
      </c>
      <c r="ES59" s="23">
        <v>3</v>
      </c>
      <c r="ET59" s="22" t="s">
        <v>2920</v>
      </c>
      <c r="EU59" s="23">
        <v>4</v>
      </c>
      <c r="EV59" s="22" t="s">
        <v>2921</v>
      </c>
      <c r="EW59" s="23">
        <v>5</v>
      </c>
      <c r="EX59" s="22" t="s">
        <v>2922</v>
      </c>
      <c r="EY59" s="23">
        <v>1</v>
      </c>
      <c r="EZ59" s="22" t="s">
        <v>1495</v>
      </c>
      <c r="FA59" s="22"/>
    </row>
    <row r="60" spans="1:157">
      <c r="A60" s="17">
        <v>473</v>
      </c>
      <c r="B60" s="17">
        <v>56</v>
      </c>
      <c r="C60" s="23" t="s">
        <v>1337</v>
      </c>
      <c r="D60" s="24">
        <v>43760</v>
      </c>
      <c r="E60" s="23" t="s">
        <v>3256</v>
      </c>
      <c r="F60" s="25" t="e">
        <v>#N/A</v>
      </c>
      <c r="G60" s="25" t="s">
        <v>3198</v>
      </c>
      <c r="H60" s="23" t="s">
        <v>1086</v>
      </c>
      <c r="I60" s="23" t="s">
        <v>1065</v>
      </c>
      <c r="J60" s="23" t="s">
        <v>507</v>
      </c>
      <c r="K60" s="23" t="s">
        <v>3257</v>
      </c>
      <c r="L60" s="23">
        <v>3</v>
      </c>
      <c r="M60" s="23" t="s">
        <v>3231</v>
      </c>
      <c r="N60" s="23" t="s">
        <v>1541</v>
      </c>
      <c r="O60" s="23" t="s">
        <v>3258</v>
      </c>
      <c r="P60" s="23" t="s">
        <v>3259</v>
      </c>
      <c r="Q60" s="23" t="s">
        <v>3260</v>
      </c>
      <c r="R60" s="23" t="s">
        <v>1345</v>
      </c>
      <c r="S60" s="23">
        <v>3</v>
      </c>
      <c r="T60" s="23" t="s">
        <v>1346</v>
      </c>
      <c r="U60" s="23">
        <v>2001</v>
      </c>
      <c r="V60" s="23" t="s">
        <v>3202</v>
      </c>
      <c r="W60" s="23" t="s">
        <v>3203</v>
      </c>
      <c r="X60" s="23" t="s">
        <v>1345</v>
      </c>
      <c r="Y60" s="23">
        <v>2019</v>
      </c>
      <c r="Z60" s="23" t="s">
        <v>1547</v>
      </c>
      <c r="AA60" s="32">
        <v>45</v>
      </c>
      <c r="AB60" s="23" t="s">
        <v>1349</v>
      </c>
      <c r="AC60" s="23" t="s">
        <v>3261</v>
      </c>
      <c r="AD60" s="32" t="s">
        <v>1345</v>
      </c>
      <c r="AE60" s="23" t="s">
        <v>1345</v>
      </c>
      <c r="AF60" s="23" t="s">
        <v>1349</v>
      </c>
      <c r="AG60" s="23" t="s">
        <v>1349</v>
      </c>
      <c r="AH60" s="22"/>
      <c r="AI60" s="23">
        <v>2017</v>
      </c>
      <c r="AJ60" s="23" t="s">
        <v>1349</v>
      </c>
      <c r="AK60" s="22" t="s">
        <v>3205</v>
      </c>
      <c r="AL60" s="22" t="s">
        <v>1802</v>
      </c>
      <c r="AM60" s="22" t="s">
        <v>1802</v>
      </c>
      <c r="AN60" s="22" t="s">
        <v>1802</v>
      </c>
      <c r="AO60" s="22" t="s">
        <v>1802</v>
      </c>
      <c r="AP60" s="22" t="s">
        <v>1802</v>
      </c>
      <c r="AQ60" s="22" t="s">
        <v>1352</v>
      </c>
      <c r="AR60" s="22" t="s">
        <v>1352</v>
      </c>
      <c r="AS60" s="22" t="s">
        <v>1802</v>
      </c>
      <c r="AT60" s="22"/>
      <c r="AU60" s="22" t="s">
        <v>1897</v>
      </c>
      <c r="AV60" s="22">
        <v>500</v>
      </c>
      <c r="AW60" s="22" t="s">
        <v>3207</v>
      </c>
      <c r="AX60" s="22" t="s">
        <v>3262</v>
      </c>
      <c r="AY60" s="23"/>
      <c r="AZ60" s="22"/>
      <c r="BA60" s="22"/>
      <c r="BB60" s="22" t="s">
        <v>1358</v>
      </c>
      <c r="BC60" s="22"/>
      <c r="BD60" s="22"/>
      <c r="BE60" s="22" t="s">
        <v>3257</v>
      </c>
      <c r="BF60" s="22" t="s">
        <v>3257</v>
      </c>
      <c r="BG60" s="22" t="s">
        <v>3257</v>
      </c>
      <c r="BH60" s="22">
        <v>3</v>
      </c>
      <c r="BI60" s="22"/>
      <c r="BJ60" s="22">
        <v>15</v>
      </c>
      <c r="BK60" s="22" t="s">
        <v>3209</v>
      </c>
      <c r="BL60" s="22"/>
      <c r="BM60" s="22" t="s">
        <v>3263</v>
      </c>
      <c r="BN60" s="23" t="s">
        <v>1349</v>
      </c>
      <c r="BO60" s="22"/>
      <c r="BP60" s="22"/>
      <c r="BQ60" s="23" t="s">
        <v>1345</v>
      </c>
      <c r="BR60" s="23" t="s">
        <v>1345</v>
      </c>
      <c r="BS60" s="26">
        <v>0</v>
      </c>
      <c r="BT60" s="23" t="s">
        <v>1345</v>
      </c>
      <c r="BU60" s="22"/>
      <c r="BV60" s="23" t="s">
        <v>1349</v>
      </c>
      <c r="BW60" s="22"/>
      <c r="BX60" s="23" t="s">
        <v>1345</v>
      </c>
      <c r="BY60" s="23" t="s">
        <v>1561</v>
      </c>
      <c r="BZ60" s="23" t="s">
        <v>3185</v>
      </c>
      <c r="CA60" s="23" t="s">
        <v>3264</v>
      </c>
      <c r="CB60" s="22" t="s">
        <v>1364</v>
      </c>
      <c r="CC60" s="22" t="s">
        <v>1364</v>
      </c>
      <c r="CD60" s="22" t="s">
        <v>1364</v>
      </c>
      <c r="CE60" s="35">
        <v>15000</v>
      </c>
      <c r="CF60" s="35">
        <v>10500</v>
      </c>
      <c r="CG60" s="35">
        <v>10000</v>
      </c>
      <c r="CH60" s="22"/>
      <c r="CI60" s="22"/>
      <c r="CJ60" s="22"/>
      <c r="CK60" s="27">
        <v>0.2</v>
      </c>
      <c r="CL60" s="27">
        <v>0.2</v>
      </c>
      <c r="CM60" s="27">
        <v>0.8</v>
      </c>
      <c r="CN60" s="27">
        <v>0.8</v>
      </c>
      <c r="CO60" s="22" t="s">
        <v>3186</v>
      </c>
      <c r="CP60" s="22"/>
      <c r="CQ60" s="22"/>
      <c r="CR60" s="22"/>
      <c r="CS60" s="22"/>
      <c r="CT60" s="22"/>
      <c r="CU60" s="23"/>
      <c r="CV60" s="22"/>
      <c r="CW60" s="23" t="s">
        <v>1345</v>
      </c>
      <c r="CX60" s="22"/>
      <c r="CY60" s="22"/>
      <c r="CZ60" s="22" t="s">
        <v>3265</v>
      </c>
      <c r="DA60" s="22" t="s">
        <v>3266</v>
      </c>
      <c r="DB60" s="22">
        <v>4</v>
      </c>
      <c r="DC60" s="22" t="s">
        <v>3267</v>
      </c>
      <c r="DD60" s="22" t="s">
        <v>3268</v>
      </c>
      <c r="DE60" s="22" t="s">
        <v>3269</v>
      </c>
      <c r="DF60" s="22" t="s">
        <v>3270</v>
      </c>
      <c r="DG60" s="22"/>
      <c r="DH60" s="22" t="s">
        <v>3212</v>
      </c>
      <c r="DI60" s="22"/>
      <c r="DJ60" s="22"/>
      <c r="DK60" s="22"/>
      <c r="DL60" s="22" t="s">
        <v>3214</v>
      </c>
      <c r="DM60" s="22"/>
      <c r="DN60" s="23"/>
      <c r="DO60" s="22"/>
      <c r="DP60" s="23" t="s">
        <v>1345</v>
      </c>
      <c r="DQ60" s="22" t="s">
        <v>3215</v>
      </c>
      <c r="DR60" s="23" t="s">
        <v>1345</v>
      </c>
      <c r="DS60" s="22" t="s">
        <v>3241</v>
      </c>
      <c r="DT60" s="23" t="s">
        <v>3271</v>
      </c>
      <c r="DU60" s="22"/>
      <c r="DV60" s="23" t="s">
        <v>1349</v>
      </c>
      <c r="DW60" s="22"/>
      <c r="DX60" s="23" t="s">
        <v>1345</v>
      </c>
      <c r="DY60" s="23" t="s">
        <v>1349</v>
      </c>
      <c r="DZ60" s="23" t="s">
        <v>3216</v>
      </c>
      <c r="EA60" s="23" t="s">
        <v>1345</v>
      </c>
      <c r="EB60" s="23" t="s">
        <v>1345</v>
      </c>
      <c r="EC60" s="23" t="s">
        <v>1345</v>
      </c>
      <c r="ED60" s="23" t="s">
        <v>3217</v>
      </c>
      <c r="EE60" s="22"/>
      <c r="EF60" s="23" t="s">
        <v>3218</v>
      </c>
      <c r="EG60" s="23" t="s">
        <v>1345</v>
      </c>
      <c r="EH60" s="22"/>
      <c r="EI60" s="23" t="s">
        <v>3219</v>
      </c>
      <c r="EJ60" s="23" t="s">
        <v>3220</v>
      </c>
      <c r="EK60" s="23" t="s">
        <v>3221</v>
      </c>
      <c r="EL60" s="23" t="s">
        <v>1389</v>
      </c>
      <c r="EM60" s="23">
        <v>3</v>
      </c>
      <c r="EN60" s="23" t="s">
        <v>3222</v>
      </c>
      <c r="EO60" s="23">
        <v>2</v>
      </c>
      <c r="EP60" s="23" t="s">
        <v>3223</v>
      </c>
      <c r="EQ60" s="23">
        <v>2</v>
      </c>
      <c r="ER60" s="22" t="s">
        <v>3272</v>
      </c>
      <c r="ES60" s="23">
        <v>3</v>
      </c>
      <c r="ET60" s="22" t="s">
        <v>3244</v>
      </c>
      <c r="EU60" s="23">
        <v>5</v>
      </c>
      <c r="EV60" s="22" t="s">
        <v>3226</v>
      </c>
      <c r="EW60" s="23">
        <v>3</v>
      </c>
      <c r="EX60" s="22" t="s">
        <v>3227</v>
      </c>
      <c r="EY60" s="23">
        <v>1</v>
      </c>
      <c r="EZ60" s="22" t="s">
        <v>3228</v>
      </c>
      <c r="FA60" s="22"/>
    </row>
    <row r="61" spans="1:157">
      <c r="A61" s="17">
        <v>474</v>
      </c>
      <c r="B61" s="17">
        <v>8</v>
      </c>
      <c r="C61" s="13" t="s">
        <v>2278</v>
      </c>
      <c r="D61" s="18">
        <v>43747</v>
      </c>
      <c r="E61" s="13" t="s">
        <v>2733</v>
      </c>
      <c r="F61" s="19"/>
      <c r="G61" s="19"/>
      <c r="H61" s="13" t="s">
        <v>1086</v>
      </c>
      <c r="I61" s="13" t="s">
        <v>1065</v>
      </c>
      <c r="J61" s="13" t="s">
        <v>184</v>
      </c>
      <c r="K61" s="13" t="s">
        <v>1104</v>
      </c>
      <c r="L61" s="13">
        <v>4</v>
      </c>
      <c r="M61" s="13" t="s">
        <v>2281</v>
      </c>
      <c r="N61" s="13" t="s">
        <v>1343</v>
      </c>
      <c r="O61" s="13" t="s">
        <v>747</v>
      </c>
      <c r="P61" s="13" t="s">
        <v>716</v>
      </c>
      <c r="Q61" s="13" t="s">
        <v>2734</v>
      </c>
      <c r="R61" s="13" t="s">
        <v>1345</v>
      </c>
      <c r="S61" s="13">
        <v>6</v>
      </c>
      <c r="T61" s="13" t="s">
        <v>1544</v>
      </c>
      <c r="U61" s="13">
        <v>2015</v>
      </c>
      <c r="V61" s="13" t="s">
        <v>2286</v>
      </c>
      <c r="W61" s="13" t="s">
        <v>2735</v>
      </c>
      <c r="X61" s="13" t="s">
        <v>1345</v>
      </c>
      <c r="Y61" s="13">
        <v>2017</v>
      </c>
      <c r="Z61" s="13" t="s">
        <v>2641</v>
      </c>
      <c r="AA61" s="30">
        <v>20</v>
      </c>
      <c r="AB61" s="13" t="s">
        <v>1345</v>
      </c>
      <c r="AC61" s="13">
        <v>4</v>
      </c>
      <c r="AD61" s="30" t="s">
        <v>1345</v>
      </c>
      <c r="AE61" s="13" t="s">
        <v>1345</v>
      </c>
      <c r="AF61" s="13" t="s">
        <v>1349</v>
      </c>
      <c r="AG61" s="13" t="s">
        <v>1349</v>
      </c>
      <c r="AH61" s="13" t="s">
        <v>2736</v>
      </c>
      <c r="AI61" s="13">
        <v>2015</v>
      </c>
      <c r="AJ61" s="13" t="s">
        <v>1349</v>
      </c>
      <c r="AK61" s="13" t="s">
        <v>2726</v>
      </c>
      <c r="AL61" s="13" t="s">
        <v>1612</v>
      </c>
      <c r="AM61" s="13" t="s">
        <v>1612</v>
      </c>
      <c r="AN61" s="13" t="s">
        <v>1612</v>
      </c>
      <c r="AO61" s="13" t="s">
        <v>1612</v>
      </c>
      <c r="AP61" s="13" t="s">
        <v>1612</v>
      </c>
      <c r="AQ61" s="13" t="s">
        <v>2096</v>
      </c>
      <c r="AR61" s="13" t="s">
        <v>2096</v>
      </c>
      <c r="AS61" s="13" t="s">
        <v>1550</v>
      </c>
      <c r="AT61" s="13" t="s">
        <v>2643</v>
      </c>
      <c r="AU61" s="13" t="s">
        <v>2737</v>
      </c>
      <c r="AV61" s="13">
        <v>500</v>
      </c>
      <c r="AW61" s="13" t="s">
        <v>2645</v>
      </c>
      <c r="AX61" s="13" t="s">
        <v>2646</v>
      </c>
      <c r="AY61" s="13" t="s">
        <v>1345</v>
      </c>
      <c r="AZ61" s="13" t="s">
        <v>2488</v>
      </c>
      <c r="BA61" s="13" t="s">
        <v>2647</v>
      </c>
      <c r="BB61" s="13" t="s">
        <v>2648</v>
      </c>
      <c r="BC61" s="13" t="s">
        <v>2648</v>
      </c>
      <c r="BD61" s="13" t="s">
        <v>2648</v>
      </c>
      <c r="BE61" s="13" t="s">
        <v>2738</v>
      </c>
      <c r="BF61" s="13" t="s">
        <v>2738</v>
      </c>
      <c r="BG61" s="13" t="s">
        <v>2738</v>
      </c>
      <c r="BH61" s="13">
        <v>6</v>
      </c>
      <c r="BI61" s="13">
        <v>6</v>
      </c>
      <c r="BJ61" s="13">
        <v>6</v>
      </c>
      <c r="BK61" s="13" t="s">
        <v>2730</v>
      </c>
      <c r="BL61" s="13" t="s">
        <v>2730</v>
      </c>
      <c r="BM61" s="13" t="s">
        <v>2730</v>
      </c>
      <c r="BN61" s="13" t="s">
        <v>1349</v>
      </c>
      <c r="BO61" s="13" t="s">
        <v>2643</v>
      </c>
      <c r="BP61" s="13" t="s">
        <v>2643</v>
      </c>
      <c r="BQ61" s="13" t="s">
        <v>1345</v>
      </c>
      <c r="BR61" s="13" t="s">
        <v>1349</v>
      </c>
      <c r="BS61" s="13" t="s">
        <v>2643</v>
      </c>
      <c r="BT61" s="13" t="s">
        <v>1345</v>
      </c>
      <c r="BU61" s="13" t="s">
        <v>2739</v>
      </c>
      <c r="BV61" s="13" t="s">
        <v>1349</v>
      </c>
      <c r="BW61" s="13" t="s">
        <v>2643</v>
      </c>
      <c r="BX61" s="13" t="s">
        <v>1345</v>
      </c>
      <c r="BY61" s="13" t="s">
        <v>2167</v>
      </c>
      <c r="BZ61" s="13" t="s">
        <v>2650</v>
      </c>
      <c r="CA61" s="13" t="s">
        <v>2300</v>
      </c>
      <c r="CB61" s="13" t="s">
        <v>1548</v>
      </c>
      <c r="CC61" s="13" t="s">
        <v>1548</v>
      </c>
      <c r="CD61" s="13" t="s">
        <v>1548</v>
      </c>
      <c r="CE61" s="13">
        <v>12000</v>
      </c>
      <c r="CF61" s="13">
        <v>7200</v>
      </c>
      <c r="CG61" s="13">
        <v>9600</v>
      </c>
      <c r="CH61" s="13">
        <v>60</v>
      </c>
      <c r="CI61" s="13">
        <v>40</v>
      </c>
      <c r="CJ61" s="13">
        <v>50</v>
      </c>
      <c r="CK61" s="20">
        <v>0.5</v>
      </c>
      <c r="CL61" s="20">
        <v>0.5</v>
      </c>
      <c r="CM61" s="20">
        <v>0.1</v>
      </c>
      <c r="CN61" s="20">
        <v>0.25</v>
      </c>
      <c r="CO61" s="13" t="s">
        <v>2652</v>
      </c>
      <c r="CP61" s="13" t="s">
        <v>2643</v>
      </c>
      <c r="CQ61" s="13" t="s">
        <v>2308</v>
      </c>
      <c r="CR61" s="13">
        <v>6</v>
      </c>
      <c r="CS61" s="13" t="s">
        <v>1368</v>
      </c>
      <c r="CT61" s="13" t="s">
        <v>2697</v>
      </c>
      <c r="CU61" s="13" t="s">
        <v>1345</v>
      </c>
      <c r="CV61" s="13" t="s">
        <v>2654</v>
      </c>
      <c r="CW61" s="13" t="s">
        <v>1349</v>
      </c>
      <c r="CX61" s="13" t="s">
        <v>2643</v>
      </c>
      <c r="CY61" s="13" t="s">
        <v>2643</v>
      </c>
      <c r="CZ61" s="13" t="s">
        <v>2655</v>
      </c>
      <c r="DA61" s="13" t="s">
        <v>2656</v>
      </c>
      <c r="DB61" s="13" t="s">
        <v>2643</v>
      </c>
      <c r="DC61" s="13" t="s">
        <v>2657</v>
      </c>
      <c r="DD61" s="13" t="s">
        <v>2658</v>
      </c>
      <c r="DE61" s="13" t="s">
        <v>2685</v>
      </c>
      <c r="DF61" s="13" t="s">
        <v>2660</v>
      </c>
      <c r="DG61" s="13" t="s">
        <v>1977</v>
      </c>
      <c r="DH61" s="13" t="s">
        <v>2661</v>
      </c>
      <c r="DI61" s="13" t="s">
        <v>2698</v>
      </c>
      <c r="DJ61" s="13" t="s">
        <v>2300</v>
      </c>
      <c r="DK61" s="13" t="s">
        <v>2300</v>
      </c>
      <c r="DL61" s="13" t="s">
        <v>2662</v>
      </c>
      <c r="DM61" s="13" t="s">
        <v>2663</v>
      </c>
      <c r="DN61" s="13" t="s">
        <v>1349</v>
      </c>
      <c r="DO61" s="13" t="s">
        <v>1342</v>
      </c>
      <c r="DP61" s="13" t="s">
        <v>1349</v>
      </c>
      <c r="DQ61" s="13" t="s">
        <v>2300</v>
      </c>
      <c r="DR61" s="13" t="s">
        <v>1349</v>
      </c>
      <c r="DS61" s="13" t="s">
        <v>2643</v>
      </c>
      <c r="DT61" s="13" t="s">
        <v>2643</v>
      </c>
      <c r="DU61" s="13" t="s">
        <v>2643</v>
      </c>
      <c r="DV61" s="13" t="s">
        <v>1345</v>
      </c>
      <c r="DW61" s="13" t="s">
        <v>2664</v>
      </c>
      <c r="DX61" s="13" t="s">
        <v>1345</v>
      </c>
      <c r="DY61" s="13" t="s">
        <v>1349</v>
      </c>
      <c r="DZ61" s="13" t="s">
        <v>2665</v>
      </c>
      <c r="EA61" s="13" t="s">
        <v>1345</v>
      </c>
      <c r="EB61" s="13" t="s">
        <v>1345</v>
      </c>
      <c r="EC61" s="13" t="s">
        <v>1345</v>
      </c>
      <c r="ED61" s="13" t="s">
        <v>2666</v>
      </c>
      <c r="EE61" s="20">
        <v>0.6</v>
      </c>
      <c r="EF61" s="13" t="s">
        <v>2370</v>
      </c>
      <c r="EG61" s="13" t="s">
        <v>1349</v>
      </c>
      <c r="EH61" s="13" t="s">
        <v>2643</v>
      </c>
      <c r="EI61" s="13" t="s">
        <v>2326</v>
      </c>
      <c r="EJ61" s="17" t="s">
        <v>2667</v>
      </c>
      <c r="EK61" s="13" t="s">
        <v>2300</v>
      </c>
      <c r="EL61" s="13" t="s">
        <v>1389</v>
      </c>
      <c r="EM61" s="13">
        <v>3</v>
      </c>
      <c r="EN61" s="13" t="s">
        <v>2388</v>
      </c>
      <c r="EO61" s="13">
        <v>3</v>
      </c>
      <c r="EP61" s="13" t="s">
        <v>2731</v>
      </c>
      <c r="EQ61" s="13">
        <v>4</v>
      </c>
      <c r="ER61" s="17" t="s">
        <v>2331</v>
      </c>
      <c r="ES61" s="13">
        <v>4</v>
      </c>
      <c r="ET61" s="17" t="s">
        <v>2421</v>
      </c>
      <c r="EU61" s="13">
        <v>4</v>
      </c>
      <c r="EV61" s="17" t="s">
        <v>2669</v>
      </c>
      <c r="EW61" s="13">
        <v>4</v>
      </c>
      <c r="EX61" s="17" t="s">
        <v>2740</v>
      </c>
      <c r="EY61" s="13">
        <v>1</v>
      </c>
      <c r="EZ61" s="17" t="s">
        <v>2424</v>
      </c>
      <c r="FA61" s="22"/>
    </row>
    <row r="62" spans="1:157">
      <c r="A62" s="17">
        <v>475</v>
      </c>
      <c r="B62" s="17">
        <v>39</v>
      </c>
      <c r="C62" s="23" t="s">
        <v>1337</v>
      </c>
      <c r="D62" s="24">
        <v>43747</v>
      </c>
      <c r="E62" s="23" t="s">
        <v>3039</v>
      </c>
      <c r="F62" s="25" t="e">
        <v>#N/A</v>
      </c>
      <c r="G62" s="25" t="s">
        <v>2893</v>
      </c>
      <c r="H62" s="23" t="s">
        <v>1086</v>
      </c>
      <c r="I62" s="23" t="s">
        <v>1065</v>
      </c>
      <c r="J62" s="23" t="s">
        <v>2893</v>
      </c>
      <c r="K62" s="23" t="s">
        <v>2992</v>
      </c>
      <c r="L62" s="23">
        <v>7</v>
      </c>
      <c r="M62" s="23" t="s">
        <v>1383</v>
      </c>
      <c r="N62" s="23" t="s">
        <v>1343</v>
      </c>
      <c r="O62" s="23" t="s">
        <v>747</v>
      </c>
      <c r="P62" s="23" t="s">
        <v>3040</v>
      </c>
      <c r="Q62" s="23">
        <v>61614925</v>
      </c>
      <c r="R62" s="23" t="s">
        <v>1345</v>
      </c>
      <c r="S62" s="23">
        <v>3</v>
      </c>
      <c r="T62" s="23" t="s">
        <v>1346</v>
      </c>
      <c r="U62" s="23">
        <v>2011</v>
      </c>
      <c r="V62" s="23" t="s">
        <v>2896</v>
      </c>
      <c r="W62" s="22" t="s">
        <v>1348</v>
      </c>
      <c r="X62" s="23" t="s">
        <v>1342</v>
      </c>
      <c r="Y62" s="23"/>
      <c r="Z62" s="23"/>
      <c r="AA62" s="32">
        <v>34</v>
      </c>
      <c r="AB62" s="23" t="s">
        <v>1342</v>
      </c>
      <c r="AC62" s="23" t="s">
        <v>3025</v>
      </c>
      <c r="AD62" s="32" t="s">
        <v>1383</v>
      </c>
      <c r="AE62" s="23" t="s">
        <v>1383</v>
      </c>
      <c r="AF62" s="23" t="s">
        <v>1349</v>
      </c>
      <c r="AG62" s="23" t="s">
        <v>1342</v>
      </c>
      <c r="AH62" s="22" t="s">
        <v>3026</v>
      </c>
      <c r="AI62" s="23">
        <v>2014</v>
      </c>
      <c r="AJ62" s="23" t="s">
        <v>1342</v>
      </c>
      <c r="AK62" s="22" t="s">
        <v>2897</v>
      </c>
      <c r="AL62" s="23" t="s">
        <v>1351</v>
      </c>
      <c r="AM62" s="23" t="s">
        <v>1351</v>
      </c>
      <c r="AN62" s="23" t="s">
        <v>1351</v>
      </c>
      <c r="AO62" s="23" t="s">
        <v>1351</v>
      </c>
      <c r="AP62" s="23" t="s">
        <v>1351</v>
      </c>
      <c r="AQ62" s="23" t="s">
        <v>1352</v>
      </c>
      <c r="AR62" s="23" t="s">
        <v>1352</v>
      </c>
      <c r="AS62" s="23" t="s">
        <v>1353</v>
      </c>
      <c r="AT62" s="23" t="s">
        <v>1342</v>
      </c>
      <c r="AU62" s="22">
        <v>9600</v>
      </c>
      <c r="AV62" s="22">
        <v>1000</v>
      </c>
      <c r="AW62" s="23" t="s">
        <v>2977</v>
      </c>
      <c r="AX62" s="22" t="s">
        <v>2956</v>
      </c>
      <c r="AY62" s="23" t="s">
        <v>1342</v>
      </c>
      <c r="AZ62" s="22"/>
      <c r="BA62" s="22"/>
      <c r="BB62" s="22" t="s">
        <v>1358</v>
      </c>
      <c r="BC62" s="22"/>
      <c r="BD62" s="22"/>
      <c r="BE62" s="22" t="s">
        <v>3041</v>
      </c>
      <c r="BF62" s="22"/>
      <c r="BG62" s="22"/>
      <c r="BH62" s="22">
        <v>1.5</v>
      </c>
      <c r="BI62" s="22">
        <v>3</v>
      </c>
      <c r="BJ62" s="22"/>
      <c r="BK62" s="22" t="s">
        <v>1360</v>
      </c>
      <c r="BL62" s="22" t="s">
        <v>1434</v>
      </c>
      <c r="BM62" s="22"/>
      <c r="BN62" s="23" t="s">
        <v>1383</v>
      </c>
      <c r="BO62" s="22" t="s">
        <v>1460</v>
      </c>
      <c r="BP62" s="22" t="s">
        <v>3042</v>
      </c>
      <c r="BQ62" s="23" t="s">
        <v>1383</v>
      </c>
      <c r="BR62" s="23" t="s">
        <v>1342</v>
      </c>
      <c r="BS62" s="27">
        <v>0</v>
      </c>
      <c r="BT62" s="23" t="s">
        <v>1383</v>
      </c>
      <c r="BU62" s="23" t="s">
        <v>1342</v>
      </c>
      <c r="BV62" s="23" t="s">
        <v>1342</v>
      </c>
      <c r="BW62" s="22"/>
      <c r="BX62" s="23" t="s">
        <v>1383</v>
      </c>
      <c r="BY62" s="23" t="s">
        <v>1362</v>
      </c>
      <c r="BZ62" s="23" t="s">
        <v>3030</v>
      </c>
      <c r="CA62" s="22" t="s">
        <v>2992</v>
      </c>
      <c r="CB62" s="22" t="s">
        <v>1364</v>
      </c>
      <c r="CC62" s="22" t="s">
        <v>1364</v>
      </c>
      <c r="CD62" s="22" t="s">
        <v>1364</v>
      </c>
      <c r="CE62" s="22">
        <v>1800</v>
      </c>
      <c r="CF62" s="22">
        <v>1200</v>
      </c>
      <c r="CG62" s="22">
        <v>2160</v>
      </c>
      <c r="CH62" s="22">
        <v>30</v>
      </c>
      <c r="CI62" s="22">
        <v>45</v>
      </c>
      <c r="CJ62" s="22">
        <v>50</v>
      </c>
      <c r="CK62" s="27">
        <v>0.8</v>
      </c>
      <c r="CL62" s="27">
        <v>0.7</v>
      </c>
      <c r="CM62" s="27">
        <v>0.2</v>
      </c>
      <c r="CN62" s="27">
        <v>0.3</v>
      </c>
      <c r="CO62" s="22" t="s">
        <v>2904</v>
      </c>
      <c r="CP62" s="22"/>
      <c r="CQ62" s="22"/>
      <c r="CR62" s="22"/>
      <c r="CS62" s="22"/>
      <c r="CT62" s="22"/>
      <c r="CU62" s="23"/>
      <c r="CV62" s="22"/>
      <c r="CW62" s="23" t="s">
        <v>1383</v>
      </c>
      <c r="CX62" s="27">
        <v>0.1</v>
      </c>
      <c r="CY62" s="27">
        <v>0.75</v>
      </c>
      <c r="CZ62" s="22" t="s">
        <v>2905</v>
      </c>
      <c r="DA62" s="22" t="s">
        <v>1372</v>
      </c>
      <c r="DB62" s="22">
        <v>6</v>
      </c>
      <c r="DC62" s="22"/>
      <c r="DD62" s="22" t="s">
        <v>2907</v>
      </c>
      <c r="DE62" s="22" t="s">
        <v>2908</v>
      </c>
      <c r="DF62" s="22" t="s">
        <v>2909</v>
      </c>
      <c r="DG62" s="22"/>
      <c r="DH62" s="22" t="s">
        <v>2910</v>
      </c>
      <c r="DI62" s="22" t="s">
        <v>3031</v>
      </c>
      <c r="DJ62" s="22"/>
      <c r="DK62" s="22"/>
      <c r="DL62" s="22" t="s">
        <v>2912</v>
      </c>
      <c r="DM62" s="22" t="s">
        <v>2913</v>
      </c>
      <c r="DN62" s="23" t="s">
        <v>1345</v>
      </c>
      <c r="DO62" s="22" t="s">
        <v>3032</v>
      </c>
      <c r="DP62" s="23" t="s">
        <v>1342</v>
      </c>
      <c r="DQ62" s="22"/>
      <c r="DR62" s="23" t="s">
        <v>1342</v>
      </c>
      <c r="DS62" s="22"/>
      <c r="DT62" s="22"/>
      <c r="DU62" s="22"/>
      <c r="DV62" s="23" t="s">
        <v>1383</v>
      </c>
      <c r="DW62" s="22" t="s">
        <v>1747</v>
      </c>
      <c r="DX62" s="23" t="s">
        <v>1383</v>
      </c>
      <c r="DY62" s="23" t="s">
        <v>1342</v>
      </c>
      <c r="DZ62" s="22" t="s">
        <v>2915</v>
      </c>
      <c r="EA62" s="23" t="s">
        <v>1383</v>
      </c>
      <c r="EB62" s="23" t="s">
        <v>1383</v>
      </c>
      <c r="EC62" s="23" t="s">
        <v>1383</v>
      </c>
      <c r="ED62" s="22" t="s">
        <v>3033</v>
      </c>
      <c r="EE62" s="27">
        <v>0.2</v>
      </c>
      <c r="EF62" s="22" t="s">
        <v>2931</v>
      </c>
      <c r="EG62" s="23" t="s">
        <v>1342</v>
      </c>
      <c r="EH62" s="22"/>
      <c r="EI62" s="22"/>
      <c r="EJ62" s="22"/>
      <c r="EK62" s="22"/>
      <c r="EL62" s="23" t="s">
        <v>1416</v>
      </c>
      <c r="EM62" s="23">
        <v>3</v>
      </c>
      <c r="EN62" s="22" t="s">
        <v>2917</v>
      </c>
      <c r="EO62" s="23">
        <v>1</v>
      </c>
      <c r="EP62" s="22" t="s">
        <v>2960</v>
      </c>
      <c r="EQ62" s="23">
        <v>2</v>
      </c>
      <c r="ER62" s="22" t="s">
        <v>3035</v>
      </c>
      <c r="ES62" s="23">
        <v>4</v>
      </c>
      <c r="ET62" s="22" t="s">
        <v>3043</v>
      </c>
      <c r="EU62" s="23">
        <v>2</v>
      </c>
      <c r="EV62" s="22" t="s">
        <v>3037</v>
      </c>
      <c r="EW62" s="23">
        <v>2</v>
      </c>
      <c r="EX62" s="22" t="s">
        <v>3044</v>
      </c>
      <c r="EY62" s="23">
        <v>0</v>
      </c>
      <c r="EZ62" s="22" t="s">
        <v>2974</v>
      </c>
      <c r="FA62" s="22"/>
    </row>
    <row r="63" spans="1:157">
      <c r="A63" s="17">
        <v>476</v>
      </c>
      <c r="B63" s="17">
        <v>62</v>
      </c>
      <c r="C63" s="23" t="s">
        <v>1795</v>
      </c>
      <c r="D63" s="36">
        <v>43745</v>
      </c>
      <c r="E63" s="23" t="s">
        <v>174</v>
      </c>
      <c r="F63" s="25" t="s">
        <v>1728</v>
      </c>
      <c r="G63" s="25" t="s">
        <v>3291</v>
      </c>
      <c r="H63" s="23" t="s">
        <v>3292</v>
      </c>
      <c r="I63" s="23" t="s">
        <v>3293</v>
      </c>
      <c r="J63" s="23" t="s">
        <v>3291</v>
      </c>
      <c r="K63" s="23" t="s">
        <v>3347</v>
      </c>
      <c r="L63" s="23">
        <v>15</v>
      </c>
      <c r="M63" s="23" t="s">
        <v>3360</v>
      </c>
      <c r="N63" s="23" t="s">
        <v>1343</v>
      </c>
      <c r="O63" s="23" t="s">
        <v>6540</v>
      </c>
      <c r="P63" s="23" t="s">
        <v>861</v>
      </c>
      <c r="Q63" s="23">
        <v>55128927</v>
      </c>
      <c r="R63" s="23" t="s">
        <v>1345</v>
      </c>
      <c r="S63" s="23">
        <v>6</v>
      </c>
      <c r="T63" s="23" t="s">
        <v>1346</v>
      </c>
      <c r="U63" s="23">
        <v>2017</v>
      </c>
      <c r="V63" s="22" t="s">
        <v>3295</v>
      </c>
      <c r="W63" s="23" t="s">
        <v>3296</v>
      </c>
      <c r="X63" s="23" t="s">
        <v>1345</v>
      </c>
      <c r="Y63" s="23">
        <v>2018</v>
      </c>
      <c r="Z63" s="23"/>
      <c r="AA63" s="32">
        <v>50</v>
      </c>
      <c r="AB63" s="23" t="s">
        <v>1349</v>
      </c>
      <c r="AC63" s="23">
        <v>0</v>
      </c>
      <c r="AD63" s="32" t="s">
        <v>1345</v>
      </c>
      <c r="AE63" s="23" t="s">
        <v>1345</v>
      </c>
      <c r="AF63" s="23" t="s">
        <v>1345</v>
      </c>
      <c r="AG63" s="23" t="s">
        <v>1345</v>
      </c>
      <c r="AH63" s="23" t="s">
        <v>1358</v>
      </c>
      <c r="AI63" s="23">
        <v>2017</v>
      </c>
      <c r="AJ63" s="23" t="s">
        <v>1349</v>
      </c>
      <c r="AK63" s="23" t="s">
        <v>3297</v>
      </c>
      <c r="AL63" s="23" t="s">
        <v>1550</v>
      </c>
      <c r="AM63" s="23" t="s">
        <v>1550</v>
      </c>
      <c r="AN63" s="23" t="s">
        <v>1550</v>
      </c>
      <c r="AO63" s="23" t="s">
        <v>1550</v>
      </c>
      <c r="AP63" s="23" t="s">
        <v>1550</v>
      </c>
      <c r="AQ63" s="23" t="s">
        <v>1352</v>
      </c>
      <c r="AR63" s="23" t="s">
        <v>1352</v>
      </c>
      <c r="AS63" s="23" t="s">
        <v>1550</v>
      </c>
      <c r="AT63" s="23" t="s">
        <v>1804</v>
      </c>
      <c r="AU63" s="23" t="s">
        <v>2674</v>
      </c>
      <c r="AV63" s="22">
        <v>1000</v>
      </c>
      <c r="AW63" s="23" t="s">
        <v>3299</v>
      </c>
      <c r="AX63" s="23" t="s">
        <v>3300</v>
      </c>
      <c r="AY63" s="23" t="s">
        <v>1345</v>
      </c>
      <c r="AZ63" s="23" t="s">
        <v>3378</v>
      </c>
      <c r="BA63" s="23" t="s">
        <v>3379</v>
      </c>
      <c r="BB63" s="23" t="s">
        <v>1358</v>
      </c>
      <c r="BC63" s="23" t="s">
        <v>1358</v>
      </c>
      <c r="BD63" s="23" t="s">
        <v>1358</v>
      </c>
      <c r="BE63" s="23" t="s">
        <v>3380</v>
      </c>
      <c r="BF63" s="22"/>
      <c r="BG63" s="22"/>
      <c r="BH63" s="23">
        <v>5</v>
      </c>
      <c r="BI63" s="23">
        <v>7</v>
      </c>
      <c r="BJ63" s="23">
        <v>7</v>
      </c>
      <c r="BK63" s="23" t="s">
        <v>3381</v>
      </c>
      <c r="BL63" s="23" t="s">
        <v>3381</v>
      </c>
      <c r="BM63" s="23" t="s">
        <v>3381</v>
      </c>
      <c r="BN63" s="23" t="s">
        <v>1349</v>
      </c>
      <c r="BO63" s="22"/>
      <c r="BP63" s="22"/>
      <c r="BQ63" s="23" t="s">
        <v>1345</v>
      </c>
      <c r="BR63" s="23" t="s">
        <v>1345</v>
      </c>
      <c r="BS63" s="23" t="s">
        <v>1358</v>
      </c>
      <c r="BT63" s="23" t="s">
        <v>1345</v>
      </c>
      <c r="BU63" s="23" t="s">
        <v>3382</v>
      </c>
      <c r="BV63" s="23" t="s">
        <v>1349</v>
      </c>
      <c r="BW63" s="22"/>
      <c r="BX63" s="23" t="s">
        <v>1345</v>
      </c>
      <c r="BY63" s="23" t="s">
        <v>1362</v>
      </c>
      <c r="BZ63" s="23" t="s">
        <v>3307</v>
      </c>
      <c r="CA63" s="23" t="s">
        <v>3347</v>
      </c>
      <c r="CB63" s="23" t="s">
        <v>1935</v>
      </c>
      <c r="CC63" s="23" t="s">
        <v>1935</v>
      </c>
      <c r="CD63" s="23" t="s">
        <v>1935</v>
      </c>
      <c r="CE63" s="23">
        <v>0</v>
      </c>
      <c r="CF63" s="22">
        <v>1200</v>
      </c>
      <c r="CG63" s="23">
        <v>2400</v>
      </c>
      <c r="CH63" s="23" t="s">
        <v>3383</v>
      </c>
      <c r="CI63" s="22"/>
      <c r="CJ63" s="22"/>
      <c r="CK63" s="22" t="s">
        <v>3384</v>
      </c>
      <c r="CL63" s="27">
        <v>0.55000000000000004</v>
      </c>
      <c r="CM63" s="23" t="s">
        <v>3385</v>
      </c>
      <c r="CN63" s="26">
        <v>0.45</v>
      </c>
      <c r="CO63" s="23" t="s">
        <v>3310</v>
      </c>
      <c r="CP63" s="23" t="s">
        <v>1358</v>
      </c>
      <c r="CQ63" s="23" t="s">
        <v>1367</v>
      </c>
      <c r="CR63" s="23">
        <v>15</v>
      </c>
      <c r="CS63" s="23" t="s">
        <v>2230</v>
      </c>
      <c r="CT63" s="23" t="s">
        <v>3311</v>
      </c>
      <c r="CU63" s="23" t="s">
        <v>1349</v>
      </c>
      <c r="CV63" s="23" t="s">
        <v>3386</v>
      </c>
      <c r="CW63" s="23" t="s">
        <v>1862</v>
      </c>
      <c r="CX63" s="23" t="s">
        <v>1411</v>
      </c>
      <c r="CY63" s="27" t="s">
        <v>1411</v>
      </c>
      <c r="CZ63" s="23" t="s">
        <v>3313</v>
      </c>
      <c r="DA63" s="23" t="s">
        <v>3387</v>
      </c>
      <c r="DB63" s="23" t="s">
        <v>3388</v>
      </c>
      <c r="DC63" s="22" t="s">
        <v>3389</v>
      </c>
      <c r="DD63" s="22" t="s">
        <v>3390</v>
      </c>
      <c r="DE63" s="22" t="s">
        <v>3374</v>
      </c>
      <c r="DF63" s="22" t="s">
        <v>3391</v>
      </c>
      <c r="DG63" s="22"/>
      <c r="DH63" s="22" t="s">
        <v>3319</v>
      </c>
      <c r="DI63" s="22" t="s">
        <v>3319</v>
      </c>
      <c r="DJ63" s="22" t="s">
        <v>3319</v>
      </c>
      <c r="DK63" s="22" t="s">
        <v>3319</v>
      </c>
      <c r="DL63" s="22" t="s">
        <v>1358</v>
      </c>
      <c r="DM63" s="22" t="s">
        <v>1358</v>
      </c>
      <c r="DN63" s="23" t="s">
        <v>1349</v>
      </c>
      <c r="DO63" s="22" t="s">
        <v>1358</v>
      </c>
      <c r="DP63" s="23" t="s">
        <v>1349</v>
      </c>
      <c r="DQ63" s="22" t="s">
        <v>1358</v>
      </c>
      <c r="DR63" s="23" t="s">
        <v>1345</v>
      </c>
      <c r="DS63" s="22" t="s">
        <v>3320</v>
      </c>
      <c r="DT63" s="23" t="s">
        <v>3321</v>
      </c>
      <c r="DU63" s="23" t="s">
        <v>3321</v>
      </c>
      <c r="DV63" s="23" t="s">
        <v>3322</v>
      </c>
      <c r="DW63" s="22" t="s">
        <v>1904</v>
      </c>
      <c r="DX63" s="23" t="s">
        <v>3323</v>
      </c>
      <c r="DY63" s="23" t="s">
        <v>1349</v>
      </c>
      <c r="DZ63" s="23" t="s">
        <v>3355</v>
      </c>
      <c r="EA63" s="23" t="s">
        <v>1345</v>
      </c>
      <c r="EB63" s="23" t="s">
        <v>1345</v>
      </c>
      <c r="EC63" s="23" t="s">
        <v>3325</v>
      </c>
      <c r="ED63" s="23" t="s">
        <v>3326</v>
      </c>
      <c r="EE63" s="27">
        <v>0.5</v>
      </c>
      <c r="EF63" s="23" t="s">
        <v>3327</v>
      </c>
      <c r="EG63" s="23" t="s">
        <v>1345</v>
      </c>
      <c r="EH63" s="23" t="s">
        <v>3328</v>
      </c>
      <c r="EI63" s="23" t="s">
        <v>3356</v>
      </c>
      <c r="EJ63" s="23" t="s">
        <v>3330</v>
      </c>
      <c r="EK63" s="23" t="s">
        <v>3331</v>
      </c>
      <c r="EL63" s="23" t="s">
        <v>1841</v>
      </c>
      <c r="EM63" s="23">
        <v>3</v>
      </c>
      <c r="EN63" s="23" t="s">
        <v>3392</v>
      </c>
      <c r="EO63" s="23">
        <v>2</v>
      </c>
      <c r="EP63" s="23" t="s">
        <v>3393</v>
      </c>
      <c r="EQ63" s="23">
        <v>3</v>
      </c>
      <c r="ER63" s="22" t="s">
        <v>3334</v>
      </c>
      <c r="ES63" s="23">
        <v>3</v>
      </c>
      <c r="ET63" s="23" t="s">
        <v>3335</v>
      </c>
      <c r="EU63" s="23">
        <v>1</v>
      </c>
      <c r="EV63" s="22" t="s">
        <v>3336</v>
      </c>
      <c r="EW63" s="23">
        <v>3</v>
      </c>
      <c r="EX63" s="22" t="s">
        <v>3337</v>
      </c>
      <c r="EY63" s="23">
        <v>1</v>
      </c>
      <c r="EZ63" s="22" t="s">
        <v>3338</v>
      </c>
      <c r="FA63" s="22"/>
    </row>
    <row r="64" spans="1:157">
      <c r="A64" s="17">
        <v>477</v>
      </c>
      <c r="B64" s="17">
        <v>61</v>
      </c>
      <c r="C64" s="23" t="s">
        <v>1795</v>
      </c>
      <c r="D64" s="36">
        <v>43745</v>
      </c>
      <c r="E64" s="23" t="s">
        <v>3358</v>
      </c>
      <c r="F64" s="25" t="s">
        <v>1728</v>
      </c>
      <c r="G64" s="25" t="s">
        <v>3291</v>
      </c>
      <c r="H64" s="23" t="s">
        <v>3292</v>
      </c>
      <c r="I64" s="23" t="s">
        <v>3293</v>
      </c>
      <c r="J64" s="23" t="s">
        <v>3291</v>
      </c>
      <c r="K64" s="23" t="s">
        <v>3359</v>
      </c>
      <c r="L64" s="23">
        <v>15</v>
      </c>
      <c r="M64" s="23" t="s">
        <v>3360</v>
      </c>
      <c r="N64" s="23" t="s">
        <v>1343</v>
      </c>
      <c r="O64" s="23" t="s">
        <v>3361</v>
      </c>
      <c r="P64" s="22" t="s">
        <v>3362</v>
      </c>
      <c r="Q64" s="23" t="s">
        <v>3363</v>
      </c>
      <c r="R64" s="23" t="s">
        <v>1345</v>
      </c>
      <c r="S64" s="23">
        <v>5</v>
      </c>
      <c r="T64" s="23" t="s">
        <v>1346</v>
      </c>
      <c r="U64" s="23">
        <v>2002</v>
      </c>
      <c r="V64" s="22" t="s">
        <v>3295</v>
      </c>
      <c r="W64" s="23" t="s">
        <v>3296</v>
      </c>
      <c r="X64" s="23" t="s">
        <v>1345</v>
      </c>
      <c r="Y64" s="23">
        <v>2018</v>
      </c>
      <c r="Z64" s="23"/>
      <c r="AA64" s="32">
        <v>30</v>
      </c>
      <c r="AB64" s="23" t="s">
        <v>1345</v>
      </c>
      <c r="AC64" s="23">
        <v>2</v>
      </c>
      <c r="AD64" s="32" t="s">
        <v>1345</v>
      </c>
      <c r="AE64" s="23" t="s">
        <v>1345</v>
      </c>
      <c r="AF64" s="23" t="s">
        <v>1345</v>
      </c>
      <c r="AG64" s="23" t="s">
        <v>1345</v>
      </c>
      <c r="AH64" s="23" t="s">
        <v>1358</v>
      </c>
      <c r="AI64" s="23">
        <v>2002</v>
      </c>
      <c r="AJ64" s="23" t="s">
        <v>1349</v>
      </c>
      <c r="AK64" s="23" t="s">
        <v>3297</v>
      </c>
      <c r="AL64" s="23" t="s">
        <v>1550</v>
      </c>
      <c r="AM64" s="23" t="s">
        <v>1550</v>
      </c>
      <c r="AN64" s="23" t="s">
        <v>1550</v>
      </c>
      <c r="AO64" s="23" t="s">
        <v>1550</v>
      </c>
      <c r="AP64" s="23" t="s">
        <v>1550</v>
      </c>
      <c r="AQ64" s="23" t="s">
        <v>1352</v>
      </c>
      <c r="AR64" s="23" t="s">
        <v>1352</v>
      </c>
      <c r="AS64" s="23" t="s">
        <v>1550</v>
      </c>
      <c r="AT64" s="23" t="s">
        <v>1804</v>
      </c>
      <c r="AU64" s="23" t="s">
        <v>2727</v>
      </c>
      <c r="AV64" s="23">
        <v>5000</v>
      </c>
      <c r="AW64" s="23" t="s">
        <v>3299</v>
      </c>
      <c r="AX64" s="23" t="s">
        <v>3300</v>
      </c>
      <c r="AY64" s="23" t="s">
        <v>1345</v>
      </c>
      <c r="AZ64" s="23" t="s">
        <v>3364</v>
      </c>
      <c r="BA64" s="23" t="s">
        <v>3365</v>
      </c>
      <c r="BB64" s="23" t="s">
        <v>1358</v>
      </c>
      <c r="BC64" s="23" t="s">
        <v>1358</v>
      </c>
      <c r="BD64" s="23" t="s">
        <v>1358</v>
      </c>
      <c r="BE64" s="23" t="s">
        <v>3366</v>
      </c>
      <c r="BF64" s="22"/>
      <c r="BG64" s="22"/>
      <c r="BH64" s="23">
        <v>1</v>
      </c>
      <c r="BI64" s="23">
        <v>3</v>
      </c>
      <c r="BJ64" s="23">
        <v>3</v>
      </c>
      <c r="BK64" s="23" t="s">
        <v>3304</v>
      </c>
      <c r="BL64" s="23" t="s">
        <v>3304</v>
      </c>
      <c r="BM64" s="23" t="s">
        <v>3305</v>
      </c>
      <c r="BN64" s="23" t="s">
        <v>1349</v>
      </c>
      <c r="BO64" s="22"/>
      <c r="BP64" s="22"/>
      <c r="BQ64" s="23" t="s">
        <v>1345</v>
      </c>
      <c r="BR64" s="23" t="s">
        <v>1349</v>
      </c>
      <c r="BS64" s="23" t="s">
        <v>1358</v>
      </c>
      <c r="BT64" s="23" t="s">
        <v>1345</v>
      </c>
      <c r="BU64" s="23" t="s">
        <v>3367</v>
      </c>
      <c r="BV64" s="23" t="s">
        <v>1349</v>
      </c>
      <c r="BW64" s="22"/>
      <c r="BX64" s="23" t="s">
        <v>1345</v>
      </c>
      <c r="BY64" s="23" t="s">
        <v>1362</v>
      </c>
      <c r="BZ64" s="23" t="s">
        <v>3368</v>
      </c>
      <c r="CA64" s="23" t="s">
        <v>3369</v>
      </c>
      <c r="CB64" s="23" t="s">
        <v>1935</v>
      </c>
      <c r="CC64" s="23" t="s">
        <v>1935</v>
      </c>
      <c r="CD64" s="23" t="s">
        <v>1935</v>
      </c>
      <c r="CE64" s="23">
        <v>1200</v>
      </c>
      <c r="CF64" s="23">
        <v>960</v>
      </c>
      <c r="CG64" s="23">
        <v>1440</v>
      </c>
      <c r="CH64" s="23" t="s">
        <v>3370</v>
      </c>
      <c r="CI64" s="22"/>
      <c r="CJ64" s="22"/>
      <c r="CK64" s="27">
        <v>0.6</v>
      </c>
      <c r="CL64" s="27">
        <v>0.6</v>
      </c>
      <c r="CM64" s="26">
        <v>0.4</v>
      </c>
      <c r="CN64" s="26">
        <v>0.4</v>
      </c>
      <c r="CO64" s="23" t="s">
        <v>3310</v>
      </c>
      <c r="CP64" s="23" t="s">
        <v>1358</v>
      </c>
      <c r="CQ64" s="23" t="s">
        <v>1367</v>
      </c>
      <c r="CR64" s="23">
        <v>15</v>
      </c>
      <c r="CS64" s="23" t="s">
        <v>2230</v>
      </c>
      <c r="CT64" s="23" t="s">
        <v>3311</v>
      </c>
      <c r="CU64" s="23" t="s">
        <v>1349</v>
      </c>
      <c r="CV64" s="23" t="s">
        <v>3371</v>
      </c>
      <c r="CW64" s="23" t="s">
        <v>1349</v>
      </c>
      <c r="CX64" s="22"/>
      <c r="CY64" s="27"/>
      <c r="CZ64" s="23" t="s">
        <v>3313</v>
      </c>
      <c r="DA64" s="23" t="s">
        <v>3372</v>
      </c>
      <c r="DB64" s="22"/>
      <c r="DC64" s="22" t="s">
        <v>1904</v>
      </c>
      <c r="DD64" s="22" t="s">
        <v>3373</v>
      </c>
      <c r="DE64" s="22" t="s">
        <v>3374</v>
      </c>
      <c r="DF64" s="22" t="s">
        <v>3375</v>
      </c>
      <c r="DG64" s="22" t="s">
        <v>3376</v>
      </c>
      <c r="DH64" s="22" t="s">
        <v>3319</v>
      </c>
      <c r="DI64" s="22" t="s">
        <v>3319</v>
      </c>
      <c r="DJ64" s="22" t="s">
        <v>3319</v>
      </c>
      <c r="DK64" s="22" t="s">
        <v>3319</v>
      </c>
      <c r="DL64" s="22" t="s">
        <v>1358</v>
      </c>
      <c r="DM64" s="22" t="s">
        <v>1358</v>
      </c>
      <c r="DN64" s="23" t="s">
        <v>1349</v>
      </c>
      <c r="DO64" s="22" t="s">
        <v>1358</v>
      </c>
      <c r="DP64" s="23" t="s">
        <v>1349</v>
      </c>
      <c r="DQ64" s="22" t="s">
        <v>1358</v>
      </c>
      <c r="DR64" s="23" t="s">
        <v>1345</v>
      </c>
      <c r="DS64" s="22" t="s">
        <v>3320</v>
      </c>
      <c r="DT64" s="23" t="s">
        <v>3321</v>
      </c>
      <c r="DU64" s="23" t="s">
        <v>3321</v>
      </c>
      <c r="DV64" s="23" t="s">
        <v>3322</v>
      </c>
      <c r="DW64" s="22" t="s">
        <v>1904</v>
      </c>
      <c r="DX64" s="23" t="s">
        <v>3323</v>
      </c>
      <c r="DY64" s="23" t="s">
        <v>1349</v>
      </c>
      <c r="DZ64" s="23" t="s">
        <v>3355</v>
      </c>
      <c r="EA64" s="23" t="s">
        <v>1345</v>
      </c>
      <c r="EB64" s="23" t="s">
        <v>1345</v>
      </c>
      <c r="EC64" s="23" t="s">
        <v>3325</v>
      </c>
      <c r="ED64" s="23" t="s">
        <v>3326</v>
      </c>
      <c r="EE64" s="27">
        <v>0.5</v>
      </c>
      <c r="EF64" s="23" t="s">
        <v>3327</v>
      </c>
      <c r="EG64" s="23" t="s">
        <v>1345</v>
      </c>
      <c r="EH64" s="23" t="s">
        <v>3328</v>
      </c>
      <c r="EI64" s="23" t="s">
        <v>3356</v>
      </c>
      <c r="EJ64" s="23" t="s">
        <v>3330</v>
      </c>
      <c r="EK64" s="23" t="s">
        <v>3331</v>
      </c>
      <c r="EL64" s="23" t="s">
        <v>1841</v>
      </c>
      <c r="EM64" s="23">
        <v>5</v>
      </c>
      <c r="EN64" s="23" t="s">
        <v>3377</v>
      </c>
      <c r="EO64" s="23">
        <v>3</v>
      </c>
      <c r="EP64" s="23" t="s">
        <v>3333</v>
      </c>
      <c r="EQ64" s="23">
        <v>3</v>
      </c>
      <c r="ER64" s="22" t="s">
        <v>3334</v>
      </c>
      <c r="ES64" s="23">
        <v>4</v>
      </c>
      <c r="ET64" s="23" t="s">
        <v>3335</v>
      </c>
      <c r="EU64" s="23">
        <v>1</v>
      </c>
      <c r="EV64" s="22" t="s">
        <v>3336</v>
      </c>
      <c r="EW64" s="23">
        <v>3</v>
      </c>
      <c r="EX64" s="22" t="s">
        <v>3337</v>
      </c>
      <c r="EY64" s="23">
        <v>1</v>
      </c>
      <c r="EZ64" s="22" t="s">
        <v>3338</v>
      </c>
      <c r="FA64" s="22"/>
    </row>
    <row r="65" spans="1:157">
      <c r="A65" s="17">
        <v>478</v>
      </c>
      <c r="B65" s="17">
        <v>27</v>
      </c>
      <c r="C65" s="23" t="s">
        <v>2278</v>
      </c>
      <c r="D65" s="24">
        <v>43760</v>
      </c>
      <c r="E65" s="23" t="s">
        <v>2844</v>
      </c>
      <c r="F65" s="25"/>
      <c r="G65" s="25"/>
      <c r="H65" s="23" t="s">
        <v>1086</v>
      </c>
      <c r="I65" s="23" t="s">
        <v>1065</v>
      </c>
      <c r="J65" s="23" t="s">
        <v>2833</v>
      </c>
      <c r="K65" s="23" t="s">
        <v>2834</v>
      </c>
      <c r="L65" s="23">
        <v>46</v>
      </c>
      <c r="M65" s="23" t="s">
        <v>2393</v>
      </c>
      <c r="N65" s="23" t="s">
        <v>1541</v>
      </c>
      <c r="O65" s="23" t="s">
        <v>902</v>
      </c>
      <c r="P65" s="23" t="s">
        <v>2876</v>
      </c>
      <c r="Q65" s="23">
        <v>77851734</v>
      </c>
      <c r="R65" s="23" t="s">
        <v>1345</v>
      </c>
      <c r="S65" s="23">
        <v>4</v>
      </c>
      <c r="T65" s="23" t="s">
        <v>2285</v>
      </c>
      <c r="U65" s="23">
        <v>2009</v>
      </c>
      <c r="V65" s="23" t="s">
        <v>2787</v>
      </c>
      <c r="W65" s="23" t="s">
        <v>2359</v>
      </c>
      <c r="X65" s="23" t="s">
        <v>1345</v>
      </c>
      <c r="Y65" s="23">
        <v>2019</v>
      </c>
      <c r="Z65" s="23" t="s">
        <v>2288</v>
      </c>
      <c r="AA65" s="32">
        <v>33</v>
      </c>
      <c r="AB65" s="23" t="s">
        <v>1349</v>
      </c>
      <c r="AC65" s="23">
        <v>3</v>
      </c>
      <c r="AD65" s="32" t="s">
        <v>1345</v>
      </c>
      <c r="AE65" s="23" t="s">
        <v>1345</v>
      </c>
      <c r="AF65" s="23" t="s">
        <v>1349</v>
      </c>
      <c r="AG65" s="23" t="s">
        <v>1349</v>
      </c>
      <c r="AH65" s="23" t="s">
        <v>2877</v>
      </c>
      <c r="AI65" s="23">
        <v>2009</v>
      </c>
      <c r="AJ65" s="23" t="s">
        <v>1349</v>
      </c>
      <c r="AK65" s="23" t="s">
        <v>2341</v>
      </c>
      <c r="AL65" s="23" t="s">
        <v>1612</v>
      </c>
      <c r="AM65" s="23" t="s">
        <v>1612</v>
      </c>
      <c r="AN65" s="23" t="s">
        <v>1612</v>
      </c>
      <c r="AO65" s="23" t="s">
        <v>1612</v>
      </c>
      <c r="AP65" s="23" t="s">
        <v>1612</v>
      </c>
      <c r="AQ65" s="23" t="s">
        <v>2291</v>
      </c>
      <c r="AR65" s="23" t="s">
        <v>2291</v>
      </c>
      <c r="AS65" s="23" t="s">
        <v>1802</v>
      </c>
      <c r="AT65" s="23" t="s">
        <v>1358</v>
      </c>
      <c r="AU65" s="23" t="s">
        <v>2778</v>
      </c>
      <c r="AV65" s="22" t="s">
        <v>2789</v>
      </c>
      <c r="AW65" s="23" t="s">
        <v>2860</v>
      </c>
      <c r="AX65" s="23" t="s">
        <v>2847</v>
      </c>
      <c r="AY65" s="23" t="s">
        <v>1349</v>
      </c>
      <c r="AZ65" s="23" t="s">
        <v>2361</v>
      </c>
      <c r="BA65" s="23" t="s">
        <v>2361</v>
      </c>
      <c r="BB65" s="23" t="s">
        <v>2289</v>
      </c>
      <c r="BC65" s="23" t="s">
        <v>2289</v>
      </c>
      <c r="BD65" s="23" t="s">
        <v>2289</v>
      </c>
      <c r="BE65" s="23" t="s">
        <v>2834</v>
      </c>
      <c r="BF65" s="23" t="s">
        <v>2300</v>
      </c>
      <c r="BG65" s="23" t="s">
        <v>2300</v>
      </c>
      <c r="BH65" s="22">
        <v>6</v>
      </c>
      <c r="BI65" s="22">
        <v>6.5</v>
      </c>
      <c r="BJ65" s="22">
        <v>7</v>
      </c>
      <c r="BK65" s="23" t="s">
        <v>2594</v>
      </c>
      <c r="BL65" s="23" t="s">
        <v>2594</v>
      </c>
      <c r="BM65" s="23" t="s">
        <v>2594</v>
      </c>
      <c r="BN65" s="23" t="s">
        <v>1349</v>
      </c>
      <c r="BO65" s="23" t="s">
        <v>2300</v>
      </c>
      <c r="BP65" s="23" t="s">
        <v>2300</v>
      </c>
      <c r="BQ65" s="23" t="s">
        <v>1349</v>
      </c>
      <c r="BR65" s="23" t="s">
        <v>1349</v>
      </c>
      <c r="BS65" s="23" t="s">
        <v>1804</v>
      </c>
      <c r="BT65" s="23" t="s">
        <v>1345</v>
      </c>
      <c r="BU65" s="23" t="s">
        <v>1358</v>
      </c>
      <c r="BV65" s="23" t="s">
        <v>1349</v>
      </c>
      <c r="BW65" s="23" t="s">
        <v>2300</v>
      </c>
      <c r="BX65" s="23" t="s">
        <v>1349</v>
      </c>
      <c r="BY65" s="23" t="s">
        <v>1565</v>
      </c>
      <c r="BZ65" s="23" t="s">
        <v>2300</v>
      </c>
      <c r="CA65" s="23" t="s">
        <v>2300</v>
      </c>
      <c r="CB65" s="23" t="s">
        <v>2289</v>
      </c>
      <c r="CC65" s="23" t="s">
        <v>2289</v>
      </c>
      <c r="CD65" s="23" t="s">
        <v>2289</v>
      </c>
      <c r="CE65" s="23">
        <v>7920</v>
      </c>
      <c r="CF65" s="23">
        <v>6240</v>
      </c>
      <c r="CG65" s="23">
        <v>10080</v>
      </c>
      <c r="CH65" s="23">
        <v>40</v>
      </c>
      <c r="CI65" s="23">
        <v>40</v>
      </c>
      <c r="CJ65" s="23">
        <v>40</v>
      </c>
      <c r="CK65" s="27">
        <v>1</v>
      </c>
      <c r="CL65" s="27">
        <v>1</v>
      </c>
      <c r="CM65" s="27">
        <v>0</v>
      </c>
      <c r="CN65" s="27">
        <v>0</v>
      </c>
      <c r="CO65" s="23" t="s">
        <v>2307</v>
      </c>
      <c r="CP65" s="23" t="s">
        <v>1565</v>
      </c>
      <c r="CQ65" s="23" t="s">
        <v>1565</v>
      </c>
      <c r="CR65" s="23" t="s">
        <v>2767</v>
      </c>
      <c r="CS65" s="23" t="s">
        <v>1706</v>
      </c>
      <c r="CT65" s="23" t="s">
        <v>2767</v>
      </c>
      <c r="CU65" s="23" t="s">
        <v>2767</v>
      </c>
      <c r="CV65" s="23" t="s">
        <v>2767</v>
      </c>
      <c r="CW65" s="23" t="s">
        <v>1345</v>
      </c>
      <c r="CX65" s="26">
        <v>0.05</v>
      </c>
      <c r="CY65" s="27">
        <v>0.95</v>
      </c>
      <c r="CZ65" s="23" t="s">
        <v>2791</v>
      </c>
      <c r="DA65" s="23" t="s">
        <v>2874</v>
      </c>
      <c r="DB65" s="23" t="s">
        <v>1903</v>
      </c>
      <c r="DC65" s="23" t="s">
        <v>2836</v>
      </c>
      <c r="DD65" s="22" t="s">
        <v>2837</v>
      </c>
      <c r="DE65" s="23" t="s">
        <v>2838</v>
      </c>
      <c r="DF65" s="23" t="s">
        <v>2839</v>
      </c>
      <c r="DG65" s="23" t="s">
        <v>2878</v>
      </c>
      <c r="DH65" s="23" t="s">
        <v>2794</v>
      </c>
      <c r="DI65" s="23" t="s">
        <v>1556</v>
      </c>
      <c r="DJ65" s="23" t="s">
        <v>1556</v>
      </c>
      <c r="DK65" s="23" t="s">
        <v>1556</v>
      </c>
      <c r="DL65" s="23" t="s">
        <v>2795</v>
      </c>
      <c r="DM65" s="23" t="s">
        <v>2852</v>
      </c>
      <c r="DN65" s="23" t="s">
        <v>1345</v>
      </c>
      <c r="DO65" s="23" t="s">
        <v>2796</v>
      </c>
      <c r="DP65" s="23" t="s">
        <v>1349</v>
      </c>
      <c r="DQ65" s="23" t="s">
        <v>1358</v>
      </c>
      <c r="DR65" s="23" t="s">
        <v>1349</v>
      </c>
      <c r="DS65" s="23" t="s">
        <v>2300</v>
      </c>
      <c r="DT65" s="23" t="s">
        <v>2300</v>
      </c>
      <c r="DU65" s="23" t="s">
        <v>2300</v>
      </c>
      <c r="DV65" s="23" t="s">
        <v>1345</v>
      </c>
      <c r="DW65" s="23" t="s">
        <v>2797</v>
      </c>
      <c r="DX65" s="23" t="s">
        <v>1345</v>
      </c>
      <c r="DY65" s="23" t="s">
        <v>1349</v>
      </c>
      <c r="DZ65" s="23" t="s">
        <v>2322</v>
      </c>
      <c r="EA65" s="23" t="s">
        <v>1345</v>
      </c>
      <c r="EB65" s="23" t="s">
        <v>1345</v>
      </c>
      <c r="EC65" s="23" t="s">
        <v>1345</v>
      </c>
      <c r="ED65" s="23" t="s">
        <v>2353</v>
      </c>
      <c r="EE65" s="27">
        <v>0.1</v>
      </c>
      <c r="EF65" s="23" t="s">
        <v>2324</v>
      </c>
      <c r="EG65" s="23" t="s">
        <v>1342</v>
      </c>
      <c r="EH65" s="23" t="s">
        <v>2300</v>
      </c>
      <c r="EI65" s="23" t="s">
        <v>2326</v>
      </c>
      <c r="EJ65" s="22" t="s">
        <v>2853</v>
      </c>
      <c r="EK65" s="23" t="s">
        <v>2419</v>
      </c>
      <c r="EL65" s="23" t="s">
        <v>1389</v>
      </c>
      <c r="EM65" s="23">
        <v>3</v>
      </c>
      <c r="EN65" s="23" t="s">
        <v>2388</v>
      </c>
      <c r="EO65" s="23">
        <v>3</v>
      </c>
      <c r="EP65" s="23" t="s">
        <v>2841</v>
      </c>
      <c r="EQ65" s="23">
        <v>4</v>
      </c>
      <c r="ER65" s="22" t="s">
        <v>2331</v>
      </c>
      <c r="ES65" s="23">
        <v>4</v>
      </c>
      <c r="ET65" s="22" t="s">
        <v>2863</v>
      </c>
      <c r="EU65" s="23">
        <v>4</v>
      </c>
      <c r="EV65" s="22" t="s">
        <v>2508</v>
      </c>
      <c r="EW65" s="23">
        <v>1</v>
      </c>
      <c r="EX65" s="22" t="s">
        <v>2843</v>
      </c>
      <c r="EY65" s="23">
        <v>2</v>
      </c>
      <c r="EZ65" s="22" t="s">
        <v>2424</v>
      </c>
      <c r="FA65" s="22"/>
    </row>
    <row r="66" spans="1:157">
      <c r="A66" s="17">
        <v>479</v>
      </c>
      <c r="B66" s="17">
        <v>52</v>
      </c>
      <c r="C66" s="22" t="s">
        <v>1337</v>
      </c>
      <c r="D66" s="33">
        <v>43756</v>
      </c>
      <c r="E66" s="22" t="s">
        <v>3192</v>
      </c>
      <c r="F66" s="22"/>
      <c r="G66" s="22" t="s">
        <v>3086</v>
      </c>
      <c r="H66" s="22" t="s">
        <v>1086</v>
      </c>
      <c r="I66" s="22" t="s">
        <v>1065</v>
      </c>
      <c r="J66" s="22" t="s">
        <v>3086</v>
      </c>
      <c r="K66" s="22" t="s">
        <v>3086</v>
      </c>
      <c r="L66" s="22">
        <v>8</v>
      </c>
      <c r="M66" s="22" t="s">
        <v>1342</v>
      </c>
      <c r="N66" s="22" t="s">
        <v>1541</v>
      </c>
      <c r="O66" s="22" t="s">
        <v>902</v>
      </c>
      <c r="P66" s="22" t="s">
        <v>3193</v>
      </c>
      <c r="Q66" s="22">
        <v>71533236</v>
      </c>
      <c r="R66" s="22" t="s">
        <v>1345</v>
      </c>
      <c r="S66" s="22">
        <v>3</v>
      </c>
      <c r="T66" s="22" t="s">
        <v>1346</v>
      </c>
      <c r="U66" s="22">
        <v>2011</v>
      </c>
      <c r="V66" s="22" t="s">
        <v>2896</v>
      </c>
      <c r="W66" s="22" t="s">
        <v>3194</v>
      </c>
      <c r="X66" s="22" t="s">
        <v>1349</v>
      </c>
      <c r="Y66" s="22"/>
      <c r="Z66" s="22"/>
      <c r="AA66" s="34">
        <v>20</v>
      </c>
      <c r="AB66" s="22" t="s">
        <v>1349</v>
      </c>
      <c r="AC66" s="22" t="s">
        <v>2926</v>
      </c>
      <c r="AD66" s="34" t="s">
        <v>1345</v>
      </c>
      <c r="AE66" s="22" t="s">
        <v>1349</v>
      </c>
      <c r="AF66" s="22" t="s">
        <v>1349</v>
      </c>
      <c r="AG66" s="22" t="s">
        <v>1349</v>
      </c>
      <c r="AH66" s="22"/>
      <c r="AI66" s="22"/>
      <c r="AJ66" s="22" t="s">
        <v>1349</v>
      </c>
      <c r="AK66" s="22" t="s">
        <v>2967</v>
      </c>
      <c r="AL66" s="22" t="s">
        <v>1351</v>
      </c>
      <c r="AM66" s="22" t="s">
        <v>1351</v>
      </c>
      <c r="AN66" s="22" t="s">
        <v>1351</v>
      </c>
      <c r="AO66" s="22" t="s">
        <v>1351</v>
      </c>
      <c r="AP66" s="22" t="s">
        <v>1351</v>
      </c>
      <c r="AQ66" s="22" t="s">
        <v>1352</v>
      </c>
      <c r="AR66" s="22" t="s">
        <v>1351</v>
      </c>
      <c r="AS66" s="22" t="s">
        <v>1353</v>
      </c>
      <c r="AT66" s="22"/>
      <c r="AU66" s="22">
        <v>6900</v>
      </c>
      <c r="AV66" s="22">
        <v>1000</v>
      </c>
      <c r="AW66" s="22" t="s">
        <v>2955</v>
      </c>
      <c r="AX66" s="22" t="s">
        <v>3195</v>
      </c>
      <c r="AY66" s="22"/>
      <c r="AZ66" s="22"/>
      <c r="BA66" s="22"/>
      <c r="BB66" s="22" t="s">
        <v>1358</v>
      </c>
      <c r="BC66" s="22"/>
      <c r="BD66" s="22"/>
      <c r="BE66" s="22" t="s">
        <v>3196</v>
      </c>
      <c r="BF66" s="22"/>
      <c r="BG66" s="22"/>
      <c r="BH66" s="22">
        <v>3</v>
      </c>
      <c r="BI66" s="22">
        <v>5</v>
      </c>
      <c r="BJ66" s="22"/>
      <c r="BK66" s="22" t="s">
        <v>1434</v>
      </c>
      <c r="BL66" s="22" t="s">
        <v>1434</v>
      </c>
      <c r="BM66" s="22"/>
      <c r="BN66" s="22" t="s">
        <v>1349</v>
      </c>
      <c r="BO66" s="22"/>
      <c r="BP66" s="22"/>
      <c r="BQ66" s="22" t="s">
        <v>1345</v>
      </c>
      <c r="BR66" s="22" t="s">
        <v>1342</v>
      </c>
      <c r="BS66" s="27">
        <v>0</v>
      </c>
      <c r="BT66" s="22" t="s">
        <v>1342</v>
      </c>
      <c r="BU66" s="22"/>
      <c r="BV66" s="22"/>
      <c r="BW66" s="22"/>
      <c r="BX66" s="22" t="s">
        <v>1345</v>
      </c>
      <c r="BY66" s="22" t="s">
        <v>1561</v>
      </c>
      <c r="BZ66" s="22" t="s">
        <v>3185</v>
      </c>
      <c r="CA66" s="22" t="s">
        <v>3086</v>
      </c>
      <c r="CB66" s="22" t="s">
        <v>1364</v>
      </c>
      <c r="CC66" s="22" t="s">
        <v>1364</v>
      </c>
      <c r="CD66" s="22" t="s">
        <v>1364</v>
      </c>
      <c r="CE66" s="22">
        <v>2400</v>
      </c>
      <c r="CF66" s="22">
        <v>1920</v>
      </c>
      <c r="CG66" s="22">
        <v>2400</v>
      </c>
      <c r="CH66" s="22">
        <v>0</v>
      </c>
      <c r="CI66" s="22">
        <v>0</v>
      </c>
      <c r="CJ66" s="22">
        <v>0</v>
      </c>
      <c r="CK66" s="27">
        <v>0.6</v>
      </c>
      <c r="CL66" s="27">
        <v>0.7</v>
      </c>
      <c r="CM66" s="27">
        <v>0.4</v>
      </c>
      <c r="CN66" s="27">
        <v>0.3</v>
      </c>
      <c r="CO66" s="22" t="s">
        <v>3186</v>
      </c>
      <c r="CP66" s="22"/>
      <c r="CQ66" s="22"/>
      <c r="CR66" s="22"/>
      <c r="CS66" s="22"/>
      <c r="CT66" s="22"/>
      <c r="CU66" s="22"/>
      <c r="CV66" s="22"/>
      <c r="CW66" s="22" t="s">
        <v>1345</v>
      </c>
      <c r="CX66" s="27">
        <v>0.1</v>
      </c>
      <c r="CY66" s="27">
        <v>0.8</v>
      </c>
      <c r="CZ66" s="22" t="s">
        <v>3117</v>
      </c>
      <c r="DA66" s="22" t="s">
        <v>1372</v>
      </c>
      <c r="DB66" s="22">
        <v>5</v>
      </c>
      <c r="DC66" s="22"/>
      <c r="DD66" s="22" t="s">
        <v>2907</v>
      </c>
      <c r="DE66" s="22" t="s">
        <v>2908</v>
      </c>
      <c r="DF66" s="22" t="s">
        <v>2909</v>
      </c>
      <c r="DG66" s="22"/>
      <c r="DH66" s="22" t="s">
        <v>3098</v>
      </c>
      <c r="DI66" s="22"/>
      <c r="DJ66" s="22"/>
      <c r="DK66" s="22"/>
      <c r="DL66" s="22" t="s">
        <v>3157</v>
      </c>
      <c r="DM66" s="22"/>
      <c r="DN66" s="22" t="s">
        <v>1383</v>
      </c>
      <c r="DO66" s="22" t="s">
        <v>3032</v>
      </c>
      <c r="DP66" s="22" t="s">
        <v>1349</v>
      </c>
      <c r="DQ66" s="22"/>
      <c r="DR66" s="22" t="s">
        <v>1349</v>
      </c>
      <c r="DS66" s="22"/>
      <c r="DT66" s="22"/>
      <c r="DU66" s="22"/>
      <c r="DV66" s="22" t="s">
        <v>1383</v>
      </c>
      <c r="DW66" s="22" t="s">
        <v>1436</v>
      </c>
      <c r="DX66" s="22" t="s">
        <v>1345</v>
      </c>
      <c r="DY66" s="22" t="s">
        <v>1349</v>
      </c>
      <c r="DZ66" s="22" t="s">
        <v>3078</v>
      </c>
      <c r="EA66" s="22" t="s">
        <v>1345</v>
      </c>
      <c r="EB66" s="22" t="s">
        <v>1345</v>
      </c>
      <c r="EC66" s="22" t="s">
        <v>1345</v>
      </c>
      <c r="ED66" s="22" t="s">
        <v>2948</v>
      </c>
      <c r="EE66" s="27">
        <v>0.3</v>
      </c>
      <c r="EF66" s="22" t="s">
        <v>3103</v>
      </c>
      <c r="EG66" s="22" t="s">
        <v>1342</v>
      </c>
      <c r="EH66" s="22"/>
      <c r="EI66" s="22"/>
      <c r="EJ66" s="22"/>
      <c r="EK66" s="22"/>
      <c r="EL66" s="22" t="s">
        <v>1389</v>
      </c>
      <c r="EM66" s="22">
        <v>3</v>
      </c>
      <c r="EN66" s="22" t="s">
        <v>2917</v>
      </c>
      <c r="EO66" s="22">
        <v>0</v>
      </c>
      <c r="EP66" s="22" t="s">
        <v>3020</v>
      </c>
      <c r="EQ66" s="22">
        <v>2</v>
      </c>
      <c r="ER66" s="22" t="s">
        <v>3129</v>
      </c>
      <c r="ES66" s="22">
        <v>3</v>
      </c>
      <c r="ET66" s="22" t="s">
        <v>3174</v>
      </c>
      <c r="EU66" s="22">
        <v>3</v>
      </c>
      <c r="EV66" s="22" t="s">
        <v>3108</v>
      </c>
      <c r="EW66" s="22">
        <v>3</v>
      </c>
      <c r="EX66" s="22" t="s">
        <v>3109</v>
      </c>
      <c r="EY66" s="22"/>
      <c r="EZ66" s="22" t="s">
        <v>2974</v>
      </c>
      <c r="FA66" s="22"/>
    </row>
    <row r="67" spans="1:157">
      <c r="A67" s="17">
        <v>480</v>
      </c>
      <c r="B67" s="17">
        <v>75</v>
      </c>
      <c r="C67" s="38" t="s">
        <v>1795</v>
      </c>
      <c r="D67" s="39">
        <v>43753</v>
      </c>
      <c r="E67" s="38" t="s">
        <v>3644</v>
      </c>
      <c r="F67" s="40" t="s">
        <v>1728</v>
      </c>
      <c r="G67" s="40" t="s">
        <v>507</v>
      </c>
      <c r="H67" s="38" t="s">
        <v>3292</v>
      </c>
      <c r="I67" s="23" t="s">
        <v>1065</v>
      </c>
      <c r="J67" s="38" t="s">
        <v>507</v>
      </c>
      <c r="K67" s="38" t="s">
        <v>3555</v>
      </c>
      <c r="L67" s="41">
        <v>1</v>
      </c>
      <c r="M67" s="38" t="s">
        <v>2181</v>
      </c>
      <c r="N67" s="38" t="s">
        <v>1343</v>
      </c>
      <c r="O67" s="38" t="s">
        <v>6195</v>
      </c>
      <c r="P67" s="38" t="s">
        <v>7105</v>
      </c>
      <c r="Q67" s="38">
        <v>71125226</v>
      </c>
      <c r="R67" s="38" t="s">
        <v>1345</v>
      </c>
      <c r="S67" s="38">
        <v>7</v>
      </c>
      <c r="T67" s="38" t="s">
        <v>1346</v>
      </c>
      <c r="U67" s="38">
        <v>1994</v>
      </c>
      <c r="V67" s="42" t="s">
        <v>3645</v>
      </c>
      <c r="W67" s="38" t="s">
        <v>3646</v>
      </c>
      <c r="X67" s="38" t="s">
        <v>1349</v>
      </c>
      <c r="Y67" s="38"/>
      <c r="Z67" s="38"/>
      <c r="AA67" s="38">
        <v>42</v>
      </c>
      <c r="AB67" s="38" t="s">
        <v>1345</v>
      </c>
      <c r="AC67" s="38">
        <v>0</v>
      </c>
      <c r="AD67" s="38" t="s">
        <v>1345</v>
      </c>
      <c r="AE67" s="38" t="s">
        <v>1349</v>
      </c>
      <c r="AF67" s="38" t="s">
        <v>1349</v>
      </c>
      <c r="AG67" s="38" t="s">
        <v>1349</v>
      </c>
      <c r="AH67" s="38" t="s">
        <v>1358</v>
      </c>
      <c r="AI67" s="38" t="s">
        <v>3451</v>
      </c>
      <c r="AJ67" s="38" t="s">
        <v>1349</v>
      </c>
      <c r="AK67" s="38" t="s">
        <v>3560</v>
      </c>
      <c r="AL67" s="38" t="s">
        <v>1550</v>
      </c>
      <c r="AM67" s="38" t="s">
        <v>1550</v>
      </c>
      <c r="AN67" s="38" t="s">
        <v>1550</v>
      </c>
      <c r="AO67" s="38" t="s">
        <v>1550</v>
      </c>
      <c r="AP67" s="38" t="s">
        <v>1550</v>
      </c>
      <c r="AQ67" s="38" t="s">
        <v>1352</v>
      </c>
      <c r="AR67" s="38" t="s">
        <v>3451</v>
      </c>
      <c r="AS67" s="38" t="s">
        <v>1550</v>
      </c>
      <c r="AT67" s="38" t="s">
        <v>1804</v>
      </c>
      <c r="AU67" s="42"/>
      <c r="AV67" s="38">
        <v>500</v>
      </c>
      <c r="AW67" s="38" t="s">
        <v>3631</v>
      </c>
      <c r="AX67" s="38" t="s">
        <v>3632</v>
      </c>
      <c r="AY67" s="38" t="s">
        <v>1349</v>
      </c>
      <c r="AZ67" s="42"/>
      <c r="BA67" s="42"/>
      <c r="BB67" s="38" t="s">
        <v>1358</v>
      </c>
      <c r="BC67" s="38" t="s">
        <v>1358</v>
      </c>
      <c r="BD67" s="38" t="s">
        <v>1358</v>
      </c>
      <c r="BE67" s="38" t="s">
        <v>1358</v>
      </c>
      <c r="BF67" s="42"/>
      <c r="BG67" s="42"/>
      <c r="BH67" s="38">
        <v>3</v>
      </c>
      <c r="BI67" s="38">
        <v>3</v>
      </c>
      <c r="BJ67" s="38">
        <v>8</v>
      </c>
      <c r="BK67" s="38" t="s">
        <v>3598</v>
      </c>
      <c r="BL67" s="38" t="s">
        <v>3598</v>
      </c>
      <c r="BM67" s="38" t="s">
        <v>3598</v>
      </c>
      <c r="BN67" s="38" t="s">
        <v>1349</v>
      </c>
      <c r="BO67" s="42"/>
      <c r="BP67" s="42"/>
      <c r="BQ67" s="38" t="s">
        <v>1345</v>
      </c>
      <c r="BR67" s="38" t="s">
        <v>1345</v>
      </c>
      <c r="BS67" s="38" t="s">
        <v>1345</v>
      </c>
      <c r="BT67" s="38" t="s">
        <v>1345</v>
      </c>
      <c r="BU67" s="38" t="s">
        <v>3647</v>
      </c>
      <c r="BV67" s="38" t="s">
        <v>1349</v>
      </c>
      <c r="BW67" s="42"/>
      <c r="BX67" s="38" t="s">
        <v>1345</v>
      </c>
      <c r="BY67" s="38" t="s">
        <v>1362</v>
      </c>
      <c r="BZ67" s="38" t="s">
        <v>3600</v>
      </c>
      <c r="CA67" s="38" t="s">
        <v>3648</v>
      </c>
      <c r="CB67" s="38" t="s">
        <v>1935</v>
      </c>
      <c r="CC67" s="38" t="s">
        <v>1935</v>
      </c>
      <c r="CD67" s="38" t="s">
        <v>1935</v>
      </c>
      <c r="CE67" s="38" t="s">
        <v>3515</v>
      </c>
      <c r="CF67" s="38">
        <v>3500</v>
      </c>
      <c r="CG67" s="38">
        <v>8000</v>
      </c>
      <c r="CH67" s="38">
        <v>0</v>
      </c>
      <c r="CI67" s="38">
        <v>0</v>
      </c>
      <c r="CJ67" s="38" t="s">
        <v>1935</v>
      </c>
      <c r="CK67" s="42"/>
      <c r="CL67" s="43">
        <v>0.9</v>
      </c>
      <c r="CM67" s="42"/>
      <c r="CN67" s="43">
        <v>0.1</v>
      </c>
      <c r="CO67" s="38" t="s">
        <v>3451</v>
      </c>
      <c r="CP67" s="42"/>
      <c r="CQ67" s="42"/>
      <c r="CR67" s="42"/>
      <c r="CS67" s="42"/>
      <c r="CT67" s="42"/>
      <c r="CU67" s="38"/>
      <c r="CV67" s="42"/>
      <c r="CW67" s="38" t="s">
        <v>1349</v>
      </c>
      <c r="CX67" s="42"/>
      <c r="CY67" s="42"/>
      <c r="CZ67" s="42" t="s">
        <v>3568</v>
      </c>
      <c r="DA67" s="42" t="s">
        <v>3549</v>
      </c>
      <c r="DB67" s="42" t="s">
        <v>1904</v>
      </c>
      <c r="DC67" s="42" t="s">
        <v>2204</v>
      </c>
      <c r="DD67" s="42" t="s">
        <v>3570</v>
      </c>
      <c r="DE67" s="42" t="s">
        <v>3571</v>
      </c>
      <c r="DF67" s="42" t="s">
        <v>3409</v>
      </c>
      <c r="DG67" s="42" t="s">
        <v>3649</v>
      </c>
      <c r="DH67" s="42" t="s">
        <v>3573</v>
      </c>
      <c r="DI67" s="42" t="s">
        <v>3640</v>
      </c>
      <c r="DJ67" s="42" t="s">
        <v>3575</v>
      </c>
      <c r="DK67" s="42" t="s">
        <v>3576</v>
      </c>
      <c r="DL67" s="42" t="s">
        <v>3621</v>
      </c>
      <c r="DM67" s="42" t="s">
        <v>3641</v>
      </c>
      <c r="DN67" s="38" t="s">
        <v>1349</v>
      </c>
      <c r="DO67" s="42" t="s">
        <v>1358</v>
      </c>
      <c r="DP67" s="38" t="s">
        <v>1349</v>
      </c>
      <c r="DQ67" s="42" t="s">
        <v>1358</v>
      </c>
      <c r="DR67" s="38" t="s">
        <v>1349</v>
      </c>
      <c r="DS67" s="42"/>
      <c r="DT67" s="42"/>
      <c r="DU67" s="42"/>
      <c r="DV67" s="38" t="s">
        <v>1345</v>
      </c>
      <c r="DW67" s="42" t="s">
        <v>3650</v>
      </c>
      <c r="DX67" s="38" t="s">
        <v>1345</v>
      </c>
      <c r="DY67" s="38" t="s">
        <v>1349</v>
      </c>
      <c r="DZ67" s="38" t="s">
        <v>3578</v>
      </c>
      <c r="EA67" s="38" t="s">
        <v>1345</v>
      </c>
      <c r="EB67" s="38" t="s">
        <v>1345</v>
      </c>
      <c r="EC67" s="38" t="s">
        <v>1345</v>
      </c>
      <c r="ED67" s="38" t="s">
        <v>3579</v>
      </c>
      <c r="EE67" s="43">
        <v>0.2</v>
      </c>
      <c r="EF67" s="38" t="s">
        <v>3580</v>
      </c>
      <c r="EG67" s="38" t="s">
        <v>1349</v>
      </c>
      <c r="EH67" s="42"/>
      <c r="EI67" s="38" t="s">
        <v>3651</v>
      </c>
      <c r="EJ67" s="38" t="s">
        <v>3625</v>
      </c>
      <c r="EK67" s="38" t="s">
        <v>3652</v>
      </c>
      <c r="EL67" s="38" t="s">
        <v>1389</v>
      </c>
      <c r="EM67" s="38">
        <v>3</v>
      </c>
      <c r="EN67" s="38" t="s">
        <v>3653</v>
      </c>
      <c r="EO67" s="38">
        <v>1</v>
      </c>
      <c r="EP67" s="38" t="s">
        <v>3585</v>
      </c>
      <c r="EQ67" s="38">
        <v>3</v>
      </c>
      <c r="ER67" s="42" t="s">
        <v>3586</v>
      </c>
      <c r="ES67" s="38">
        <v>3</v>
      </c>
      <c r="ET67" s="38" t="s">
        <v>3654</v>
      </c>
      <c r="EU67" s="38">
        <v>2</v>
      </c>
      <c r="EV67" s="42" t="s">
        <v>3588</v>
      </c>
      <c r="EW67" s="38">
        <v>3</v>
      </c>
      <c r="EX67" s="42" t="s">
        <v>3589</v>
      </c>
      <c r="EY67" s="38">
        <v>1</v>
      </c>
      <c r="EZ67" s="42" t="s">
        <v>3590</v>
      </c>
      <c r="FA67" s="22"/>
    </row>
    <row r="68" spans="1:157">
      <c r="A68" s="17">
        <v>481</v>
      </c>
      <c r="B68" s="17">
        <v>12</v>
      </c>
      <c r="C68" s="23" t="s">
        <v>2278</v>
      </c>
      <c r="D68" s="24">
        <v>43749</v>
      </c>
      <c r="E68" s="23" t="s">
        <v>2774</v>
      </c>
      <c r="F68" s="25" t="e">
        <v>#N/A</v>
      </c>
      <c r="G68" s="25" t="e">
        <v>#N/A</v>
      </c>
      <c r="H68" s="23" t="s">
        <v>1086</v>
      </c>
      <c r="I68" s="23" t="s">
        <v>1065</v>
      </c>
      <c r="J68" s="23" t="s">
        <v>184</v>
      </c>
      <c r="K68" s="23" t="s">
        <v>2775</v>
      </c>
      <c r="L68" s="23">
        <v>6</v>
      </c>
      <c r="M68" s="23" t="s">
        <v>2281</v>
      </c>
      <c r="N68" s="23" t="s">
        <v>1541</v>
      </c>
      <c r="O68" s="23" t="s">
        <v>939</v>
      </c>
      <c r="P68" s="23" t="s">
        <v>2776</v>
      </c>
      <c r="Q68" s="23">
        <v>77352549</v>
      </c>
      <c r="R68" s="23" t="s">
        <v>1345</v>
      </c>
      <c r="S68" s="23">
        <v>5</v>
      </c>
      <c r="T68" s="23" t="s">
        <v>2285</v>
      </c>
      <c r="U68" s="23">
        <v>2012</v>
      </c>
      <c r="V68" s="23" t="s">
        <v>2777</v>
      </c>
      <c r="W68" s="23" t="s">
        <v>2287</v>
      </c>
      <c r="X68" s="23" t="s">
        <v>1349</v>
      </c>
      <c r="Y68" s="23" t="s">
        <v>2300</v>
      </c>
      <c r="Z68" s="23"/>
      <c r="AA68" s="32">
        <v>33</v>
      </c>
      <c r="AB68" s="23" t="s">
        <v>1349</v>
      </c>
      <c r="AC68" s="23">
        <v>2</v>
      </c>
      <c r="AD68" s="32" t="s">
        <v>1345</v>
      </c>
      <c r="AE68" s="23" t="s">
        <v>1345</v>
      </c>
      <c r="AF68" s="23" t="s">
        <v>1349</v>
      </c>
      <c r="AG68" s="23" t="s">
        <v>1349</v>
      </c>
      <c r="AH68" s="23" t="s">
        <v>2289</v>
      </c>
      <c r="AI68" s="23">
        <v>2012</v>
      </c>
      <c r="AJ68" s="78" t="s">
        <v>1345</v>
      </c>
      <c r="AK68" s="23" t="s">
        <v>2290</v>
      </c>
      <c r="AL68" s="23" t="s">
        <v>1612</v>
      </c>
      <c r="AM68" s="23" t="s">
        <v>1612</v>
      </c>
      <c r="AN68" s="23" t="s">
        <v>1612</v>
      </c>
      <c r="AO68" s="23" t="s">
        <v>1612</v>
      </c>
      <c r="AP68" s="23" t="s">
        <v>1612</v>
      </c>
      <c r="AQ68" s="23" t="s">
        <v>2291</v>
      </c>
      <c r="AR68" s="23" t="s">
        <v>2291</v>
      </c>
      <c r="AS68" s="23" t="s">
        <v>1802</v>
      </c>
      <c r="AT68" s="23" t="s">
        <v>1358</v>
      </c>
      <c r="AU68" s="23" t="s">
        <v>2778</v>
      </c>
      <c r="AV68" s="23">
        <v>2000</v>
      </c>
      <c r="AW68" s="23" t="s">
        <v>2761</v>
      </c>
      <c r="AX68" s="23" t="s">
        <v>2398</v>
      </c>
      <c r="AY68" s="23" t="s">
        <v>1349</v>
      </c>
      <c r="AZ68" s="23" t="s">
        <v>2361</v>
      </c>
      <c r="BA68" s="23" t="s">
        <v>2361</v>
      </c>
      <c r="BB68" s="23" t="s">
        <v>2762</v>
      </c>
      <c r="BC68" s="23" t="s">
        <v>2289</v>
      </c>
      <c r="BD68" s="23" t="s">
        <v>2289</v>
      </c>
      <c r="BE68" s="23" t="s">
        <v>2775</v>
      </c>
      <c r="BF68" s="23" t="s">
        <v>2300</v>
      </c>
      <c r="BG68" s="23" t="s">
        <v>2300</v>
      </c>
      <c r="BH68" s="23">
        <v>3</v>
      </c>
      <c r="BI68" s="23">
        <v>3</v>
      </c>
      <c r="BJ68" s="23">
        <v>3</v>
      </c>
      <c r="BK68" s="23" t="s">
        <v>2594</v>
      </c>
      <c r="BL68" s="23" t="s">
        <v>2594</v>
      </c>
      <c r="BM68" s="23" t="s">
        <v>2594</v>
      </c>
      <c r="BN68" s="23" t="s">
        <v>1345</v>
      </c>
      <c r="BO68" s="23" t="s">
        <v>2779</v>
      </c>
      <c r="BP68" s="23" t="s">
        <v>2764</v>
      </c>
      <c r="BQ68" s="23" t="s">
        <v>1349</v>
      </c>
      <c r="BR68" s="23" t="s">
        <v>1349</v>
      </c>
      <c r="BS68" s="23" t="s">
        <v>1804</v>
      </c>
      <c r="BT68" s="23" t="s">
        <v>1345</v>
      </c>
      <c r="BU68" s="23" t="s">
        <v>2301</v>
      </c>
      <c r="BV68" s="23" t="s">
        <v>1349</v>
      </c>
      <c r="BW68" s="23" t="s">
        <v>2300</v>
      </c>
      <c r="BX68" s="23" t="s">
        <v>1345</v>
      </c>
      <c r="BY68" s="23" t="s">
        <v>2302</v>
      </c>
      <c r="BZ68" s="23" t="s">
        <v>2303</v>
      </c>
      <c r="CA68" s="23" t="s">
        <v>2780</v>
      </c>
      <c r="CB68" s="23" t="s">
        <v>2289</v>
      </c>
      <c r="CC68" s="23" t="s">
        <v>2289</v>
      </c>
      <c r="CD68" s="23" t="s">
        <v>2289</v>
      </c>
      <c r="CE68" s="23">
        <v>1800</v>
      </c>
      <c r="CF68" s="23">
        <v>2280</v>
      </c>
      <c r="CG68" s="23">
        <v>360</v>
      </c>
      <c r="CH68" s="23">
        <v>10</v>
      </c>
      <c r="CI68" s="23" t="s">
        <v>2300</v>
      </c>
      <c r="CJ68" s="23">
        <v>10</v>
      </c>
      <c r="CK68" s="26">
        <v>0.6</v>
      </c>
      <c r="CL68" s="27">
        <v>0.7</v>
      </c>
      <c r="CM68" s="27">
        <v>0.4</v>
      </c>
      <c r="CN68" s="26">
        <v>0.3</v>
      </c>
      <c r="CO68" s="23" t="s">
        <v>2307</v>
      </c>
      <c r="CP68" s="23" t="s">
        <v>1565</v>
      </c>
      <c r="CQ68" s="23" t="s">
        <v>1565</v>
      </c>
      <c r="CR68" s="23" t="s">
        <v>2767</v>
      </c>
      <c r="CS68" s="23" t="s">
        <v>1706</v>
      </c>
      <c r="CT68" s="23" t="s">
        <v>2767</v>
      </c>
      <c r="CU68" s="23" t="s">
        <v>2767</v>
      </c>
      <c r="CV68" s="23" t="s">
        <v>2767</v>
      </c>
      <c r="CW68" s="23" t="s">
        <v>1349</v>
      </c>
      <c r="CX68" s="23" t="s">
        <v>2289</v>
      </c>
      <c r="CY68" s="26">
        <v>1</v>
      </c>
      <c r="CZ68" s="23" t="s">
        <v>2311</v>
      </c>
      <c r="DA68" s="23" t="s">
        <v>1358</v>
      </c>
      <c r="DB68" s="23" t="s">
        <v>1903</v>
      </c>
      <c r="DC68" s="23" t="s">
        <v>2312</v>
      </c>
      <c r="DD68" s="22" t="s">
        <v>2349</v>
      </c>
      <c r="DE68" s="23" t="s">
        <v>2350</v>
      </c>
      <c r="DF68" s="23" t="s">
        <v>2315</v>
      </c>
      <c r="DG68" s="23" t="s">
        <v>2316</v>
      </c>
      <c r="DH68" s="23" t="s">
        <v>2768</v>
      </c>
      <c r="DI68" s="23" t="s">
        <v>1556</v>
      </c>
      <c r="DJ68" s="23" t="s">
        <v>1556</v>
      </c>
      <c r="DK68" s="23" t="s">
        <v>1556</v>
      </c>
      <c r="DL68" s="23" t="s">
        <v>2769</v>
      </c>
      <c r="DM68" s="23" t="s">
        <v>2770</v>
      </c>
      <c r="DN68" s="23" t="s">
        <v>1345</v>
      </c>
      <c r="DO68" s="23" t="s">
        <v>2320</v>
      </c>
      <c r="DP68" s="23" t="s">
        <v>1349</v>
      </c>
      <c r="DQ68" s="23" t="s">
        <v>1358</v>
      </c>
      <c r="DR68" s="23" t="s">
        <v>1349</v>
      </c>
      <c r="DS68" s="23" t="s">
        <v>2300</v>
      </c>
      <c r="DT68" s="23" t="s">
        <v>2300</v>
      </c>
      <c r="DU68" s="23" t="s">
        <v>2300</v>
      </c>
      <c r="DV68" s="23" t="s">
        <v>1345</v>
      </c>
      <c r="DW68" s="23" t="s">
        <v>2351</v>
      </c>
      <c r="DX68" s="23" t="s">
        <v>1345</v>
      </c>
      <c r="DY68" s="23" t="s">
        <v>1349</v>
      </c>
      <c r="DZ68" s="23" t="s">
        <v>2322</v>
      </c>
      <c r="EA68" s="23" t="s">
        <v>1345</v>
      </c>
      <c r="EB68" s="23" t="s">
        <v>1345</v>
      </c>
      <c r="EC68" s="23" t="s">
        <v>1345</v>
      </c>
      <c r="ED68" s="23" t="s">
        <v>2323</v>
      </c>
      <c r="EE68" s="27">
        <v>0.5</v>
      </c>
      <c r="EF68" s="23" t="s">
        <v>2324</v>
      </c>
      <c r="EG68" s="23" t="s">
        <v>1342</v>
      </c>
      <c r="EH68" s="23" t="s">
        <v>2300</v>
      </c>
      <c r="EI68" s="23" t="s">
        <v>2326</v>
      </c>
      <c r="EJ68" s="22" t="s">
        <v>2327</v>
      </c>
      <c r="EK68" s="23" t="s">
        <v>2419</v>
      </c>
      <c r="EL68" s="23" t="s">
        <v>1389</v>
      </c>
      <c r="EM68" s="23">
        <v>4</v>
      </c>
      <c r="EN68" s="23" t="s">
        <v>2329</v>
      </c>
      <c r="EO68" s="23">
        <v>4</v>
      </c>
      <c r="EP68" s="23" t="s">
        <v>2781</v>
      </c>
      <c r="EQ68" s="23">
        <v>4</v>
      </c>
      <c r="ER68" s="22" t="s">
        <v>2331</v>
      </c>
      <c r="ES68" s="23">
        <v>4</v>
      </c>
      <c r="ET68" s="22" t="s">
        <v>2782</v>
      </c>
      <c r="EU68" s="23">
        <v>4</v>
      </c>
      <c r="EV68" s="22" t="s">
        <v>2773</v>
      </c>
      <c r="EW68" s="23">
        <v>4</v>
      </c>
      <c r="EX68" s="22" t="s">
        <v>2334</v>
      </c>
      <c r="EY68" s="23">
        <v>2</v>
      </c>
      <c r="EZ68" s="22" t="s">
        <v>2424</v>
      </c>
      <c r="FA68" s="22"/>
    </row>
    <row r="69" spans="1:157">
      <c r="A69" s="17">
        <v>482</v>
      </c>
      <c r="B69" s="17">
        <v>17</v>
      </c>
      <c r="C69" s="23" t="s">
        <v>2278</v>
      </c>
      <c r="D69" s="24">
        <v>43753</v>
      </c>
      <c r="E69" s="23" t="s">
        <v>2818</v>
      </c>
      <c r="F69" s="25" t="e">
        <v>#N/A</v>
      </c>
      <c r="G69" s="25" t="e">
        <v>#N/A</v>
      </c>
      <c r="H69" s="23" t="s">
        <v>1086</v>
      </c>
      <c r="I69" s="23" t="s">
        <v>1065</v>
      </c>
      <c r="J69" s="23" t="s">
        <v>2784</v>
      </c>
      <c r="K69" s="23" t="s">
        <v>2819</v>
      </c>
      <c r="L69" s="23">
        <v>10</v>
      </c>
      <c r="M69" s="23" t="s">
        <v>2809</v>
      </c>
      <c r="N69" s="23" t="s">
        <v>1541</v>
      </c>
      <c r="O69" s="23" t="s">
        <v>939</v>
      </c>
      <c r="P69" s="23" t="s">
        <v>2820</v>
      </c>
      <c r="Q69" s="23">
        <v>71495106</v>
      </c>
      <c r="R69" s="23" t="s">
        <v>1345</v>
      </c>
      <c r="S69" s="23">
        <v>3</v>
      </c>
      <c r="T69" s="23" t="s">
        <v>2285</v>
      </c>
      <c r="U69" s="23">
        <v>2012</v>
      </c>
      <c r="V69" s="23" t="s">
        <v>2787</v>
      </c>
      <c r="W69" s="23" t="s">
        <v>2287</v>
      </c>
      <c r="X69" s="23" t="s">
        <v>1345</v>
      </c>
      <c r="Y69" s="23">
        <v>2017</v>
      </c>
      <c r="Z69" s="23" t="s">
        <v>2288</v>
      </c>
      <c r="AA69" s="32">
        <v>27</v>
      </c>
      <c r="AB69" s="23" t="s">
        <v>1349</v>
      </c>
      <c r="AC69" s="23">
        <v>3</v>
      </c>
      <c r="AD69" s="32" t="s">
        <v>1345</v>
      </c>
      <c r="AE69" s="23" t="s">
        <v>1345</v>
      </c>
      <c r="AF69" s="23" t="s">
        <v>1349</v>
      </c>
      <c r="AG69" s="23" t="s">
        <v>1349</v>
      </c>
      <c r="AH69" s="23" t="s">
        <v>2444</v>
      </c>
      <c r="AI69" s="23">
        <v>2012</v>
      </c>
      <c r="AJ69" s="78" t="s">
        <v>1345</v>
      </c>
      <c r="AK69" s="23" t="s">
        <v>2290</v>
      </c>
      <c r="AL69" s="23" t="s">
        <v>1612</v>
      </c>
      <c r="AM69" s="23" t="s">
        <v>1612</v>
      </c>
      <c r="AN69" s="23" t="s">
        <v>1612</v>
      </c>
      <c r="AO69" s="23" t="s">
        <v>1612</v>
      </c>
      <c r="AP69" s="23" t="s">
        <v>1612</v>
      </c>
      <c r="AQ69" s="23" t="s">
        <v>2291</v>
      </c>
      <c r="AR69" s="23" t="s">
        <v>2291</v>
      </c>
      <c r="AS69" s="23" t="s">
        <v>1802</v>
      </c>
      <c r="AT69" s="23" t="s">
        <v>1358</v>
      </c>
      <c r="AU69" s="23" t="s">
        <v>2778</v>
      </c>
      <c r="AV69" s="23" t="s">
        <v>2789</v>
      </c>
      <c r="AW69" s="23" t="s">
        <v>2805</v>
      </c>
      <c r="AX69" s="23" t="s">
        <v>2812</v>
      </c>
      <c r="AY69" s="23" t="s">
        <v>1349</v>
      </c>
      <c r="AZ69" s="23" t="s">
        <v>2431</v>
      </c>
      <c r="BA69" s="23" t="s">
        <v>2361</v>
      </c>
      <c r="BB69" s="23" t="s">
        <v>2762</v>
      </c>
      <c r="BC69" s="23" t="s">
        <v>2289</v>
      </c>
      <c r="BD69" s="23" t="s">
        <v>2297</v>
      </c>
      <c r="BE69" s="23" t="s">
        <v>2819</v>
      </c>
      <c r="BF69" s="23" t="s">
        <v>2300</v>
      </c>
      <c r="BG69" s="23" t="s">
        <v>2300</v>
      </c>
      <c r="BH69" s="23">
        <v>3</v>
      </c>
      <c r="BI69" s="23">
        <v>3</v>
      </c>
      <c r="BJ69" s="23">
        <v>3</v>
      </c>
      <c r="BK69" s="23" t="s">
        <v>2594</v>
      </c>
      <c r="BL69" s="23" t="s">
        <v>2594</v>
      </c>
      <c r="BM69" s="23" t="s">
        <v>2594</v>
      </c>
      <c r="BN69" s="23" t="s">
        <v>1349</v>
      </c>
      <c r="BO69" s="23" t="s">
        <v>2300</v>
      </c>
      <c r="BP69" s="23" t="s">
        <v>2300</v>
      </c>
      <c r="BQ69" s="23" t="s">
        <v>1349</v>
      </c>
      <c r="BR69" s="23" t="s">
        <v>1349</v>
      </c>
      <c r="BS69" s="23" t="s">
        <v>1804</v>
      </c>
      <c r="BT69" s="23" t="s">
        <v>1345</v>
      </c>
      <c r="BU69" s="23" t="s">
        <v>2448</v>
      </c>
      <c r="BV69" s="23" t="s">
        <v>1349</v>
      </c>
      <c r="BW69" s="23" t="s">
        <v>2300</v>
      </c>
      <c r="BX69" s="23" t="s">
        <v>1349</v>
      </c>
      <c r="BY69" s="23" t="s">
        <v>1366</v>
      </c>
      <c r="BZ69" s="23" t="s">
        <v>2300</v>
      </c>
      <c r="CA69" s="23" t="s">
        <v>2300</v>
      </c>
      <c r="CB69" s="23" t="s">
        <v>2289</v>
      </c>
      <c r="CC69" s="23" t="s">
        <v>2289</v>
      </c>
      <c r="CD69" s="23" t="s">
        <v>2289</v>
      </c>
      <c r="CE69" s="23">
        <v>2280</v>
      </c>
      <c r="CF69" s="23">
        <v>1440</v>
      </c>
      <c r="CG69" s="23">
        <v>2400</v>
      </c>
      <c r="CH69" s="23">
        <v>60</v>
      </c>
      <c r="CI69" s="23">
        <v>40</v>
      </c>
      <c r="CJ69" s="23">
        <v>60</v>
      </c>
      <c r="CK69" s="27">
        <v>1</v>
      </c>
      <c r="CL69" s="27">
        <v>1</v>
      </c>
      <c r="CM69" s="27">
        <v>0</v>
      </c>
      <c r="CN69" s="27">
        <v>0</v>
      </c>
      <c r="CO69" s="23" t="s">
        <v>2307</v>
      </c>
      <c r="CP69" s="23" t="s">
        <v>1565</v>
      </c>
      <c r="CQ69" s="23" t="s">
        <v>1565</v>
      </c>
      <c r="CR69" s="23" t="s">
        <v>2767</v>
      </c>
      <c r="CS69" s="23" t="s">
        <v>1706</v>
      </c>
      <c r="CT69" s="23" t="s">
        <v>2767</v>
      </c>
      <c r="CU69" s="23" t="s">
        <v>2767</v>
      </c>
      <c r="CV69" s="23" t="s">
        <v>2767</v>
      </c>
      <c r="CW69" s="23" t="s">
        <v>1345</v>
      </c>
      <c r="CX69" s="26">
        <v>0.05</v>
      </c>
      <c r="CY69" s="26">
        <v>0.95</v>
      </c>
      <c r="CZ69" s="23" t="s">
        <v>2791</v>
      </c>
      <c r="DA69" s="23" t="s">
        <v>2494</v>
      </c>
      <c r="DB69" s="23" t="s">
        <v>1903</v>
      </c>
      <c r="DC69" s="23" t="s">
        <v>2312</v>
      </c>
      <c r="DD69" s="22" t="s">
        <v>2792</v>
      </c>
      <c r="DE69" s="23" t="s">
        <v>2793</v>
      </c>
      <c r="DF69" s="23" t="s">
        <v>2315</v>
      </c>
      <c r="DG69" s="23" t="s">
        <v>2821</v>
      </c>
      <c r="DH69" s="23" t="s">
        <v>2794</v>
      </c>
      <c r="DI69" s="23" t="s">
        <v>1556</v>
      </c>
      <c r="DJ69" s="23" t="s">
        <v>1556</v>
      </c>
      <c r="DK69" s="23" t="s">
        <v>1556</v>
      </c>
      <c r="DL69" s="23" t="s">
        <v>2795</v>
      </c>
      <c r="DM69" s="23" t="s">
        <v>2770</v>
      </c>
      <c r="DN69" s="23" t="s">
        <v>1345</v>
      </c>
      <c r="DO69" s="23" t="s">
        <v>2796</v>
      </c>
      <c r="DP69" s="23" t="s">
        <v>1349</v>
      </c>
      <c r="DQ69" s="23" t="s">
        <v>1358</v>
      </c>
      <c r="DR69" s="23" t="s">
        <v>1349</v>
      </c>
      <c r="DS69" s="23" t="s">
        <v>2300</v>
      </c>
      <c r="DT69" s="23" t="s">
        <v>2300</v>
      </c>
      <c r="DU69" s="23" t="s">
        <v>2300</v>
      </c>
      <c r="DV69" s="23" t="s">
        <v>1345</v>
      </c>
      <c r="DW69" s="23" t="s">
        <v>2797</v>
      </c>
      <c r="DX69" s="23" t="s">
        <v>1345</v>
      </c>
      <c r="DY69" s="23" t="s">
        <v>1349</v>
      </c>
      <c r="DZ69" s="23" t="s">
        <v>2322</v>
      </c>
      <c r="EA69" s="23" t="s">
        <v>1345</v>
      </c>
      <c r="EB69" s="23" t="s">
        <v>1345</v>
      </c>
      <c r="EC69" s="23" t="s">
        <v>1345</v>
      </c>
      <c r="ED69" s="23" t="s">
        <v>2353</v>
      </c>
      <c r="EE69" s="27">
        <v>0.25</v>
      </c>
      <c r="EF69" s="23" t="s">
        <v>2324</v>
      </c>
      <c r="EG69" s="23" t="s">
        <v>1342</v>
      </c>
      <c r="EH69" s="23" t="s">
        <v>2300</v>
      </c>
      <c r="EI69" s="23" t="s">
        <v>2326</v>
      </c>
      <c r="EJ69" s="22" t="s">
        <v>2327</v>
      </c>
      <c r="EK69" s="23" t="s">
        <v>2419</v>
      </c>
      <c r="EL69" s="23" t="s">
        <v>1389</v>
      </c>
      <c r="EM69" s="23">
        <v>4</v>
      </c>
      <c r="EN69" s="23" t="s">
        <v>2329</v>
      </c>
      <c r="EO69" s="23">
        <v>2</v>
      </c>
      <c r="EP69" s="23" t="s">
        <v>2798</v>
      </c>
      <c r="EQ69" s="23">
        <v>4</v>
      </c>
      <c r="ER69" s="22" t="s">
        <v>2331</v>
      </c>
      <c r="ES69" s="23">
        <v>3</v>
      </c>
      <c r="ET69" s="22" t="s">
        <v>2799</v>
      </c>
      <c r="EU69" s="23">
        <v>4</v>
      </c>
      <c r="EV69" s="22" t="s">
        <v>2508</v>
      </c>
      <c r="EW69" s="23">
        <v>3</v>
      </c>
      <c r="EX69" s="22" t="s">
        <v>2801</v>
      </c>
      <c r="EY69" s="23">
        <v>2</v>
      </c>
      <c r="EZ69" s="22" t="s">
        <v>2424</v>
      </c>
      <c r="FA69" s="22"/>
    </row>
    <row r="70" spans="1:157">
      <c r="A70" s="17">
        <v>483</v>
      </c>
      <c r="B70" s="17">
        <v>45</v>
      </c>
      <c r="C70" s="23" t="s">
        <v>1337</v>
      </c>
      <c r="D70" s="33">
        <v>43752</v>
      </c>
      <c r="E70" s="23" t="s">
        <v>3133</v>
      </c>
      <c r="F70" s="22"/>
      <c r="G70" s="25" t="s">
        <v>2893</v>
      </c>
      <c r="H70" s="23" t="s">
        <v>1086</v>
      </c>
      <c r="I70" s="23" t="s">
        <v>1065</v>
      </c>
      <c r="J70" s="23" t="s">
        <v>2893</v>
      </c>
      <c r="K70" s="23" t="s">
        <v>2962</v>
      </c>
      <c r="L70" s="23">
        <v>0</v>
      </c>
      <c r="M70" s="23" t="s">
        <v>1342</v>
      </c>
      <c r="N70" s="23" t="s">
        <v>1692</v>
      </c>
      <c r="O70" s="23" t="s">
        <v>939</v>
      </c>
      <c r="P70" s="23" t="s">
        <v>3134</v>
      </c>
      <c r="Q70" s="22">
        <v>65190785</v>
      </c>
      <c r="R70" s="23" t="s">
        <v>1345</v>
      </c>
      <c r="S70" s="23">
        <v>3</v>
      </c>
      <c r="T70" s="23" t="s">
        <v>1346</v>
      </c>
      <c r="U70" s="23">
        <v>2014</v>
      </c>
      <c r="V70" s="22" t="s">
        <v>2896</v>
      </c>
      <c r="W70" s="22" t="s">
        <v>2925</v>
      </c>
      <c r="X70" s="23" t="s">
        <v>1342</v>
      </c>
      <c r="Y70" s="22"/>
      <c r="Z70" s="22"/>
      <c r="AA70" s="32">
        <v>45</v>
      </c>
      <c r="AB70" s="23" t="s">
        <v>1342</v>
      </c>
      <c r="AC70" s="22" t="s">
        <v>2976</v>
      </c>
      <c r="AD70" s="32" t="s">
        <v>1345</v>
      </c>
      <c r="AE70" s="23" t="s">
        <v>1342</v>
      </c>
      <c r="AF70" s="23" t="s">
        <v>1342</v>
      </c>
      <c r="AG70" s="23" t="s">
        <v>1342</v>
      </c>
      <c r="AH70" s="23" t="s">
        <v>3026</v>
      </c>
      <c r="AI70" s="23"/>
      <c r="AJ70" s="23" t="s">
        <v>1342</v>
      </c>
      <c r="AK70" s="22" t="s">
        <v>2967</v>
      </c>
      <c r="AL70" s="23" t="s">
        <v>1351</v>
      </c>
      <c r="AM70" s="23" t="s">
        <v>1351</v>
      </c>
      <c r="AN70" s="23" t="s">
        <v>1351</v>
      </c>
      <c r="AO70" s="23" t="s">
        <v>1351</v>
      </c>
      <c r="AP70" s="23" t="s">
        <v>1351</v>
      </c>
      <c r="AQ70" s="23" t="s">
        <v>1352</v>
      </c>
      <c r="AR70" s="23" t="s">
        <v>1351</v>
      </c>
      <c r="AS70" s="23" t="s">
        <v>1353</v>
      </c>
      <c r="AT70" s="23" t="s">
        <v>1342</v>
      </c>
      <c r="AU70" s="22">
        <v>9600</v>
      </c>
      <c r="AV70" s="22">
        <v>1000</v>
      </c>
      <c r="AW70" s="22" t="s">
        <v>2955</v>
      </c>
      <c r="AX70" s="22" t="s">
        <v>3061</v>
      </c>
      <c r="AY70" s="23" t="s">
        <v>1342</v>
      </c>
      <c r="AZ70" s="22"/>
      <c r="BA70" s="22"/>
      <c r="BB70" s="22" t="s">
        <v>1358</v>
      </c>
      <c r="BC70" s="22"/>
      <c r="BD70" s="22"/>
      <c r="BE70" s="22" t="s">
        <v>3135</v>
      </c>
      <c r="BF70" s="22"/>
      <c r="BG70" s="22"/>
      <c r="BH70" s="22">
        <v>2</v>
      </c>
      <c r="BI70" s="22">
        <v>3</v>
      </c>
      <c r="BJ70" s="22"/>
      <c r="BK70" s="22" t="s">
        <v>1434</v>
      </c>
      <c r="BL70" s="22" t="s">
        <v>1434</v>
      </c>
      <c r="BM70" s="22"/>
      <c r="BN70" s="23" t="s">
        <v>1342</v>
      </c>
      <c r="BO70" s="22"/>
      <c r="BP70" s="22"/>
      <c r="BQ70" s="23" t="s">
        <v>1383</v>
      </c>
      <c r="BR70" s="23" t="s">
        <v>1342</v>
      </c>
      <c r="BS70" s="27">
        <v>0</v>
      </c>
      <c r="BT70" s="23" t="s">
        <v>1383</v>
      </c>
      <c r="BU70" s="23" t="s">
        <v>3136</v>
      </c>
      <c r="BV70" s="23" t="s">
        <v>1342</v>
      </c>
      <c r="BW70" s="22"/>
      <c r="BX70" s="23" t="s">
        <v>1383</v>
      </c>
      <c r="BY70" s="23" t="s">
        <v>1362</v>
      </c>
      <c r="BZ70" s="22" t="s">
        <v>3075</v>
      </c>
      <c r="CA70" s="23" t="s">
        <v>3137</v>
      </c>
      <c r="CB70" s="22" t="s">
        <v>1364</v>
      </c>
      <c r="CC70" s="22" t="s">
        <v>1364</v>
      </c>
      <c r="CD70" s="22" t="s">
        <v>1364</v>
      </c>
      <c r="CE70" s="22">
        <v>3600</v>
      </c>
      <c r="CF70" s="22">
        <v>3000</v>
      </c>
      <c r="CG70" s="22">
        <v>5520</v>
      </c>
      <c r="CH70" s="22">
        <v>0</v>
      </c>
      <c r="CI70" s="22">
        <v>0</v>
      </c>
      <c r="CJ70" s="22">
        <v>0</v>
      </c>
      <c r="CK70" s="27">
        <v>0.7</v>
      </c>
      <c r="CL70" s="27">
        <v>0.8</v>
      </c>
      <c r="CM70" s="27">
        <v>0.3</v>
      </c>
      <c r="CN70" s="27">
        <v>0.2</v>
      </c>
      <c r="CO70" s="22" t="s">
        <v>2904</v>
      </c>
      <c r="CP70" s="22" t="s">
        <v>1366</v>
      </c>
      <c r="CQ70" s="22"/>
      <c r="CR70" s="22"/>
      <c r="CS70" s="22"/>
      <c r="CT70" s="22"/>
      <c r="CU70" s="22"/>
      <c r="CV70" s="22"/>
      <c r="CW70" s="23" t="s">
        <v>1349</v>
      </c>
      <c r="CX70" s="22"/>
      <c r="CY70" s="22"/>
      <c r="CZ70" s="22"/>
      <c r="DA70" s="22"/>
      <c r="DB70" s="22"/>
      <c r="DC70" s="22"/>
      <c r="DD70" s="22"/>
      <c r="DE70" s="22"/>
      <c r="DF70" s="22"/>
      <c r="DG70" s="22"/>
      <c r="DH70" s="22" t="s">
        <v>3138</v>
      </c>
      <c r="DI70" s="22"/>
      <c r="DJ70" s="22"/>
      <c r="DK70" s="22"/>
      <c r="DL70" s="22" t="s">
        <v>3139</v>
      </c>
      <c r="DM70" s="22"/>
      <c r="DN70" s="23" t="s">
        <v>1345</v>
      </c>
      <c r="DO70" s="22" t="s">
        <v>3140</v>
      </c>
      <c r="DP70" s="23" t="s">
        <v>1342</v>
      </c>
      <c r="DQ70" s="22"/>
      <c r="DR70" s="23" t="s">
        <v>1342</v>
      </c>
      <c r="DS70" s="22"/>
      <c r="DT70" s="22"/>
      <c r="DU70" s="22"/>
      <c r="DV70" s="23" t="s">
        <v>1383</v>
      </c>
      <c r="DW70" s="22" t="s">
        <v>1747</v>
      </c>
      <c r="DX70" s="23" t="s">
        <v>1383</v>
      </c>
      <c r="DY70" s="23" t="s">
        <v>1342</v>
      </c>
      <c r="DZ70" s="22" t="s">
        <v>3078</v>
      </c>
      <c r="EA70" s="23" t="s">
        <v>1383</v>
      </c>
      <c r="EB70" s="23" t="s">
        <v>1383</v>
      </c>
      <c r="EC70" s="23" t="s">
        <v>1383</v>
      </c>
      <c r="ED70" s="22" t="s">
        <v>2948</v>
      </c>
      <c r="EE70" s="27">
        <v>0.2</v>
      </c>
      <c r="EF70" s="22" t="s">
        <v>2931</v>
      </c>
      <c r="EG70" s="23" t="s">
        <v>1342</v>
      </c>
      <c r="EH70" s="22"/>
      <c r="EI70" s="22"/>
      <c r="EJ70" s="22"/>
      <c r="EK70" s="22"/>
      <c r="EL70" s="23" t="s">
        <v>1416</v>
      </c>
      <c r="EM70" s="23">
        <v>3</v>
      </c>
      <c r="EN70" s="22" t="s">
        <v>2917</v>
      </c>
      <c r="EO70" s="23">
        <v>0</v>
      </c>
      <c r="EP70" s="22" t="s">
        <v>3020</v>
      </c>
      <c r="EQ70" s="23">
        <v>2</v>
      </c>
      <c r="ER70" s="22" t="s">
        <v>3129</v>
      </c>
      <c r="ES70" s="23">
        <v>3</v>
      </c>
      <c r="ET70" s="22" t="s">
        <v>3141</v>
      </c>
      <c r="EU70" s="23">
        <v>3</v>
      </c>
      <c r="EV70" s="22" t="s">
        <v>3131</v>
      </c>
      <c r="EW70" s="23">
        <v>4</v>
      </c>
      <c r="EX70" s="22" t="s">
        <v>3142</v>
      </c>
      <c r="EY70" s="23">
        <v>0</v>
      </c>
      <c r="EZ70" s="22" t="s">
        <v>2974</v>
      </c>
      <c r="FA70" s="22"/>
    </row>
    <row r="71" spans="1:157">
      <c r="A71" s="17">
        <v>484</v>
      </c>
      <c r="B71" s="17">
        <v>67</v>
      </c>
      <c r="C71" s="23" t="s">
        <v>1795</v>
      </c>
      <c r="D71" s="36">
        <v>43747</v>
      </c>
      <c r="E71" s="23" t="s">
        <v>3511</v>
      </c>
      <c r="F71" s="25" t="s">
        <v>1728</v>
      </c>
      <c r="G71" s="25" t="s">
        <v>3291</v>
      </c>
      <c r="H71" s="23" t="s">
        <v>3292</v>
      </c>
      <c r="I71" s="23" t="s">
        <v>3293</v>
      </c>
      <c r="J71" s="23" t="s">
        <v>3291</v>
      </c>
      <c r="K71" s="23" t="s">
        <v>3512</v>
      </c>
      <c r="L71" s="23">
        <v>10</v>
      </c>
      <c r="M71" s="23" t="s">
        <v>3395</v>
      </c>
      <c r="N71" s="23" t="s">
        <v>1343</v>
      </c>
      <c r="O71" s="23" t="s">
        <v>939</v>
      </c>
      <c r="P71" s="23" t="s">
        <v>7106</v>
      </c>
      <c r="Q71" s="23">
        <v>73127271</v>
      </c>
      <c r="R71" s="23" t="s">
        <v>1345</v>
      </c>
      <c r="S71" s="23">
        <v>7</v>
      </c>
      <c r="T71" s="23" t="s">
        <v>1346</v>
      </c>
      <c r="U71" s="23">
        <v>2002</v>
      </c>
      <c r="V71" s="22" t="s">
        <v>3295</v>
      </c>
      <c r="W71" s="23" t="s">
        <v>3296</v>
      </c>
      <c r="X71" s="23" t="s">
        <v>1345</v>
      </c>
      <c r="Y71" s="23">
        <v>2018</v>
      </c>
      <c r="Z71" s="23"/>
      <c r="AA71" s="32">
        <v>86</v>
      </c>
      <c r="AB71" s="23" t="s">
        <v>1345</v>
      </c>
      <c r="AC71" s="23">
        <v>2</v>
      </c>
      <c r="AD71" s="32" t="s">
        <v>1345</v>
      </c>
      <c r="AE71" s="23" t="s">
        <v>1345</v>
      </c>
      <c r="AF71" s="23" t="s">
        <v>1345</v>
      </c>
      <c r="AG71" s="23" t="s">
        <v>1345</v>
      </c>
      <c r="AH71" s="23" t="s">
        <v>1358</v>
      </c>
      <c r="AI71" s="23">
        <v>2017</v>
      </c>
      <c r="AJ71" s="23" t="s">
        <v>1349</v>
      </c>
      <c r="AK71" s="23" t="s">
        <v>3297</v>
      </c>
      <c r="AL71" s="23" t="s">
        <v>1550</v>
      </c>
      <c r="AM71" s="23" t="s">
        <v>1550</v>
      </c>
      <c r="AN71" s="23" t="s">
        <v>1550</v>
      </c>
      <c r="AO71" s="23" t="s">
        <v>1550</v>
      </c>
      <c r="AP71" s="23" t="s">
        <v>1550</v>
      </c>
      <c r="AQ71" s="23" t="s">
        <v>1352</v>
      </c>
      <c r="AR71" s="23" t="s">
        <v>1352</v>
      </c>
      <c r="AS71" s="23" t="s">
        <v>1550</v>
      </c>
      <c r="AT71" s="23" t="s">
        <v>1804</v>
      </c>
      <c r="AU71" s="22"/>
      <c r="AV71" s="23">
        <v>1000</v>
      </c>
      <c r="AW71" s="23" t="s">
        <v>3299</v>
      </c>
      <c r="AX71" s="23" t="s">
        <v>3300</v>
      </c>
      <c r="AY71" s="23" t="s">
        <v>1904</v>
      </c>
      <c r="AZ71" s="23" t="s">
        <v>1904</v>
      </c>
      <c r="BA71" s="23" t="s">
        <v>1904</v>
      </c>
      <c r="BB71" s="23" t="s">
        <v>1358</v>
      </c>
      <c r="BC71" s="23" t="s">
        <v>1358</v>
      </c>
      <c r="BD71" s="23" t="s">
        <v>1358</v>
      </c>
      <c r="BE71" s="23" t="s">
        <v>3447</v>
      </c>
      <c r="BF71" s="22"/>
      <c r="BG71" s="22"/>
      <c r="BH71" s="23">
        <v>3</v>
      </c>
      <c r="BI71" s="23">
        <v>5</v>
      </c>
      <c r="BJ71" s="23">
        <v>5</v>
      </c>
      <c r="BK71" s="23" t="s">
        <v>3305</v>
      </c>
      <c r="BL71" s="23" t="s">
        <v>3304</v>
      </c>
      <c r="BM71" s="23" t="s">
        <v>3305</v>
      </c>
      <c r="BN71" s="23" t="s">
        <v>1349</v>
      </c>
      <c r="BO71" s="22"/>
      <c r="BP71" s="22"/>
      <c r="BQ71" s="23" t="s">
        <v>1345</v>
      </c>
      <c r="BR71" s="23" t="s">
        <v>1345</v>
      </c>
      <c r="BS71" s="23" t="s">
        <v>1358</v>
      </c>
      <c r="BT71" s="23" t="s">
        <v>1345</v>
      </c>
      <c r="BU71" s="23" t="s">
        <v>1373</v>
      </c>
      <c r="BV71" s="23" t="s">
        <v>1411</v>
      </c>
      <c r="BW71" s="22"/>
      <c r="BX71" s="23" t="s">
        <v>1345</v>
      </c>
      <c r="BY71" s="23" t="s">
        <v>1362</v>
      </c>
      <c r="BZ71" s="23" t="s">
        <v>3307</v>
      </c>
      <c r="CA71" s="23" t="s">
        <v>3512</v>
      </c>
      <c r="CB71" s="23" t="s">
        <v>1935</v>
      </c>
      <c r="CC71" s="23" t="s">
        <v>1935</v>
      </c>
      <c r="CD71" s="23" t="s">
        <v>1935</v>
      </c>
      <c r="CE71" s="23" t="s">
        <v>3514</v>
      </c>
      <c r="CF71" s="22" t="s">
        <v>3515</v>
      </c>
      <c r="CG71" s="22" t="s">
        <v>1904</v>
      </c>
      <c r="CH71" s="22"/>
      <c r="CI71" s="22"/>
      <c r="CJ71" s="22"/>
      <c r="CK71" s="22"/>
      <c r="CL71" s="22"/>
      <c r="CM71" s="22"/>
      <c r="CN71" s="22"/>
      <c r="CO71" s="23" t="s">
        <v>3310</v>
      </c>
      <c r="CP71" s="23" t="s">
        <v>1358</v>
      </c>
      <c r="CQ71" s="23" t="s">
        <v>1367</v>
      </c>
      <c r="CR71" s="23">
        <v>15</v>
      </c>
      <c r="CS71" s="23" t="s">
        <v>2230</v>
      </c>
      <c r="CT71" s="22"/>
      <c r="CU71" s="23"/>
      <c r="CV71" s="23" t="s">
        <v>3516</v>
      </c>
      <c r="CW71" s="23" t="s">
        <v>1349</v>
      </c>
      <c r="CX71" s="22"/>
      <c r="CY71" s="27"/>
      <c r="CZ71" s="22" t="s">
        <v>3313</v>
      </c>
      <c r="DA71" s="22" t="s">
        <v>3350</v>
      </c>
      <c r="DB71" s="22"/>
      <c r="DC71" s="22" t="s">
        <v>1904</v>
      </c>
      <c r="DD71" s="22" t="s">
        <v>3373</v>
      </c>
      <c r="DE71" s="22" t="s">
        <v>3374</v>
      </c>
      <c r="DF71" s="22" t="s">
        <v>3375</v>
      </c>
      <c r="DG71" s="22" t="s">
        <v>3376</v>
      </c>
      <c r="DH71" s="22" t="s">
        <v>3319</v>
      </c>
      <c r="DI71" s="22" t="s">
        <v>3319</v>
      </c>
      <c r="DJ71" s="22" t="s">
        <v>3319</v>
      </c>
      <c r="DK71" s="22" t="s">
        <v>3319</v>
      </c>
      <c r="DL71" s="22" t="s">
        <v>1358</v>
      </c>
      <c r="DM71" s="22" t="s">
        <v>1358</v>
      </c>
      <c r="DN71" s="23" t="s">
        <v>1349</v>
      </c>
      <c r="DO71" s="22" t="s">
        <v>1358</v>
      </c>
      <c r="DP71" s="23" t="s">
        <v>1349</v>
      </c>
      <c r="DQ71" s="22" t="s">
        <v>1358</v>
      </c>
      <c r="DR71" s="23" t="s">
        <v>3517</v>
      </c>
      <c r="DS71" s="22"/>
      <c r="DT71" s="22"/>
      <c r="DU71" s="22"/>
      <c r="DV71" s="23" t="s">
        <v>3322</v>
      </c>
      <c r="DW71" s="22" t="s">
        <v>1904</v>
      </c>
      <c r="DX71" s="23" t="s">
        <v>3323</v>
      </c>
      <c r="DY71" s="23" t="s">
        <v>1349</v>
      </c>
      <c r="DZ71" s="23" t="s">
        <v>3355</v>
      </c>
      <c r="EA71" s="23" t="s">
        <v>1345</v>
      </c>
      <c r="EB71" s="23" t="s">
        <v>1345</v>
      </c>
      <c r="EC71" s="23" t="s">
        <v>3325</v>
      </c>
      <c r="ED71" s="23" t="s">
        <v>3326</v>
      </c>
      <c r="EE71" s="27">
        <v>0.5</v>
      </c>
      <c r="EF71" s="23" t="s">
        <v>3327</v>
      </c>
      <c r="EG71" s="23" t="s">
        <v>1345</v>
      </c>
      <c r="EH71" s="23" t="s">
        <v>3328</v>
      </c>
      <c r="EI71" s="23" t="s">
        <v>3356</v>
      </c>
      <c r="EJ71" s="23" t="s">
        <v>3330</v>
      </c>
      <c r="EK71" s="23" t="s">
        <v>3331</v>
      </c>
      <c r="EL71" s="23" t="s">
        <v>1841</v>
      </c>
      <c r="EM71" s="23">
        <v>3</v>
      </c>
      <c r="EN71" s="23" t="s">
        <v>3518</v>
      </c>
      <c r="EO71" s="23">
        <v>1</v>
      </c>
      <c r="EP71" s="23" t="s">
        <v>3519</v>
      </c>
      <c r="EQ71" s="23">
        <v>3</v>
      </c>
      <c r="ER71" s="22" t="s">
        <v>3334</v>
      </c>
      <c r="ES71" s="23">
        <v>3</v>
      </c>
      <c r="ET71" s="23" t="s">
        <v>3335</v>
      </c>
      <c r="EU71" s="23">
        <v>1</v>
      </c>
      <c r="EV71" s="22" t="s">
        <v>3336</v>
      </c>
      <c r="EW71" s="23">
        <v>3</v>
      </c>
      <c r="EX71" s="22" t="s">
        <v>3337</v>
      </c>
      <c r="EY71" s="23">
        <v>1</v>
      </c>
      <c r="EZ71" s="22" t="s">
        <v>3338</v>
      </c>
    </row>
    <row r="72" spans="1:157">
      <c r="A72" s="17">
        <v>485</v>
      </c>
      <c r="B72" s="17">
        <v>38</v>
      </c>
      <c r="C72" s="23" t="s">
        <v>1337</v>
      </c>
      <c r="D72" s="24">
        <v>43747</v>
      </c>
      <c r="E72" s="23" t="s">
        <v>3022</v>
      </c>
      <c r="F72" s="25" t="e">
        <v>#N/A</v>
      </c>
      <c r="G72" s="25" t="s">
        <v>2893</v>
      </c>
      <c r="H72" s="23" t="s">
        <v>1086</v>
      </c>
      <c r="I72" s="23" t="s">
        <v>1065</v>
      </c>
      <c r="J72" s="23" t="s">
        <v>2893</v>
      </c>
      <c r="K72" s="23" t="s">
        <v>2992</v>
      </c>
      <c r="L72" s="23">
        <v>7</v>
      </c>
      <c r="M72" s="23" t="s">
        <v>1383</v>
      </c>
      <c r="N72" s="23" t="s">
        <v>1343</v>
      </c>
      <c r="O72" s="22" t="s">
        <v>3023</v>
      </c>
      <c r="P72" s="22" t="s">
        <v>3024</v>
      </c>
      <c r="Q72" s="23">
        <v>67661353</v>
      </c>
      <c r="R72" s="23" t="s">
        <v>1345</v>
      </c>
      <c r="S72" s="23">
        <v>3</v>
      </c>
      <c r="T72" s="23" t="s">
        <v>1346</v>
      </c>
      <c r="U72" s="23">
        <v>1997</v>
      </c>
      <c r="V72" s="23" t="s">
        <v>2896</v>
      </c>
      <c r="W72" s="22" t="s">
        <v>1348</v>
      </c>
      <c r="X72" s="23" t="s">
        <v>1342</v>
      </c>
      <c r="Y72" s="23"/>
      <c r="Z72" s="23"/>
      <c r="AA72" s="32">
        <v>30</v>
      </c>
      <c r="AB72" s="23" t="s">
        <v>1342</v>
      </c>
      <c r="AC72" s="23" t="s">
        <v>3025</v>
      </c>
      <c r="AD72" s="32" t="s">
        <v>1383</v>
      </c>
      <c r="AE72" s="23" t="s">
        <v>1383</v>
      </c>
      <c r="AF72" s="23" t="s">
        <v>1349</v>
      </c>
      <c r="AG72" s="23" t="s">
        <v>1342</v>
      </c>
      <c r="AH72" s="23" t="s">
        <v>3026</v>
      </c>
      <c r="AI72" s="23">
        <v>2016</v>
      </c>
      <c r="AJ72" s="23" t="s">
        <v>1342</v>
      </c>
      <c r="AK72" s="22" t="s">
        <v>2897</v>
      </c>
      <c r="AL72" s="23" t="s">
        <v>1351</v>
      </c>
      <c r="AM72" s="23" t="s">
        <v>1351</v>
      </c>
      <c r="AN72" s="23" t="s">
        <v>1351</v>
      </c>
      <c r="AO72" s="23" t="s">
        <v>1351</v>
      </c>
      <c r="AP72" s="23" t="s">
        <v>1351</v>
      </c>
      <c r="AQ72" s="23" t="s">
        <v>1352</v>
      </c>
      <c r="AR72" s="23" t="s">
        <v>1352</v>
      </c>
      <c r="AS72" s="23" t="s">
        <v>1353</v>
      </c>
      <c r="AT72" s="23" t="s">
        <v>1342</v>
      </c>
      <c r="AU72" s="22">
        <v>9600</v>
      </c>
      <c r="AV72" s="22">
        <v>3000</v>
      </c>
      <c r="AW72" s="22" t="s">
        <v>2977</v>
      </c>
      <c r="AX72" s="22" t="s">
        <v>2937</v>
      </c>
      <c r="AY72" s="23" t="s">
        <v>1342</v>
      </c>
      <c r="AZ72" s="22"/>
      <c r="BA72" s="22"/>
      <c r="BB72" s="22" t="s">
        <v>1358</v>
      </c>
      <c r="BC72" s="22"/>
      <c r="BD72" s="22"/>
      <c r="BE72" s="22" t="s">
        <v>3027</v>
      </c>
      <c r="BF72" s="22"/>
      <c r="BG72" s="22"/>
      <c r="BH72" s="22">
        <v>1</v>
      </c>
      <c r="BI72" s="22">
        <v>3</v>
      </c>
      <c r="BJ72" s="22"/>
      <c r="BK72" s="22" t="s">
        <v>1360</v>
      </c>
      <c r="BL72" s="22" t="s">
        <v>1434</v>
      </c>
      <c r="BM72" s="22"/>
      <c r="BN72" s="23" t="s">
        <v>1383</v>
      </c>
      <c r="BO72" s="22" t="s">
        <v>1460</v>
      </c>
      <c r="BP72" s="22" t="s">
        <v>3029</v>
      </c>
      <c r="BQ72" s="23" t="s">
        <v>1383</v>
      </c>
      <c r="BR72" s="23" t="s">
        <v>1342</v>
      </c>
      <c r="BS72" s="27">
        <v>0</v>
      </c>
      <c r="BT72" s="23" t="s">
        <v>1383</v>
      </c>
      <c r="BU72" s="23" t="s">
        <v>1342</v>
      </c>
      <c r="BV72" s="23" t="s">
        <v>1349</v>
      </c>
      <c r="BW72" s="22"/>
      <c r="BX72" s="23" t="s">
        <v>1383</v>
      </c>
      <c r="BY72" s="23" t="s">
        <v>1362</v>
      </c>
      <c r="BZ72" s="23" t="s">
        <v>3030</v>
      </c>
      <c r="CA72" s="23" t="s">
        <v>2992</v>
      </c>
      <c r="CB72" s="22" t="s">
        <v>1364</v>
      </c>
      <c r="CC72" s="22" t="s">
        <v>1364</v>
      </c>
      <c r="CD72" s="22" t="s">
        <v>1364</v>
      </c>
      <c r="CE72" s="22">
        <v>0</v>
      </c>
      <c r="CF72" s="22">
        <v>1680</v>
      </c>
      <c r="CG72" s="22">
        <v>2640</v>
      </c>
      <c r="CH72" s="22">
        <v>150</v>
      </c>
      <c r="CI72" s="22">
        <v>100</v>
      </c>
      <c r="CJ72" s="22">
        <v>200</v>
      </c>
      <c r="CK72" s="27">
        <v>0.7</v>
      </c>
      <c r="CL72" s="27">
        <v>0.7</v>
      </c>
      <c r="CM72" s="27">
        <v>0.3</v>
      </c>
      <c r="CN72" s="27">
        <v>0.3</v>
      </c>
      <c r="CO72" s="22" t="s">
        <v>2904</v>
      </c>
      <c r="CP72" s="22"/>
      <c r="CQ72" s="22"/>
      <c r="CR72" s="22"/>
      <c r="CS72" s="22"/>
      <c r="CT72" s="22"/>
      <c r="CU72" s="23"/>
      <c r="CV72" s="22"/>
      <c r="CW72" s="23" t="s">
        <v>1383</v>
      </c>
      <c r="CX72" s="27">
        <v>0.15</v>
      </c>
      <c r="CY72" s="27">
        <v>0.7</v>
      </c>
      <c r="CZ72" s="22" t="s">
        <v>2905</v>
      </c>
      <c r="DA72" s="22" t="s">
        <v>1372</v>
      </c>
      <c r="DB72" s="22">
        <v>7</v>
      </c>
      <c r="DC72" s="22"/>
      <c r="DD72" s="22" t="s">
        <v>2907</v>
      </c>
      <c r="DE72" s="22" t="s">
        <v>2908</v>
      </c>
      <c r="DF72" s="22" t="s">
        <v>2909</v>
      </c>
      <c r="DG72" s="22"/>
      <c r="DH72" s="22" t="s">
        <v>2910</v>
      </c>
      <c r="DI72" s="22" t="s">
        <v>3031</v>
      </c>
      <c r="DJ72" s="22"/>
      <c r="DK72" s="22"/>
      <c r="DL72" s="22" t="s">
        <v>2912</v>
      </c>
      <c r="DM72" s="22" t="s">
        <v>2913</v>
      </c>
      <c r="DN72" s="23" t="s">
        <v>1383</v>
      </c>
      <c r="DO72" s="22" t="s">
        <v>3032</v>
      </c>
      <c r="DP72" s="23" t="s">
        <v>1342</v>
      </c>
      <c r="DQ72" s="22"/>
      <c r="DR72" s="23" t="s">
        <v>1342</v>
      </c>
      <c r="DS72" s="22"/>
      <c r="DT72" s="22"/>
      <c r="DU72" s="22"/>
      <c r="DV72" s="23" t="s">
        <v>1345</v>
      </c>
      <c r="DW72" s="22" t="s">
        <v>1413</v>
      </c>
      <c r="DX72" s="23" t="s">
        <v>1383</v>
      </c>
      <c r="DY72" s="23" t="s">
        <v>1342</v>
      </c>
      <c r="DZ72" s="22" t="s">
        <v>2915</v>
      </c>
      <c r="EA72" s="23" t="s">
        <v>1383</v>
      </c>
      <c r="EB72" s="23" t="s">
        <v>1383</v>
      </c>
      <c r="EC72" s="23" t="s">
        <v>1383</v>
      </c>
      <c r="ED72" s="23" t="s">
        <v>3033</v>
      </c>
      <c r="EE72" s="27">
        <v>0.2</v>
      </c>
      <c r="EF72" s="22" t="s">
        <v>2931</v>
      </c>
      <c r="EG72" s="23" t="s">
        <v>1342</v>
      </c>
      <c r="EH72" s="22"/>
      <c r="EI72" s="22"/>
      <c r="EJ72" s="22"/>
      <c r="EK72" s="22"/>
      <c r="EL72" s="23" t="s">
        <v>1416</v>
      </c>
      <c r="EM72" s="23">
        <v>3</v>
      </c>
      <c r="EN72" s="22" t="s">
        <v>2917</v>
      </c>
      <c r="EO72" s="23">
        <v>2</v>
      </c>
      <c r="EP72" s="22" t="s">
        <v>3034</v>
      </c>
      <c r="EQ72" s="23">
        <v>2</v>
      </c>
      <c r="ER72" s="22" t="s">
        <v>3035</v>
      </c>
      <c r="ES72" s="23">
        <v>4</v>
      </c>
      <c r="ET72" s="22" t="s">
        <v>3036</v>
      </c>
      <c r="EU72" s="23">
        <v>2</v>
      </c>
      <c r="EV72" s="22" t="s">
        <v>3037</v>
      </c>
      <c r="EW72" s="23">
        <v>2</v>
      </c>
      <c r="EX72" s="22" t="s">
        <v>3038</v>
      </c>
      <c r="EY72" s="23">
        <v>0</v>
      </c>
      <c r="EZ72" s="22" t="s">
        <v>2974</v>
      </c>
    </row>
    <row r="73" spans="1:157">
      <c r="A73" s="17">
        <v>486</v>
      </c>
      <c r="B73" s="17">
        <v>20</v>
      </c>
      <c r="C73" s="23" t="s">
        <v>2278</v>
      </c>
      <c r="D73" s="24">
        <v>43754</v>
      </c>
      <c r="E73" s="23" t="s">
        <v>2844</v>
      </c>
      <c r="F73" s="25" t="e">
        <v>#N/A</v>
      </c>
      <c r="G73" s="25" t="e">
        <v>#N/A</v>
      </c>
      <c r="H73" s="23" t="s">
        <v>1086</v>
      </c>
      <c r="I73" s="23" t="s">
        <v>1065</v>
      </c>
      <c r="J73" s="23" t="s">
        <v>2833</v>
      </c>
      <c r="K73" s="23" t="s">
        <v>2834</v>
      </c>
      <c r="L73" s="23">
        <v>45</v>
      </c>
      <c r="M73" s="23" t="s">
        <v>2393</v>
      </c>
      <c r="N73" s="23" t="s">
        <v>1541</v>
      </c>
      <c r="O73" s="23" t="s">
        <v>2845</v>
      </c>
      <c r="P73" s="23" t="s">
        <v>2846</v>
      </c>
      <c r="Q73" s="23">
        <v>66778152</v>
      </c>
      <c r="R73" s="23" t="s">
        <v>1345</v>
      </c>
      <c r="S73" s="23">
        <v>5</v>
      </c>
      <c r="T73" s="23" t="s">
        <v>2285</v>
      </c>
      <c r="U73" s="23">
        <v>2013</v>
      </c>
      <c r="V73" s="23" t="s">
        <v>2787</v>
      </c>
      <c r="W73" s="23" t="s">
        <v>2359</v>
      </c>
      <c r="X73" s="23" t="s">
        <v>1345</v>
      </c>
      <c r="Y73" s="23">
        <v>2019</v>
      </c>
      <c r="Z73" s="23" t="s">
        <v>2288</v>
      </c>
      <c r="AA73" s="32">
        <v>47</v>
      </c>
      <c r="AB73" s="23" t="s">
        <v>1349</v>
      </c>
      <c r="AC73" s="23">
        <v>3</v>
      </c>
      <c r="AD73" s="32" t="s">
        <v>1345</v>
      </c>
      <c r="AE73" s="23" t="s">
        <v>1345</v>
      </c>
      <c r="AF73" s="23" t="s">
        <v>1349</v>
      </c>
      <c r="AG73" s="23" t="s">
        <v>1349</v>
      </c>
      <c r="AH73" s="23" t="s">
        <v>2788</v>
      </c>
      <c r="AI73" s="23">
        <v>2013</v>
      </c>
      <c r="AJ73" s="23" t="s">
        <v>1349</v>
      </c>
      <c r="AK73" s="23" t="s">
        <v>2290</v>
      </c>
      <c r="AL73" s="23" t="s">
        <v>1612</v>
      </c>
      <c r="AM73" s="23" t="s">
        <v>1612</v>
      </c>
      <c r="AN73" s="23" t="s">
        <v>1612</v>
      </c>
      <c r="AO73" s="23" t="s">
        <v>1612</v>
      </c>
      <c r="AP73" s="23" t="s">
        <v>1612</v>
      </c>
      <c r="AQ73" s="23" t="s">
        <v>2291</v>
      </c>
      <c r="AR73" s="23" t="s">
        <v>2291</v>
      </c>
      <c r="AS73" s="23" t="s">
        <v>1802</v>
      </c>
      <c r="AT73" s="23" t="s">
        <v>1358</v>
      </c>
      <c r="AU73" s="23" t="s">
        <v>2778</v>
      </c>
      <c r="AV73" s="22" t="s">
        <v>2789</v>
      </c>
      <c r="AW73" s="23" t="s">
        <v>2487</v>
      </c>
      <c r="AX73" s="23" t="s">
        <v>2847</v>
      </c>
      <c r="AY73" s="23" t="s">
        <v>1349</v>
      </c>
      <c r="AZ73" s="23" t="s">
        <v>2361</v>
      </c>
      <c r="BA73" s="23" t="s">
        <v>2361</v>
      </c>
      <c r="BB73" s="23" t="s">
        <v>2289</v>
      </c>
      <c r="BC73" s="23" t="s">
        <v>2289</v>
      </c>
      <c r="BD73" s="23" t="s">
        <v>2289</v>
      </c>
      <c r="BE73" s="23" t="s">
        <v>2834</v>
      </c>
      <c r="BF73" s="23" t="s">
        <v>2300</v>
      </c>
      <c r="BG73" s="23" t="s">
        <v>2300</v>
      </c>
      <c r="BH73" s="22">
        <v>3.5</v>
      </c>
      <c r="BI73" s="22">
        <v>3.5</v>
      </c>
      <c r="BJ73" s="22">
        <v>3.5</v>
      </c>
      <c r="BK73" s="23" t="s">
        <v>2594</v>
      </c>
      <c r="BL73" s="23" t="s">
        <v>2594</v>
      </c>
      <c r="BM73" s="23" t="s">
        <v>2594</v>
      </c>
      <c r="BN73" s="23" t="s">
        <v>1349</v>
      </c>
      <c r="BO73" s="23" t="s">
        <v>2300</v>
      </c>
      <c r="BP73" s="23" t="s">
        <v>2300</v>
      </c>
      <c r="BQ73" s="23" t="s">
        <v>1345</v>
      </c>
      <c r="BR73" s="23" t="s">
        <v>1345</v>
      </c>
      <c r="BS73" s="23" t="s">
        <v>1804</v>
      </c>
      <c r="BT73" s="23" t="s">
        <v>1345</v>
      </c>
      <c r="BU73" s="23" t="s">
        <v>2491</v>
      </c>
      <c r="BV73" s="23" t="s">
        <v>1349</v>
      </c>
      <c r="BW73" s="23" t="s">
        <v>2300</v>
      </c>
      <c r="BX73" s="23" t="s">
        <v>1349</v>
      </c>
      <c r="BY73" s="23" t="s">
        <v>1565</v>
      </c>
      <c r="BZ73" s="23" t="s">
        <v>2300</v>
      </c>
      <c r="CA73" s="23" t="s">
        <v>2300</v>
      </c>
      <c r="CB73" s="23" t="s">
        <v>2289</v>
      </c>
      <c r="CC73" s="23" t="s">
        <v>2289</v>
      </c>
      <c r="CD73" s="23" t="s">
        <v>2289</v>
      </c>
      <c r="CE73" s="23">
        <v>11280</v>
      </c>
      <c r="CF73" s="23">
        <v>11280</v>
      </c>
      <c r="CG73" s="23">
        <v>11280</v>
      </c>
      <c r="CH73" s="23">
        <v>30</v>
      </c>
      <c r="CI73" s="23">
        <v>30</v>
      </c>
      <c r="CJ73" s="23">
        <v>50</v>
      </c>
      <c r="CK73" s="27">
        <v>1</v>
      </c>
      <c r="CL73" s="27">
        <v>1</v>
      </c>
      <c r="CM73" s="27">
        <v>0</v>
      </c>
      <c r="CN73" s="27">
        <v>0</v>
      </c>
      <c r="CO73" s="23" t="s">
        <v>2307</v>
      </c>
      <c r="CP73" s="23" t="s">
        <v>1565</v>
      </c>
      <c r="CQ73" s="23" t="s">
        <v>1565</v>
      </c>
      <c r="CR73" s="23" t="s">
        <v>2767</v>
      </c>
      <c r="CS73" s="23" t="s">
        <v>1706</v>
      </c>
      <c r="CT73" s="23" t="s">
        <v>2767</v>
      </c>
      <c r="CU73" s="23" t="s">
        <v>2767</v>
      </c>
      <c r="CV73" s="23" t="s">
        <v>2767</v>
      </c>
      <c r="CW73" s="23" t="s">
        <v>1345</v>
      </c>
      <c r="CX73" s="26">
        <v>0.05</v>
      </c>
      <c r="CY73" s="27">
        <v>0.95</v>
      </c>
      <c r="CZ73" s="23" t="s">
        <v>2791</v>
      </c>
      <c r="DA73" s="23" t="s">
        <v>2494</v>
      </c>
      <c r="DB73" s="23" t="s">
        <v>1903</v>
      </c>
      <c r="DC73" s="23" t="s">
        <v>2836</v>
      </c>
      <c r="DD73" s="22" t="s">
        <v>2837</v>
      </c>
      <c r="DE73" s="23" t="s">
        <v>2838</v>
      </c>
      <c r="DF73" s="23" t="s">
        <v>2839</v>
      </c>
      <c r="DG73" s="23" t="s">
        <v>2848</v>
      </c>
      <c r="DH73" s="23" t="s">
        <v>2794</v>
      </c>
      <c r="DI73" s="23" t="s">
        <v>1556</v>
      </c>
      <c r="DJ73" s="23" t="s">
        <v>1556</v>
      </c>
      <c r="DK73" s="23" t="s">
        <v>1556</v>
      </c>
      <c r="DL73" s="23" t="s">
        <v>2795</v>
      </c>
      <c r="DM73" s="23" t="s">
        <v>2770</v>
      </c>
      <c r="DN73" s="23" t="s">
        <v>1345</v>
      </c>
      <c r="DO73" s="23" t="s">
        <v>2796</v>
      </c>
      <c r="DP73" s="23" t="s">
        <v>1349</v>
      </c>
      <c r="DQ73" s="23" t="s">
        <v>1358</v>
      </c>
      <c r="DR73" s="23" t="s">
        <v>1349</v>
      </c>
      <c r="DS73" s="23" t="s">
        <v>2300</v>
      </c>
      <c r="DT73" s="23" t="s">
        <v>2300</v>
      </c>
      <c r="DU73" s="23" t="s">
        <v>2300</v>
      </c>
      <c r="DV73" s="23" t="s">
        <v>1345</v>
      </c>
      <c r="DW73" s="23" t="s">
        <v>2797</v>
      </c>
      <c r="DX73" s="23" t="s">
        <v>1345</v>
      </c>
      <c r="DY73" s="23" t="s">
        <v>1349</v>
      </c>
      <c r="DZ73" s="23" t="s">
        <v>2322</v>
      </c>
      <c r="EA73" s="23" t="s">
        <v>1345</v>
      </c>
      <c r="EB73" s="23" t="s">
        <v>1345</v>
      </c>
      <c r="EC73" s="23" t="s">
        <v>1345</v>
      </c>
      <c r="ED73" s="23" t="s">
        <v>2353</v>
      </c>
      <c r="EE73" s="27">
        <v>0.1</v>
      </c>
      <c r="EF73" s="23" t="s">
        <v>2324</v>
      </c>
      <c r="EG73" s="23" t="s">
        <v>1342</v>
      </c>
      <c r="EH73" s="23" t="s">
        <v>2300</v>
      </c>
      <c r="EI73" s="23" t="s">
        <v>2326</v>
      </c>
      <c r="EJ73" s="22" t="s">
        <v>2327</v>
      </c>
      <c r="EK73" s="23" t="s">
        <v>2419</v>
      </c>
      <c r="EL73" s="23" t="s">
        <v>1389</v>
      </c>
      <c r="EM73" s="23">
        <v>4</v>
      </c>
      <c r="EN73" s="23" t="s">
        <v>2388</v>
      </c>
      <c r="EO73" s="23">
        <v>4</v>
      </c>
      <c r="EP73" s="23" t="s">
        <v>2841</v>
      </c>
      <c r="EQ73" s="23">
        <v>4</v>
      </c>
      <c r="ER73" s="22" t="s">
        <v>2331</v>
      </c>
      <c r="ES73" s="23">
        <v>4</v>
      </c>
      <c r="ET73" s="22" t="s">
        <v>2842</v>
      </c>
      <c r="EU73" s="23">
        <v>4</v>
      </c>
      <c r="EV73" s="22" t="s">
        <v>2508</v>
      </c>
      <c r="EW73" s="23">
        <v>1</v>
      </c>
      <c r="EX73" s="22" t="s">
        <v>2843</v>
      </c>
      <c r="EY73" s="23">
        <v>2</v>
      </c>
      <c r="EZ73" s="22" t="s">
        <v>2424</v>
      </c>
    </row>
    <row r="74" spans="1:157">
      <c r="A74" s="17">
        <v>487</v>
      </c>
      <c r="B74" s="17">
        <v>21</v>
      </c>
      <c r="C74" s="23" t="s">
        <v>2278</v>
      </c>
      <c r="D74" s="24">
        <v>43756</v>
      </c>
      <c r="E74" s="23" t="s">
        <v>2849</v>
      </c>
      <c r="F74" s="25" t="e">
        <v>#N/A</v>
      </c>
      <c r="G74" s="25" t="e">
        <v>#N/A</v>
      </c>
      <c r="H74" s="23" t="s">
        <v>1086</v>
      </c>
      <c r="I74" s="23" t="s">
        <v>1065</v>
      </c>
      <c r="J74" s="23" t="s">
        <v>2833</v>
      </c>
      <c r="K74" s="23" t="s">
        <v>2834</v>
      </c>
      <c r="L74" s="23">
        <v>45</v>
      </c>
      <c r="M74" s="23" t="s">
        <v>2393</v>
      </c>
      <c r="N74" s="23" t="s">
        <v>1541</v>
      </c>
      <c r="O74" s="23" t="s">
        <v>2845</v>
      </c>
      <c r="P74" s="23" t="s">
        <v>2850</v>
      </c>
      <c r="Q74" s="23">
        <v>56762787</v>
      </c>
      <c r="R74" s="23" t="s">
        <v>1345</v>
      </c>
      <c r="S74" s="23">
        <v>4</v>
      </c>
      <c r="T74" s="23" t="s">
        <v>2285</v>
      </c>
      <c r="U74" s="23">
        <v>2015</v>
      </c>
      <c r="V74" s="23" t="s">
        <v>2787</v>
      </c>
      <c r="W74" s="23" t="s">
        <v>2359</v>
      </c>
      <c r="X74" s="23" t="s">
        <v>1345</v>
      </c>
      <c r="Y74" s="23">
        <v>2019</v>
      </c>
      <c r="Z74" s="23" t="s">
        <v>2288</v>
      </c>
      <c r="AA74" s="32">
        <v>42</v>
      </c>
      <c r="AB74" s="23" t="s">
        <v>1345</v>
      </c>
      <c r="AC74" s="23">
        <v>2</v>
      </c>
      <c r="AD74" s="32" t="s">
        <v>1345</v>
      </c>
      <c r="AE74" s="23" t="s">
        <v>1345</v>
      </c>
      <c r="AF74" s="23" t="s">
        <v>1349</v>
      </c>
      <c r="AG74" s="23" t="s">
        <v>1349</v>
      </c>
      <c r="AH74" s="23" t="s">
        <v>1556</v>
      </c>
      <c r="AI74" s="23">
        <v>2015</v>
      </c>
      <c r="AJ74" s="23" t="s">
        <v>1349</v>
      </c>
      <c r="AK74" s="23" t="s">
        <v>2851</v>
      </c>
      <c r="AL74" s="23" t="s">
        <v>1612</v>
      </c>
      <c r="AM74" s="23" t="s">
        <v>1612</v>
      </c>
      <c r="AN74" s="23" t="s">
        <v>1612</v>
      </c>
      <c r="AO74" s="23" t="s">
        <v>1612</v>
      </c>
      <c r="AP74" s="23" t="s">
        <v>1612</v>
      </c>
      <c r="AQ74" s="23" t="s">
        <v>2291</v>
      </c>
      <c r="AR74" s="23" t="s">
        <v>2291</v>
      </c>
      <c r="AS74" s="23" t="s">
        <v>1802</v>
      </c>
      <c r="AT74" s="23" t="s">
        <v>1358</v>
      </c>
      <c r="AU74" s="23" t="s">
        <v>2778</v>
      </c>
      <c r="AV74" s="22" t="s">
        <v>2789</v>
      </c>
      <c r="AW74" s="23" t="s">
        <v>2487</v>
      </c>
      <c r="AX74" s="23" t="s">
        <v>2430</v>
      </c>
      <c r="AY74" s="23" t="s">
        <v>1349</v>
      </c>
      <c r="AZ74" s="23" t="s">
        <v>2361</v>
      </c>
      <c r="BA74" s="23" t="s">
        <v>2361</v>
      </c>
      <c r="BB74" s="23" t="s">
        <v>2289</v>
      </c>
      <c r="BC74" s="23" t="s">
        <v>2289</v>
      </c>
      <c r="BD74" s="23" t="s">
        <v>2289</v>
      </c>
      <c r="BE74" s="23" t="s">
        <v>2834</v>
      </c>
      <c r="BF74" s="23" t="s">
        <v>2300</v>
      </c>
      <c r="BG74" s="23" t="s">
        <v>2300</v>
      </c>
      <c r="BH74" s="22">
        <v>6</v>
      </c>
      <c r="BI74" s="22">
        <v>6.5</v>
      </c>
      <c r="BJ74" s="22">
        <v>7</v>
      </c>
      <c r="BK74" s="23" t="s">
        <v>2594</v>
      </c>
      <c r="BL74" s="23" t="s">
        <v>2594</v>
      </c>
      <c r="BM74" s="23" t="s">
        <v>2594</v>
      </c>
      <c r="BN74" s="23" t="s">
        <v>1349</v>
      </c>
      <c r="BO74" s="23" t="s">
        <v>2300</v>
      </c>
      <c r="BP74" s="23" t="s">
        <v>2300</v>
      </c>
      <c r="BQ74" s="23" t="s">
        <v>1349</v>
      </c>
      <c r="BR74" s="23" t="s">
        <v>1349</v>
      </c>
      <c r="BS74" s="23" t="s">
        <v>1804</v>
      </c>
      <c r="BT74" s="23" t="s">
        <v>1345</v>
      </c>
      <c r="BU74" s="23" t="s">
        <v>1358</v>
      </c>
      <c r="BV74" s="23" t="s">
        <v>1349</v>
      </c>
      <c r="BW74" s="23" t="s">
        <v>2300</v>
      </c>
      <c r="BX74" s="23" t="s">
        <v>1349</v>
      </c>
      <c r="BY74" s="23" t="s">
        <v>1565</v>
      </c>
      <c r="BZ74" s="23" t="s">
        <v>2300</v>
      </c>
      <c r="CA74" s="23" t="s">
        <v>2300</v>
      </c>
      <c r="CB74" s="23" t="s">
        <v>2289</v>
      </c>
      <c r="CC74" s="23" t="s">
        <v>2289</v>
      </c>
      <c r="CD74" s="23" t="s">
        <v>2289</v>
      </c>
      <c r="CE74" s="23">
        <v>10080</v>
      </c>
      <c r="CF74" s="23">
        <v>7200</v>
      </c>
      <c r="CG74" s="23">
        <v>12000</v>
      </c>
      <c r="CH74" s="23">
        <v>80</v>
      </c>
      <c r="CI74" s="23">
        <v>40</v>
      </c>
      <c r="CJ74" s="23">
        <v>80</v>
      </c>
      <c r="CK74" s="27">
        <v>1</v>
      </c>
      <c r="CL74" s="27">
        <v>1</v>
      </c>
      <c r="CM74" s="27">
        <v>0</v>
      </c>
      <c r="CN74" s="27">
        <v>0</v>
      </c>
      <c r="CO74" s="23" t="s">
        <v>2307</v>
      </c>
      <c r="CP74" s="23" t="s">
        <v>1565</v>
      </c>
      <c r="CQ74" s="23" t="s">
        <v>1565</v>
      </c>
      <c r="CR74" s="23" t="s">
        <v>2767</v>
      </c>
      <c r="CS74" s="23" t="s">
        <v>1706</v>
      </c>
      <c r="CT74" s="23" t="s">
        <v>2767</v>
      </c>
      <c r="CU74" s="23" t="s">
        <v>2767</v>
      </c>
      <c r="CV74" s="23" t="s">
        <v>2767</v>
      </c>
      <c r="CW74" s="23" t="s">
        <v>1345</v>
      </c>
      <c r="CX74" s="26">
        <v>0.15</v>
      </c>
      <c r="CY74" s="27">
        <v>0.85</v>
      </c>
      <c r="CZ74" s="23" t="s">
        <v>2791</v>
      </c>
      <c r="DA74" s="23" t="s">
        <v>2494</v>
      </c>
      <c r="DB74" s="23" t="s">
        <v>1903</v>
      </c>
      <c r="DC74" s="23" t="s">
        <v>2836</v>
      </c>
      <c r="DD74" s="22" t="s">
        <v>2837</v>
      </c>
      <c r="DE74" s="23" t="s">
        <v>2838</v>
      </c>
      <c r="DF74" s="23" t="s">
        <v>2839</v>
      </c>
      <c r="DG74" s="23" t="s">
        <v>2840</v>
      </c>
      <c r="DH74" s="23" t="s">
        <v>2794</v>
      </c>
      <c r="DI74" s="23" t="s">
        <v>1556</v>
      </c>
      <c r="DJ74" s="23" t="s">
        <v>1556</v>
      </c>
      <c r="DK74" s="23" t="s">
        <v>1556</v>
      </c>
      <c r="DL74" s="23" t="s">
        <v>2795</v>
      </c>
      <c r="DM74" s="23" t="s">
        <v>2852</v>
      </c>
      <c r="DN74" s="23" t="s">
        <v>1345</v>
      </c>
      <c r="DO74" s="23" t="s">
        <v>2796</v>
      </c>
      <c r="DP74" s="23" t="s">
        <v>1349</v>
      </c>
      <c r="DQ74" s="23" t="s">
        <v>1358</v>
      </c>
      <c r="DR74" s="23" t="s">
        <v>1349</v>
      </c>
      <c r="DS74" s="23" t="s">
        <v>2300</v>
      </c>
      <c r="DT74" s="23" t="s">
        <v>2300</v>
      </c>
      <c r="DU74" s="23" t="s">
        <v>2300</v>
      </c>
      <c r="DV74" s="23" t="s">
        <v>1345</v>
      </c>
      <c r="DW74" s="23" t="s">
        <v>2797</v>
      </c>
      <c r="DX74" s="23" t="s">
        <v>1345</v>
      </c>
      <c r="DY74" s="23" t="s">
        <v>1349</v>
      </c>
      <c r="DZ74" s="23" t="s">
        <v>2322</v>
      </c>
      <c r="EA74" s="23" t="s">
        <v>1345</v>
      </c>
      <c r="EB74" s="23" t="s">
        <v>1345</v>
      </c>
      <c r="EC74" s="23" t="s">
        <v>1345</v>
      </c>
      <c r="ED74" s="23" t="s">
        <v>2353</v>
      </c>
      <c r="EE74" s="27">
        <v>0.05</v>
      </c>
      <c r="EF74" s="23" t="s">
        <v>2324</v>
      </c>
      <c r="EG74" s="23" t="s">
        <v>1342</v>
      </c>
      <c r="EH74" s="23" t="s">
        <v>2300</v>
      </c>
      <c r="EI74" s="23" t="s">
        <v>2326</v>
      </c>
      <c r="EJ74" s="22" t="s">
        <v>2853</v>
      </c>
      <c r="EK74" s="23" t="s">
        <v>2419</v>
      </c>
      <c r="EL74" s="23" t="s">
        <v>1389</v>
      </c>
      <c r="EM74" s="23">
        <v>3</v>
      </c>
      <c r="EN74" s="23" t="s">
        <v>2388</v>
      </c>
      <c r="EO74" s="23">
        <v>3</v>
      </c>
      <c r="EP74" s="23" t="s">
        <v>2841</v>
      </c>
      <c r="EQ74" s="23">
        <v>4</v>
      </c>
      <c r="ER74" s="22" t="s">
        <v>2331</v>
      </c>
      <c r="ES74" s="23">
        <v>4</v>
      </c>
      <c r="ET74" s="22" t="s">
        <v>2842</v>
      </c>
      <c r="EU74" s="23">
        <v>4</v>
      </c>
      <c r="EV74" s="22" t="s">
        <v>2508</v>
      </c>
      <c r="EW74" s="23">
        <v>1</v>
      </c>
      <c r="EX74" s="22" t="s">
        <v>2843</v>
      </c>
      <c r="EY74" s="23">
        <v>2</v>
      </c>
      <c r="EZ74" s="22" t="s">
        <v>2424</v>
      </c>
    </row>
    <row r="75" spans="1:157">
      <c r="A75" s="17">
        <v>488</v>
      </c>
      <c r="B75" s="17">
        <v>26</v>
      </c>
      <c r="C75" s="23" t="s">
        <v>2278</v>
      </c>
      <c r="D75" s="24">
        <v>43759</v>
      </c>
      <c r="E75" s="23" t="s">
        <v>2872</v>
      </c>
      <c r="F75" s="25"/>
      <c r="G75" s="25"/>
      <c r="H75" s="23" t="s">
        <v>1086</v>
      </c>
      <c r="I75" s="23" t="s">
        <v>1065</v>
      </c>
      <c r="J75" s="23" t="s">
        <v>2833</v>
      </c>
      <c r="K75" s="23" t="s">
        <v>2834</v>
      </c>
      <c r="L75" s="23">
        <v>46</v>
      </c>
      <c r="M75" s="23" t="s">
        <v>2393</v>
      </c>
      <c r="N75" s="23" t="s">
        <v>1541</v>
      </c>
      <c r="O75" s="23" t="s">
        <v>2845</v>
      </c>
      <c r="P75" s="23" t="s">
        <v>2873</v>
      </c>
      <c r="Q75" s="23">
        <v>75486168</v>
      </c>
      <c r="R75" s="23" t="s">
        <v>1345</v>
      </c>
      <c r="S75" s="23">
        <v>4</v>
      </c>
      <c r="T75" s="23" t="s">
        <v>2285</v>
      </c>
      <c r="U75" s="23">
        <v>2011</v>
      </c>
      <c r="V75" s="23" t="s">
        <v>2787</v>
      </c>
      <c r="W75" s="23" t="s">
        <v>2359</v>
      </c>
      <c r="X75" s="23" t="s">
        <v>1345</v>
      </c>
      <c r="Y75" s="23">
        <v>2018</v>
      </c>
      <c r="Z75" s="23" t="s">
        <v>2288</v>
      </c>
      <c r="AA75" s="32">
        <v>43</v>
      </c>
      <c r="AB75" s="23" t="s">
        <v>1349</v>
      </c>
      <c r="AC75" s="23">
        <v>3</v>
      </c>
      <c r="AD75" s="32" t="s">
        <v>1345</v>
      </c>
      <c r="AE75" s="23" t="s">
        <v>1345</v>
      </c>
      <c r="AF75" s="23" t="s">
        <v>1349</v>
      </c>
      <c r="AG75" s="23" t="s">
        <v>1349</v>
      </c>
      <c r="AH75" s="23" t="s">
        <v>2870</v>
      </c>
      <c r="AI75" s="23">
        <v>2011</v>
      </c>
      <c r="AJ75" s="23" t="s">
        <v>1349</v>
      </c>
      <c r="AK75" s="23" t="s">
        <v>2341</v>
      </c>
      <c r="AL75" s="23" t="s">
        <v>1612</v>
      </c>
      <c r="AM75" s="23" t="s">
        <v>1612</v>
      </c>
      <c r="AN75" s="23" t="s">
        <v>1612</v>
      </c>
      <c r="AO75" s="23" t="s">
        <v>1612</v>
      </c>
      <c r="AP75" s="23" t="s">
        <v>1612</v>
      </c>
      <c r="AQ75" s="23" t="s">
        <v>2291</v>
      </c>
      <c r="AR75" s="23" t="s">
        <v>2291</v>
      </c>
      <c r="AS75" s="23" t="s">
        <v>1802</v>
      </c>
      <c r="AT75" s="23" t="s">
        <v>1358</v>
      </c>
      <c r="AU75" s="23" t="s">
        <v>2856</v>
      </c>
      <c r="AV75" s="22" t="s">
        <v>2789</v>
      </c>
      <c r="AW75" s="23" t="s">
        <v>2860</v>
      </c>
      <c r="AX75" s="23" t="s">
        <v>2430</v>
      </c>
      <c r="AY75" s="23" t="s">
        <v>1349</v>
      </c>
      <c r="AZ75" s="23" t="s">
        <v>2361</v>
      </c>
      <c r="BA75" s="23" t="s">
        <v>2361</v>
      </c>
      <c r="BB75" s="23" t="s">
        <v>2289</v>
      </c>
      <c r="BC75" s="23" t="s">
        <v>2289</v>
      </c>
      <c r="BD75" s="23" t="s">
        <v>2289</v>
      </c>
      <c r="BE75" s="23" t="s">
        <v>2834</v>
      </c>
      <c r="BF75" s="23" t="s">
        <v>2300</v>
      </c>
      <c r="BG75" s="23" t="s">
        <v>2300</v>
      </c>
      <c r="BH75" s="22">
        <v>6</v>
      </c>
      <c r="BI75" s="22">
        <v>6.5</v>
      </c>
      <c r="BJ75" s="22">
        <v>7</v>
      </c>
      <c r="BK75" s="23" t="s">
        <v>2594</v>
      </c>
      <c r="BL75" s="23" t="s">
        <v>2594</v>
      </c>
      <c r="BM75" s="23" t="s">
        <v>2594</v>
      </c>
      <c r="BN75" s="23" t="s">
        <v>1349</v>
      </c>
      <c r="BO75" s="23" t="s">
        <v>2300</v>
      </c>
      <c r="BP75" s="23" t="s">
        <v>2300</v>
      </c>
      <c r="BQ75" s="23" t="s">
        <v>1349</v>
      </c>
      <c r="BR75" s="23" t="s">
        <v>1349</v>
      </c>
      <c r="BS75" s="23" t="s">
        <v>1804</v>
      </c>
      <c r="BT75" s="23" t="s">
        <v>1345</v>
      </c>
      <c r="BU75" s="23" t="s">
        <v>1358</v>
      </c>
      <c r="BV75" s="23" t="s">
        <v>1349</v>
      </c>
      <c r="BW75" s="23" t="s">
        <v>2300</v>
      </c>
      <c r="BX75" s="23" t="s">
        <v>1349</v>
      </c>
      <c r="BY75" s="23" t="s">
        <v>1565</v>
      </c>
      <c r="BZ75" s="23" t="s">
        <v>2300</v>
      </c>
      <c r="CA75" s="23" t="s">
        <v>2300</v>
      </c>
      <c r="CB75" s="23" t="s">
        <v>2289</v>
      </c>
      <c r="CC75" s="23" t="s">
        <v>2289</v>
      </c>
      <c r="CD75" s="23" t="s">
        <v>2289</v>
      </c>
      <c r="CE75" s="23">
        <v>10320</v>
      </c>
      <c r="CF75" s="23">
        <v>7440</v>
      </c>
      <c r="CG75" s="23">
        <v>14640</v>
      </c>
      <c r="CH75" s="23">
        <v>60</v>
      </c>
      <c r="CI75" s="23">
        <v>30</v>
      </c>
      <c r="CJ75" s="23">
        <v>60</v>
      </c>
      <c r="CK75" s="27">
        <v>1</v>
      </c>
      <c r="CL75" s="27">
        <v>1</v>
      </c>
      <c r="CM75" s="27">
        <v>0</v>
      </c>
      <c r="CN75" s="27">
        <v>0</v>
      </c>
      <c r="CO75" s="23" t="s">
        <v>2307</v>
      </c>
      <c r="CP75" s="23" t="s">
        <v>1565</v>
      </c>
      <c r="CQ75" s="23" t="s">
        <v>1565</v>
      </c>
      <c r="CR75" s="23" t="s">
        <v>2767</v>
      </c>
      <c r="CS75" s="23" t="s">
        <v>1706</v>
      </c>
      <c r="CT75" s="23" t="s">
        <v>2767</v>
      </c>
      <c r="CU75" s="23" t="s">
        <v>2767</v>
      </c>
      <c r="CV75" s="23" t="s">
        <v>2767</v>
      </c>
      <c r="CW75" s="23" t="s">
        <v>1345</v>
      </c>
      <c r="CX75" s="26">
        <v>0.05</v>
      </c>
      <c r="CY75" s="27">
        <v>0.95</v>
      </c>
      <c r="CZ75" s="23" t="s">
        <v>2791</v>
      </c>
      <c r="DA75" s="23" t="s">
        <v>2874</v>
      </c>
      <c r="DB75" s="23" t="s">
        <v>1903</v>
      </c>
      <c r="DC75" s="23" t="s">
        <v>2836</v>
      </c>
      <c r="DD75" s="22" t="s">
        <v>2837</v>
      </c>
      <c r="DE75" s="23" t="s">
        <v>2838</v>
      </c>
      <c r="DF75" s="23" t="s">
        <v>2839</v>
      </c>
      <c r="DG75" s="23" t="s">
        <v>2875</v>
      </c>
      <c r="DH75" s="23" t="s">
        <v>2794</v>
      </c>
      <c r="DI75" s="23" t="s">
        <v>1556</v>
      </c>
      <c r="DJ75" s="23" t="s">
        <v>1556</v>
      </c>
      <c r="DK75" s="23" t="s">
        <v>1556</v>
      </c>
      <c r="DL75" s="23" t="s">
        <v>2795</v>
      </c>
      <c r="DM75" s="23" t="s">
        <v>2852</v>
      </c>
      <c r="DN75" s="23" t="s">
        <v>1345</v>
      </c>
      <c r="DO75" s="23" t="s">
        <v>2796</v>
      </c>
      <c r="DP75" s="23" t="s">
        <v>1349</v>
      </c>
      <c r="DQ75" s="23" t="s">
        <v>1358</v>
      </c>
      <c r="DR75" s="23" t="s">
        <v>1349</v>
      </c>
      <c r="DS75" s="23" t="s">
        <v>2300</v>
      </c>
      <c r="DT75" s="23" t="s">
        <v>2300</v>
      </c>
      <c r="DU75" s="23" t="s">
        <v>2300</v>
      </c>
      <c r="DV75" s="23" t="s">
        <v>1345</v>
      </c>
      <c r="DW75" s="23" t="s">
        <v>2797</v>
      </c>
      <c r="DX75" s="23" t="s">
        <v>1345</v>
      </c>
      <c r="DY75" s="23" t="s">
        <v>1349</v>
      </c>
      <c r="DZ75" s="23" t="s">
        <v>2322</v>
      </c>
      <c r="EA75" s="23" t="s">
        <v>1345</v>
      </c>
      <c r="EB75" s="23" t="s">
        <v>1345</v>
      </c>
      <c r="EC75" s="23" t="s">
        <v>1345</v>
      </c>
      <c r="ED75" s="23" t="s">
        <v>2353</v>
      </c>
      <c r="EE75" s="27">
        <v>0.1</v>
      </c>
      <c r="EF75" s="23" t="s">
        <v>2324</v>
      </c>
      <c r="EG75" s="23" t="s">
        <v>1342</v>
      </c>
      <c r="EH75" s="23" t="s">
        <v>2300</v>
      </c>
      <c r="EI75" s="23" t="s">
        <v>2326</v>
      </c>
      <c r="EJ75" s="22" t="s">
        <v>2853</v>
      </c>
      <c r="EK75" s="23" t="s">
        <v>2419</v>
      </c>
      <c r="EL75" s="23" t="s">
        <v>1389</v>
      </c>
      <c r="EM75" s="23">
        <v>4</v>
      </c>
      <c r="EN75" s="23" t="s">
        <v>2388</v>
      </c>
      <c r="EO75" s="23">
        <v>4</v>
      </c>
      <c r="EP75" s="23" t="s">
        <v>2841</v>
      </c>
      <c r="EQ75" s="23">
        <v>4</v>
      </c>
      <c r="ER75" s="22" t="s">
        <v>2331</v>
      </c>
      <c r="ES75" s="23">
        <v>4</v>
      </c>
      <c r="ET75" s="22" t="s">
        <v>2863</v>
      </c>
      <c r="EU75" s="23">
        <v>4</v>
      </c>
      <c r="EV75" s="22" t="s">
        <v>2508</v>
      </c>
      <c r="EW75" s="23">
        <v>1</v>
      </c>
      <c r="EX75" s="22" t="s">
        <v>2843</v>
      </c>
      <c r="EY75" s="23">
        <v>2</v>
      </c>
      <c r="EZ75" s="22" t="s">
        <v>2424</v>
      </c>
    </row>
    <row r="76" spans="1:157">
      <c r="A76" s="17">
        <v>489</v>
      </c>
      <c r="B76" s="17">
        <v>40</v>
      </c>
      <c r="C76" s="23" t="s">
        <v>1337</v>
      </c>
      <c r="D76" s="33">
        <v>43749</v>
      </c>
      <c r="E76" s="23" t="s">
        <v>3045</v>
      </c>
      <c r="F76" s="22"/>
      <c r="G76" s="22" t="s">
        <v>2893</v>
      </c>
      <c r="H76" s="23" t="s">
        <v>1086</v>
      </c>
      <c r="I76" s="23" t="s">
        <v>1065</v>
      </c>
      <c r="J76" s="23" t="s">
        <v>2893</v>
      </c>
      <c r="K76" s="22" t="s">
        <v>2992</v>
      </c>
      <c r="L76" s="23">
        <v>7</v>
      </c>
      <c r="M76" s="23" t="s">
        <v>1345</v>
      </c>
      <c r="N76" s="23" t="s">
        <v>1343</v>
      </c>
      <c r="O76" s="23" t="s">
        <v>3046</v>
      </c>
      <c r="P76" s="23" t="s">
        <v>3047</v>
      </c>
      <c r="Q76" s="23">
        <v>75499033</v>
      </c>
      <c r="R76" s="23" t="s">
        <v>1345</v>
      </c>
      <c r="S76" s="23">
        <v>3</v>
      </c>
      <c r="T76" s="23" t="s">
        <v>1346</v>
      </c>
      <c r="U76" s="23">
        <v>2011</v>
      </c>
      <c r="V76" s="22" t="s">
        <v>3048</v>
      </c>
      <c r="W76" s="22" t="s">
        <v>3049</v>
      </c>
      <c r="X76" s="23" t="s">
        <v>1342</v>
      </c>
      <c r="Y76" s="22"/>
      <c r="Z76" s="22"/>
      <c r="AA76" s="32">
        <v>36</v>
      </c>
      <c r="AB76" s="23" t="s">
        <v>1342</v>
      </c>
      <c r="AC76" s="23" t="s">
        <v>3050</v>
      </c>
      <c r="AD76" s="32" t="s">
        <v>1345</v>
      </c>
      <c r="AE76" s="23" t="s">
        <v>1345</v>
      </c>
      <c r="AF76" s="23" t="s">
        <v>1342</v>
      </c>
      <c r="AG76" s="23" t="s">
        <v>1342</v>
      </c>
      <c r="AH76" s="23" t="s">
        <v>1342</v>
      </c>
      <c r="AI76" s="23">
        <v>2016</v>
      </c>
      <c r="AJ76" s="23" t="s">
        <v>1342</v>
      </c>
      <c r="AK76" s="22" t="s">
        <v>2897</v>
      </c>
      <c r="AL76" s="23" t="s">
        <v>1351</v>
      </c>
      <c r="AM76" s="23" t="s">
        <v>1351</v>
      </c>
      <c r="AN76" s="23" t="s">
        <v>1351</v>
      </c>
      <c r="AO76" s="23" t="s">
        <v>1351</v>
      </c>
      <c r="AP76" s="23" t="s">
        <v>1351</v>
      </c>
      <c r="AQ76" s="23" t="s">
        <v>1352</v>
      </c>
      <c r="AR76" s="23" t="s">
        <v>1352</v>
      </c>
      <c r="AS76" s="23" t="s">
        <v>1353</v>
      </c>
      <c r="AT76" s="23" t="s">
        <v>1342</v>
      </c>
      <c r="AU76" s="22">
        <v>9600</v>
      </c>
      <c r="AV76" s="22">
        <v>1000</v>
      </c>
      <c r="AW76" s="22" t="s">
        <v>2977</v>
      </c>
      <c r="AX76" s="22" t="s">
        <v>2928</v>
      </c>
      <c r="AY76" s="23" t="s">
        <v>1342</v>
      </c>
      <c r="AZ76" s="22"/>
      <c r="BA76" s="22"/>
      <c r="BB76" s="22" t="s">
        <v>1358</v>
      </c>
      <c r="BC76" s="22"/>
      <c r="BD76" s="22"/>
      <c r="BE76" s="22" t="s">
        <v>3051</v>
      </c>
      <c r="BF76" s="22"/>
      <c r="BG76" s="22"/>
      <c r="BH76" s="22">
        <v>2</v>
      </c>
      <c r="BI76" s="22">
        <v>3</v>
      </c>
      <c r="BJ76" s="22"/>
      <c r="BK76" s="22" t="s">
        <v>1360</v>
      </c>
      <c r="BL76" s="22" t="s">
        <v>1360</v>
      </c>
      <c r="BM76" s="22"/>
      <c r="BN76" s="23" t="s">
        <v>1345</v>
      </c>
      <c r="BO76" s="22" t="s">
        <v>1460</v>
      </c>
      <c r="BP76" s="22" t="s">
        <v>3042</v>
      </c>
      <c r="BQ76" s="23" t="s">
        <v>1383</v>
      </c>
      <c r="BR76" s="23" t="s">
        <v>1342</v>
      </c>
      <c r="BS76" s="27">
        <v>0</v>
      </c>
      <c r="BT76" s="23" t="s">
        <v>1383</v>
      </c>
      <c r="BU76" s="23" t="s">
        <v>3052</v>
      </c>
      <c r="BV76" s="23" t="s">
        <v>1342</v>
      </c>
      <c r="BW76" s="22"/>
      <c r="BX76" s="23" t="s">
        <v>1383</v>
      </c>
      <c r="BY76" s="22" t="s">
        <v>1362</v>
      </c>
      <c r="BZ76" s="22" t="s">
        <v>3030</v>
      </c>
      <c r="CA76" s="22" t="s">
        <v>2992</v>
      </c>
      <c r="CB76" s="22" t="s">
        <v>1364</v>
      </c>
      <c r="CC76" s="22" t="s">
        <v>1364</v>
      </c>
      <c r="CD76" s="22" t="s">
        <v>1364</v>
      </c>
      <c r="CE76" s="22">
        <v>2160</v>
      </c>
      <c r="CF76" s="22">
        <v>1560</v>
      </c>
      <c r="CG76" s="22">
        <v>2400</v>
      </c>
      <c r="CH76" s="22">
        <v>16</v>
      </c>
      <c r="CI76" s="22">
        <v>10</v>
      </c>
      <c r="CJ76" s="22">
        <v>25</v>
      </c>
      <c r="CK76" s="27">
        <v>0.7</v>
      </c>
      <c r="CL76" s="27">
        <v>0.7</v>
      </c>
      <c r="CM76" s="27">
        <v>0.3</v>
      </c>
      <c r="CN76" s="27">
        <v>0.3</v>
      </c>
      <c r="CO76" s="22" t="s">
        <v>2904</v>
      </c>
      <c r="CP76" s="22" t="s">
        <v>1366</v>
      </c>
      <c r="CQ76" s="22"/>
      <c r="CR76" s="22"/>
      <c r="CS76" s="22"/>
      <c r="CT76" s="22"/>
      <c r="CU76" s="22"/>
      <c r="CV76" s="22"/>
      <c r="CW76" s="23" t="s">
        <v>1383</v>
      </c>
      <c r="CX76" s="27">
        <v>0.05</v>
      </c>
      <c r="CY76" s="27">
        <v>0.8</v>
      </c>
      <c r="CZ76" s="22" t="s">
        <v>2905</v>
      </c>
      <c r="DA76" s="22" t="s">
        <v>1372</v>
      </c>
      <c r="DB76" s="22">
        <v>4</v>
      </c>
      <c r="DC76" s="22"/>
      <c r="DD76" s="22" t="s">
        <v>2907</v>
      </c>
      <c r="DE76" s="22" t="s">
        <v>2908</v>
      </c>
      <c r="DF76" s="22" t="s">
        <v>2909</v>
      </c>
      <c r="DG76" s="22"/>
      <c r="DH76" s="22" t="s">
        <v>2910</v>
      </c>
      <c r="DI76" s="22" t="s">
        <v>3053</v>
      </c>
      <c r="DJ76" s="22"/>
      <c r="DK76" s="22"/>
      <c r="DL76" s="22" t="s">
        <v>2912</v>
      </c>
      <c r="DM76" s="22" t="s">
        <v>2913</v>
      </c>
      <c r="DN76" s="23" t="s">
        <v>1345</v>
      </c>
      <c r="DO76" s="22" t="s">
        <v>3032</v>
      </c>
      <c r="DP76" s="23" t="s">
        <v>1342</v>
      </c>
      <c r="DQ76" s="22"/>
      <c r="DR76" s="23" t="s">
        <v>1342</v>
      </c>
      <c r="DS76" s="22"/>
      <c r="DT76" s="22"/>
      <c r="DU76" s="22"/>
      <c r="DV76" s="23" t="s">
        <v>1383</v>
      </c>
      <c r="DW76" s="22" t="s">
        <v>3054</v>
      </c>
      <c r="DX76" s="23" t="s">
        <v>1383</v>
      </c>
      <c r="DY76" s="23" t="s">
        <v>1342</v>
      </c>
      <c r="DZ76" s="22" t="s">
        <v>2915</v>
      </c>
      <c r="EA76" s="23" t="s">
        <v>1383</v>
      </c>
      <c r="EB76" s="23" t="s">
        <v>1383</v>
      </c>
      <c r="EC76" s="23" t="s">
        <v>1383</v>
      </c>
      <c r="ED76" s="22" t="s">
        <v>2948</v>
      </c>
      <c r="EE76" s="27">
        <v>0.3</v>
      </c>
      <c r="EF76" s="22" t="s">
        <v>2931</v>
      </c>
      <c r="EG76" s="23" t="s">
        <v>1342</v>
      </c>
      <c r="EH76" s="22"/>
      <c r="EI76" s="22"/>
      <c r="EJ76" s="22"/>
      <c r="EK76" s="22"/>
      <c r="EL76" s="23" t="s">
        <v>1416</v>
      </c>
      <c r="EM76" s="23">
        <v>3</v>
      </c>
      <c r="EN76" s="22" t="s">
        <v>2917</v>
      </c>
      <c r="EO76" s="23">
        <v>1</v>
      </c>
      <c r="EP76" s="22" t="s">
        <v>2960</v>
      </c>
      <c r="EQ76" s="23">
        <v>2</v>
      </c>
      <c r="ER76" s="22" t="s">
        <v>3055</v>
      </c>
      <c r="ES76" s="23">
        <v>4</v>
      </c>
      <c r="ET76" s="22" t="s">
        <v>3056</v>
      </c>
      <c r="EU76" s="23">
        <v>4</v>
      </c>
      <c r="EV76" s="22" t="s">
        <v>3057</v>
      </c>
      <c r="EW76" s="23">
        <v>2</v>
      </c>
      <c r="EX76" s="22" t="s">
        <v>3044</v>
      </c>
      <c r="EY76" s="23">
        <v>0</v>
      </c>
      <c r="EZ76" s="22" t="s">
        <v>2974</v>
      </c>
    </row>
    <row r="77" spans="1:157">
      <c r="A77" s="17">
        <v>490</v>
      </c>
      <c r="B77" s="17">
        <v>42</v>
      </c>
      <c r="C77" s="23" t="s">
        <v>1337</v>
      </c>
      <c r="D77" s="33">
        <v>43749</v>
      </c>
      <c r="E77" s="23" t="s">
        <v>3067</v>
      </c>
      <c r="F77" s="22"/>
      <c r="G77" s="25" t="s">
        <v>3068</v>
      </c>
      <c r="H77" s="23" t="s">
        <v>1086</v>
      </c>
      <c r="I77" s="23" t="s">
        <v>1065</v>
      </c>
      <c r="J77" s="23" t="s">
        <v>2893</v>
      </c>
      <c r="K77" s="23" t="s">
        <v>2893</v>
      </c>
      <c r="L77" s="23">
        <v>0</v>
      </c>
      <c r="M77" s="23" t="s">
        <v>1342</v>
      </c>
      <c r="N77" s="23" t="s">
        <v>1343</v>
      </c>
      <c r="O77" s="22" t="s">
        <v>3046</v>
      </c>
      <c r="P77" s="22" t="s">
        <v>3069</v>
      </c>
      <c r="Q77" s="23" t="s">
        <v>3070</v>
      </c>
      <c r="R77" s="23" t="s">
        <v>1345</v>
      </c>
      <c r="S77" s="23">
        <v>3</v>
      </c>
      <c r="T77" s="23" t="s">
        <v>1346</v>
      </c>
      <c r="U77" s="23">
        <v>1999</v>
      </c>
      <c r="V77" s="23" t="s">
        <v>2985</v>
      </c>
      <c r="W77" s="23" t="s">
        <v>3071</v>
      </c>
      <c r="X77" s="23" t="s">
        <v>1345</v>
      </c>
      <c r="Y77" s="22">
        <v>2018</v>
      </c>
      <c r="Z77" s="22"/>
      <c r="AA77" s="32">
        <v>50</v>
      </c>
      <c r="AB77" s="23" t="s">
        <v>1342</v>
      </c>
      <c r="AC77" s="22" t="s">
        <v>2926</v>
      </c>
      <c r="AD77" s="32" t="s">
        <v>1345</v>
      </c>
      <c r="AE77" s="23" t="s">
        <v>1345</v>
      </c>
      <c r="AF77" s="23" t="s">
        <v>1342</v>
      </c>
      <c r="AG77" s="23" t="s">
        <v>1342</v>
      </c>
      <c r="AH77" s="23" t="s">
        <v>1342</v>
      </c>
      <c r="AI77" s="23">
        <v>2016</v>
      </c>
      <c r="AJ77" s="23" t="s">
        <v>1342</v>
      </c>
      <c r="AK77" s="23" t="s">
        <v>3072</v>
      </c>
      <c r="AL77" s="23" t="s">
        <v>1351</v>
      </c>
      <c r="AM77" s="23" t="s">
        <v>1351</v>
      </c>
      <c r="AN77" s="23" t="s">
        <v>1351</v>
      </c>
      <c r="AO77" s="23" t="s">
        <v>1351</v>
      </c>
      <c r="AP77" s="23" t="s">
        <v>1351</v>
      </c>
      <c r="AQ77" s="23" t="s">
        <v>1351</v>
      </c>
      <c r="AR77" s="23" t="s">
        <v>1352</v>
      </c>
      <c r="AS77" s="23" t="s">
        <v>1353</v>
      </c>
      <c r="AT77" s="23" t="s">
        <v>1342</v>
      </c>
      <c r="AU77" s="22">
        <v>4800</v>
      </c>
      <c r="AV77" s="22">
        <v>1000</v>
      </c>
      <c r="AW77" s="22" t="s">
        <v>3073</v>
      </c>
      <c r="AX77" s="22" t="s">
        <v>2899</v>
      </c>
      <c r="AY77" s="23" t="s">
        <v>1342</v>
      </c>
      <c r="AZ77" s="22"/>
      <c r="BA77" s="22"/>
      <c r="BB77" s="22" t="s">
        <v>1358</v>
      </c>
      <c r="BC77" s="22"/>
      <c r="BD77" s="22"/>
      <c r="BE77" s="22" t="s">
        <v>3074</v>
      </c>
      <c r="BF77" s="22"/>
      <c r="BG77" s="22"/>
      <c r="BH77" s="22">
        <v>2</v>
      </c>
      <c r="BI77" s="22">
        <v>3</v>
      </c>
      <c r="BJ77" s="22"/>
      <c r="BK77" s="22" t="s">
        <v>1360</v>
      </c>
      <c r="BL77" s="22" t="s">
        <v>1360</v>
      </c>
      <c r="BM77" s="22"/>
      <c r="BN77" s="23" t="s">
        <v>1342</v>
      </c>
      <c r="BO77" s="22"/>
      <c r="BP77" s="22"/>
      <c r="BQ77" s="23" t="s">
        <v>1383</v>
      </c>
      <c r="BR77" s="23" t="s">
        <v>1342</v>
      </c>
      <c r="BS77" s="27">
        <v>0</v>
      </c>
      <c r="BT77" s="23" t="s">
        <v>1383</v>
      </c>
      <c r="BU77" s="23" t="s">
        <v>1342</v>
      </c>
      <c r="BV77" s="22"/>
      <c r="BW77" s="22"/>
      <c r="BX77" s="23" t="s">
        <v>1383</v>
      </c>
      <c r="BY77" s="22" t="s">
        <v>1362</v>
      </c>
      <c r="BZ77" s="22" t="s">
        <v>3075</v>
      </c>
      <c r="CA77" s="22" t="s">
        <v>3076</v>
      </c>
      <c r="CB77" s="22" t="s">
        <v>1364</v>
      </c>
      <c r="CC77" s="22" t="s">
        <v>1364</v>
      </c>
      <c r="CD77" s="22" t="s">
        <v>1364</v>
      </c>
      <c r="CE77" s="22">
        <v>3000</v>
      </c>
      <c r="CF77" s="22">
        <v>2400</v>
      </c>
      <c r="CG77" s="22">
        <v>3120</v>
      </c>
      <c r="CH77" s="22">
        <v>60</v>
      </c>
      <c r="CI77" s="22">
        <v>75</v>
      </c>
      <c r="CJ77" s="22">
        <v>100</v>
      </c>
      <c r="CK77" s="27">
        <v>0.8</v>
      </c>
      <c r="CL77" s="27">
        <v>0.7</v>
      </c>
      <c r="CM77" s="27">
        <v>0.2</v>
      </c>
      <c r="CN77" s="27">
        <v>0.3</v>
      </c>
      <c r="CO77" s="22" t="s">
        <v>2904</v>
      </c>
      <c r="CP77" s="22" t="s">
        <v>1366</v>
      </c>
      <c r="CQ77" s="22" t="s">
        <v>1367</v>
      </c>
      <c r="CR77" s="22">
        <v>10</v>
      </c>
      <c r="CS77" s="22" t="s">
        <v>1818</v>
      </c>
      <c r="CT77" s="22" t="s">
        <v>2943</v>
      </c>
      <c r="CU77" s="22" t="s">
        <v>1383</v>
      </c>
      <c r="CV77" s="22" t="s">
        <v>1370</v>
      </c>
      <c r="CW77" s="23" t="s">
        <v>1383</v>
      </c>
      <c r="CX77" s="27">
        <v>0.15</v>
      </c>
      <c r="CY77" s="27">
        <v>0.8</v>
      </c>
      <c r="CZ77" s="22" t="s">
        <v>2905</v>
      </c>
      <c r="DA77" s="22" t="s">
        <v>1372</v>
      </c>
      <c r="DB77" s="22">
        <v>6</v>
      </c>
      <c r="DC77" s="22"/>
      <c r="DD77" s="22" t="s">
        <v>2907</v>
      </c>
      <c r="DE77" s="22" t="s">
        <v>2908</v>
      </c>
      <c r="DF77" s="22" t="s">
        <v>2909</v>
      </c>
      <c r="DG77" s="22"/>
      <c r="DH77" s="22" t="s">
        <v>2910</v>
      </c>
      <c r="DI77" s="22" t="s">
        <v>3077</v>
      </c>
      <c r="DJ77" s="22"/>
      <c r="DK77" s="22"/>
      <c r="DL77" s="22" t="s">
        <v>2912</v>
      </c>
      <c r="DM77" s="22" t="s">
        <v>2913</v>
      </c>
      <c r="DN77" s="23" t="s">
        <v>1342</v>
      </c>
      <c r="DO77" s="22"/>
      <c r="DP77" s="23" t="s">
        <v>1342</v>
      </c>
      <c r="DQ77" s="22"/>
      <c r="DR77" s="23" t="s">
        <v>1342</v>
      </c>
      <c r="DS77" s="22"/>
      <c r="DT77" s="22"/>
      <c r="DU77" s="22"/>
      <c r="DV77" s="23" t="s">
        <v>1383</v>
      </c>
      <c r="DW77" s="22" t="s">
        <v>2971</v>
      </c>
      <c r="DX77" s="23" t="s">
        <v>1383</v>
      </c>
      <c r="DY77" s="23" t="s">
        <v>1342</v>
      </c>
      <c r="DZ77" s="23" t="s">
        <v>3078</v>
      </c>
      <c r="EA77" s="23" t="s">
        <v>1383</v>
      </c>
      <c r="EB77" s="23" t="s">
        <v>1383</v>
      </c>
      <c r="EC77" s="23" t="s">
        <v>1383</v>
      </c>
      <c r="ED77" s="22" t="s">
        <v>3079</v>
      </c>
      <c r="EE77" s="27">
        <v>0.6</v>
      </c>
      <c r="EF77" s="22" t="s">
        <v>2931</v>
      </c>
      <c r="EG77" s="23" t="s">
        <v>1342</v>
      </c>
      <c r="EH77" s="22"/>
      <c r="EI77" s="22"/>
      <c r="EJ77" s="22"/>
      <c r="EK77" s="22"/>
      <c r="EL77" s="23" t="s">
        <v>1389</v>
      </c>
      <c r="EM77" s="23">
        <v>4</v>
      </c>
      <c r="EN77" s="22" t="s">
        <v>3080</v>
      </c>
      <c r="EO77" s="23">
        <v>3</v>
      </c>
      <c r="EP77" s="22" t="s">
        <v>3081</v>
      </c>
      <c r="EQ77" s="23">
        <v>3</v>
      </c>
      <c r="ER77" s="22" t="s">
        <v>3082</v>
      </c>
      <c r="ES77" s="23">
        <v>3</v>
      </c>
      <c r="ET77" s="22" t="s">
        <v>3083</v>
      </c>
      <c r="EU77" s="23">
        <v>2</v>
      </c>
      <c r="EV77" s="22" t="s">
        <v>3084</v>
      </c>
      <c r="EW77" s="23">
        <v>5</v>
      </c>
      <c r="EX77" s="22" t="s">
        <v>2922</v>
      </c>
      <c r="EY77" s="23">
        <v>1</v>
      </c>
      <c r="EZ77" s="22" t="s">
        <v>1495</v>
      </c>
    </row>
    <row r="78" spans="1:157">
      <c r="A78" s="17">
        <v>491</v>
      </c>
      <c r="B78" s="17">
        <v>34</v>
      </c>
      <c r="C78" s="23" t="s">
        <v>1337</v>
      </c>
      <c r="D78" s="24">
        <v>43745</v>
      </c>
      <c r="E78" s="23" t="s">
        <v>2961</v>
      </c>
      <c r="F78" s="25" t="e">
        <v>#N/A</v>
      </c>
      <c r="G78" s="25" t="s">
        <v>2893</v>
      </c>
      <c r="H78" s="23" t="s">
        <v>1086</v>
      </c>
      <c r="I78" s="23" t="s">
        <v>1065</v>
      </c>
      <c r="J78" s="23" t="s">
        <v>2893</v>
      </c>
      <c r="K78" s="23" t="s">
        <v>2962</v>
      </c>
      <c r="L78" s="23">
        <v>0</v>
      </c>
      <c r="M78" s="23" t="s">
        <v>1342</v>
      </c>
      <c r="N78" s="23" t="s">
        <v>1343</v>
      </c>
      <c r="O78" s="23" t="s">
        <v>2963</v>
      </c>
      <c r="P78" s="23" t="s">
        <v>2964</v>
      </c>
      <c r="Q78" s="23" t="s">
        <v>2965</v>
      </c>
      <c r="R78" s="23" t="s">
        <v>1345</v>
      </c>
      <c r="S78" s="23">
        <v>3</v>
      </c>
      <c r="T78" s="23" t="s">
        <v>1346</v>
      </c>
      <c r="U78" s="23">
        <v>1996</v>
      </c>
      <c r="V78" s="23" t="s">
        <v>2896</v>
      </c>
      <c r="W78" s="22" t="s">
        <v>2966</v>
      </c>
      <c r="X78" s="23" t="s">
        <v>1345</v>
      </c>
      <c r="Y78" s="23">
        <v>2018</v>
      </c>
      <c r="Z78" s="23"/>
      <c r="AA78" s="32">
        <v>60</v>
      </c>
      <c r="AB78" s="23" t="s">
        <v>1342</v>
      </c>
      <c r="AC78" s="23" t="s">
        <v>2926</v>
      </c>
      <c r="AD78" s="32" t="s">
        <v>1383</v>
      </c>
      <c r="AE78" s="23" t="s">
        <v>1342</v>
      </c>
      <c r="AF78" s="23"/>
      <c r="AG78" s="23"/>
      <c r="AH78" s="23" t="s">
        <v>1342</v>
      </c>
      <c r="AI78" s="23"/>
      <c r="AJ78" s="23" t="s">
        <v>1342</v>
      </c>
      <c r="AK78" s="22" t="s">
        <v>2967</v>
      </c>
      <c r="AL78" s="23" t="s">
        <v>1351</v>
      </c>
      <c r="AM78" s="23" t="s">
        <v>1351</v>
      </c>
      <c r="AN78" s="23" t="s">
        <v>1351</v>
      </c>
      <c r="AO78" s="23" t="s">
        <v>1351</v>
      </c>
      <c r="AP78" s="23" t="s">
        <v>1351</v>
      </c>
      <c r="AQ78" s="23" t="s">
        <v>1352</v>
      </c>
      <c r="AR78" s="23" t="s">
        <v>1351</v>
      </c>
      <c r="AS78" s="23" t="s">
        <v>1353</v>
      </c>
      <c r="AT78" s="23" t="s">
        <v>1342</v>
      </c>
      <c r="AU78" s="22">
        <v>7200</v>
      </c>
      <c r="AV78" s="22">
        <v>0</v>
      </c>
      <c r="AW78" s="23" t="s">
        <v>2968</v>
      </c>
      <c r="AX78" s="22" t="s">
        <v>2956</v>
      </c>
      <c r="AY78" s="23" t="s">
        <v>1342</v>
      </c>
      <c r="AZ78" s="22"/>
      <c r="BA78" s="22"/>
      <c r="BB78" s="22" t="s">
        <v>1358</v>
      </c>
      <c r="BC78" s="22" t="s">
        <v>1358</v>
      </c>
      <c r="BD78" s="22" t="s">
        <v>1358</v>
      </c>
      <c r="BE78" s="22" t="s">
        <v>2969</v>
      </c>
      <c r="BF78" s="22"/>
      <c r="BG78" s="22"/>
      <c r="BH78" s="22">
        <v>6</v>
      </c>
      <c r="BI78" s="22">
        <v>7</v>
      </c>
      <c r="BJ78" s="22"/>
      <c r="BK78" s="22" t="s">
        <v>1434</v>
      </c>
      <c r="BL78" s="22" t="s">
        <v>1434</v>
      </c>
      <c r="BM78" s="22"/>
      <c r="BN78" s="23" t="s">
        <v>1342</v>
      </c>
      <c r="BO78" s="22"/>
      <c r="BP78" s="22"/>
      <c r="BQ78" s="23" t="s">
        <v>1383</v>
      </c>
      <c r="BR78" s="23" t="s">
        <v>1342</v>
      </c>
      <c r="BS78" s="27">
        <v>0</v>
      </c>
      <c r="BT78" s="23" t="s">
        <v>1383</v>
      </c>
      <c r="BU78" s="23" t="s">
        <v>2970</v>
      </c>
      <c r="BV78" s="23" t="s">
        <v>1342</v>
      </c>
      <c r="BW78" s="22"/>
      <c r="BX78" s="23" t="s">
        <v>1342</v>
      </c>
      <c r="BY78" s="22"/>
      <c r="BZ78" s="22"/>
      <c r="CA78" s="22"/>
      <c r="CB78" s="22" t="s">
        <v>1364</v>
      </c>
      <c r="CC78" s="22" t="s">
        <v>1364</v>
      </c>
      <c r="CD78" s="22" t="s">
        <v>1364</v>
      </c>
      <c r="CE78" s="22">
        <v>0</v>
      </c>
      <c r="CF78" s="22">
        <v>1440</v>
      </c>
      <c r="CG78" s="22">
        <v>1800</v>
      </c>
      <c r="CH78" s="22">
        <v>0</v>
      </c>
      <c r="CI78" s="22">
        <v>0</v>
      </c>
      <c r="CJ78" s="22">
        <v>0</v>
      </c>
      <c r="CK78" s="27">
        <v>0</v>
      </c>
      <c r="CL78" s="27">
        <v>1</v>
      </c>
      <c r="CM78" s="27">
        <v>0</v>
      </c>
      <c r="CN78" s="27">
        <v>0</v>
      </c>
      <c r="CO78" s="22" t="s">
        <v>3451</v>
      </c>
      <c r="CP78" s="22"/>
      <c r="CQ78" s="22"/>
      <c r="CR78" s="22"/>
      <c r="CS78" s="22"/>
      <c r="CT78" s="22"/>
      <c r="CU78" s="23"/>
      <c r="CV78" s="22"/>
      <c r="CW78" s="23" t="s">
        <v>1383</v>
      </c>
      <c r="CX78" s="22" t="s">
        <v>1411</v>
      </c>
      <c r="CY78" s="22" t="s">
        <v>1411</v>
      </c>
      <c r="CZ78" s="22" t="s">
        <v>1411</v>
      </c>
      <c r="DA78" s="22" t="s">
        <v>1411</v>
      </c>
      <c r="DB78" s="22"/>
      <c r="DC78" s="22"/>
      <c r="DD78" s="22"/>
      <c r="DE78" s="22" t="s">
        <v>2908</v>
      </c>
      <c r="DF78" s="22"/>
      <c r="DG78" s="22"/>
      <c r="DH78" s="22" t="s">
        <v>2910</v>
      </c>
      <c r="DI78" s="22"/>
      <c r="DJ78" s="22"/>
      <c r="DK78" s="22"/>
      <c r="DL78" s="22" t="s">
        <v>2912</v>
      </c>
      <c r="DM78" s="22" t="s">
        <v>2913</v>
      </c>
      <c r="DN78" s="23" t="s">
        <v>1345</v>
      </c>
      <c r="DO78" s="22" t="s">
        <v>2914</v>
      </c>
      <c r="DP78" s="23" t="s">
        <v>1342</v>
      </c>
      <c r="DQ78" s="22"/>
      <c r="DR78" s="23" t="s">
        <v>1342</v>
      </c>
      <c r="DS78" s="22"/>
      <c r="DT78" s="22"/>
      <c r="DU78" s="22"/>
      <c r="DV78" s="23" t="s">
        <v>1342</v>
      </c>
      <c r="DW78" s="22" t="s">
        <v>2971</v>
      </c>
      <c r="DX78" s="23" t="s">
        <v>1383</v>
      </c>
      <c r="DY78" s="23" t="s">
        <v>1342</v>
      </c>
      <c r="DZ78" s="22" t="s">
        <v>1531</v>
      </c>
      <c r="EA78" s="23" t="s">
        <v>1383</v>
      </c>
      <c r="EB78" s="23" t="s">
        <v>1383</v>
      </c>
      <c r="EC78" s="23" t="s">
        <v>1383</v>
      </c>
      <c r="ED78" s="22" t="s">
        <v>2948</v>
      </c>
      <c r="EE78" s="27">
        <v>0.6</v>
      </c>
      <c r="EF78" s="22" t="s">
        <v>2931</v>
      </c>
      <c r="EG78" s="23" t="s">
        <v>1342</v>
      </c>
      <c r="EH78" s="22"/>
      <c r="EI78" s="22"/>
      <c r="EJ78" s="22"/>
      <c r="EK78" s="22"/>
      <c r="EL78" s="23" t="s">
        <v>1389</v>
      </c>
      <c r="EM78" s="23">
        <v>3</v>
      </c>
      <c r="EN78" s="22" t="s">
        <v>2917</v>
      </c>
      <c r="EO78" s="23">
        <v>0</v>
      </c>
      <c r="EP78" s="22" t="s">
        <v>2972</v>
      </c>
      <c r="EQ78" s="23">
        <v>3</v>
      </c>
      <c r="ER78" s="22" t="s">
        <v>2973</v>
      </c>
      <c r="ES78" s="23">
        <v>3</v>
      </c>
      <c r="ET78" s="22" t="s">
        <v>2920</v>
      </c>
      <c r="EU78" s="23">
        <v>4</v>
      </c>
      <c r="EV78" s="22" t="s">
        <v>2921</v>
      </c>
      <c r="EW78" s="23">
        <v>5</v>
      </c>
      <c r="EX78" s="22" t="s">
        <v>2922</v>
      </c>
      <c r="EY78" s="23">
        <v>0</v>
      </c>
      <c r="EZ78" s="22" t="s">
        <v>2974</v>
      </c>
    </row>
    <row r="79" spans="1:157">
      <c r="A79" s="17">
        <v>492</v>
      </c>
      <c r="B79" s="17">
        <v>25</v>
      </c>
      <c r="C79" s="23" t="s">
        <v>2278</v>
      </c>
      <c r="D79" s="24">
        <v>43759</v>
      </c>
      <c r="E79" s="23" t="s">
        <v>2867</v>
      </c>
      <c r="F79" s="25"/>
      <c r="G79" s="25"/>
      <c r="H79" s="23" t="s">
        <v>1086</v>
      </c>
      <c r="I79" s="23" t="s">
        <v>1065</v>
      </c>
      <c r="J79" s="23" t="s">
        <v>2833</v>
      </c>
      <c r="K79" s="23" t="s">
        <v>2834</v>
      </c>
      <c r="L79" s="23">
        <v>46</v>
      </c>
      <c r="M79" s="23" t="s">
        <v>2393</v>
      </c>
      <c r="N79" s="23" t="s">
        <v>1541</v>
      </c>
      <c r="O79" s="23" t="s">
        <v>2868</v>
      </c>
      <c r="P79" s="23" t="s">
        <v>2869</v>
      </c>
      <c r="Q79" s="23">
        <v>77925259</v>
      </c>
      <c r="R79" s="23" t="s">
        <v>1345</v>
      </c>
      <c r="S79" s="23">
        <v>3</v>
      </c>
      <c r="T79" s="23" t="s">
        <v>2285</v>
      </c>
      <c r="U79" s="23">
        <v>2007</v>
      </c>
      <c r="V79" s="23" t="s">
        <v>2787</v>
      </c>
      <c r="W79" s="23" t="s">
        <v>1366</v>
      </c>
      <c r="X79" s="23" t="s">
        <v>1345</v>
      </c>
      <c r="Y79" s="23">
        <v>2018</v>
      </c>
      <c r="Z79" s="23" t="s">
        <v>2288</v>
      </c>
      <c r="AA79" s="32">
        <v>15</v>
      </c>
      <c r="AB79" s="23" t="s">
        <v>1349</v>
      </c>
      <c r="AC79" s="23">
        <v>3</v>
      </c>
      <c r="AD79" s="32" t="s">
        <v>1345</v>
      </c>
      <c r="AE79" s="23" t="s">
        <v>1345</v>
      </c>
      <c r="AF79" s="23" t="s">
        <v>1349</v>
      </c>
      <c r="AG79" s="23" t="s">
        <v>1349</v>
      </c>
      <c r="AH79" s="23" t="s">
        <v>2870</v>
      </c>
      <c r="AI79" s="23">
        <v>2007</v>
      </c>
      <c r="AJ79" s="78" t="s">
        <v>1345</v>
      </c>
      <c r="AK79" s="23" t="s">
        <v>2290</v>
      </c>
      <c r="AL79" s="23" t="s">
        <v>1612</v>
      </c>
      <c r="AM79" s="23" t="s">
        <v>1612</v>
      </c>
      <c r="AN79" s="23" t="s">
        <v>1612</v>
      </c>
      <c r="AO79" s="23" t="s">
        <v>1612</v>
      </c>
      <c r="AP79" s="23" t="s">
        <v>1612</v>
      </c>
      <c r="AQ79" s="23" t="s">
        <v>2291</v>
      </c>
      <c r="AR79" s="23" t="s">
        <v>2291</v>
      </c>
      <c r="AS79" s="23" t="s">
        <v>1802</v>
      </c>
      <c r="AT79" s="23" t="s">
        <v>1358</v>
      </c>
      <c r="AU79" s="23" t="s">
        <v>2593</v>
      </c>
      <c r="AV79" s="22" t="s">
        <v>2789</v>
      </c>
      <c r="AW79" s="23" t="s">
        <v>2860</v>
      </c>
      <c r="AX79" s="23" t="s">
        <v>2847</v>
      </c>
      <c r="AY79" s="23" t="s">
        <v>1349</v>
      </c>
      <c r="AZ79" s="23" t="s">
        <v>2361</v>
      </c>
      <c r="BA79" s="23" t="s">
        <v>2361</v>
      </c>
      <c r="BB79" s="23" t="s">
        <v>2289</v>
      </c>
      <c r="BC79" s="23" t="s">
        <v>2289</v>
      </c>
      <c r="BD79" s="23" t="s">
        <v>2289</v>
      </c>
      <c r="BE79" s="23" t="s">
        <v>2834</v>
      </c>
      <c r="BF79" s="23" t="s">
        <v>2300</v>
      </c>
      <c r="BG79" s="23" t="s">
        <v>2300</v>
      </c>
      <c r="BH79" s="22">
        <v>6</v>
      </c>
      <c r="BI79" s="22">
        <v>6.5</v>
      </c>
      <c r="BJ79" s="22">
        <v>7</v>
      </c>
      <c r="BK79" s="23" t="s">
        <v>2594</v>
      </c>
      <c r="BL79" s="23" t="s">
        <v>2594</v>
      </c>
      <c r="BM79" s="23" t="s">
        <v>2594</v>
      </c>
      <c r="BN79" s="23" t="s">
        <v>1349</v>
      </c>
      <c r="BO79" s="23" t="s">
        <v>2300</v>
      </c>
      <c r="BP79" s="23" t="s">
        <v>2300</v>
      </c>
      <c r="BQ79" s="23" t="s">
        <v>1349</v>
      </c>
      <c r="BR79" s="23" t="s">
        <v>1349</v>
      </c>
      <c r="BS79" s="23" t="s">
        <v>1804</v>
      </c>
      <c r="BT79" s="23" t="s">
        <v>1345</v>
      </c>
      <c r="BU79" s="23" t="s">
        <v>1358</v>
      </c>
      <c r="BV79" s="23" t="s">
        <v>1349</v>
      </c>
      <c r="BW79" s="23" t="s">
        <v>2300</v>
      </c>
      <c r="BX79" s="23" t="s">
        <v>1349</v>
      </c>
      <c r="BY79" s="23" t="s">
        <v>1565</v>
      </c>
      <c r="BZ79" s="23" t="s">
        <v>2300</v>
      </c>
      <c r="CA79" s="23" t="s">
        <v>2300</v>
      </c>
      <c r="CB79" s="23" t="s">
        <v>2289</v>
      </c>
      <c r="CC79" s="23" t="s">
        <v>2289</v>
      </c>
      <c r="CD79" s="23" t="s">
        <v>2289</v>
      </c>
      <c r="CE79" s="23">
        <v>3600</v>
      </c>
      <c r="CF79" s="23">
        <v>4800</v>
      </c>
      <c r="CG79" s="23">
        <v>3600</v>
      </c>
      <c r="CH79" s="23">
        <v>30</v>
      </c>
      <c r="CI79" s="23">
        <v>30</v>
      </c>
      <c r="CJ79" s="23">
        <v>15</v>
      </c>
      <c r="CK79" s="27">
        <v>1</v>
      </c>
      <c r="CL79" s="27">
        <v>1</v>
      </c>
      <c r="CM79" s="27">
        <v>0</v>
      </c>
      <c r="CN79" s="27">
        <v>0</v>
      </c>
      <c r="CO79" s="23" t="s">
        <v>2307</v>
      </c>
      <c r="CP79" s="23" t="s">
        <v>1565</v>
      </c>
      <c r="CQ79" s="23" t="s">
        <v>1565</v>
      </c>
      <c r="CR79" s="23" t="s">
        <v>2767</v>
      </c>
      <c r="CS79" s="23" t="s">
        <v>1706</v>
      </c>
      <c r="CT79" s="23" t="s">
        <v>2767</v>
      </c>
      <c r="CU79" s="23" t="s">
        <v>2767</v>
      </c>
      <c r="CV79" s="23" t="s">
        <v>2767</v>
      </c>
      <c r="CW79" s="23" t="s">
        <v>1345</v>
      </c>
      <c r="CX79" s="26">
        <v>0.05</v>
      </c>
      <c r="CY79" s="27">
        <v>0.95</v>
      </c>
      <c r="CZ79" s="23" t="s">
        <v>2791</v>
      </c>
      <c r="DA79" s="23" t="s">
        <v>2494</v>
      </c>
      <c r="DB79" s="23" t="s">
        <v>1903</v>
      </c>
      <c r="DC79" s="23" t="s">
        <v>2836</v>
      </c>
      <c r="DD79" s="22" t="s">
        <v>2837</v>
      </c>
      <c r="DE79" s="23" t="s">
        <v>2838</v>
      </c>
      <c r="DF79" s="23" t="s">
        <v>2839</v>
      </c>
      <c r="DG79" s="23" t="s">
        <v>2871</v>
      </c>
      <c r="DH79" s="23" t="s">
        <v>2794</v>
      </c>
      <c r="DI79" s="23" t="s">
        <v>1556</v>
      </c>
      <c r="DJ79" s="23" t="s">
        <v>1556</v>
      </c>
      <c r="DK79" s="23" t="s">
        <v>1556</v>
      </c>
      <c r="DL79" s="23" t="s">
        <v>2795</v>
      </c>
      <c r="DM79" s="23" t="s">
        <v>2852</v>
      </c>
      <c r="DN79" s="23" t="s">
        <v>1345</v>
      </c>
      <c r="DO79" s="23" t="s">
        <v>2796</v>
      </c>
      <c r="DP79" s="23" t="s">
        <v>1349</v>
      </c>
      <c r="DQ79" s="23" t="s">
        <v>1358</v>
      </c>
      <c r="DR79" s="23" t="s">
        <v>1349</v>
      </c>
      <c r="DS79" s="23" t="s">
        <v>2300</v>
      </c>
      <c r="DT79" s="23" t="s">
        <v>2300</v>
      </c>
      <c r="DU79" s="23" t="s">
        <v>2300</v>
      </c>
      <c r="DV79" s="23" t="s">
        <v>1345</v>
      </c>
      <c r="DW79" s="23" t="s">
        <v>2797</v>
      </c>
      <c r="DX79" s="23" t="s">
        <v>1345</v>
      </c>
      <c r="DY79" s="23" t="s">
        <v>1349</v>
      </c>
      <c r="DZ79" s="23" t="s">
        <v>2322</v>
      </c>
      <c r="EA79" s="23" t="s">
        <v>1345</v>
      </c>
      <c r="EB79" s="23" t="s">
        <v>1345</v>
      </c>
      <c r="EC79" s="23" t="s">
        <v>1345</v>
      </c>
      <c r="ED79" s="23" t="s">
        <v>2353</v>
      </c>
      <c r="EE79" s="27">
        <v>0.05</v>
      </c>
      <c r="EF79" s="23" t="s">
        <v>2324</v>
      </c>
      <c r="EG79" s="23" t="s">
        <v>1342</v>
      </c>
      <c r="EH79" s="23" t="s">
        <v>2300</v>
      </c>
      <c r="EI79" s="23" t="s">
        <v>2326</v>
      </c>
      <c r="EJ79" s="22" t="s">
        <v>2853</v>
      </c>
      <c r="EK79" s="23" t="s">
        <v>2419</v>
      </c>
      <c r="EL79" s="23" t="s">
        <v>1389</v>
      </c>
      <c r="EM79" s="23">
        <v>3</v>
      </c>
      <c r="EN79" s="23" t="s">
        <v>2388</v>
      </c>
      <c r="EO79" s="23">
        <v>3</v>
      </c>
      <c r="EP79" s="23" t="s">
        <v>2841</v>
      </c>
      <c r="EQ79" s="23">
        <v>4</v>
      </c>
      <c r="ER79" s="22" t="s">
        <v>2331</v>
      </c>
      <c r="ES79" s="23">
        <v>4</v>
      </c>
      <c r="ET79" s="22" t="s">
        <v>2863</v>
      </c>
      <c r="EU79" s="23">
        <v>4</v>
      </c>
      <c r="EV79" s="22" t="s">
        <v>2508</v>
      </c>
      <c r="EW79" s="23">
        <v>1</v>
      </c>
      <c r="EX79" s="22" t="s">
        <v>2843</v>
      </c>
      <c r="EY79" s="23">
        <v>2</v>
      </c>
      <c r="EZ79" s="22" t="s">
        <v>2424</v>
      </c>
    </row>
    <row r="80" spans="1:157">
      <c r="A80" s="17">
        <v>493</v>
      </c>
      <c r="B80" s="17">
        <v>69</v>
      </c>
      <c r="C80" s="23" t="s">
        <v>1795</v>
      </c>
      <c r="D80" s="36">
        <v>43747</v>
      </c>
      <c r="E80" s="23" t="s">
        <v>3534</v>
      </c>
      <c r="F80" s="25" t="s">
        <v>1728</v>
      </c>
      <c r="G80" s="25" t="s">
        <v>56</v>
      </c>
      <c r="H80" s="23" t="s">
        <v>3292</v>
      </c>
      <c r="I80" s="23" t="s">
        <v>3293</v>
      </c>
      <c r="J80" s="23" t="s">
        <v>56</v>
      </c>
      <c r="K80" s="23" t="s">
        <v>1107</v>
      </c>
      <c r="L80" s="23">
        <v>15</v>
      </c>
      <c r="M80" s="23" t="s">
        <v>3468</v>
      </c>
      <c r="N80" s="23" t="s">
        <v>1343</v>
      </c>
      <c r="O80" s="23" t="s">
        <v>3535</v>
      </c>
      <c r="P80" s="23" t="s">
        <v>3536</v>
      </c>
      <c r="Q80" s="23">
        <v>73082109</v>
      </c>
      <c r="R80" s="23" t="s">
        <v>1345</v>
      </c>
      <c r="S80" s="23">
        <v>7</v>
      </c>
      <c r="T80" s="23" t="s">
        <v>1346</v>
      </c>
      <c r="U80" s="23">
        <v>2013</v>
      </c>
      <c r="V80" s="22" t="s">
        <v>3470</v>
      </c>
      <c r="W80" s="22"/>
      <c r="X80" s="23" t="s">
        <v>1345</v>
      </c>
      <c r="Y80" s="23">
        <v>2018</v>
      </c>
      <c r="Z80" s="23"/>
      <c r="AA80" s="32">
        <v>25</v>
      </c>
      <c r="AB80" s="23" t="s">
        <v>1345</v>
      </c>
      <c r="AC80" s="23">
        <v>0</v>
      </c>
      <c r="AD80" s="32" t="s">
        <v>1345</v>
      </c>
      <c r="AE80" s="23" t="s">
        <v>1345</v>
      </c>
      <c r="AF80" s="23" t="s">
        <v>1349</v>
      </c>
      <c r="AG80" s="23" t="s">
        <v>1349</v>
      </c>
      <c r="AH80" s="23" t="s">
        <v>1358</v>
      </c>
      <c r="AI80" s="23">
        <v>2013</v>
      </c>
      <c r="AJ80" s="23" t="s">
        <v>1349</v>
      </c>
      <c r="AK80" s="23" t="s">
        <v>3297</v>
      </c>
      <c r="AL80" s="23" t="s">
        <v>1550</v>
      </c>
      <c r="AM80" s="23" t="s">
        <v>1550</v>
      </c>
      <c r="AN80" s="23" t="s">
        <v>1550</v>
      </c>
      <c r="AO80" s="23" t="s">
        <v>1550</v>
      </c>
      <c r="AP80" s="23" t="s">
        <v>1550</v>
      </c>
      <c r="AQ80" s="23" t="s">
        <v>1352</v>
      </c>
      <c r="AR80" s="23" t="s">
        <v>1352</v>
      </c>
      <c r="AS80" s="23" t="s">
        <v>1550</v>
      </c>
      <c r="AT80" s="23" t="s">
        <v>1804</v>
      </c>
      <c r="AU80" s="22"/>
      <c r="AV80" s="23">
        <v>1000</v>
      </c>
      <c r="AW80" s="23" t="s">
        <v>3424</v>
      </c>
      <c r="AX80" s="23" t="s">
        <v>3425</v>
      </c>
      <c r="AY80" s="23" t="s">
        <v>1345</v>
      </c>
      <c r="AZ80" s="23" t="s">
        <v>3446</v>
      </c>
      <c r="BA80" s="23" t="s">
        <v>3378</v>
      </c>
      <c r="BB80" s="23" t="s">
        <v>1358</v>
      </c>
      <c r="BC80" s="23" t="s">
        <v>1358</v>
      </c>
      <c r="BD80" s="23" t="s">
        <v>1358</v>
      </c>
      <c r="BE80" s="23" t="s">
        <v>3447</v>
      </c>
      <c r="BF80" s="22"/>
      <c r="BG80" s="22"/>
      <c r="BH80" s="23">
        <v>4</v>
      </c>
      <c r="BI80" s="23">
        <v>15</v>
      </c>
      <c r="BJ80" s="23">
        <v>20</v>
      </c>
      <c r="BK80" s="23" t="s">
        <v>3402</v>
      </c>
      <c r="BL80" s="23" t="s">
        <v>3402</v>
      </c>
      <c r="BM80" s="23" t="s">
        <v>3402</v>
      </c>
      <c r="BN80" s="23" t="s">
        <v>1349</v>
      </c>
      <c r="BO80" s="22"/>
      <c r="BP80" s="22"/>
      <c r="BQ80" s="23" t="s">
        <v>1345</v>
      </c>
      <c r="BR80" s="23" t="s">
        <v>1345</v>
      </c>
      <c r="BS80" s="23" t="s">
        <v>1358</v>
      </c>
      <c r="BT80" s="23" t="s">
        <v>1345</v>
      </c>
      <c r="BU80" s="23" t="s">
        <v>3526</v>
      </c>
      <c r="BV80" s="23" t="s">
        <v>1349</v>
      </c>
      <c r="BW80" s="22"/>
      <c r="BX80" s="23" t="s">
        <v>1345</v>
      </c>
      <c r="BY80" s="23" t="s">
        <v>1362</v>
      </c>
      <c r="BZ80" s="23" t="s">
        <v>3527</v>
      </c>
      <c r="CA80" s="23" t="s">
        <v>1107</v>
      </c>
      <c r="CB80" s="23" t="s">
        <v>1935</v>
      </c>
      <c r="CC80" s="23" t="s">
        <v>1935</v>
      </c>
      <c r="CD80" s="23" t="s">
        <v>1935</v>
      </c>
      <c r="CE80" s="23">
        <v>900</v>
      </c>
      <c r="CF80" s="23">
        <v>1600</v>
      </c>
      <c r="CG80" s="23" t="s">
        <v>3528</v>
      </c>
      <c r="CH80" s="23">
        <v>200</v>
      </c>
      <c r="CI80" s="23">
        <v>180</v>
      </c>
      <c r="CJ80" s="23" t="s">
        <v>3309</v>
      </c>
      <c r="CK80" s="26">
        <v>0.8</v>
      </c>
      <c r="CL80" s="26">
        <v>0.8</v>
      </c>
      <c r="CM80" s="26">
        <v>0.2</v>
      </c>
      <c r="CN80" s="26">
        <v>0.2</v>
      </c>
      <c r="CO80" s="23" t="s">
        <v>1564</v>
      </c>
      <c r="CP80" s="23" t="s">
        <v>3529</v>
      </c>
      <c r="CQ80" s="23" t="s">
        <v>3482</v>
      </c>
      <c r="CR80" s="23">
        <v>4</v>
      </c>
      <c r="CS80" s="23" t="s">
        <v>2230</v>
      </c>
      <c r="CT80" s="23" t="s">
        <v>3484</v>
      </c>
      <c r="CU80" s="23" t="s">
        <v>1349</v>
      </c>
      <c r="CV80" s="23" t="s">
        <v>3485</v>
      </c>
      <c r="CW80" s="23" t="s">
        <v>1349</v>
      </c>
      <c r="CX80" s="22"/>
      <c r="CY80" s="22"/>
      <c r="CZ80" s="23" t="s">
        <v>3486</v>
      </c>
      <c r="DA80" s="22" t="s">
        <v>3350</v>
      </c>
      <c r="DB80" s="22"/>
      <c r="DC80" s="22" t="s">
        <v>3487</v>
      </c>
      <c r="DD80" s="22" t="s">
        <v>3488</v>
      </c>
      <c r="DE80" s="22" t="s">
        <v>3489</v>
      </c>
      <c r="DF80" s="22" t="s">
        <v>3490</v>
      </c>
      <c r="DG80" s="22" t="s">
        <v>3491</v>
      </c>
      <c r="DH80" s="22" t="s">
        <v>3492</v>
      </c>
      <c r="DI80" s="22"/>
      <c r="DJ80" s="22"/>
      <c r="DK80" s="22"/>
      <c r="DL80" s="22"/>
      <c r="DM80" s="22" t="s">
        <v>3530</v>
      </c>
      <c r="DN80" s="23" t="s">
        <v>1349</v>
      </c>
      <c r="DO80" s="22" t="s">
        <v>1358</v>
      </c>
      <c r="DP80" s="23" t="s">
        <v>1349</v>
      </c>
      <c r="DQ80" s="22" t="s">
        <v>1358</v>
      </c>
      <c r="DR80" s="23" t="s">
        <v>3531</v>
      </c>
      <c r="DS80" s="22" t="s">
        <v>3495</v>
      </c>
      <c r="DT80" s="22"/>
      <c r="DU80" s="22"/>
      <c r="DV80" s="23" t="s">
        <v>1345</v>
      </c>
      <c r="DW80" s="23" t="s">
        <v>3498</v>
      </c>
      <c r="DX80" s="23" t="s">
        <v>1345</v>
      </c>
      <c r="DY80" s="23" t="s">
        <v>1349</v>
      </c>
      <c r="DZ80" s="23" t="s">
        <v>3499</v>
      </c>
      <c r="EA80" s="23" t="s">
        <v>1345</v>
      </c>
      <c r="EB80" s="23" t="s">
        <v>1345</v>
      </c>
      <c r="EC80" s="23" t="s">
        <v>1345</v>
      </c>
      <c r="ED80" s="23" t="s">
        <v>3500</v>
      </c>
      <c r="EE80" s="27">
        <v>0.5</v>
      </c>
      <c r="EF80" s="23" t="s">
        <v>1948</v>
      </c>
      <c r="EG80" s="23" t="s">
        <v>1349</v>
      </c>
      <c r="EH80" s="22"/>
      <c r="EI80" s="23" t="s">
        <v>3502</v>
      </c>
      <c r="EJ80" s="23" t="s">
        <v>3503</v>
      </c>
      <c r="EK80" s="23" t="s">
        <v>3504</v>
      </c>
      <c r="EL80" s="23" t="s">
        <v>1389</v>
      </c>
      <c r="EM80" s="23">
        <v>4</v>
      </c>
      <c r="EN80" s="23" t="s">
        <v>3532</v>
      </c>
      <c r="EO80" s="23">
        <v>5</v>
      </c>
      <c r="EP80" s="23" t="s">
        <v>3533</v>
      </c>
      <c r="EQ80" s="23">
        <v>3</v>
      </c>
      <c r="ER80" s="22" t="s">
        <v>3334</v>
      </c>
      <c r="ES80" s="23">
        <v>3</v>
      </c>
      <c r="ET80" s="23" t="s">
        <v>3335</v>
      </c>
      <c r="EU80" s="23">
        <v>2</v>
      </c>
      <c r="EV80" s="22" t="s">
        <v>3509</v>
      </c>
      <c r="EW80" s="23">
        <v>2</v>
      </c>
      <c r="EX80" s="22" t="s">
        <v>3510</v>
      </c>
      <c r="EY80" s="23">
        <v>1</v>
      </c>
      <c r="EZ80" s="22" t="s">
        <v>3338</v>
      </c>
    </row>
    <row r="81" spans="1:157">
      <c r="A81" s="17">
        <v>494</v>
      </c>
      <c r="B81" s="17">
        <v>18</v>
      </c>
      <c r="C81" s="23" t="s">
        <v>2278</v>
      </c>
      <c r="D81" s="24">
        <v>43753</v>
      </c>
      <c r="E81" s="23" t="s">
        <v>2822</v>
      </c>
      <c r="F81" s="25" t="e">
        <v>#N/A</v>
      </c>
      <c r="G81" s="25" t="e">
        <v>#N/A</v>
      </c>
      <c r="H81" s="23" t="s">
        <v>1086</v>
      </c>
      <c r="I81" s="23" t="s">
        <v>1065</v>
      </c>
      <c r="J81" s="23" t="s">
        <v>184</v>
      </c>
      <c r="K81" s="23" t="s">
        <v>2823</v>
      </c>
      <c r="L81" s="23">
        <v>1</v>
      </c>
      <c r="M81" s="23" t="s">
        <v>2281</v>
      </c>
      <c r="N81" s="23" t="s">
        <v>1541</v>
      </c>
      <c r="O81" s="23" t="s">
        <v>2824</v>
      </c>
      <c r="P81" s="23" t="s">
        <v>566</v>
      </c>
      <c r="Q81" s="23" t="s">
        <v>2767</v>
      </c>
      <c r="R81" s="23" t="s">
        <v>1345</v>
      </c>
      <c r="S81" s="23">
        <v>4</v>
      </c>
      <c r="T81" s="23" t="s">
        <v>2285</v>
      </c>
      <c r="U81" s="23">
        <v>2015</v>
      </c>
      <c r="V81" s="23" t="s">
        <v>2825</v>
      </c>
      <c r="W81" s="23" t="s">
        <v>2359</v>
      </c>
      <c r="X81" s="23" t="s">
        <v>1345</v>
      </c>
      <c r="Y81" s="23">
        <v>2018</v>
      </c>
      <c r="Z81" s="23" t="s">
        <v>2288</v>
      </c>
      <c r="AA81" s="32">
        <v>48</v>
      </c>
      <c r="AB81" s="23" t="s">
        <v>1349</v>
      </c>
      <c r="AC81" s="23">
        <v>3</v>
      </c>
      <c r="AD81" s="32" t="s">
        <v>1345</v>
      </c>
      <c r="AE81" s="23" t="s">
        <v>1345</v>
      </c>
      <c r="AF81" s="23" t="s">
        <v>1349</v>
      </c>
      <c r="AG81" s="23" t="s">
        <v>1349</v>
      </c>
      <c r="AH81" s="23" t="s">
        <v>2428</v>
      </c>
      <c r="AI81" s="23">
        <v>2015</v>
      </c>
      <c r="AJ81" s="78" t="s">
        <v>1345</v>
      </c>
      <c r="AK81" s="23" t="s">
        <v>2290</v>
      </c>
      <c r="AL81" s="23" t="s">
        <v>1612</v>
      </c>
      <c r="AM81" s="23" t="s">
        <v>1612</v>
      </c>
      <c r="AN81" s="23" t="s">
        <v>1612</v>
      </c>
      <c r="AO81" s="23" t="s">
        <v>1612</v>
      </c>
      <c r="AP81" s="23" t="s">
        <v>1612</v>
      </c>
      <c r="AQ81" s="23" t="s">
        <v>2291</v>
      </c>
      <c r="AR81" s="23" t="s">
        <v>2291</v>
      </c>
      <c r="AS81" s="23" t="s">
        <v>1802</v>
      </c>
      <c r="AT81" s="23" t="s">
        <v>1358</v>
      </c>
      <c r="AU81" s="23" t="s">
        <v>2826</v>
      </c>
      <c r="AV81" s="23">
        <v>5000</v>
      </c>
      <c r="AW81" s="23" t="s">
        <v>2761</v>
      </c>
      <c r="AX81" s="23" t="s">
        <v>2430</v>
      </c>
      <c r="AY81" s="23" t="s">
        <v>1349</v>
      </c>
      <c r="AZ81" s="23" t="s">
        <v>2361</v>
      </c>
      <c r="BA81" s="23" t="s">
        <v>2361</v>
      </c>
      <c r="BB81" s="23" t="s">
        <v>2762</v>
      </c>
      <c r="BC81" s="23" t="s">
        <v>2289</v>
      </c>
      <c r="BD81" s="23" t="s">
        <v>2289</v>
      </c>
      <c r="BE81" s="23" t="s">
        <v>2823</v>
      </c>
      <c r="BF81" s="23" t="s">
        <v>2300</v>
      </c>
      <c r="BG81" s="23" t="s">
        <v>2300</v>
      </c>
      <c r="BH81" s="23">
        <v>5</v>
      </c>
      <c r="BI81" s="23">
        <v>5</v>
      </c>
      <c r="BJ81" s="23">
        <v>5</v>
      </c>
      <c r="BK81" s="23" t="s">
        <v>2594</v>
      </c>
      <c r="BL81" s="23" t="s">
        <v>2594</v>
      </c>
      <c r="BM81" s="23" t="s">
        <v>2594</v>
      </c>
      <c r="BN81" s="23" t="s">
        <v>1349</v>
      </c>
      <c r="BO81" s="23" t="s">
        <v>2300</v>
      </c>
      <c r="BP81" s="23" t="s">
        <v>2300</v>
      </c>
      <c r="BQ81" s="23" t="s">
        <v>1349</v>
      </c>
      <c r="BR81" s="23" t="s">
        <v>1349</v>
      </c>
      <c r="BS81" s="23" t="s">
        <v>1804</v>
      </c>
      <c r="BT81" s="23" t="s">
        <v>1345</v>
      </c>
      <c r="BU81" s="23" t="s">
        <v>2464</v>
      </c>
      <c r="BV81" s="23" t="s">
        <v>1349</v>
      </c>
      <c r="BW81" s="23" t="s">
        <v>2300</v>
      </c>
      <c r="BX81" s="23" t="s">
        <v>1349</v>
      </c>
      <c r="BY81" s="23" t="s">
        <v>1366</v>
      </c>
      <c r="BZ81" s="23" t="s">
        <v>2300</v>
      </c>
      <c r="CA81" s="23" t="s">
        <v>2300</v>
      </c>
      <c r="CB81" s="23" t="s">
        <v>2289</v>
      </c>
      <c r="CC81" s="23" t="s">
        <v>2289</v>
      </c>
      <c r="CD81" s="23" t="s">
        <v>2289</v>
      </c>
      <c r="CE81" s="23">
        <v>9600</v>
      </c>
      <c r="CF81" s="23">
        <v>11040</v>
      </c>
      <c r="CG81" s="23">
        <v>11040</v>
      </c>
      <c r="CH81" s="23">
        <v>60</v>
      </c>
      <c r="CI81" s="23">
        <v>60</v>
      </c>
      <c r="CJ81" s="23">
        <v>60</v>
      </c>
      <c r="CK81" s="27">
        <v>1</v>
      </c>
      <c r="CL81" s="27">
        <v>1</v>
      </c>
      <c r="CM81" s="27">
        <v>0</v>
      </c>
      <c r="CN81" s="27">
        <v>0</v>
      </c>
      <c r="CO81" s="23" t="s">
        <v>2307</v>
      </c>
      <c r="CP81" s="23" t="s">
        <v>2827</v>
      </c>
      <c r="CQ81" s="23" t="s">
        <v>1565</v>
      </c>
      <c r="CR81" s="23" t="s">
        <v>2767</v>
      </c>
      <c r="CS81" s="23" t="s">
        <v>1706</v>
      </c>
      <c r="CT81" s="23" t="s">
        <v>2828</v>
      </c>
      <c r="CU81" s="23" t="s">
        <v>1345</v>
      </c>
      <c r="CV81" s="23" t="s">
        <v>2407</v>
      </c>
      <c r="CW81" s="23" t="s">
        <v>1349</v>
      </c>
      <c r="CX81" s="26" t="s">
        <v>2289</v>
      </c>
      <c r="CY81" s="23" t="s">
        <v>2289</v>
      </c>
      <c r="CZ81" s="23" t="s">
        <v>2311</v>
      </c>
      <c r="DA81" s="23" t="s">
        <v>1358</v>
      </c>
      <c r="DB81" s="23" t="s">
        <v>1903</v>
      </c>
      <c r="DC81" s="23" t="s">
        <v>2312</v>
      </c>
      <c r="DD81" s="22" t="s">
        <v>2313</v>
      </c>
      <c r="DE81" s="23" t="s">
        <v>2314</v>
      </c>
      <c r="DF81" s="23" t="s">
        <v>2315</v>
      </c>
      <c r="DG81" s="23" t="s">
        <v>2316</v>
      </c>
      <c r="DH81" s="23" t="s">
        <v>2794</v>
      </c>
      <c r="DI81" s="23" t="s">
        <v>1556</v>
      </c>
      <c r="DJ81" s="23" t="s">
        <v>1556</v>
      </c>
      <c r="DK81" s="23" t="s">
        <v>1556</v>
      </c>
      <c r="DL81" s="23" t="s">
        <v>2795</v>
      </c>
      <c r="DM81" s="23" t="s">
        <v>2770</v>
      </c>
      <c r="DN81" s="23" t="s">
        <v>1345</v>
      </c>
      <c r="DO81" s="23" t="s">
        <v>2796</v>
      </c>
      <c r="DP81" s="23" t="s">
        <v>1349</v>
      </c>
      <c r="DQ81" s="23" t="s">
        <v>1358</v>
      </c>
      <c r="DR81" s="23" t="s">
        <v>1349</v>
      </c>
      <c r="DS81" s="23" t="s">
        <v>2300</v>
      </c>
      <c r="DT81" s="23" t="s">
        <v>2300</v>
      </c>
      <c r="DU81" s="23" t="s">
        <v>2300</v>
      </c>
      <c r="DV81" s="23" t="s">
        <v>1345</v>
      </c>
      <c r="DW81" s="23" t="s">
        <v>2797</v>
      </c>
      <c r="DX81" s="23" t="s">
        <v>1345</v>
      </c>
      <c r="DY81" s="23" t="s">
        <v>1349</v>
      </c>
      <c r="DZ81" s="23" t="s">
        <v>2322</v>
      </c>
      <c r="EA81" s="23" t="s">
        <v>1345</v>
      </c>
      <c r="EB81" s="23" t="s">
        <v>1345</v>
      </c>
      <c r="EC81" s="23" t="s">
        <v>1345</v>
      </c>
      <c r="ED81" s="23" t="s">
        <v>2323</v>
      </c>
      <c r="EE81" s="27">
        <v>0.4</v>
      </c>
      <c r="EF81" s="23" t="s">
        <v>2324</v>
      </c>
      <c r="EG81" s="23" t="s">
        <v>1342</v>
      </c>
      <c r="EH81" s="23" t="s">
        <v>2300</v>
      </c>
      <c r="EI81" s="23" t="s">
        <v>2326</v>
      </c>
      <c r="EJ81" s="22" t="s">
        <v>2327</v>
      </c>
      <c r="EK81" s="23" t="s">
        <v>2419</v>
      </c>
      <c r="EL81" s="23" t="s">
        <v>1389</v>
      </c>
      <c r="EM81" s="23">
        <v>5</v>
      </c>
      <c r="EN81" s="23" t="s">
        <v>2478</v>
      </c>
      <c r="EO81" s="23">
        <v>3</v>
      </c>
      <c r="EP81" s="23" t="s">
        <v>2829</v>
      </c>
      <c r="EQ81" s="23">
        <v>4</v>
      </c>
      <c r="ER81" s="22" t="s">
        <v>2331</v>
      </c>
      <c r="ES81" s="23">
        <v>4</v>
      </c>
      <c r="ET81" s="23" t="s">
        <v>2830</v>
      </c>
      <c r="EU81" s="23">
        <v>4</v>
      </c>
      <c r="EV81" s="22" t="s">
        <v>2508</v>
      </c>
      <c r="EW81" s="23">
        <v>5</v>
      </c>
      <c r="EX81" s="22" t="s">
        <v>2831</v>
      </c>
      <c r="EY81" s="23">
        <v>2</v>
      </c>
      <c r="EZ81" s="22" t="s">
        <v>2424</v>
      </c>
      <c r="FA81" s="22"/>
    </row>
    <row r="82" spans="1:157">
      <c r="A82" s="17">
        <v>495</v>
      </c>
      <c r="B82" s="17">
        <v>72</v>
      </c>
      <c r="C82" s="38" t="s">
        <v>1795</v>
      </c>
      <c r="D82" s="39">
        <v>43752</v>
      </c>
      <c r="E82" s="38" t="s">
        <v>3591</v>
      </c>
      <c r="F82" s="40" t="s">
        <v>1728</v>
      </c>
      <c r="G82" s="40" t="s">
        <v>507</v>
      </c>
      <c r="H82" s="38" t="s">
        <v>3292</v>
      </c>
      <c r="I82" s="38" t="s">
        <v>3293</v>
      </c>
      <c r="J82" s="38" t="s">
        <v>507</v>
      </c>
      <c r="K82" s="38" t="s">
        <v>3198</v>
      </c>
      <c r="L82" s="41">
        <v>1</v>
      </c>
      <c r="M82" s="38" t="s">
        <v>2181</v>
      </c>
      <c r="N82" s="38" t="s">
        <v>1343</v>
      </c>
      <c r="O82" s="38" t="s">
        <v>3592</v>
      </c>
      <c r="P82" s="38" t="s">
        <v>2723</v>
      </c>
      <c r="Q82" s="38">
        <v>77889638</v>
      </c>
      <c r="R82" s="38" t="s">
        <v>1345</v>
      </c>
      <c r="S82" s="38">
        <v>7</v>
      </c>
      <c r="T82" s="38" t="s">
        <v>1346</v>
      </c>
      <c r="U82" s="38">
        <v>1995</v>
      </c>
      <c r="V82" s="38" t="s">
        <v>3593</v>
      </c>
      <c r="W82" s="38" t="s">
        <v>3594</v>
      </c>
      <c r="X82" s="38" t="s">
        <v>1349</v>
      </c>
      <c r="Y82" s="38"/>
      <c r="Z82" s="38"/>
      <c r="AA82" s="38">
        <v>30</v>
      </c>
      <c r="AB82" s="38" t="s">
        <v>1345</v>
      </c>
      <c r="AC82" s="38">
        <v>1</v>
      </c>
      <c r="AD82" s="38" t="s">
        <v>1345</v>
      </c>
      <c r="AE82" s="38" t="s">
        <v>1345</v>
      </c>
      <c r="AF82" s="38" t="s">
        <v>1349</v>
      </c>
      <c r="AG82" s="38" t="s">
        <v>1349</v>
      </c>
      <c r="AH82" s="38" t="s">
        <v>1358</v>
      </c>
      <c r="AI82" s="38" t="s">
        <v>3595</v>
      </c>
      <c r="AJ82" s="38" t="s">
        <v>1349</v>
      </c>
      <c r="AK82" s="38" t="s">
        <v>3297</v>
      </c>
      <c r="AL82" s="38" t="s">
        <v>1550</v>
      </c>
      <c r="AM82" s="38" t="s">
        <v>1550</v>
      </c>
      <c r="AN82" s="38" t="s">
        <v>1550</v>
      </c>
      <c r="AO82" s="38" t="s">
        <v>1550</v>
      </c>
      <c r="AP82" s="38" t="s">
        <v>1550</v>
      </c>
      <c r="AQ82" s="38" t="s">
        <v>1352</v>
      </c>
      <c r="AR82" s="38" t="s">
        <v>1352</v>
      </c>
      <c r="AS82" s="38" t="s">
        <v>1550</v>
      </c>
      <c r="AT82" s="38" t="s">
        <v>1804</v>
      </c>
      <c r="AU82" s="42"/>
      <c r="AV82" s="38">
        <v>1000</v>
      </c>
      <c r="AW82" s="38" t="s">
        <v>3596</v>
      </c>
      <c r="AX82" s="38" t="s">
        <v>3597</v>
      </c>
      <c r="AY82" s="38" t="s">
        <v>1349</v>
      </c>
      <c r="AZ82" s="42"/>
      <c r="BA82" s="42"/>
      <c r="BB82" s="38" t="s">
        <v>1358</v>
      </c>
      <c r="BC82" s="38" t="s">
        <v>1358</v>
      </c>
      <c r="BD82" s="38" t="s">
        <v>1358</v>
      </c>
      <c r="BE82" s="38" t="s">
        <v>1810</v>
      </c>
      <c r="BF82" s="42"/>
      <c r="BG82" s="42"/>
      <c r="BH82" s="38">
        <v>7</v>
      </c>
      <c r="BI82" s="38">
        <v>7</v>
      </c>
      <c r="BJ82" s="38">
        <v>10</v>
      </c>
      <c r="BK82" s="38" t="s">
        <v>3598</v>
      </c>
      <c r="BL82" s="38" t="s">
        <v>3598</v>
      </c>
      <c r="BM82" s="38" t="s">
        <v>3598</v>
      </c>
      <c r="BN82" s="38" t="s">
        <v>1349</v>
      </c>
      <c r="BO82" s="42"/>
      <c r="BP82" s="42"/>
      <c r="BQ82" s="38" t="s">
        <v>1345</v>
      </c>
      <c r="BR82" s="38" t="s">
        <v>1345</v>
      </c>
      <c r="BS82" s="38" t="s">
        <v>1358</v>
      </c>
      <c r="BT82" s="38" t="s">
        <v>1345</v>
      </c>
      <c r="BU82" s="38" t="s">
        <v>3599</v>
      </c>
      <c r="BV82" s="38" t="s">
        <v>1349</v>
      </c>
      <c r="BW82" s="42"/>
      <c r="BX82" s="38" t="s">
        <v>1345</v>
      </c>
      <c r="BY82" s="38" t="s">
        <v>1362</v>
      </c>
      <c r="BZ82" s="38" t="s">
        <v>3600</v>
      </c>
      <c r="CA82" s="38" t="s">
        <v>3601</v>
      </c>
      <c r="CB82" s="38" t="s">
        <v>1935</v>
      </c>
      <c r="CC82" s="38" t="s">
        <v>1935</v>
      </c>
      <c r="CD82" s="38" t="s">
        <v>1935</v>
      </c>
      <c r="CE82" s="38" t="s">
        <v>1904</v>
      </c>
      <c r="CF82" s="38">
        <v>2000</v>
      </c>
      <c r="CG82" s="38">
        <v>3000</v>
      </c>
      <c r="CH82" s="38" t="s">
        <v>3602</v>
      </c>
      <c r="CI82" s="42"/>
      <c r="CJ82" s="42"/>
      <c r="CK82" s="42" t="s">
        <v>1904</v>
      </c>
      <c r="CL82" s="43">
        <v>0.95</v>
      </c>
      <c r="CM82" s="42" t="s">
        <v>1904</v>
      </c>
      <c r="CN82" s="43">
        <v>0.05</v>
      </c>
      <c r="CO82" s="38" t="s">
        <v>1365</v>
      </c>
      <c r="CP82" s="42" t="s">
        <v>1366</v>
      </c>
      <c r="CQ82" s="42" t="s">
        <v>1367</v>
      </c>
      <c r="CR82" s="42">
        <v>5</v>
      </c>
      <c r="CS82" s="42" t="s">
        <v>1741</v>
      </c>
      <c r="CT82" s="42" t="s">
        <v>1904</v>
      </c>
      <c r="CU82" s="38" t="s">
        <v>1349</v>
      </c>
      <c r="CV82" s="42" t="s">
        <v>3348</v>
      </c>
      <c r="CW82" s="38" t="s">
        <v>1345</v>
      </c>
      <c r="CX82" s="42" t="s">
        <v>3603</v>
      </c>
      <c r="CY82" s="42"/>
      <c r="CZ82" s="42" t="s">
        <v>3568</v>
      </c>
      <c r="DA82" s="42" t="s">
        <v>1822</v>
      </c>
      <c r="DB82" s="42" t="s">
        <v>3569</v>
      </c>
      <c r="DC82" s="42" t="s">
        <v>2144</v>
      </c>
      <c r="DD82" s="42" t="s">
        <v>3604</v>
      </c>
      <c r="DE82" s="42" t="s">
        <v>3605</v>
      </c>
      <c r="DF82" s="42" t="s">
        <v>3409</v>
      </c>
      <c r="DG82" s="42" t="s">
        <v>3606</v>
      </c>
      <c r="DH82" s="42" t="s">
        <v>3573</v>
      </c>
      <c r="DI82" s="42" t="s">
        <v>3574</v>
      </c>
      <c r="DJ82" s="42" t="s">
        <v>3575</v>
      </c>
      <c r="DK82" s="42" t="s">
        <v>3576</v>
      </c>
      <c r="DL82" s="42" t="s">
        <v>3607</v>
      </c>
      <c r="DM82" s="42" t="s">
        <v>3577</v>
      </c>
      <c r="DN82" s="38" t="s">
        <v>1349</v>
      </c>
      <c r="DO82" s="42" t="s">
        <v>1358</v>
      </c>
      <c r="DP82" s="38" t="s">
        <v>1349</v>
      </c>
      <c r="DQ82" s="42" t="s">
        <v>1358</v>
      </c>
      <c r="DR82" s="38" t="s">
        <v>1349</v>
      </c>
      <c r="DS82" s="42"/>
      <c r="DT82" s="42"/>
      <c r="DU82" s="42"/>
      <c r="DV82" s="38" t="s">
        <v>1345</v>
      </c>
      <c r="DW82" s="42" t="s">
        <v>3608</v>
      </c>
      <c r="DX82" s="38" t="s">
        <v>1345</v>
      </c>
      <c r="DY82" s="38" t="s">
        <v>1349</v>
      </c>
      <c r="DZ82" s="38" t="s">
        <v>3609</v>
      </c>
      <c r="EA82" s="38" t="s">
        <v>1345</v>
      </c>
      <c r="EB82" s="38" t="s">
        <v>1345</v>
      </c>
      <c r="EC82" s="38" t="s">
        <v>1345</v>
      </c>
      <c r="ED82" s="38" t="s">
        <v>3610</v>
      </c>
      <c r="EE82" s="43">
        <v>0.3</v>
      </c>
      <c r="EF82" s="38" t="s">
        <v>3580</v>
      </c>
      <c r="EG82" s="38" t="s">
        <v>1349</v>
      </c>
      <c r="EH82" s="42"/>
      <c r="EI82" s="38" t="s">
        <v>3611</v>
      </c>
      <c r="EJ82" s="38" t="s">
        <v>3612</v>
      </c>
      <c r="EK82" s="38" t="s">
        <v>3613</v>
      </c>
      <c r="EL82" s="38" t="s">
        <v>1389</v>
      </c>
      <c r="EM82" s="38">
        <v>3</v>
      </c>
      <c r="EN82" s="38" t="s">
        <v>3614</v>
      </c>
      <c r="EO82" s="38">
        <v>2</v>
      </c>
      <c r="EP82" s="38" t="s">
        <v>3615</v>
      </c>
      <c r="EQ82" s="38">
        <v>3</v>
      </c>
      <c r="ER82" s="42" t="s">
        <v>3586</v>
      </c>
      <c r="ES82" s="38">
        <v>3</v>
      </c>
      <c r="ET82" s="38" t="s">
        <v>3587</v>
      </c>
      <c r="EU82" s="38">
        <v>2</v>
      </c>
      <c r="EV82" s="42" t="s">
        <v>3588</v>
      </c>
      <c r="EW82" s="38">
        <v>3</v>
      </c>
      <c r="EX82" s="42" t="s">
        <v>3589</v>
      </c>
      <c r="EY82" s="38">
        <v>1</v>
      </c>
      <c r="EZ82" s="42" t="s">
        <v>3590</v>
      </c>
      <c r="FA82" s="22"/>
    </row>
    <row r="83" spans="1:157">
      <c r="A83" s="17">
        <v>496</v>
      </c>
      <c r="B83" s="17">
        <v>28</v>
      </c>
      <c r="C83" s="23" t="s">
        <v>2278</v>
      </c>
      <c r="D83" s="24">
        <v>43760</v>
      </c>
      <c r="E83" s="23" t="s">
        <v>2879</v>
      </c>
      <c r="F83" s="25"/>
      <c r="G83" s="25"/>
      <c r="H83" s="23" t="s">
        <v>1086</v>
      </c>
      <c r="I83" s="23" t="s">
        <v>1065</v>
      </c>
      <c r="J83" s="23" t="s">
        <v>2833</v>
      </c>
      <c r="K83" s="23" t="s">
        <v>2880</v>
      </c>
      <c r="L83" s="23">
        <v>35</v>
      </c>
      <c r="M83" s="23" t="s">
        <v>2393</v>
      </c>
      <c r="N83" s="23" t="s">
        <v>1541</v>
      </c>
      <c r="O83" s="23" t="s">
        <v>2881</v>
      </c>
      <c r="P83" s="23" t="s">
        <v>2882</v>
      </c>
      <c r="Q83" s="23">
        <v>75499271</v>
      </c>
      <c r="R83" s="23" t="s">
        <v>1345</v>
      </c>
      <c r="S83" s="23">
        <v>5</v>
      </c>
      <c r="T83" s="23" t="s">
        <v>2285</v>
      </c>
      <c r="U83" s="23">
        <v>2009</v>
      </c>
      <c r="V83" s="23" t="s">
        <v>2787</v>
      </c>
      <c r="W83" s="23" t="s">
        <v>2359</v>
      </c>
      <c r="X83" s="23" t="s">
        <v>1345</v>
      </c>
      <c r="Y83" s="23">
        <v>2019</v>
      </c>
      <c r="Z83" s="23" t="s">
        <v>2288</v>
      </c>
      <c r="AA83" s="32">
        <v>55</v>
      </c>
      <c r="AB83" s="23" t="s">
        <v>1349</v>
      </c>
      <c r="AC83" s="23">
        <v>3</v>
      </c>
      <c r="AD83" s="32" t="s">
        <v>1345</v>
      </c>
      <c r="AE83" s="23" t="s">
        <v>1345</v>
      </c>
      <c r="AF83" s="23" t="s">
        <v>1349</v>
      </c>
      <c r="AG83" s="23" t="s">
        <v>1349</v>
      </c>
      <c r="AH83" s="23" t="s">
        <v>2877</v>
      </c>
      <c r="AI83" s="23">
        <v>2009</v>
      </c>
      <c r="AJ83" s="23" t="s">
        <v>1349</v>
      </c>
      <c r="AK83" s="23" t="s">
        <v>2341</v>
      </c>
      <c r="AL83" s="23" t="s">
        <v>1612</v>
      </c>
      <c r="AM83" s="23" t="s">
        <v>1612</v>
      </c>
      <c r="AN83" s="23" t="s">
        <v>1612</v>
      </c>
      <c r="AO83" s="23" t="s">
        <v>1612</v>
      </c>
      <c r="AP83" s="23" t="s">
        <v>1612</v>
      </c>
      <c r="AQ83" s="23" t="s">
        <v>2291</v>
      </c>
      <c r="AR83" s="23" t="s">
        <v>2291</v>
      </c>
      <c r="AS83" s="23" t="s">
        <v>1802</v>
      </c>
      <c r="AT83" s="23" t="s">
        <v>1358</v>
      </c>
      <c r="AU83" s="23" t="s">
        <v>2778</v>
      </c>
      <c r="AV83" s="22" t="s">
        <v>2789</v>
      </c>
      <c r="AW83" s="23" t="s">
        <v>2860</v>
      </c>
      <c r="AX83" s="23" t="s">
        <v>2430</v>
      </c>
      <c r="AY83" s="23" t="s">
        <v>1349</v>
      </c>
      <c r="AZ83" s="23" t="s">
        <v>2361</v>
      </c>
      <c r="BA83" s="23" t="s">
        <v>2361</v>
      </c>
      <c r="BB83" s="23" t="s">
        <v>2289</v>
      </c>
      <c r="BC83" s="23" t="s">
        <v>2289</v>
      </c>
      <c r="BD83" s="23" t="s">
        <v>2289</v>
      </c>
      <c r="BE83" s="23" t="s">
        <v>2880</v>
      </c>
      <c r="BF83" s="23" t="s">
        <v>2300</v>
      </c>
      <c r="BG83" s="23" t="s">
        <v>2300</v>
      </c>
      <c r="BH83" s="22">
        <v>4</v>
      </c>
      <c r="BI83" s="22">
        <v>4</v>
      </c>
      <c r="BJ83" s="22">
        <v>4</v>
      </c>
      <c r="BK83" s="23" t="s">
        <v>2594</v>
      </c>
      <c r="BL83" s="23" t="s">
        <v>2594</v>
      </c>
      <c r="BM83" s="23" t="s">
        <v>2594</v>
      </c>
      <c r="BN83" s="23" t="s">
        <v>1349</v>
      </c>
      <c r="BO83" s="23" t="s">
        <v>2300</v>
      </c>
      <c r="BP83" s="23" t="s">
        <v>2300</v>
      </c>
      <c r="BQ83" s="23" t="s">
        <v>1349</v>
      </c>
      <c r="BR83" s="23" t="s">
        <v>1349</v>
      </c>
      <c r="BS83" s="23" t="s">
        <v>1804</v>
      </c>
      <c r="BT83" s="23" t="s">
        <v>1345</v>
      </c>
      <c r="BU83" s="23" t="s">
        <v>1358</v>
      </c>
      <c r="BV83" s="23" t="s">
        <v>1349</v>
      </c>
      <c r="BW83" s="23" t="s">
        <v>2300</v>
      </c>
      <c r="BX83" s="23" t="s">
        <v>1349</v>
      </c>
      <c r="BY83" s="23" t="s">
        <v>1565</v>
      </c>
      <c r="BZ83" s="23" t="s">
        <v>2300</v>
      </c>
      <c r="CA83" s="23" t="s">
        <v>2300</v>
      </c>
      <c r="CB83" s="23" t="s">
        <v>2289</v>
      </c>
      <c r="CC83" s="23" t="s">
        <v>2289</v>
      </c>
      <c r="CD83" s="23" t="s">
        <v>2289</v>
      </c>
      <c r="CE83" s="23">
        <v>19800</v>
      </c>
      <c r="CF83" s="23">
        <v>20400</v>
      </c>
      <c r="CG83" s="23">
        <v>24000</v>
      </c>
      <c r="CH83" s="23">
        <v>60</v>
      </c>
      <c r="CI83" s="23">
        <v>40</v>
      </c>
      <c r="CJ83" s="23">
        <v>60</v>
      </c>
      <c r="CK83" s="27">
        <v>1</v>
      </c>
      <c r="CL83" s="27">
        <v>1</v>
      </c>
      <c r="CM83" s="27">
        <v>0</v>
      </c>
      <c r="CN83" s="27">
        <v>0</v>
      </c>
      <c r="CO83" s="23" t="s">
        <v>2307</v>
      </c>
      <c r="CP83" s="23" t="s">
        <v>1565</v>
      </c>
      <c r="CQ83" s="23" t="s">
        <v>1565</v>
      </c>
      <c r="CR83" s="23" t="s">
        <v>2767</v>
      </c>
      <c r="CS83" s="23" t="s">
        <v>1706</v>
      </c>
      <c r="CT83" s="23" t="s">
        <v>2767</v>
      </c>
      <c r="CU83" s="23" t="s">
        <v>2767</v>
      </c>
      <c r="CV83" s="23" t="s">
        <v>2767</v>
      </c>
      <c r="CW83" s="23" t="s">
        <v>1345</v>
      </c>
      <c r="CX83" s="26">
        <v>0.1</v>
      </c>
      <c r="CY83" s="26">
        <v>0.9</v>
      </c>
      <c r="CZ83" s="23" t="s">
        <v>2791</v>
      </c>
      <c r="DA83" s="23" t="s">
        <v>2874</v>
      </c>
      <c r="DB83" s="23" t="s">
        <v>1903</v>
      </c>
      <c r="DC83" s="23" t="s">
        <v>2836</v>
      </c>
      <c r="DD83" s="22" t="s">
        <v>2837</v>
      </c>
      <c r="DE83" s="23" t="s">
        <v>2838</v>
      </c>
      <c r="DF83" s="23" t="s">
        <v>2839</v>
      </c>
      <c r="DG83" s="23" t="s">
        <v>2883</v>
      </c>
      <c r="DH83" s="23" t="s">
        <v>2794</v>
      </c>
      <c r="DI83" s="23" t="s">
        <v>1556</v>
      </c>
      <c r="DJ83" s="23" t="s">
        <v>1556</v>
      </c>
      <c r="DK83" s="23" t="s">
        <v>1556</v>
      </c>
      <c r="DL83" s="23" t="s">
        <v>2795</v>
      </c>
      <c r="DM83" s="23" t="s">
        <v>2884</v>
      </c>
      <c r="DN83" s="23" t="s">
        <v>1345</v>
      </c>
      <c r="DO83" s="23" t="s">
        <v>2796</v>
      </c>
      <c r="DP83" s="23" t="s">
        <v>1349</v>
      </c>
      <c r="DQ83" s="23" t="s">
        <v>1358</v>
      </c>
      <c r="DR83" s="23" t="s">
        <v>1349</v>
      </c>
      <c r="DS83" s="23" t="s">
        <v>2300</v>
      </c>
      <c r="DT83" s="23" t="s">
        <v>2300</v>
      </c>
      <c r="DU83" s="23" t="s">
        <v>2300</v>
      </c>
      <c r="DV83" s="23" t="s">
        <v>1345</v>
      </c>
      <c r="DW83" s="23" t="s">
        <v>2797</v>
      </c>
      <c r="DX83" s="23" t="s">
        <v>1345</v>
      </c>
      <c r="DY83" s="23" t="s">
        <v>1349</v>
      </c>
      <c r="DZ83" s="23" t="s">
        <v>2322</v>
      </c>
      <c r="EA83" s="23" t="s">
        <v>1345</v>
      </c>
      <c r="EB83" s="23" t="s">
        <v>1345</v>
      </c>
      <c r="EC83" s="23" t="s">
        <v>1345</v>
      </c>
      <c r="ED83" s="23" t="s">
        <v>2353</v>
      </c>
      <c r="EE83" s="27">
        <v>0.1</v>
      </c>
      <c r="EF83" s="23" t="s">
        <v>2324</v>
      </c>
      <c r="EG83" s="23" t="s">
        <v>1342</v>
      </c>
      <c r="EH83" s="23" t="s">
        <v>2300</v>
      </c>
      <c r="EI83" s="23" t="s">
        <v>2326</v>
      </c>
      <c r="EJ83" s="22" t="s">
        <v>2853</v>
      </c>
      <c r="EK83" s="23" t="s">
        <v>2419</v>
      </c>
      <c r="EL83" s="23" t="s">
        <v>1389</v>
      </c>
      <c r="EM83" s="23">
        <v>3</v>
      </c>
      <c r="EN83" s="23" t="s">
        <v>2388</v>
      </c>
      <c r="EO83" s="23">
        <v>4</v>
      </c>
      <c r="EP83" s="23" t="s">
        <v>2885</v>
      </c>
      <c r="EQ83" s="23">
        <v>4</v>
      </c>
      <c r="ER83" s="22" t="s">
        <v>2331</v>
      </c>
      <c r="ES83" s="23">
        <v>4</v>
      </c>
      <c r="ET83" s="22" t="s">
        <v>2863</v>
      </c>
      <c r="EU83" s="23">
        <v>4</v>
      </c>
      <c r="EV83" s="22" t="s">
        <v>2508</v>
      </c>
      <c r="EW83" s="23">
        <v>1</v>
      </c>
      <c r="EX83" s="22" t="s">
        <v>2843</v>
      </c>
      <c r="EY83" s="23">
        <v>2</v>
      </c>
      <c r="EZ83" s="22" t="s">
        <v>2424</v>
      </c>
      <c r="FA83" s="22"/>
    </row>
    <row r="85" spans="1:157">
      <c r="CK85" s="20"/>
      <c r="CL85" s="20"/>
      <c r="EE85" s="20"/>
    </row>
    <row r="86" spans="1:157">
      <c r="CD86" s="38"/>
    </row>
  </sheetData>
  <dataValidations count="4">
    <dataValidation type="decimal" operator="greaterThan" allowBlank="1" showDropDown="1" showInputMessage="1" prompt="Enter a number greater than 1" sqref="AA2:AA11 AA71:AA80" xr:uid="{A110FBDB-75C5-41EF-9908-4B840B3BB576}">
      <formula1>1</formula1>
    </dataValidation>
    <dataValidation type="decimal" operator="greaterThanOrEqual" allowBlank="1" showDropDown="1" showInputMessage="1" prompt="Enter a number greater than or equal to 0" sqref="S2:S11 AC2:AC11 AC71:AC80 S71:S80" xr:uid="{9F792A19-9230-47F1-91FC-94704133122A}">
      <formula1>0</formula1>
    </dataValidation>
    <dataValidation type="custom" allowBlank="1" showDropDown="1" showInputMessage="1" prompt="Select a valid date YYYY-MM-DD" sqref="D2:D11 D71:D80" xr:uid="{EF8663E0-7167-476C-9A5F-34E005D312AE}">
      <formula1>OR(NOT(ISERROR(DATEVALUE(D2))), AND(ISNUMBER(D2), LEFT(CELL("format", D2))="D"))</formula1>
    </dataValidation>
    <dataValidation type="decimal" operator="greaterThan" allowBlank="1" showDropDown="1" showInputMessage="1" prompt="Telephone Number (8 digits)" sqref="Q2:Q11 Q71:Q80" xr:uid="{6DD6FDB2-0240-4E64-BF53-28EC77A77DD5}">
      <formula1>9999999</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9">
        <x14:dataValidation type="list" allowBlank="1" showInputMessage="1" prompt="Yes or No" xr:uid="{93DB9BD9-D083-4B7F-A91D-66A35EDA23D6}">
          <x14:formula1>
            <xm:f>'D:\Jean-Marc''s files\Jean-Marc 17 June 10\Karité\Serious Shea\Stage 2\Saisie de resultats\Saisies Sanguie\11-16 Oct\[OJ et DT 11-16 Oct Sanguie 2.xlsx]Internal-logic'!#REF!</xm:f>
          </x14:formula1>
          <xm:sqref>AY78:AY80 BS76:BS80 DP71:DP80 EG71:EG80 CU71:CU80 AB71:AB80 BQ71:BR80 BV71:BV80 AJ71:AJ80 DX71:DY80 EB71:EC80 CW71:CW80 DN71:DN80 AY71:AY76 BN71:BN80 BX71:BX80 BT71:BT80 DV71:DV80 DR71:DR80</xm:sqref>
        </x14:dataValidation>
        <x14:dataValidation type="list" allowBlank="1" showInputMessage="1" prompt="A number between 1 and 5" xr:uid="{4419D0FD-5F1F-477B-A059-76266577A508}">
          <x14:formula1>
            <xm:f>'D:\Jean-Marc''s files\Jean-Marc 17 June 10\Karité\Serious Shea\Stage 2\Saisie de resultats\Saisies Sanguie\11-16 Oct\[OJ et DT 11-16 Oct Sanguie 2.xlsx]Internal-logic'!#REF!</xm:f>
          </x14:formula1>
          <xm:sqref>EW71:EW80 EU71:EU80 ES71:ES80 EM71:EM80 EO71:EO80 EQ71:EQ80 EY71:EY80</xm:sqref>
        </x14:dataValidation>
        <x14:dataValidation type="list" allowBlank="1" xr:uid="{C19709AF-92B6-42EA-B8F9-9A7B93F0267D}">
          <x14:formula1>
            <xm:f>'D:\Jean-Marc''s files\Jean-Marc 17 June 10\Karité\Serious Shea\Stage 2\Saisie de resultats\Saisies Sanguie\11-16 Oct\[OJ et DT 11-16 Oct Sanguie 2.xlsx]Internal-logic'!#REF!</xm:f>
          </x14:formula1>
          <xm:sqref>R71:R80 AD71:AG80</xm:sqref>
        </x14:dataValidation>
        <x14:dataValidation type="list" allowBlank="1" showInputMessage="1" prompt="Select surveyors:  Abdoulaye et Oswald (AZ-OK) / Lamine et Yves (LB-YY) / Thiérry et Jérémie (TD-JO)" xr:uid="{1EA33C40-AADB-469B-B92A-8F982DE97EC5}">
          <x14:formula1>
            <xm:f>'D:\Jean-Marc''s files\Jean-Marc 17 June 10\Karité\Serious Shea\Stage 2\Saisie de resultats\Saisies Sanguie\11-16 Oct\[OJ et DT 11-16 Oct Sanguie 2.xlsx]Internal-logic'!#REF!</xm:f>
          </x14:formula1>
          <xm:sqref>C71:C80</xm:sqref>
        </x14:dataValidation>
        <x14:dataValidation type="list" allowBlank="1" showInputMessage="1" prompt="Select commune" xr:uid="{7D6795CD-EB31-4AD9-BB70-FD135B3626BC}">
          <x14:formula1>
            <xm:f>'D:\Jean-Marc''s files\Jean-Marc 17 June 10\Karité\Serious Shea\Stage 2\Saisie de resultats\Saisies Sanguie\11-16 Oct\[OJ et DT 11-16 Oct Sanguie 2.xlsx]Internal-logic'!#REF!</xm:f>
          </x14:formula1>
          <xm:sqref>J71:J80</xm:sqref>
        </x14:dataValidation>
        <x14:dataValidation type="list" allowBlank="1" showInputMessage="1" prompt="Select a known group name or type in new" xr:uid="{D3176828-464F-402F-95A6-512513B660F5}">
          <x14:formula1>
            <xm:f>'D:\Jean-Marc''s files\Jean-Marc 17 June 10\Karité\Serious Shea\Stage 2\Saisie de resultats\Saisies Sanguie\11-16 Oct\[OJ et DT 11-16 Oct Sanguie 2.xlsx]Internal-logic'!#REF!</xm:f>
          </x14:formula1>
          <xm:sqref>E71:E80</xm:sqref>
        </x14:dataValidation>
        <x14:dataValidation type="list" allowBlank="1" showInputMessage="1" prompt="Select village" xr:uid="{E88AA8C6-C3DA-4472-861F-6BD91558921E}">
          <x14:formula1>
            <xm:f>'D:\Jean-Marc''s files\Jean-Marc 17 June 10\Karité\Serious Shea\Stage 2\Saisie de resultats\Saisies Sanguie\11-16 Oct\[OJ et DT 11-16 Oct Sanguie 2.xlsx]Internal-logic'!#REF!</xm:f>
          </x14:formula1>
          <xm:sqref>K71:K80</xm:sqref>
        </x14:dataValidation>
        <x14:dataValidation type="list" allowBlank="1" showInputMessage="1" prompt="Select region" xr:uid="{2DE6191A-E5C6-4D12-B6FC-97209C088337}">
          <x14:formula1>
            <xm:f>'D:\Jean-Marc''s files\Jean-Marc 17 June 10\Karité\Serious Shea\Stage 2\Saisie de resultats\Saisies Sanguie\11-16 Oct\[OJ et DT 11-16 Oct Sanguie 2.xlsx]Internal-logic'!#REF!</xm:f>
          </x14:formula1>
          <xm:sqref>H71:H80</xm:sqref>
        </x14:dataValidation>
        <x14:dataValidation type="list" allowBlank="1" showInputMessage="1" prompt="Enter a year (YYYY)" xr:uid="{CA472018-5C86-40AB-90C7-D1F88D6DDB59}">
          <x14:formula1>
            <xm:f>'D:\Jean-Marc''s files\Jean-Marc 17 June 10\Karité\Serious Shea\Stage 2\Saisie de resultats\Saisies Sanguie\11-16 Oct\[OJ et DT 11-16 Oct Sanguie 2.xlsx]Internal-logic'!#REF!</xm:f>
          </x14:formula1>
          <xm:sqref>Y71:Z80 U71:U80 AI71:AI80</xm:sqref>
        </x14:dataValidation>
        <x14:dataValidation type="list" allowBlank="1" showInputMessage="1" prompt="Yes  or NO" xr:uid="{D94B8DA2-1802-40AB-A64A-5DF008E64E32}">
          <x14:formula1>
            <xm:f>'D:\Jean-Marc''s files\Jean-Marc 17 June 10\Karité\Serious Shea\Stage 2\Saisie de resultats\Saisies Sanguie\11-16 Oct\[OJ et DT 11-16 Oct Sanguie 2.xlsx]Internal-logic'!#REF!</xm:f>
          </x14:formula1>
          <xm:sqref>EA71:EA80</xm:sqref>
        </x14:dataValidation>
        <x14:dataValidation type="list" allowBlank="1" showInputMessage="1" prompt="A, B or C" xr:uid="{10B79872-A767-48A8-8A83-A9274D7AA156}">
          <x14:formula1>
            <xm:f>'D:\Jean-Marc''s files\Jean-Marc 17 June 10\Karité\Serious Shea\Stage 2\Saisie de resultats\Saisies Sanguie\11-16 Oct\[OJ et DT 11-16 Oct Sanguie 2.xlsx]Internal-logic'!#REF!</xm:f>
          </x14:formula1>
          <xm:sqref>EL71:EL80</xm:sqref>
        </x14:dataValidation>
        <x14:dataValidation type="list" allowBlank="1" showInputMessage="1" prompt="Select province" xr:uid="{F8E021C5-8C12-4956-BC8C-B49CA613AD24}">
          <x14:formula1>
            <xm:f>'D:\Jean-Marc''s files\Jean-Marc 17 June 10\Karité\Serious Shea\Stage 2\Saisie de resultats\Saisies Sanguie\11-16 Oct\[OJ et DT 11-16 Oct Sanguie 2.xlsx]Internal-logic'!#REF!</xm:f>
          </x14:formula1>
          <xm:sqref>I71:I80</xm:sqref>
        </x14:dataValidation>
        <x14:dataValidation type="list" allowBlank="1" showInputMessage="1" prompt="Select Yes or No" xr:uid="{A635C53B-1363-4534-A584-43EC92B717A1}">
          <x14:formula1>
            <xm:f>'D:\Jean-Marc''s files\Jean-Marc 17 June 10\Karité\Serious Shea\Stage 2\Saisie de resultats\Saisies Sanguie\11-16 Oct\[OJ et DT 11-16 Oct Sanguie 2.xlsx]Internal-logic'!#REF!</xm:f>
          </x14:formula1>
          <xm:sqref>X71:X80</xm:sqref>
        </x14:dataValidation>
        <x14:dataValidation type="list" allowBlank="1" xr:uid="{799C263F-C822-4A3E-8CBA-651490409A72}">
          <x14:formula1>
            <xm:f>'D:\Jean-Marc''s files\Jean-Marc 17 June 10\Karité\Serious Shea\Stage 2\Saisie de resultats\Saisies Sanguie\4-9 Oct\[Centre-Ouest AZ et OK 4-9 Oct.xlsx]Internal-logic'!#REF!</xm:f>
          </x14:formula1>
          <xm:sqref>R2:R10 AD2:AG10</xm:sqref>
        </x14:dataValidation>
        <x14:dataValidation type="list" allowBlank="1" showInputMessage="1" prompt="Select surveyors:  Abdoulaye et Oswald (AZ-OK) / Lamine et Yves (LB-YY) / Thiérry et Jérémie (TD-JO)" xr:uid="{F295B4A3-72E4-4B92-98E5-700A80B04DE6}">
          <x14:formula1>
            <xm:f>'D:\Jean-Marc''s files\Jean-Marc 17 June 10\Karité\Serious Shea\Stage 2\Saisie de resultats\Saisies Sanguie\4-9 Oct\[Centre-Ouest AZ et OK 4-9 Oct.xlsx]Internal-logic'!#REF!</xm:f>
          </x14:formula1>
          <xm:sqref>C2:C10</xm:sqref>
        </x14:dataValidation>
        <x14:dataValidation type="list" allowBlank="1" showInputMessage="1" prompt="A number between 1 and 5" xr:uid="{DFA0F529-C948-4498-9844-6FC69287E00D}">
          <x14:formula1>
            <xm:f>'D:\Jean-Marc''s files\Jean-Marc 17 June 10\Karité\Serious Shea\Stage 2\Saisie de resultats\Saisies Sanguie\4-9 Oct\[Centre-Ouest AZ et OK 4-9 Oct.xlsx]Internal-logic'!#REF!</xm:f>
          </x14:formula1>
          <xm:sqref>EW2:EW10 EQ2:EQ11 EM2:EM11 EY2:EY11 ES2:ES11 EU2:EU11 EO2:EO11</xm:sqref>
        </x14:dataValidation>
        <x14:dataValidation type="list" allowBlank="1" showInputMessage="1" prompt="Select commune" xr:uid="{92030350-A34F-448F-97B2-1D0386B55361}">
          <x14:formula1>
            <xm:f>'D:\Jean-Marc''s files\Jean-Marc 17 June 10\Karité\Serious Shea\Stage 2\Saisie de resultats\Saisies Sanguie\4-9 Oct\[Centre-Ouest AZ et OK 4-9 Oct.xlsx]Internal-logic'!#REF!</xm:f>
          </x14:formula1>
          <xm:sqref>J2:J10</xm:sqref>
        </x14:dataValidation>
        <x14:dataValidation type="list" allowBlank="1" showInputMessage="1" prompt="Select a known group name or type in new" xr:uid="{62EFF474-4E60-430B-A5DD-61AEB9681DBE}">
          <x14:formula1>
            <xm:f>'D:\Jean-Marc''s files\Jean-Marc 17 June 10\Karité\Serious Shea\Stage 2\Saisie de resultats\Saisies Sanguie\4-9 Oct\[Centre-Ouest AZ et OK 4-9 Oct.xlsx]Internal-logic'!#REF!</xm:f>
          </x14:formula1>
          <xm:sqref>E2:E9</xm:sqref>
        </x14:dataValidation>
        <x14:dataValidation type="list" allowBlank="1" showInputMessage="1" prompt="Select village" xr:uid="{03458083-7659-42B2-8534-5F1FE0AC5F03}">
          <x14:formula1>
            <xm:f>'D:\Jean-Marc''s files\Jean-Marc 17 June 10\Karité\Serious Shea\Stage 2\Saisie de resultats\Saisies Sanguie\4-9 Oct\[Centre-Ouest AZ et OK 4-9 Oct.xlsx]Internal-logic'!#REF!</xm:f>
          </x14:formula1>
          <xm:sqref>K2:K10</xm:sqref>
        </x14:dataValidation>
        <x14:dataValidation type="list" allowBlank="1" showInputMessage="1" prompt="Yes or No" xr:uid="{C45E61AD-D9AA-4355-8B3A-D4F332698C64}">
          <x14:formula1>
            <xm:f>'D:\Jean-Marc''s files\Jean-Marc 17 June 10\Karité\Serious Shea\Stage 2\Saisie de resultats\Saisies Sanguie\4-9 Oct\[Centre-Ouest AZ et OK 4-9 Oct.xlsx]Internal-logic'!#REF!</xm:f>
          </x14:formula1>
          <xm:sqref>BN2:BN10 BQ2:BR10 BV2:BV11 DV2:DV10 DN2:DN11 AY2:AY10 EB2:EC10 CW2:CW10 AJ2:AJ10 BX2:BX10 AB2:AB10 DR2:DR10 EG2:EG11 DX2:DY10 DP2:DP10 BT2:BT11 CU2:CU10</xm:sqref>
        </x14:dataValidation>
        <x14:dataValidation type="list" allowBlank="1" showInputMessage="1" prompt="Select region" xr:uid="{EC0D3EC5-4B95-449B-BA0F-A4B2A50A9BCF}">
          <x14:formula1>
            <xm:f>'D:\Jean-Marc''s files\Jean-Marc 17 June 10\Karité\Serious Shea\Stage 2\Saisie de resultats\Saisies Sanguie\4-9 Oct\[Centre-Ouest AZ et OK 4-9 Oct.xlsx]Internal-logic'!#REF!</xm:f>
          </x14:formula1>
          <xm:sqref>H2:H10</xm:sqref>
        </x14:dataValidation>
        <x14:dataValidation type="list" allowBlank="1" showInputMessage="1" prompt="Enter a year (YYYY)" xr:uid="{04A14FF0-EA1F-4BB5-8DDF-7AFB649F7B90}">
          <x14:formula1>
            <xm:f>'D:\Jean-Marc''s files\Jean-Marc 17 June 10\Karité\Serious Shea\Stage 2\Saisie de resultats\Saisies Sanguie\4-9 Oct\[Centre-Ouest AZ et OK 4-9 Oct.xlsx]Internal-logic'!#REF!</xm:f>
          </x14:formula1>
          <xm:sqref>U2:U10 AI2:AI10 Y2:Z10</xm:sqref>
        </x14:dataValidation>
        <x14:dataValidation type="list" allowBlank="1" showInputMessage="1" prompt="Yes  or NO" xr:uid="{9A64E80F-B7B6-409E-8567-BD86186BD49B}">
          <x14:formula1>
            <xm:f>'D:\Jean-Marc''s files\Jean-Marc 17 June 10\Karité\Serious Shea\Stage 2\Saisie de resultats\Saisies Sanguie\4-9 Oct\[Centre-Ouest AZ et OK 4-9 Oct.xlsx]Internal-logic'!#REF!</xm:f>
          </x14:formula1>
          <xm:sqref>EA2:EA10</xm:sqref>
        </x14:dataValidation>
        <x14:dataValidation type="list" allowBlank="1" showInputMessage="1" prompt="A, B or C" xr:uid="{B8AC3056-62F8-494E-9B4D-FD69FBAB8372}">
          <x14:formula1>
            <xm:f>'D:\Jean-Marc''s files\Jean-Marc 17 June 10\Karité\Serious Shea\Stage 2\Saisie de resultats\Saisies Sanguie\4-9 Oct\[Centre-Ouest AZ et OK 4-9 Oct.xlsx]Internal-logic'!#REF!</xm:f>
          </x14:formula1>
          <xm:sqref>EL2:EL10</xm:sqref>
        </x14:dataValidation>
        <x14:dataValidation type="list" allowBlank="1" showInputMessage="1" prompt="Select province" xr:uid="{348EF130-D616-4F00-B507-91BC544BFC37}">
          <x14:formula1>
            <xm:f>'D:\Jean-Marc''s files\Jean-Marc 17 June 10\Karité\Serious Shea\Stage 2\Saisie de resultats\Saisies Sanguie\4-9 Oct\[Centre-Ouest AZ et OK 4-9 Oct.xlsx]Internal-logic'!#REF!</xm:f>
          </x14:formula1>
          <xm:sqref>I2:I10</xm:sqref>
        </x14:dataValidation>
        <x14:dataValidation type="list" allowBlank="1" showInputMessage="1" prompt="Select Yes or No" xr:uid="{1D0E9A99-DB7C-4E95-A87A-6E12390F0831}">
          <x14:formula1>
            <xm:f>'D:\Jean-Marc''s files\Jean-Marc 17 June 10\Karité\Serious Shea\Stage 2\Saisie de resultats\Saisies Sanguie\4-9 Oct\[Centre-Ouest AZ et OK 4-9 Oct.xlsx]Internal-logic'!#REF!</xm:f>
          </x14:formula1>
          <xm:sqref>X2:X10</xm:sqref>
        </x14:dataValidation>
        <x14:dataValidation type="list" allowBlank="1" showInputMessage="1" prompt="Select Yes or No" xr:uid="{BA540A62-89FF-4F00-98A9-B75F63EE022F}">
          <x14:formula1>
            <xm:f>'C:\Users\KAMBIRET OSWALD\Desktop\[Sud-Ouest  binome AZ-OK.xlsx]Internal-logic'!#REF!</xm:f>
          </x14:formula1>
          <xm:sqref>X11</xm:sqref>
        </x14:dataValidation>
        <x14:dataValidation type="list" allowBlank="1" showInputMessage="1" prompt="Select province" xr:uid="{DBCA300B-6218-4F45-A9C5-A19474390E80}">
          <x14:formula1>
            <xm:f>'C:\Users\KAMBIRET OSWALD\Desktop\[Sud-Ouest  binome AZ-OK.xlsx]Internal-logic'!#REF!</xm:f>
          </x14:formula1>
          <xm:sqref>I11</xm:sqref>
        </x14:dataValidation>
        <x14:dataValidation type="list" allowBlank="1" showInputMessage="1" prompt="A, B or C" xr:uid="{276F86F5-FF75-46B4-8345-09562FEED77B}">
          <x14:formula1>
            <xm:f>'C:\Users\KAMBIRET OSWALD\Desktop\[Sud-Ouest  binome AZ-OK.xlsx]Internal-logic'!#REF!</xm:f>
          </x14:formula1>
          <xm:sqref>EL11</xm:sqref>
        </x14:dataValidation>
        <x14:dataValidation type="list" allowBlank="1" showInputMessage="1" prompt="Yes  or NO" xr:uid="{2F4EB827-0E60-4EA6-902F-B084455D4DAF}">
          <x14:formula1>
            <xm:f>'C:\Users\KAMBIRET OSWALD\Desktop\[Sud-Ouest  binome AZ-OK.xlsx]Internal-logic'!#REF!</xm:f>
          </x14:formula1>
          <xm:sqref>EA11</xm:sqref>
        </x14:dataValidation>
        <x14:dataValidation type="list" allowBlank="1" showInputMessage="1" prompt="Enter a year (YYYY)" xr:uid="{3D370BB2-3A27-42FA-8D09-BDCD9989C3D2}">
          <x14:formula1>
            <xm:f>'C:\Users\KAMBIRET OSWALD\Desktop\[Sud-Ouest  binome AZ-OK.xlsx]Internal-logic'!#REF!</xm:f>
          </x14:formula1>
          <xm:sqref>AI11 U11 Y11:Z11</xm:sqref>
        </x14:dataValidation>
        <x14:dataValidation type="list" allowBlank="1" showInputMessage="1" prompt="Select region" xr:uid="{BB7F860E-B5CA-4F7B-B360-81044E4C73A0}">
          <x14:formula1>
            <xm:f>'C:\Users\KAMBIRET OSWALD\Desktop\[Sud-Ouest  binome AZ-OK.xlsx]Internal-logic'!#REF!</xm:f>
          </x14:formula1>
          <xm:sqref>H11</xm:sqref>
        </x14:dataValidation>
        <x14:dataValidation type="list" allowBlank="1" showInputMessage="1" prompt="Yes or No" xr:uid="{6648FF9E-4000-4D4F-A582-E98B4A697E93}">
          <x14:formula1>
            <xm:f>'C:\Users\KAMBIRET OSWALD\Desktop\[Sud-Ouest  binome AZ-OK.xlsx]Internal-logic'!#REF!</xm:f>
          </x14:formula1>
          <xm:sqref>BX11 AB11 DR11 DV11 AY11 DX11:DY11 BQ11:BR11 CU11 AJ11 CW11 DP11 BN11 EB11:EC11</xm:sqref>
        </x14:dataValidation>
        <x14:dataValidation type="list" allowBlank="1" showInputMessage="1" prompt="Select village" xr:uid="{C9ABC10B-CFDB-445A-987D-4643F802FAFE}">
          <x14:formula1>
            <xm:f>'C:\Users\KAMBIRET OSWALD\Desktop\[Sud-Ouest  binome AZ-OK.xlsx]Internal-logic'!#REF!</xm:f>
          </x14:formula1>
          <xm:sqref>K11 E10</xm:sqref>
        </x14:dataValidation>
        <x14:dataValidation type="list" allowBlank="1" showInputMessage="1" prompt="Select a known group name or type in new" xr:uid="{00CE621F-BE9C-47EE-9169-00A5785D6062}">
          <x14:formula1>
            <xm:f>'C:\Users\KAMBIRET OSWALD\Desktop\[Sud-Ouest  binome AZ-OK.xlsx]Internal-logic'!#REF!</xm:f>
          </x14:formula1>
          <xm:sqref>E11</xm:sqref>
        </x14:dataValidation>
        <x14:dataValidation type="list" allowBlank="1" showInputMessage="1" prompt="Select commune" xr:uid="{E8D7D9A7-794B-4EA3-BC6A-E627079B9B92}">
          <x14:formula1>
            <xm:f>'C:\Users\KAMBIRET OSWALD\Desktop\[Sud-Ouest  binome AZ-OK.xlsx]Internal-logic'!#REF!</xm:f>
          </x14:formula1>
          <xm:sqref>J11</xm:sqref>
        </x14:dataValidation>
        <x14:dataValidation type="list" allowBlank="1" showInputMessage="1" prompt="A number between 1 and 5" xr:uid="{4FB492CC-DB1A-4E5B-9527-50A815A93337}">
          <x14:formula1>
            <xm:f>'C:\Users\KAMBIRET OSWALD\Desktop\[Sud-Ouest  binome AZ-OK.xlsx]Internal-logic'!#REF!</xm:f>
          </x14:formula1>
          <xm:sqref>EW11</xm:sqref>
        </x14:dataValidation>
        <x14:dataValidation type="list" allowBlank="1" showInputMessage="1" prompt="Select surveyors:  Abdoulaye et Oswald (AZ-OK) / Lamine et Yves (LB-YY) / Thiérry et Jérémie (TD-JO)" xr:uid="{F5E22EC5-8794-41CC-8B1B-1C5192F1ECE7}">
          <x14:formula1>
            <xm:f>'C:\Users\KAMBIRET OSWALD\Desktop\[Sud-Ouest  binome AZ-OK.xlsx]Internal-logic'!#REF!</xm:f>
          </x14:formula1>
          <xm:sqref>C11</xm:sqref>
        </x14:dataValidation>
        <x14:dataValidation type="list" allowBlank="1" xr:uid="{73BA4365-2034-4F95-B257-C99E2E028E56}">
          <x14:formula1>
            <xm:f>'C:\Users\KAMBIRET OSWALD\Desktop\[Sud-Ouest  binome AZ-OK.xlsx]Internal-logic'!#REF!</xm:f>
          </x14:formula1>
          <xm:sqref>R11 AD11:AG11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3CE11-F626-4FFA-8C85-7440A69D4068}">
  <dimension ref="A1:FA1001"/>
  <sheetViews>
    <sheetView workbookViewId="0"/>
  </sheetViews>
  <sheetFormatPr defaultColWidth="14.46484375" defaultRowHeight="12.75"/>
  <cols>
    <col min="1" max="2" width="14.46484375" style="127"/>
    <col min="3" max="5" width="17" style="127" customWidth="1"/>
    <col min="6" max="6" width="14.46484375" style="127"/>
    <col min="7" max="7" width="23.73046875" style="127" customWidth="1"/>
    <col min="8" max="8" width="11.796875" style="127" customWidth="1"/>
    <col min="9" max="14" width="14.46484375" style="127"/>
    <col min="15" max="15" width="20.73046875" style="127" customWidth="1"/>
    <col min="16" max="19" width="14.46484375" style="127"/>
    <col min="20" max="20" width="17.53125" style="127" customWidth="1"/>
    <col min="21" max="21" width="14.46484375" style="127"/>
    <col min="22" max="22" width="47.265625" style="127" customWidth="1"/>
    <col min="23" max="23" width="36.46484375" style="127" customWidth="1"/>
    <col min="24" max="24" width="19.46484375" style="127" customWidth="1"/>
    <col min="25" max="27" width="14.46484375" style="127"/>
    <col min="28" max="28" width="10.796875" style="127" customWidth="1"/>
    <col min="29" max="29" width="18.46484375" style="127" customWidth="1"/>
    <col min="30" max="35" width="14.46484375" style="127"/>
    <col min="36" max="36" width="23.53125" style="127" customWidth="1"/>
    <col min="37" max="37" width="17.46484375" style="127" customWidth="1"/>
    <col min="38" max="45" width="14.46484375" style="127"/>
    <col min="46" max="46" width="36.73046875" style="127" bestFit="1" customWidth="1"/>
    <col min="47" max="47" width="14.46484375" style="127"/>
    <col min="48" max="48" width="12.19921875" style="127" customWidth="1"/>
    <col min="49" max="49" width="49.796875" style="127" customWidth="1"/>
    <col min="50" max="50" width="21.46484375" style="127" customWidth="1"/>
    <col min="51" max="53" width="14.46484375" style="127"/>
    <col min="54" max="54" width="22.53125" style="127" customWidth="1"/>
    <col min="55" max="56" width="14.46484375" style="127"/>
    <col min="57" max="57" width="25.796875" style="127" customWidth="1"/>
    <col min="58" max="58" width="18.73046875" style="127" customWidth="1"/>
    <col min="59" max="59" width="15.46484375" style="127" customWidth="1"/>
    <col min="60" max="60" width="12" style="127" customWidth="1"/>
    <col min="61" max="61" width="14" style="127" customWidth="1"/>
    <col min="62" max="66" width="14.46484375" style="127"/>
    <col min="67" max="67" width="16.265625" style="127" customWidth="1"/>
    <col min="68" max="70" width="14.46484375" style="127"/>
    <col min="71" max="71" width="12.53125" style="127" customWidth="1"/>
    <col min="72" max="72" width="14.46484375" style="127"/>
    <col min="73" max="73" width="26.19921875" style="127" customWidth="1"/>
    <col min="74" max="75" width="14.46484375" style="127"/>
    <col min="76" max="76" width="22.53125" style="127" customWidth="1"/>
    <col min="77" max="77" width="17" style="127" customWidth="1"/>
    <col min="78" max="78" width="20.265625" style="127" customWidth="1"/>
    <col min="79" max="79" width="24" style="127" customWidth="1"/>
    <col min="80" max="80" width="8.53125" style="127" customWidth="1"/>
    <col min="81" max="82" width="14.46484375" style="127"/>
    <col min="83" max="83" width="19.73046875" style="127" customWidth="1"/>
    <col min="84" max="84" width="16.19921875" style="127" customWidth="1"/>
    <col min="85" max="85" width="14.265625" style="127" customWidth="1"/>
    <col min="86" max="86" width="13.265625" style="127" customWidth="1"/>
    <col min="87" max="88" width="14.46484375" style="127"/>
    <col min="89" max="89" width="14.796875" style="127" customWidth="1"/>
    <col min="90" max="90" width="16.265625" style="127" customWidth="1"/>
    <col min="91" max="91" width="11.19921875" style="127" customWidth="1"/>
    <col min="92" max="92" width="14.265625" style="127" customWidth="1"/>
    <col min="93" max="93" width="14.46484375" style="127"/>
    <col min="94" max="94" width="32.265625" style="127" customWidth="1"/>
    <col min="95" max="95" width="14.796875" style="127" customWidth="1"/>
    <col min="96" max="99" width="14.46484375" style="127"/>
    <col min="100" max="100" width="22.265625" style="127" customWidth="1"/>
    <col min="101" max="101" width="14.46484375" style="127"/>
    <col min="102" max="102" width="12.73046875" style="127" customWidth="1"/>
    <col min="103" max="103" width="16.73046875" style="127" customWidth="1"/>
    <col min="104" max="104" width="20.19921875" style="127" customWidth="1"/>
    <col min="105" max="106" width="14.46484375" style="127"/>
    <col min="107" max="107" width="14" style="127" customWidth="1"/>
    <col min="108" max="108" width="17" style="127" customWidth="1"/>
    <col min="109" max="109" width="16.73046875" style="127" customWidth="1"/>
    <col min="110" max="110" width="26" style="127" customWidth="1"/>
    <col min="111" max="111" width="24.53125" style="127" customWidth="1"/>
    <col min="112" max="112" width="20.53125" style="127" customWidth="1"/>
    <col min="113" max="113" width="23.796875" style="127" customWidth="1"/>
    <col min="114" max="114" width="18" style="127" customWidth="1"/>
    <col min="115" max="115" width="8.19921875" style="127" customWidth="1"/>
    <col min="116" max="116" width="25.73046875" style="127" customWidth="1"/>
    <col min="117" max="117" width="32.265625" style="127" customWidth="1"/>
    <col min="118" max="118" width="14.46484375" style="127"/>
    <col min="119" max="119" width="30.46484375" style="127" customWidth="1"/>
    <col min="120" max="120" width="16.46484375" style="127" customWidth="1"/>
    <col min="121" max="121" width="63.46484375" style="127" customWidth="1"/>
    <col min="122" max="126" width="14.46484375" style="127"/>
    <col min="127" max="127" width="15.796875" style="127" customWidth="1"/>
    <col min="128" max="128" width="11.796875" style="127" customWidth="1"/>
    <col min="129" max="129" width="14.46484375" style="127"/>
    <col min="130" max="130" width="28.19921875" style="127" customWidth="1"/>
    <col min="131" max="131" width="16.19921875" style="127" customWidth="1"/>
    <col min="132" max="133" width="14.46484375" style="127"/>
    <col min="134" max="134" width="35.19921875" style="127" customWidth="1"/>
    <col min="135" max="135" width="14.46484375" style="127"/>
    <col min="136" max="136" width="40.53125" style="127" customWidth="1"/>
    <col min="137" max="137" width="14.46484375" style="127"/>
    <col min="138" max="138" width="21.46484375" style="127" customWidth="1"/>
    <col min="139" max="139" width="25.265625" style="127" customWidth="1"/>
    <col min="140" max="140" width="22.73046875" style="127" customWidth="1"/>
    <col min="141" max="141" width="12.265625" style="127" customWidth="1"/>
    <col min="142" max="142" width="14.46484375" style="127"/>
    <col min="143" max="143" width="22.73046875" style="127" customWidth="1"/>
    <col min="144" max="144" width="62.53125" style="127" customWidth="1"/>
    <col min="145" max="145" width="13.265625" style="127" customWidth="1"/>
    <col min="146" max="146" width="74.53125" style="127" customWidth="1"/>
    <col min="147" max="147" width="14.46484375" style="127"/>
    <col min="148" max="148" width="55" style="127" customWidth="1"/>
    <col min="149" max="149" width="16" style="127" customWidth="1"/>
    <col min="150" max="150" width="40.796875" style="127" customWidth="1"/>
    <col min="151" max="151" width="15.73046875" style="127" customWidth="1"/>
    <col min="152" max="152" width="47.19921875" style="127" customWidth="1"/>
    <col min="153" max="153" width="14.46484375" style="127"/>
    <col min="154" max="154" width="27.46484375" style="127" customWidth="1"/>
    <col min="155" max="155" width="15.73046875" style="127" customWidth="1"/>
    <col min="156" max="156" width="29.53125" style="127" customWidth="1"/>
    <col min="157" max="16384" width="14.46484375" style="127"/>
  </cols>
  <sheetData>
    <row r="1" spans="1:157" ht="13.15">
      <c r="A1" s="124" t="s">
        <v>0</v>
      </c>
      <c r="B1" s="125" t="s">
        <v>1182</v>
      </c>
      <c r="C1" s="125" t="s">
        <v>1183</v>
      </c>
      <c r="D1" s="125" t="s">
        <v>1184</v>
      </c>
      <c r="E1" s="125" t="s">
        <v>1185</v>
      </c>
      <c r="F1" s="125" t="s">
        <v>1186</v>
      </c>
      <c r="G1" s="125" t="s">
        <v>1187</v>
      </c>
      <c r="H1" s="125" t="s">
        <v>1188</v>
      </c>
      <c r="I1" s="125" t="s">
        <v>1189</v>
      </c>
      <c r="J1" s="125" t="s">
        <v>1190</v>
      </c>
      <c r="K1" s="125" t="s">
        <v>1191</v>
      </c>
      <c r="L1" s="125" t="s">
        <v>1192</v>
      </c>
      <c r="M1" s="125" t="s">
        <v>1193</v>
      </c>
      <c r="N1" s="125" t="s">
        <v>1194</v>
      </c>
      <c r="O1" s="125" t="s">
        <v>1195</v>
      </c>
      <c r="P1" s="125" t="s">
        <v>1196</v>
      </c>
      <c r="Q1" s="125" t="s">
        <v>1197</v>
      </c>
      <c r="R1" s="125" t="s">
        <v>1198</v>
      </c>
      <c r="S1" s="125" t="s">
        <v>1199</v>
      </c>
      <c r="T1" s="125" t="s">
        <v>1200</v>
      </c>
      <c r="U1" s="125" t="s">
        <v>1201</v>
      </c>
      <c r="V1" s="125" t="s">
        <v>1202</v>
      </c>
      <c r="W1" s="125" t="s">
        <v>1203</v>
      </c>
      <c r="X1" s="125" t="s">
        <v>1204</v>
      </c>
      <c r="Y1" s="125" t="s">
        <v>1205</v>
      </c>
      <c r="Z1" s="125" t="s">
        <v>1206</v>
      </c>
      <c r="AA1" s="125" t="s">
        <v>1207</v>
      </c>
      <c r="AB1" s="125" t="s">
        <v>1208</v>
      </c>
      <c r="AC1" s="125" t="s">
        <v>1209</v>
      </c>
      <c r="AD1" s="125" t="s">
        <v>1210</v>
      </c>
      <c r="AE1" s="125" t="s">
        <v>1211</v>
      </c>
      <c r="AF1" s="125" t="s">
        <v>1212</v>
      </c>
      <c r="AG1" s="125" t="s">
        <v>1213</v>
      </c>
      <c r="AH1" s="125" t="s">
        <v>1214</v>
      </c>
      <c r="AI1" s="125" t="s">
        <v>1215</v>
      </c>
      <c r="AJ1" s="125" t="s">
        <v>1216</v>
      </c>
      <c r="AK1" s="125" t="s">
        <v>1217</v>
      </c>
      <c r="AL1" s="125" t="s">
        <v>1218</v>
      </c>
      <c r="AM1" s="125" t="s">
        <v>1219</v>
      </c>
      <c r="AN1" s="126" t="s">
        <v>1220</v>
      </c>
      <c r="AO1" s="125" t="s">
        <v>1221</v>
      </c>
      <c r="AP1" s="125" t="s">
        <v>1222</v>
      </c>
      <c r="AQ1" s="125" t="s">
        <v>1223</v>
      </c>
      <c r="AR1" s="125" t="s">
        <v>1224</v>
      </c>
      <c r="AS1" s="125" t="s">
        <v>1225</v>
      </c>
      <c r="AT1" s="125" t="s">
        <v>1226</v>
      </c>
      <c r="AU1" s="125" t="s">
        <v>1227</v>
      </c>
      <c r="AV1" s="125" t="s">
        <v>1228</v>
      </c>
      <c r="AW1" s="125" t="s">
        <v>1229</v>
      </c>
      <c r="AX1" s="125" t="s">
        <v>1230</v>
      </c>
      <c r="AY1" s="125" t="s">
        <v>1231</v>
      </c>
      <c r="AZ1" s="125" t="s">
        <v>1232</v>
      </c>
      <c r="BA1" s="125" t="s">
        <v>1233</v>
      </c>
      <c r="BB1" s="125" t="s">
        <v>1234</v>
      </c>
      <c r="BC1" s="125" t="s">
        <v>1235</v>
      </c>
      <c r="BD1" s="125" t="s">
        <v>1236</v>
      </c>
      <c r="BE1" s="125" t="s">
        <v>1237</v>
      </c>
      <c r="BF1" s="125" t="s">
        <v>1238</v>
      </c>
      <c r="BG1" s="125" t="s">
        <v>1239</v>
      </c>
      <c r="BH1" s="125" t="s">
        <v>1240</v>
      </c>
      <c r="BI1" s="125" t="s">
        <v>1241</v>
      </c>
      <c r="BJ1" s="125" t="s">
        <v>1242</v>
      </c>
      <c r="BK1" s="125" t="s">
        <v>1243</v>
      </c>
      <c r="BL1" s="125" t="s">
        <v>1244</v>
      </c>
      <c r="BM1" s="125" t="s">
        <v>1245</v>
      </c>
      <c r="BN1" s="125" t="s">
        <v>1246</v>
      </c>
      <c r="BO1" s="125" t="s">
        <v>1247</v>
      </c>
      <c r="BP1" s="125" t="s">
        <v>1248</v>
      </c>
      <c r="BQ1" s="125" t="s">
        <v>1249</v>
      </c>
      <c r="BR1" s="125" t="s">
        <v>1250</v>
      </c>
      <c r="BS1" s="125" t="s">
        <v>1251</v>
      </c>
      <c r="BT1" s="125" t="s">
        <v>1252</v>
      </c>
      <c r="BU1" s="125" t="s">
        <v>1253</v>
      </c>
      <c r="BV1" s="125" t="s">
        <v>1254</v>
      </c>
      <c r="BW1" s="125" t="s">
        <v>1255</v>
      </c>
      <c r="BX1" s="125" t="s">
        <v>1256</v>
      </c>
      <c r="BY1" s="125" t="s">
        <v>1257</v>
      </c>
      <c r="BZ1" s="125" t="s">
        <v>1258</v>
      </c>
      <c r="CA1" s="125" t="s">
        <v>1259</v>
      </c>
      <c r="CB1" s="125" t="s">
        <v>1260</v>
      </c>
      <c r="CC1" s="125" t="s">
        <v>1261</v>
      </c>
      <c r="CD1" s="125" t="s">
        <v>1262</v>
      </c>
      <c r="CE1" s="125" t="s">
        <v>1263</v>
      </c>
      <c r="CF1" s="125" t="s">
        <v>1264</v>
      </c>
      <c r="CG1" s="125" t="s">
        <v>1265</v>
      </c>
      <c r="CH1" s="125" t="s">
        <v>1266</v>
      </c>
      <c r="CI1" s="125" t="s">
        <v>1267</v>
      </c>
      <c r="CJ1" s="125" t="s">
        <v>1268</v>
      </c>
      <c r="CK1" s="125" t="s">
        <v>1269</v>
      </c>
      <c r="CL1" s="125" t="s">
        <v>1270</v>
      </c>
      <c r="CM1" s="125" t="s">
        <v>1271</v>
      </c>
      <c r="CN1" s="125" t="s">
        <v>1272</v>
      </c>
      <c r="CO1" s="125" t="s">
        <v>1273</v>
      </c>
      <c r="CP1" s="125" t="s">
        <v>1274</v>
      </c>
      <c r="CQ1" s="125" t="s">
        <v>1275</v>
      </c>
      <c r="CR1" s="125" t="s">
        <v>1276</v>
      </c>
      <c r="CS1" s="125" t="s">
        <v>1277</v>
      </c>
      <c r="CT1" s="125" t="s">
        <v>1278</v>
      </c>
      <c r="CU1" s="125" t="s">
        <v>1279</v>
      </c>
      <c r="CV1" s="125" t="s">
        <v>1280</v>
      </c>
      <c r="CW1" s="125" t="s">
        <v>1281</v>
      </c>
      <c r="CX1" s="125" t="s">
        <v>1282</v>
      </c>
      <c r="CY1" s="125" t="s">
        <v>1283</v>
      </c>
      <c r="CZ1" s="125" t="s">
        <v>1284</v>
      </c>
      <c r="DA1" s="125" t="s">
        <v>1285</v>
      </c>
      <c r="DB1" s="125" t="s">
        <v>1286</v>
      </c>
      <c r="DC1" s="125" t="s">
        <v>1287</v>
      </c>
      <c r="DD1" s="125" t="s">
        <v>1288</v>
      </c>
      <c r="DE1" s="125" t="s">
        <v>1289</v>
      </c>
      <c r="DF1" s="125" t="s">
        <v>1290</v>
      </c>
      <c r="DG1" s="125" t="s">
        <v>1291</v>
      </c>
      <c r="DH1" s="125" t="s">
        <v>1292</v>
      </c>
      <c r="DI1" s="125" t="s">
        <v>1293</v>
      </c>
      <c r="DJ1" s="125" t="s">
        <v>1294</v>
      </c>
      <c r="DK1" s="125" t="s">
        <v>1295</v>
      </c>
      <c r="DL1" s="125" t="s">
        <v>1296</v>
      </c>
      <c r="DM1" s="125" t="s">
        <v>1297</v>
      </c>
      <c r="DN1" s="125" t="s">
        <v>1298</v>
      </c>
      <c r="DO1" s="125" t="s">
        <v>1299</v>
      </c>
      <c r="DP1" s="125" t="s">
        <v>1300</v>
      </c>
      <c r="DQ1" s="125" t="s">
        <v>1301</v>
      </c>
      <c r="DR1" s="125" t="s">
        <v>1302</v>
      </c>
      <c r="DS1" s="125" t="s">
        <v>1303</v>
      </c>
      <c r="DT1" s="125" t="s">
        <v>1304</v>
      </c>
      <c r="DU1" s="125" t="s">
        <v>1305</v>
      </c>
      <c r="DV1" s="125" t="s">
        <v>1306</v>
      </c>
      <c r="DW1" s="125" t="s">
        <v>1307</v>
      </c>
      <c r="DX1" s="125" t="s">
        <v>1308</v>
      </c>
      <c r="DY1" s="125" t="s">
        <v>1309</v>
      </c>
      <c r="DZ1" s="125" t="s">
        <v>1310</v>
      </c>
      <c r="EA1" s="125" t="s">
        <v>1311</v>
      </c>
      <c r="EB1" s="125" t="s">
        <v>1312</v>
      </c>
      <c r="EC1" s="125" t="s">
        <v>1313</v>
      </c>
      <c r="ED1" s="125" t="s">
        <v>1314</v>
      </c>
      <c r="EE1" s="125" t="s">
        <v>1315</v>
      </c>
      <c r="EF1" s="125" t="s">
        <v>1316</v>
      </c>
      <c r="EG1" s="125" t="s">
        <v>1317</v>
      </c>
      <c r="EH1" s="125" t="s">
        <v>1318</v>
      </c>
      <c r="EI1" s="125" t="s">
        <v>1319</v>
      </c>
      <c r="EJ1" s="125" t="s">
        <v>1320</v>
      </c>
      <c r="EK1" s="125" t="s">
        <v>1321</v>
      </c>
      <c r="EL1" s="125" t="s">
        <v>1322</v>
      </c>
      <c r="EM1" s="125" t="s">
        <v>1323</v>
      </c>
      <c r="EN1" s="125" t="s">
        <v>1324</v>
      </c>
      <c r="EO1" s="125" t="s">
        <v>1325</v>
      </c>
      <c r="EP1" s="125" t="s">
        <v>1326</v>
      </c>
      <c r="EQ1" s="125" t="s">
        <v>1327</v>
      </c>
      <c r="ER1" s="125" t="s">
        <v>1328</v>
      </c>
      <c r="ES1" s="125" t="s">
        <v>1329</v>
      </c>
      <c r="ET1" s="125" t="s">
        <v>1330</v>
      </c>
      <c r="EU1" s="125" t="s">
        <v>1331</v>
      </c>
      <c r="EV1" s="125" t="s">
        <v>1332</v>
      </c>
      <c r="EW1" s="125" t="s">
        <v>1333</v>
      </c>
      <c r="EX1" s="125" t="s">
        <v>1334</v>
      </c>
      <c r="EY1" s="125" t="s">
        <v>1335</v>
      </c>
      <c r="EZ1" s="125" t="s">
        <v>1336</v>
      </c>
      <c r="FA1" s="125"/>
    </row>
    <row r="2" spans="1:157">
      <c r="A2" s="127">
        <v>76</v>
      </c>
      <c r="B2" s="127">
        <v>6</v>
      </c>
      <c r="C2" s="128" t="s">
        <v>1337</v>
      </c>
      <c r="D2" s="129">
        <v>43726</v>
      </c>
      <c r="E2" s="128" t="s">
        <v>1496</v>
      </c>
      <c r="F2" s="128" t="e">
        <f>IF(E2 &lt;&gt; "", VLOOKUP(E2, '[2]Internal-logic'!G$1:I$364, 2, FALSE),"")</f>
        <v>#N/A</v>
      </c>
      <c r="G2" s="128" t="s">
        <v>1445</v>
      </c>
      <c r="H2" s="128" t="s">
        <v>1339</v>
      </c>
      <c r="I2" s="128" t="s">
        <v>1446</v>
      </c>
      <c r="J2" s="128" t="s">
        <v>1445</v>
      </c>
      <c r="K2" s="128" t="s">
        <v>1445</v>
      </c>
      <c r="L2" s="128">
        <v>1.4999999999999999E-2</v>
      </c>
      <c r="M2" s="128" t="s">
        <v>1342</v>
      </c>
      <c r="N2" s="128" t="s">
        <v>1497</v>
      </c>
      <c r="O2" s="128" t="s">
        <v>656</v>
      </c>
      <c r="P2" s="128" t="s">
        <v>1498</v>
      </c>
      <c r="Q2" s="128">
        <v>70640267</v>
      </c>
      <c r="R2" s="128" t="s">
        <v>1345</v>
      </c>
      <c r="S2" s="128">
        <v>3</v>
      </c>
      <c r="T2" s="128" t="s">
        <v>1499</v>
      </c>
      <c r="U2" s="128">
        <v>2018</v>
      </c>
      <c r="V2" s="127" t="s">
        <v>1500</v>
      </c>
      <c r="W2" s="128" t="s">
        <v>1501</v>
      </c>
      <c r="X2" s="128" t="s">
        <v>1345</v>
      </c>
      <c r="Y2" s="128">
        <v>2018</v>
      </c>
      <c r="Z2" s="128">
        <v>2018</v>
      </c>
      <c r="AA2" s="128">
        <v>187</v>
      </c>
      <c r="AB2" s="128" t="s">
        <v>1383</v>
      </c>
      <c r="AC2" s="128">
        <v>0</v>
      </c>
      <c r="AD2" s="128" t="s">
        <v>1345</v>
      </c>
      <c r="AE2" s="128" t="s">
        <v>1345</v>
      </c>
      <c r="AF2" s="128" t="s">
        <v>1345</v>
      </c>
      <c r="AG2" s="128" t="s">
        <v>1349</v>
      </c>
      <c r="AH2" s="128" t="s">
        <v>1342</v>
      </c>
      <c r="AI2" s="128">
        <v>2010</v>
      </c>
      <c r="AJ2" s="128" t="s">
        <v>1349</v>
      </c>
      <c r="AK2" s="128" t="s">
        <v>1453</v>
      </c>
      <c r="AL2" s="128" t="s">
        <v>1342</v>
      </c>
      <c r="AM2" s="128" t="s">
        <v>1342</v>
      </c>
      <c r="AN2" s="128" t="s">
        <v>1342</v>
      </c>
      <c r="AO2" s="128" t="s">
        <v>1342</v>
      </c>
      <c r="AP2" s="128" t="s">
        <v>1342</v>
      </c>
      <c r="AQ2" s="128" t="s">
        <v>1352</v>
      </c>
      <c r="AR2" s="128" t="s">
        <v>1352</v>
      </c>
      <c r="AS2" s="128" t="s">
        <v>1342</v>
      </c>
      <c r="AT2" s="128" t="s">
        <v>1342</v>
      </c>
      <c r="AU2" s="127">
        <v>9600</v>
      </c>
      <c r="AV2" s="127">
        <v>500</v>
      </c>
      <c r="AW2" s="128" t="s">
        <v>1502</v>
      </c>
      <c r="AX2" s="128" t="s">
        <v>1503</v>
      </c>
      <c r="AY2" s="128" t="s">
        <v>1349</v>
      </c>
      <c r="BB2" s="128" t="s">
        <v>1358</v>
      </c>
      <c r="BC2" s="128" t="s">
        <v>1358</v>
      </c>
      <c r="BD2" s="128" t="s">
        <v>1358</v>
      </c>
      <c r="BE2" s="128" t="s">
        <v>1504</v>
      </c>
      <c r="BF2" s="128" t="s">
        <v>1505</v>
      </c>
      <c r="BH2" s="128" t="s">
        <v>1411</v>
      </c>
      <c r="BK2" s="127" t="s">
        <v>1458</v>
      </c>
      <c r="BL2" s="127" t="s">
        <v>1458</v>
      </c>
      <c r="BN2" s="128"/>
      <c r="BQ2" s="128"/>
      <c r="BR2" s="128"/>
      <c r="BT2" s="128"/>
      <c r="BV2" s="128"/>
      <c r="BX2" s="128"/>
      <c r="CB2" s="127" t="s">
        <v>1364</v>
      </c>
      <c r="CC2" s="127" t="s">
        <v>1364</v>
      </c>
      <c r="CD2" s="127" t="s">
        <v>1364</v>
      </c>
      <c r="CE2" s="127">
        <v>64000</v>
      </c>
      <c r="CF2" s="127">
        <v>84000</v>
      </c>
      <c r="CG2" s="127">
        <v>60000</v>
      </c>
      <c r="CH2" s="127">
        <v>1000</v>
      </c>
      <c r="CI2" s="127">
        <v>1500</v>
      </c>
      <c r="CJ2" s="127">
        <v>2000</v>
      </c>
      <c r="CK2" s="130">
        <v>0</v>
      </c>
      <c r="CL2" s="130">
        <v>0</v>
      </c>
      <c r="CM2" s="130">
        <v>1</v>
      </c>
      <c r="CN2" s="130">
        <v>1</v>
      </c>
      <c r="CO2" s="127" t="s">
        <v>1506</v>
      </c>
      <c r="CP2" s="127" t="s">
        <v>1507</v>
      </c>
      <c r="CQ2" s="127" t="s">
        <v>1366</v>
      </c>
      <c r="CU2" s="128"/>
      <c r="CW2" s="128"/>
      <c r="DD2" s="127" t="s">
        <v>1508</v>
      </c>
      <c r="DF2" s="127" t="s">
        <v>1509</v>
      </c>
      <c r="DH2" s="127" t="s">
        <v>1510</v>
      </c>
      <c r="DI2" s="127" t="s">
        <v>1511</v>
      </c>
      <c r="DN2" s="128"/>
      <c r="DP2" s="128"/>
      <c r="DR2" s="128" t="s">
        <v>1383</v>
      </c>
      <c r="DS2" s="127" t="s">
        <v>1510</v>
      </c>
      <c r="DV2" s="128"/>
      <c r="DX2" s="128"/>
      <c r="DY2" s="128"/>
      <c r="EA2" s="128"/>
      <c r="EB2" s="128"/>
      <c r="EC2" s="128"/>
      <c r="EG2" s="128" t="s">
        <v>1383</v>
      </c>
      <c r="EH2" s="127" t="s">
        <v>1512</v>
      </c>
      <c r="EI2" s="127" t="s">
        <v>1513</v>
      </c>
      <c r="EJ2" s="127" t="s">
        <v>1514</v>
      </c>
      <c r="EL2" s="128" t="s">
        <v>1416</v>
      </c>
      <c r="EM2" s="128">
        <v>5</v>
      </c>
      <c r="EN2" s="127" t="s">
        <v>1515</v>
      </c>
      <c r="EO2" s="128">
        <v>5</v>
      </c>
      <c r="EP2" s="127" t="s">
        <v>1516</v>
      </c>
      <c r="EQ2" s="128"/>
      <c r="ES2" s="128"/>
      <c r="EU2" s="128"/>
      <c r="EW2" s="128">
        <v>5</v>
      </c>
      <c r="EX2" s="127" t="s">
        <v>1517</v>
      </c>
      <c r="EY2" s="128">
        <v>1</v>
      </c>
      <c r="EZ2" s="127" t="s">
        <v>1518</v>
      </c>
    </row>
    <row r="3" spans="1:157" ht="15.75" customHeight="1">
      <c r="A3" s="127">
        <v>174</v>
      </c>
      <c r="B3" s="127">
        <v>30</v>
      </c>
      <c r="C3" s="128" t="s">
        <v>1795</v>
      </c>
      <c r="D3" s="129">
        <v>43727</v>
      </c>
      <c r="E3" s="131" t="s">
        <v>2060</v>
      </c>
      <c r="F3" s="128" t="s">
        <v>1728</v>
      </c>
      <c r="G3" s="128" t="s">
        <v>264</v>
      </c>
      <c r="H3" s="128" t="s">
        <v>1690</v>
      </c>
      <c r="I3" s="128" t="s">
        <v>1081</v>
      </c>
      <c r="J3" s="128" t="s">
        <v>264</v>
      </c>
      <c r="K3" s="128" t="s">
        <v>264</v>
      </c>
      <c r="L3" s="128">
        <v>1</v>
      </c>
      <c r="M3" s="128" t="s">
        <v>2027</v>
      </c>
      <c r="N3" s="128" t="s">
        <v>1343</v>
      </c>
      <c r="O3" s="128" t="s">
        <v>592</v>
      </c>
      <c r="P3" s="128" t="s">
        <v>2133</v>
      </c>
      <c r="Q3" s="128"/>
      <c r="R3" s="128" t="s">
        <v>1345</v>
      </c>
      <c r="S3" s="128">
        <v>6</v>
      </c>
      <c r="T3" s="128" t="s">
        <v>1346</v>
      </c>
      <c r="U3" s="128">
        <v>2014</v>
      </c>
      <c r="V3" s="127" t="s">
        <v>2134</v>
      </c>
      <c r="W3" s="128" t="s">
        <v>2135</v>
      </c>
      <c r="X3" s="128" t="s">
        <v>1349</v>
      </c>
      <c r="Y3" s="128"/>
      <c r="Z3" s="128"/>
      <c r="AA3" s="128">
        <v>16</v>
      </c>
      <c r="AB3" s="128" t="s">
        <v>1345</v>
      </c>
      <c r="AC3" s="128">
        <v>1</v>
      </c>
      <c r="AD3" s="128" t="s">
        <v>1345</v>
      </c>
      <c r="AE3" s="128" t="s">
        <v>1349</v>
      </c>
      <c r="AF3" s="128" t="s">
        <v>1349</v>
      </c>
      <c r="AG3" s="128" t="s">
        <v>1349</v>
      </c>
      <c r="AH3" s="128" t="s">
        <v>1358</v>
      </c>
      <c r="AI3" s="128" t="s">
        <v>1935</v>
      </c>
      <c r="AJ3" s="128" t="s">
        <v>1349</v>
      </c>
      <c r="AK3" s="128" t="s">
        <v>2120</v>
      </c>
      <c r="AT3" s="128" t="s">
        <v>1804</v>
      </c>
      <c r="AU3" s="127" t="s">
        <v>2136</v>
      </c>
      <c r="AW3" s="128" t="s">
        <v>2137</v>
      </c>
      <c r="AY3" s="128" t="s">
        <v>1345</v>
      </c>
      <c r="AZ3" s="127" t="s">
        <v>2138</v>
      </c>
      <c r="BA3" s="127" t="s">
        <v>2139</v>
      </c>
      <c r="BB3" s="128" t="s">
        <v>2140</v>
      </c>
      <c r="BE3" s="128" t="s">
        <v>2141</v>
      </c>
      <c r="BH3" s="127" t="s">
        <v>2063</v>
      </c>
      <c r="BN3" s="128" t="s">
        <v>1349</v>
      </c>
      <c r="BQ3" s="128" t="s">
        <v>1345</v>
      </c>
      <c r="BR3" s="128" t="s">
        <v>1345</v>
      </c>
      <c r="BS3" s="128" t="s">
        <v>1358</v>
      </c>
      <c r="BT3" s="128" t="s">
        <v>1345</v>
      </c>
      <c r="BU3" s="128" t="s">
        <v>1804</v>
      </c>
      <c r="BV3" s="128" t="s">
        <v>1349</v>
      </c>
      <c r="BW3" s="128" t="s">
        <v>1358</v>
      </c>
      <c r="BX3" s="128" t="s">
        <v>1345</v>
      </c>
      <c r="BY3" s="128" t="s">
        <v>1362</v>
      </c>
      <c r="BZ3" s="128" t="s">
        <v>2064</v>
      </c>
      <c r="CA3" s="127" t="s">
        <v>2142</v>
      </c>
      <c r="CB3" s="128" t="s">
        <v>1358</v>
      </c>
      <c r="CC3" s="128" t="s">
        <v>1358</v>
      </c>
      <c r="CD3" s="128" t="s">
        <v>1358</v>
      </c>
      <c r="CE3" s="128">
        <v>0</v>
      </c>
      <c r="CF3" s="128">
        <v>100000</v>
      </c>
      <c r="CG3" s="128">
        <v>200000</v>
      </c>
      <c r="CH3" s="128">
        <v>0</v>
      </c>
      <c r="CI3" s="128">
        <v>0</v>
      </c>
      <c r="CJ3" s="128">
        <v>0</v>
      </c>
      <c r="CK3" s="127">
        <v>0</v>
      </c>
      <c r="CU3" s="128"/>
      <c r="CW3" s="128" t="s">
        <v>1345</v>
      </c>
      <c r="CX3" s="127">
        <v>0</v>
      </c>
      <c r="CZ3" s="127" t="s">
        <v>2143</v>
      </c>
      <c r="DA3" s="127" t="s">
        <v>2069</v>
      </c>
      <c r="DB3" s="127" t="s">
        <v>1866</v>
      </c>
      <c r="DC3" s="127" t="s">
        <v>1824</v>
      </c>
      <c r="DD3" s="127" t="s">
        <v>1976</v>
      </c>
      <c r="DE3" s="127" t="s">
        <v>2144</v>
      </c>
      <c r="DF3" s="127" t="s">
        <v>2124</v>
      </c>
      <c r="DG3" s="127" t="s">
        <v>1866</v>
      </c>
      <c r="DI3" s="127" t="s">
        <v>1935</v>
      </c>
      <c r="DL3" s="127" t="s">
        <v>2145</v>
      </c>
      <c r="DN3" s="128" t="s">
        <v>1349</v>
      </c>
      <c r="DO3" s="127" t="s">
        <v>1358</v>
      </c>
      <c r="DP3" s="128" t="s">
        <v>1345</v>
      </c>
      <c r="DQ3" s="127" t="s">
        <v>2146</v>
      </c>
      <c r="DR3" s="128" t="s">
        <v>1345</v>
      </c>
      <c r="DS3" s="127" t="s">
        <v>2147</v>
      </c>
      <c r="DT3" s="128" t="s">
        <v>2148</v>
      </c>
      <c r="DV3" s="128" t="s">
        <v>1345</v>
      </c>
      <c r="DW3" s="127" t="s">
        <v>1866</v>
      </c>
      <c r="DX3" s="128" t="s">
        <v>1345</v>
      </c>
      <c r="DY3" s="128" t="s">
        <v>1349</v>
      </c>
      <c r="DZ3" s="128" t="s">
        <v>2149</v>
      </c>
      <c r="EA3" s="128" t="s">
        <v>1345</v>
      </c>
      <c r="EB3" s="128" t="s">
        <v>1345</v>
      </c>
      <c r="EC3" s="128" t="s">
        <v>1345</v>
      </c>
      <c r="ED3" s="128" t="s">
        <v>2150</v>
      </c>
      <c r="EE3" s="127">
        <v>0.6</v>
      </c>
      <c r="EF3" s="128" t="s">
        <v>2151</v>
      </c>
      <c r="EG3" s="128" t="s">
        <v>1349</v>
      </c>
      <c r="EI3" s="127" t="s">
        <v>2081</v>
      </c>
      <c r="EJ3" s="128" t="s">
        <v>2152</v>
      </c>
      <c r="EK3" s="128" t="s">
        <v>2083</v>
      </c>
      <c r="EL3" s="128" t="s">
        <v>1389</v>
      </c>
      <c r="EM3" s="128">
        <v>4</v>
      </c>
      <c r="EN3" s="128" t="s">
        <v>2153</v>
      </c>
      <c r="EO3" s="128">
        <v>1</v>
      </c>
      <c r="EP3" s="128" t="s">
        <v>2131</v>
      </c>
      <c r="EQ3" s="128">
        <v>3</v>
      </c>
      <c r="ER3" s="128" t="s">
        <v>2154</v>
      </c>
      <c r="ES3" s="128">
        <v>3</v>
      </c>
      <c r="ET3" s="128" t="s">
        <v>2155</v>
      </c>
      <c r="EU3" s="128">
        <v>4</v>
      </c>
      <c r="EV3" s="128" t="s">
        <v>2156</v>
      </c>
      <c r="EW3" s="128">
        <v>3</v>
      </c>
      <c r="EX3" s="127" t="s">
        <v>2157</v>
      </c>
      <c r="EY3" s="128">
        <v>5</v>
      </c>
      <c r="EZ3" s="127" t="s">
        <v>2158</v>
      </c>
    </row>
    <row r="4" spans="1:157">
      <c r="A4" s="127">
        <v>180</v>
      </c>
      <c r="B4" s="132">
        <v>48</v>
      </c>
      <c r="C4" s="133" t="s">
        <v>2278</v>
      </c>
      <c r="D4" s="134">
        <v>43727</v>
      </c>
      <c r="E4" s="133" t="s">
        <v>273</v>
      </c>
      <c r="F4" s="133">
        <v>180</v>
      </c>
      <c r="G4" s="133" t="s">
        <v>167</v>
      </c>
      <c r="H4" s="133" t="s">
        <v>1690</v>
      </c>
      <c r="I4" s="133" t="s">
        <v>1081</v>
      </c>
      <c r="J4" s="133" t="s">
        <v>167</v>
      </c>
      <c r="K4" s="133" t="s">
        <v>2558</v>
      </c>
      <c r="L4" s="133">
        <v>45</v>
      </c>
      <c r="M4" s="133" t="s">
        <v>2393</v>
      </c>
      <c r="N4" s="133" t="s">
        <v>1541</v>
      </c>
      <c r="O4" s="133" t="s">
        <v>813</v>
      </c>
      <c r="P4" s="133" t="s">
        <v>2559</v>
      </c>
      <c r="Q4" s="133" t="s">
        <v>2560</v>
      </c>
      <c r="R4" s="133" t="s">
        <v>1345</v>
      </c>
      <c r="S4" s="133">
        <v>12</v>
      </c>
      <c r="T4" s="133" t="s">
        <v>2285</v>
      </c>
      <c r="U4" s="133">
        <v>1983</v>
      </c>
      <c r="V4" s="133" t="s">
        <v>2561</v>
      </c>
      <c r="W4" s="133" t="s">
        <v>2359</v>
      </c>
      <c r="X4" s="133" t="s">
        <v>1345</v>
      </c>
      <c r="Y4" s="133">
        <v>2018</v>
      </c>
      <c r="Z4" s="133" t="s">
        <v>2288</v>
      </c>
      <c r="AA4" s="133">
        <v>26</v>
      </c>
      <c r="AB4" s="133" t="s">
        <v>1349</v>
      </c>
      <c r="AC4" s="133">
        <v>3</v>
      </c>
      <c r="AD4" s="133" t="s">
        <v>1345</v>
      </c>
      <c r="AE4" s="133" t="s">
        <v>1345</v>
      </c>
      <c r="AF4" s="133" t="s">
        <v>1349</v>
      </c>
      <c r="AG4" s="133" t="s">
        <v>1349</v>
      </c>
      <c r="AH4" s="133" t="s">
        <v>2428</v>
      </c>
      <c r="AI4" s="133">
        <v>1999</v>
      </c>
      <c r="AJ4" s="133" t="s">
        <v>1345</v>
      </c>
      <c r="AK4" s="133" t="s">
        <v>2290</v>
      </c>
      <c r="AL4" s="133" t="s">
        <v>1612</v>
      </c>
      <c r="AM4" s="133" t="s">
        <v>2291</v>
      </c>
      <c r="AN4" s="133" t="s">
        <v>2291</v>
      </c>
      <c r="AO4" s="133" t="s">
        <v>1550</v>
      </c>
      <c r="AP4" s="133" t="s">
        <v>2291</v>
      </c>
      <c r="AQ4" s="133" t="s">
        <v>2291</v>
      </c>
      <c r="AR4" s="133" t="s">
        <v>2291</v>
      </c>
      <c r="AS4" s="133" t="s">
        <v>1802</v>
      </c>
      <c r="AT4" s="133" t="s">
        <v>1358</v>
      </c>
      <c r="AU4" s="133" t="s">
        <v>2562</v>
      </c>
      <c r="AV4" s="133">
        <v>10000</v>
      </c>
      <c r="AW4" s="133" t="s">
        <v>2513</v>
      </c>
      <c r="AX4" s="133" t="s">
        <v>2563</v>
      </c>
      <c r="AY4" s="133" t="s">
        <v>1345</v>
      </c>
      <c r="AZ4" s="133" t="s">
        <v>2564</v>
      </c>
      <c r="BA4" s="133" t="s">
        <v>2361</v>
      </c>
      <c r="BB4" s="133" t="s">
        <v>1667</v>
      </c>
      <c r="BC4" s="133" t="s">
        <v>2289</v>
      </c>
      <c r="BD4" s="133" t="s">
        <v>2289</v>
      </c>
      <c r="BE4" s="133" t="s">
        <v>167</v>
      </c>
      <c r="BF4" s="133" t="s">
        <v>2300</v>
      </c>
      <c r="BG4" s="133" t="s">
        <v>2300</v>
      </c>
      <c r="BH4" s="133">
        <v>4</v>
      </c>
      <c r="BI4" s="133">
        <v>5</v>
      </c>
      <c r="BJ4" s="133">
        <v>5</v>
      </c>
      <c r="BK4" s="133" t="s">
        <v>2405</v>
      </c>
      <c r="BL4" s="133" t="s">
        <v>2405</v>
      </c>
      <c r="BM4" s="133" t="s">
        <v>2405</v>
      </c>
      <c r="BN4" s="133" t="s">
        <v>1345</v>
      </c>
      <c r="BO4" s="133" t="s">
        <v>2565</v>
      </c>
      <c r="BP4" s="133" t="s">
        <v>2566</v>
      </c>
      <c r="BQ4" s="133" t="s">
        <v>1345</v>
      </c>
      <c r="BR4" s="133" t="s">
        <v>1345</v>
      </c>
      <c r="BS4" s="133" t="s">
        <v>1804</v>
      </c>
      <c r="BT4" s="133" t="s">
        <v>1345</v>
      </c>
      <c r="BU4" s="133" t="s">
        <v>2567</v>
      </c>
      <c r="BV4" s="133" t="s">
        <v>1349</v>
      </c>
      <c r="BW4" s="133" t="s">
        <v>2300</v>
      </c>
      <c r="BX4" s="133" t="s">
        <v>1345</v>
      </c>
      <c r="BY4" s="133" t="s">
        <v>2302</v>
      </c>
      <c r="BZ4" s="133" t="s">
        <v>2545</v>
      </c>
      <c r="CA4" s="133" t="s">
        <v>2300</v>
      </c>
      <c r="CB4" s="133" t="s">
        <v>2289</v>
      </c>
      <c r="CC4" s="133" t="s">
        <v>2289</v>
      </c>
      <c r="CD4" s="133" t="s">
        <v>2289</v>
      </c>
      <c r="CE4" s="133">
        <v>840</v>
      </c>
      <c r="CF4" s="133">
        <v>1800</v>
      </c>
      <c r="CG4" s="133">
        <v>2200</v>
      </c>
      <c r="CH4" s="133">
        <v>40</v>
      </c>
      <c r="CI4" s="133">
        <v>80</v>
      </c>
      <c r="CJ4" s="133">
        <v>100</v>
      </c>
      <c r="CK4" s="135">
        <v>0.33</v>
      </c>
      <c r="CL4" s="136">
        <v>0.5</v>
      </c>
      <c r="CM4" s="137" t="s">
        <v>2568</v>
      </c>
      <c r="CN4" s="136">
        <v>0.5</v>
      </c>
      <c r="CO4" s="133" t="s">
        <v>2307</v>
      </c>
      <c r="CP4" s="133" t="s">
        <v>1565</v>
      </c>
      <c r="CQ4" s="133" t="s">
        <v>2308</v>
      </c>
      <c r="CR4" s="133">
        <v>1.5</v>
      </c>
      <c r="CS4" s="133" t="s">
        <v>1360</v>
      </c>
      <c r="CT4" s="133" t="s">
        <v>2569</v>
      </c>
      <c r="CU4" s="133" t="s">
        <v>1345</v>
      </c>
      <c r="CV4" s="133" t="s">
        <v>2407</v>
      </c>
      <c r="CW4" s="133" t="s">
        <v>1345</v>
      </c>
      <c r="CX4" s="132">
        <v>20</v>
      </c>
      <c r="CY4" s="136">
        <v>0.8</v>
      </c>
      <c r="CZ4" s="133" t="s">
        <v>2570</v>
      </c>
      <c r="DA4" s="133" t="s">
        <v>2494</v>
      </c>
      <c r="DB4" s="133" t="s">
        <v>1903</v>
      </c>
      <c r="DC4" s="133" t="s">
        <v>2571</v>
      </c>
      <c r="DD4" s="132" t="s">
        <v>2572</v>
      </c>
      <c r="DE4" s="133" t="s">
        <v>2573</v>
      </c>
      <c r="DF4" s="133" t="s">
        <v>2574</v>
      </c>
      <c r="DG4" s="133" t="s">
        <v>2575</v>
      </c>
      <c r="DH4" s="133" t="s">
        <v>2576</v>
      </c>
      <c r="DI4" s="133" t="s">
        <v>1556</v>
      </c>
      <c r="DJ4" s="133" t="s">
        <v>1556</v>
      </c>
      <c r="DK4" s="133" t="s">
        <v>1556</v>
      </c>
      <c r="DL4" s="133" t="s">
        <v>2577</v>
      </c>
      <c r="DM4" s="133" t="s">
        <v>2578</v>
      </c>
      <c r="DN4" s="133" t="s">
        <v>1345</v>
      </c>
      <c r="DO4" s="133" t="s">
        <v>2579</v>
      </c>
      <c r="DP4" s="133" t="s">
        <v>1345</v>
      </c>
      <c r="DQ4" s="133" t="s">
        <v>2435</v>
      </c>
      <c r="DR4" s="133" t="s">
        <v>1349</v>
      </c>
      <c r="DS4" s="133" t="s">
        <v>2300</v>
      </c>
      <c r="DT4" s="133" t="s">
        <v>2300</v>
      </c>
      <c r="DU4" s="133" t="s">
        <v>2300</v>
      </c>
      <c r="DV4" s="133" t="s">
        <v>1345</v>
      </c>
      <c r="DW4" s="133" t="s">
        <v>2580</v>
      </c>
      <c r="DX4" s="133" t="s">
        <v>1345</v>
      </c>
      <c r="DY4" s="133" t="s">
        <v>1349</v>
      </c>
      <c r="DZ4" s="133" t="s">
        <v>2533</v>
      </c>
      <c r="EA4" s="133" t="s">
        <v>1345</v>
      </c>
      <c r="EB4" s="133" t="s">
        <v>1345</v>
      </c>
      <c r="EC4" s="133" t="s">
        <v>1345</v>
      </c>
      <c r="ED4" s="133" t="s">
        <v>2323</v>
      </c>
      <c r="EE4" s="132">
        <v>0.3</v>
      </c>
      <c r="EF4" s="133" t="s">
        <v>2370</v>
      </c>
      <c r="EG4" s="133" t="s">
        <v>1345</v>
      </c>
      <c r="EH4" s="133" t="s">
        <v>2325</v>
      </c>
      <c r="EI4" s="133" t="s">
        <v>2326</v>
      </c>
      <c r="EJ4" s="132" t="s">
        <v>2327</v>
      </c>
      <c r="EK4" s="133" t="s">
        <v>2419</v>
      </c>
      <c r="EL4" s="133" t="s">
        <v>1389</v>
      </c>
      <c r="EM4" s="133">
        <v>5</v>
      </c>
      <c r="EN4" s="133" t="s">
        <v>2581</v>
      </c>
      <c r="EO4" s="133">
        <v>5</v>
      </c>
      <c r="EP4" s="133" t="s">
        <v>2582</v>
      </c>
      <c r="EQ4" s="133">
        <v>4</v>
      </c>
      <c r="ER4" s="132" t="s">
        <v>2331</v>
      </c>
      <c r="ES4" s="133">
        <v>5</v>
      </c>
      <c r="ET4" s="132" t="s">
        <v>2583</v>
      </c>
      <c r="EU4" s="133">
        <v>4</v>
      </c>
      <c r="EV4" s="132" t="s">
        <v>2508</v>
      </c>
      <c r="EW4" s="133">
        <v>2</v>
      </c>
      <c r="EX4" s="132" t="s">
        <v>2423</v>
      </c>
      <c r="EY4" s="133">
        <v>1</v>
      </c>
      <c r="EZ4" s="132" t="s">
        <v>2424</v>
      </c>
    </row>
    <row r="5" spans="1:157">
      <c r="A5" s="127">
        <v>282</v>
      </c>
      <c r="B5" s="127">
        <v>33</v>
      </c>
      <c r="C5" s="128" t="s">
        <v>1795</v>
      </c>
      <c r="D5" s="129">
        <v>43731</v>
      </c>
      <c r="E5" s="128" t="s">
        <v>410</v>
      </c>
      <c r="F5" s="128">
        <f>IF(E5 &lt;&gt; "", VLOOKUP(E5, '[9]Internal-logic'!G$1:I$364, 2, FALSE),"")</f>
        <v>282</v>
      </c>
      <c r="G5" s="128" t="str">
        <f>IF(E5 &lt;&gt; "", VLOOKUP(E5, '[9]Internal-logic'!G$1:I$364, 3, FALSE),"")</f>
        <v>Gaoua</v>
      </c>
      <c r="H5" s="128" t="s">
        <v>2189</v>
      </c>
      <c r="I5" s="128" t="s">
        <v>1081</v>
      </c>
      <c r="J5" s="128" t="s">
        <v>156</v>
      </c>
      <c r="K5" s="128" t="s">
        <v>156</v>
      </c>
      <c r="L5" s="128">
        <v>0.05</v>
      </c>
      <c r="M5" s="128" t="s">
        <v>2190</v>
      </c>
      <c r="N5" s="128" t="s">
        <v>1343</v>
      </c>
      <c r="O5" s="128" t="s">
        <v>2191</v>
      </c>
      <c r="P5" s="128" t="s">
        <v>528</v>
      </c>
      <c r="Q5" s="128">
        <v>70743709</v>
      </c>
      <c r="R5" s="128" t="s">
        <v>1345</v>
      </c>
      <c r="S5" s="128">
        <v>7</v>
      </c>
      <c r="T5" s="128" t="s">
        <v>1920</v>
      </c>
      <c r="U5" s="128">
        <v>2000</v>
      </c>
      <c r="V5" s="127" t="s">
        <v>2192</v>
      </c>
      <c r="W5" s="128" t="s">
        <v>2193</v>
      </c>
      <c r="X5" s="128" t="s">
        <v>1349</v>
      </c>
      <c r="Y5" s="128"/>
      <c r="Z5" s="128"/>
      <c r="AA5" s="128">
        <v>23</v>
      </c>
      <c r="AB5" s="128" t="s">
        <v>1345</v>
      </c>
      <c r="AC5" s="128">
        <v>1</v>
      </c>
      <c r="AD5" s="128" t="s">
        <v>1349</v>
      </c>
      <c r="AE5" s="128" t="s">
        <v>1345</v>
      </c>
      <c r="AF5" s="128" t="s">
        <v>1345</v>
      </c>
      <c r="AG5" s="128" t="s">
        <v>1345</v>
      </c>
      <c r="AH5" s="128" t="s">
        <v>1358</v>
      </c>
      <c r="AI5" s="128">
        <v>2000</v>
      </c>
      <c r="AJ5" s="128" t="s">
        <v>1349</v>
      </c>
      <c r="AK5" s="128" t="s">
        <v>2194</v>
      </c>
      <c r="AL5" s="128"/>
      <c r="AM5" s="128"/>
      <c r="AN5" s="128"/>
      <c r="AO5" s="128"/>
      <c r="AP5" s="128"/>
      <c r="AQ5" s="128" t="s">
        <v>1352</v>
      </c>
      <c r="AR5" s="128" t="s">
        <v>1352</v>
      </c>
      <c r="AS5" s="128"/>
      <c r="AT5" s="128"/>
      <c r="AU5" s="128" t="s">
        <v>1805</v>
      </c>
      <c r="AV5" s="128">
        <v>700</v>
      </c>
      <c r="AW5" s="127" t="s">
        <v>1807</v>
      </c>
      <c r="AX5" s="127" t="s">
        <v>2033</v>
      </c>
      <c r="AY5" s="128" t="s">
        <v>1349</v>
      </c>
      <c r="BB5" s="127" t="s">
        <v>1358</v>
      </c>
      <c r="BC5" s="127" t="s">
        <v>1358</v>
      </c>
      <c r="BD5" s="127" t="s">
        <v>1358</v>
      </c>
      <c r="BE5" s="127" t="s">
        <v>2195</v>
      </c>
      <c r="BH5" s="127" t="s">
        <v>2196</v>
      </c>
      <c r="BN5" s="128"/>
      <c r="BQ5" s="128" t="s">
        <v>1345</v>
      </c>
      <c r="BR5" s="128" t="s">
        <v>1345</v>
      </c>
      <c r="BS5" s="128" t="s">
        <v>1358</v>
      </c>
      <c r="BT5" s="128" t="s">
        <v>1345</v>
      </c>
      <c r="BU5" s="128" t="s">
        <v>2197</v>
      </c>
      <c r="BV5" s="128"/>
      <c r="BX5" s="128" t="s">
        <v>1345</v>
      </c>
      <c r="BY5" s="128" t="s">
        <v>2167</v>
      </c>
      <c r="BZ5" s="128" t="s">
        <v>2198</v>
      </c>
      <c r="CA5" s="128" t="s">
        <v>2199</v>
      </c>
      <c r="CB5" s="128" t="s">
        <v>1358</v>
      </c>
      <c r="CC5" s="128" t="s">
        <v>1358</v>
      </c>
      <c r="CD5" s="128" t="s">
        <v>1358</v>
      </c>
      <c r="CE5" s="128">
        <v>0</v>
      </c>
      <c r="CF5" s="128">
        <v>0</v>
      </c>
      <c r="CG5" s="128">
        <v>0</v>
      </c>
      <c r="CH5" s="128" t="s">
        <v>1866</v>
      </c>
      <c r="CI5" s="128">
        <v>750</v>
      </c>
      <c r="CJ5" s="128" t="s">
        <v>1904</v>
      </c>
      <c r="CK5" s="128">
        <v>0</v>
      </c>
      <c r="CL5" s="130">
        <v>0</v>
      </c>
      <c r="CM5" s="130">
        <v>1</v>
      </c>
      <c r="CN5" s="130">
        <v>1</v>
      </c>
      <c r="CO5" s="127" t="s">
        <v>1816</v>
      </c>
      <c r="CP5" s="127" t="s">
        <v>1358</v>
      </c>
      <c r="CQ5" s="127" t="s">
        <v>1817</v>
      </c>
      <c r="CR5" s="127">
        <v>1.5</v>
      </c>
      <c r="CS5" s="127" t="s">
        <v>1741</v>
      </c>
      <c r="CT5" s="127" t="s">
        <v>2200</v>
      </c>
      <c r="CU5" s="128" t="s">
        <v>1349</v>
      </c>
      <c r="CV5" s="127" t="s">
        <v>2201</v>
      </c>
      <c r="CW5" s="128" t="s">
        <v>1349</v>
      </c>
      <c r="CX5" s="127" t="s">
        <v>2202</v>
      </c>
      <c r="DD5" s="127" t="s">
        <v>2203</v>
      </c>
      <c r="DE5" s="127" t="s">
        <v>1976</v>
      </c>
      <c r="DF5" s="127" t="s">
        <v>2204</v>
      </c>
      <c r="DG5" s="127" t="s">
        <v>1866</v>
      </c>
      <c r="DM5" s="127" t="s">
        <v>2015</v>
      </c>
      <c r="DN5" s="128" t="s">
        <v>1349</v>
      </c>
      <c r="DO5" s="127" t="s">
        <v>1358</v>
      </c>
      <c r="DP5" s="128" t="s">
        <v>1345</v>
      </c>
      <c r="DQ5" s="127" t="s">
        <v>2108</v>
      </c>
      <c r="DR5" s="128" t="s">
        <v>1349</v>
      </c>
      <c r="DV5" s="128" t="s">
        <v>1345</v>
      </c>
      <c r="DW5" s="127" t="s">
        <v>1866</v>
      </c>
      <c r="DX5" s="128" t="s">
        <v>1345</v>
      </c>
      <c r="DY5" s="128" t="s">
        <v>1349</v>
      </c>
      <c r="DZ5" s="128" t="s">
        <v>2205</v>
      </c>
      <c r="EA5" s="128" t="s">
        <v>1345</v>
      </c>
      <c r="EB5" s="128" t="s">
        <v>1345</v>
      </c>
      <c r="EC5" s="128" t="s">
        <v>1345</v>
      </c>
      <c r="ED5" s="128" t="s">
        <v>1835</v>
      </c>
      <c r="EE5" s="128" t="s">
        <v>2206</v>
      </c>
      <c r="EF5" s="128" t="s">
        <v>1836</v>
      </c>
      <c r="EG5" s="128" t="s">
        <v>1349</v>
      </c>
      <c r="EI5" s="128" t="s">
        <v>2207</v>
      </c>
      <c r="EJ5" s="128" t="s">
        <v>2208</v>
      </c>
      <c r="EK5" s="128" t="s">
        <v>1373</v>
      </c>
      <c r="EL5" s="128" t="s">
        <v>1389</v>
      </c>
      <c r="EM5" s="128">
        <v>4</v>
      </c>
      <c r="EN5" s="128" t="s">
        <v>2209</v>
      </c>
      <c r="EO5" s="128">
        <v>4</v>
      </c>
      <c r="EP5" s="128" t="s">
        <v>2210</v>
      </c>
      <c r="EQ5" s="128">
        <v>2</v>
      </c>
      <c r="ER5" s="128" t="s">
        <v>2211</v>
      </c>
      <c r="ES5" s="128">
        <v>4</v>
      </c>
      <c r="ET5" s="127" t="s">
        <v>2212</v>
      </c>
      <c r="EU5" s="128">
        <v>4</v>
      </c>
      <c r="EV5" s="127" t="s">
        <v>2213</v>
      </c>
      <c r="EW5" s="128">
        <v>3</v>
      </c>
      <c r="EX5" s="127" t="s">
        <v>2214</v>
      </c>
      <c r="EY5" s="128">
        <v>1</v>
      </c>
      <c r="EZ5" s="127" t="s">
        <v>2215</v>
      </c>
    </row>
    <row r="6" spans="1:157">
      <c r="A6" s="127">
        <v>326</v>
      </c>
      <c r="B6" s="127">
        <v>7</v>
      </c>
      <c r="C6" s="128" t="s">
        <v>1337</v>
      </c>
      <c r="D6" s="129">
        <v>43724</v>
      </c>
      <c r="E6" s="128" t="s">
        <v>1519</v>
      </c>
      <c r="F6" s="128" t="e">
        <f>IF(E6 &lt;&gt; "", VLOOKUP(E6, '[2]Internal-logic'!G$1:I$364, 2, FALSE),"")</f>
        <v>#N/A</v>
      </c>
      <c r="G6" s="128" t="s">
        <v>1445</v>
      </c>
      <c r="H6" s="128" t="s">
        <v>1339</v>
      </c>
      <c r="I6" s="128" t="s">
        <v>1446</v>
      </c>
      <c r="J6" s="128" t="s">
        <v>1445</v>
      </c>
      <c r="K6" s="128" t="s">
        <v>1445</v>
      </c>
      <c r="L6" s="128">
        <v>0.03</v>
      </c>
      <c r="M6" s="128" t="s">
        <v>1342</v>
      </c>
      <c r="N6" s="128" t="s">
        <v>1343</v>
      </c>
      <c r="O6" s="128" t="s">
        <v>656</v>
      </c>
      <c r="P6" s="128" t="s">
        <v>1520</v>
      </c>
      <c r="Q6" s="128">
        <v>60883133</v>
      </c>
      <c r="R6" s="128" t="s">
        <v>1345</v>
      </c>
      <c r="S6" s="128">
        <v>3</v>
      </c>
      <c r="T6" s="128" t="s">
        <v>158</v>
      </c>
      <c r="U6" s="128">
        <v>2018</v>
      </c>
      <c r="V6" s="127" t="s">
        <v>1521</v>
      </c>
      <c r="W6" s="128" t="s">
        <v>1522</v>
      </c>
      <c r="X6" s="128" t="s">
        <v>1342</v>
      </c>
      <c r="Y6" s="128"/>
      <c r="Z6" s="128"/>
      <c r="AA6" s="128">
        <v>23</v>
      </c>
      <c r="AB6" s="128" t="s">
        <v>1349</v>
      </c>
      <c r="AC6" s="128">
        <v>0</v>
      </c>
      <c r="AD6" s="128" t="s">
        <v>1345</v>
      </c>
      <c r="AE6" s="128" t="s">
        <v>1345</v>
      </c>
      <c r="AF6" s="128"/>
      <c r="AG6" s="128"/>
      <c r="AI6" s="128" t="s">
        <v>1402</v>
      </c>
      <c r="AJ6" s="128" t="s">
        <v>1349</v>
      </c>
      <c r="AK6" s="128" t="s">
        <v>1358</v>
      </c>
      <c r="AL6" s="128" t="s">
        <v>1351</v>
      </c>
      <c r="AM6" s="128" t="s">
        <v>1351</v>
      </c>
      <c r="AN6" s="128" t="s">
        <v>1351</v>
      </c>
      <c r="AO6" s="128" t="s">
        <v>1351</v>
      </c>
      <c r="AP6" s="128" t="s">
        <v>1351</v>
      </c>
      <c r="AQ6" s="128" t="s">
        <v>1351</v>
      </c>
      <c r="AR6" s="128" t="s">
        <v>1351</v>
      </c>
      <c r="AS6" s="128" t="s">
        <v>1353</v>
      </c>
      <c r="AT6" s="128" t="s">
        <v>1523</v>
      </c>
      <c r="AU6" s="127">
        <v>12000</v>
      </c>
      <c r="AV6" s="127">
        <v>1000</v>
      </c>
      <c r="AW6" s="128" t="s">
        <v>1524</v>
      </c>
      <c r="AX6" s="127" t="s">
        <v>1404</v>
      </c>
      <c r="AY6" s="128" t="s">
        <v>1349</v>
      </c>
      <c r="BB6" s="127" t="s">
        <v>1358</v>
      </c>
      <c r="BC6" s="127" t="s">
        <v>1358</v>
      </c>
      <c r="BD6" s="127" t="s">
        <v>1358</v>
      </c>
      <c r="BE6" s="127" t="s">
        <v>1525</v>
      </c>
      <c r="BF6" s="127" t="s">
        <v>1526</v>
      </c>
      <c r="BH6" s="127">
        <v>5</v>
      </c>
      <c r="BI6" s="127">
        <v>10</v>
      </c>
      <c r="BK6" s="127" t="s">
        <v>1458</v>
      </c>
      <c r="BL6" s="127" t="s">
        <v>1458</v>
      </c>
      <c r="BN6" s="128" t="s">
        <v>1342</v>
      </c>
      <c r="BQ6" s="128" t="s">
        <v>1383</v>
      </c>
      <c r="BR6" s="128" t="s">
        <v>1342</v>
      </c>
      <c r="BS6" s="130">
        <v>0</v>
      </c>
      <c r="BT6" s="128" t="s">
        <v>1383</v>
      </c>
      <c r="BU6" s="128" t="s">
        <v>1527</v>
      </c>
      <c r="BV6" s="128" t="s">
        <v>1342</v>
      </c>
      <c r="BX6" s="128" t="s">
        <v>1342</v>
      </c>
      <c r="CB6" s="127" t="s">
        <v>1364</v>
      </c>
      <c r="CC6" s="127" t="s">
        <v>1364</v>
      </c>
      <c r="CD6" s="127" t="s">
        <v>1364</v>
      </c>
      <c r="CE6" s="127">
        <v>0</v>
      </c>
      <c r="CF6" s="127">
        <v>0</v>
      </c>
      <c r="CG6" s="127">
        <v>0</v>
      </c>
      <c r="CH6" s="127">
        <v>0</v>
      </c>
      <c r="CI6" s="127">
        <v>0</v>
      </c>
      <c r="CJ6" s="127">
        <v>0</v>
      </c>
      <c r="CK6" s="130">
        <v>0</v>
      </c>
      <c r="CL6" s="130">
        <v>0</v>
      </c>
      <c r="CM6" s="130">
        <v>0</v>
      </c>
      <c r="CN6" s="130">
        <v>0</v>
      </c>
      <c r="CO6" s="127" t="s">
        <v>1365</v>
      </c>
      <c r="CP6" s="127" t="s">
        <v>1366</v>
      </c>
      <c r="CQ6" s="127" t="s">
        <v>1367</v>
      </c>
      <c r="CR6" s="127">
        <v>0.5</v>
      </c>
      <c r="CS6" s="127" t="s">
        <v>1360</v>
      </c>
      <c r="CT6" s="127" t="s">
        <v>1369</v>
      </c>
      <c r="CU6" s="128" t="s">
        <v>1345</v>
      </c>
      <c r="CV6" s="127" t="s">
        <v>1528</v>
      </c>
      <c r="CW6" s="128" t="s">
        <v>1345</v>
      </c>
      <c r="CZ6" s="127" t="s">
        <v>1371</v>
      </c>
      <c r="DA6" s="127" t="s">
        <v>1372</v>
      </c>
      <c r="DD6" s="127" t="s">
        <v>1374</v>
      </c>
      <c r="DE6" s="127" t="s">
        <v>1375</v>
      </c>
      <c r="DH6" s="127" t="s">
        <v>1529</v>
      </c>
      <c r="DI6" s="127" t="s">
        <v>1529</v>
      </c>
      <c r="DL6" s="127" t="s">
        <v>1411</v>
      </c>
      <c r="DN6" s="128"/>
      <c r="DO6" s="127" t="s">
        <v>1468</v>
      </c>
      <c r="DP6" s="128" t="s">
        <v>1383</v>
      </c>
      <c r="DR6" s="128" t="s">
        <v>1342</v>
      </c>
      <c r="DT6" s="128" t="s">
        <v>1364</v>
      </c>
      <c r="DU6" s="127" t="s">
        <v>1384</v>
      </c>
      <c r="DV6" s="128"/>
      <c r="DW6" s="127" t="s">
        <v>1530</v>
      </c>
      <c r="DX6" s="128" t="s">
        <v>1383</v>
      </c>
      <c r="DY6" s="128" t="s">
        <v>1342</v>
      </c>
      <c r="DZ6" s="128" t="s">
        <v>1531</v>
      </c>
      <c r="EA6" s="128" t="s">
        <v>1383</v>
      </c>
      <c r="EB6" s="128" t="s">
        <v>1383</v>
      </c>
      <c r="EC6" s="128" t="s">
        <v>1383</v>
      </c>
      <c r="ED6" s="128" t="s">
        <v>1532</v>
      </c>
      <c r="EE6" s="127">
        <v>0.1</v>
      </c>
      <c r="EF6" s="128" t="s">
        <v>1533</v>
      </c>
      <c r="EG6" s="128" t="s">
        <v>1349</v>
      </c>
      <c r="EL6" s="128"/>
      <c r="EM6" s="128">
        <v>2</v>
      </c>
      <c r="EN6" s="127" t="s">
        <v>1534</v>
      </c>
      <c r="EO6" s="128">
        <v>1</v>
      </c>
      <c r="EP6" s="127" t="s">
        <v>1535</v>
      </c>
      <c r="EQ6" s="128">
        <v>2</v>
      </c>
      <c r="ER6" s="127" t="s">
        <v>1439</v>
      </c>
      <c r="ES6" s="128">
        <v>3</v>
      </c>
      <c r="ET6" s="127" t="s">
        <v>1419</v>
      </c>
      <c r="EU6" s="128">
        <v>2</v>
      </c>
      <c r="EV6" s="127" t="s">
        <v>1536</v>
      </c>
      <c r="EW6" s="128">
        <v>5</v>
      </c>
      <c r="EX6" s="127" t="s">
        <v>1537</v>
      </c>
      <c r="EY6" s="128">
        <v>1</v>
      </c>
      <c r="EZ6" s="127" t="s">
        <v>1495</v>
      </c>
    </row>
    <row r="7" spans="1:157" ht="14.55" customHeight="1">
      <c r="A7" s="127">
        <v>335</v>
      </c>
      <c r="B7" s="127">
        <v>10</v>
      </c>
      <c r="C7" s="128" t="s">
        <v>1337</v>
      </c>
      <c r="D7" s="129">
        <v>43726</v>
      </c>
      <c r="E7" s="128" t="s">
        <v>1609</v>
      </c>
      <c r="F7" s="128" t="e">
        <f>IF(E7 &lt;&gt; "", VLOOKUP(E7, '[4]Internal-logic'!G$1:I$364, 2, FALSE),"")</f>
        <v>#N/A</v>
      </c>
      <c r="G7" s="128" t="e">
        <f>IF(E7 &lt;&gt; "", VLOOKUP(E7, '[4]Internal-logic'!G$1:I$364, 3, FALSE),"")</f>
        <v>#N/A</v>
      </c>
      <c r="H7" s="128" t="s">
        <v>1539</v>
      </c>
      <c r="I7" s="128" t="s">
        <v>1069</v>
      </c>
      <c r="J7" s="128" t="s">
        <v>451</v>
      </c>
      <c r="K7" s="128" t="s">
        <v>1540</v>
      </c>
      <c r="L7" s="128">
        <v>0.05</v>
      </c>
      <c r="M7" s="128" t="s">
        <v>1349</v>
      </c>
      <c r="N7" s="127" t="s">
        <v>1541</v>
      </c>
      <c r="O7" s="127" t="s">
        <v>656</v>
      </c>
      <c r="P7" s="128" t="s">
        <v>1610</v>
      </c>
      <c r="Q7" s="128" t="s">
        <v>1611</v>
      </c>
      <c r="R7" s="128" t="s">
        <v>1345</v>
      </c>
      <c r="S7" s="128">
        <v>6</v>
      </c>
      <c r="T7" s="128" t="s">
        <v>1544</v>
      </c>
      <c r="U7" s="128">
        <v>2012</v>
      </c>
      <c r="V7" s="128" t="s">
        <v>1545</v>
      </c>
      <c r="W7" s="128" t="s">
        <v>1546</v>
      </c>
      <c r="X7" s="128" t="s">
        <v>1345</v>
      </c>
      <c r="Y7" s="128">
        <v>2019</v>
      </c>
      <c r="Z7" s="128" t="s">
        <v>1547</v>
      </c>
      <c r="AA7" s="128">
        <v>12</v>
      </c>
      <c r="AB7" s="128" t="s">
        <v>1548</v>
      </c>
      <c r="AC7" s="128">
        <v>0</v>
      </c>
      <c r="AD7" s="128" t="s">
        <v>1345</v>
      </c>
      <c r="AE7" s="128" t="s">
        <v>1345</v>
      </c>
      <c r="AF7" s="128" t="s">
        <v>1349</v>
      </c>
      <c r="AG7" s="128" t="s">
        <v>1349</v>
      </c>
      <c r="AI7" s="128">
        <v>2014</v>
      </c>
      <c r="AJ7" s="128" t="s">
        <v>1345</v>
      </c>
      <c r="AK7" s="128" t="s">
        <v>1549</v>
      </c>
      <c r="AL7" s="128" t="s">
        <v>1612</v>
      </c>
      <c r="AM7" s="127" t="s">
        <v>1351</v>
      </c>
      <c r="AN7" s="127" t="s">
        <v>1351</v>
      </c>
      <c r="AO7" s="127" t="s">
        <v>1351</v>
      </c>
      <c r="AP7" s="127" t="s">
        <v>1351</v>
      </c>
      <c r="AQ7" s="127" t="s">
        <v>1551</v>
      </c>
      <c r="AR7" s="127" t="s">
        <v>1551</v>
      </c>
      <c r="AS7" s="127" t="s">
        <v>1552</v>
      </c>
      <c r="AT7" s="128" t="s">
        <v>1613</v>
      </c>
      <c r="AU7" s="127" t="s">
        <v>1614</v>
      </c>
      <c r="AV7" s="127">
        <v>500</v>
      </c>
      <c r="AW7" s="128" t="s">
        <v>1615</v>
      </c>
      <c r="AX7" s="128" t="s">
        <v>1555</v>
      </c>
      <c r="AY7" s="128" t="s">
        <v>1616</v>
      </c>
      <c r="AZ7" s="127" t="s">
        <v>1617</v>
      </c>
      <c r="BA7" s="128" t="s">
        <v>1618</v>
      </c>
      <c r="BB7" s="128" t="s">
        <v>1557</v>
      </c>
      <c r="BC7" s="128" t="s">
        <v>1557</v>
      </c>
      <c r="BD7" s="128" t="s">
        <v>1557</v>
      </c>
      <c r="BE7" s="128" t="s">
        <v>1619</v>
      </c>
      <c r="BF7" s="128" t="s">
        <v>1619</v>
      </c>
      <c r="BG7" s="128" t="s">
        <v>1619</v>
      </c>
      <c r="BH7" s="128">
        <v>0.5</v>
      </c>
      <c r="BI7" s="128" t="s">
        <v>1556</v>
      </c>
      <c r="BJ7" s="128">
        <v>7</v>
      </c>
      <c r="BK7" s="128" t="s">
        <v>1559</v>
      </c>
      <c r="BL7" s="128" t="s">
        <v>1556</v>
      </c>
      <c r="BM7" s="128" t="s">
        <v>1559</v>
      </c>
      <c r="BN7" s="128" t="s">
        <v>1349</v>
      </c>
      <c r="BO7" s="128" t="s">
        <v>1556</v>
      </c>
      <c r="BP7" s="128" t="s">
        <v>1556</v>
      </c>
      <c r="BQ7" s="128" t="s">
        <v>1345</v>
      </c>
      <c r="BR7" s="128" t="s">
        <v>1349</v>
      </c>
      <c r="BS7" s="128" t="s">
        <v>1349</v>
      </c>
      <c r="BT7" s="128" t="s">
        <v>1345</v>
      </c>
      <c r="BU7" s="128" t="s">
        <v>1620</v>
      </c>
      <c r="BV7" s="128" t="s">
        <v>1349</v>
      </c>
      <c r="BW7" s="128" t="s">
        <v>1556</v>
      </c>
      <c r="BX7" s="128" t="s">
        <v>1345</v>
      </c>
      <c r="BY7" s="128" t="s">
        <v>1561</v>
      </c>
      <c r="BZ7" s="128" t="s">
        <v>1562</v>
      </c>
      <c r="CA7" s="128" t="s">
        <v>1621</v>
      </c>
      <c r="CB7" s="128" t="s">
        <v>1556</v>
      </c>
      <c r="CC7" s="128" t="s">
        <v>1556</v>
      </c>
      <c r="CD7" s="128" t="s">
        <v>1556</v>
      </c>
      <c r="CE7" s="128">
        <v>3600</v>
      </c>
      <c r="CF7" s="128">
        <v>3600</v>
      </c>
      <c r="CG7" s="128">
        <v>4000</v>
      </c>
      <c r="CH7" s="128">
        <v>720</v>
      </c>
      <c r="CI7" s="128">
        <v>720</v>
      </c>
      <c r="CJ7" s="128">
        <v>1800</v>
      </c>
      <c r="CK7" s="130">
        <v>0.4</v>
      </c>
      <c r="CL7" s="130">
        <v>0.4</v>
      </c>
      <c r="CM7" s="130">
        <v>0.6</v>
      </c>
      <c r="CN7" s="130">
        <v>0.6</v>
      </c>
      <c r="CO7" s="127" t="s">
        <v>1564</v>
      </c>
      <c r="CP7" s="127" t="s">
        <v>1565</v>
      </c>
      <c r="CQ7" s="127" t="s">
        <v>1566</v>
      </c>
      <c r="CR7" s="127">
        <v>5</v>
      </c>
      <c r="CS7" s="127" t="s">
        <v>1360</v>
      </c>
      <c r="CT7" s="127" t="s">
        <v>1567</v>
      </c>
      <c r="CU7" s="127" t="s">
        <v>1383</v>
      </c>
      <c r="CV7" s="127" t="s">
        <v>1604</v>
      </c>
      <c r="CW7" s="127" t="s">
        <v>1349</v>
      </c>
      <c r="CX7" s="127" t="s">
        <v>1556</v>
      </c>
      <c r="CY7" s="127" t="s">
        <v>1556</v>
      </c>
      <c r="CZ7" s="127" t="s">
        <v>1569</v>
      </c>
      <c r="DA7" s="127" t="s">
        <v>1556</v>
      </c>
      <c r="DB7" s="127">
        <v>1</v>
      </c>
      <c r="DC7" s="127" t="s">
        <v>1570</v>
      </c>
      <c r="DD7" s="127" t="s">
        <v>1571</v>
      </c>
      <c r="DE7" s="127" t="s">
        <v>1572</v>
      </c>
      <c r="DF7" s="127" t="s">
        <v>1573</v>
      </c>
      <c r="DG7" s="127" t="s">
        <v>1574</v>
      </c>
      <c r="DH7" s="127" t="s">
        <v>1575</v>
      </c>
      <c r="DI7" s="127" t="s">
        <v>1575</v>
      </c>
      <c r="DJ7" s="127" t="s">
        <v>1576</v>
      </c>
      <c r="DK7" s="127" t="s">
        <v>1576</v>
      </c>
      <c r="DL7" s="127" t="s">
        <v>1578</v>
      </c>
      <c r="DM7" s="127" t="s">
        <v>1578</v>
      </c>
      <c r="DP7" s="127" t="s">
        <v>1349</v>
      </c>
      <c r="DQ7" s="127" t="s">
        <v>1579</v>
      </c>
      <c r="DR7" s="127" t="s">
        <v>1383</v>
      </c>
      <c r="DS7" s="127" t="s">
        <v>1578</v>
      </c>
      <c r="DT7" s="127">
        <v>3000</v>
      </c>
      <c r="DU7" s="127" t="s">
        <v>1556</v>
      </c>
      <c r="DV7" s="127" t="s">
        <v>1383</v>
      </c>
      <c r="DW7" s="130">
        <v>0.4</v>
      </c>
      <c r="DX7" s="127" t="s">
        <v>1383</v>
      </c>
      <c r="DY7" s="127" t="s">
        <v>1349</v>
      </c>
      <c r="DZ7" s="127" t="s">
        <v>1580</v>
      </c>
      <c r="EA7" s="127" t="s">
        <v>1383</v>
      </c>
      <c r="EB7" s="128" t="s">
        <v>1383</v>
      </c>
      <c r="EC7" s="127" t="s">
        <v>1383</v>
      </c>
      <c r="ED7" s="127" t="s">
        <v>1605</v>
      </c>
      <c r="EE7" s="127">
        <v>0.6</v>
      </c>
      <c r="EF7" s="128" t="s">
        <v>1606</v>
      </c>
      <c r="EG7" s="127" t="s">
        <v>1383</v>
      </c>
      <c r="EH7" s="127" t="s">
        <v>1583</v>
      </c>
      <c r="EI7" s="127" t="s">
        <v>1584</v>
      </c>
      <c r="EJ7" s="127" t="s">
        <v>1585</v>
      </c>
      <c r="EK7" s="127" t="s">
        <v>1556</v>
      </c>
      <c r="EL7" s="128" t="s">
        <v>1389</v>
      </c>
      <c r="EM7" s="127">
        <v>4</v>
      </c>
      <c r="EN7" s="128" t="s">
        <v>1622</v>
      </c>
      <c r="EO7" s="128">
        <v>5</v>
      </c>
      <c r="EP7" s="128" t="s">
        <v>1587</v>
      </c>
      <c r="EQ7" s="128">
        <v>3</v>
      </c>
      <c r="ER7" s="128" t="s">
        <v>1588</v>
      </c>
      <c r="ES7" s="128">
        <v>5</v>
      </c>
      <c r="ET7" s="128" t="s">
        <v>1589</v>
      </c>
      <c r="EU7" s="128">
        <v>5</v>
      </c>
      <c r="EV7" s="127" t="s">
        <v>1590</v>
      </c>
      <c r="EW7" s="128">
        <v>2</v>
      </c>
      <c r="EX7" s="128" t="s">
        <v>1623</v>
      </c>
      <c r="EY7" s="128">
        <v>5</v>
      </c>
      <c r="EZ7" s="128" t="s">
        <v>1592</v>
      </c>
    </row>
    <row r="8" spans="1:157">
      <c r="A8" s="127">
        <v>337</v>
      </c>
      <c r="B8" s="132">
        <v>43</v>
      </c>
      <c r="C8" s="133" t="s">
        <v>2278</v>
      </c>
      <c r="D8" s="134">
        <v>43721</v>
      </c>
      <c r="E8" s="133" t="s">
        <v>471</v>
      </c>
      <c r="F8" s="133">
        <v>337</v>
      </c>
      <c r="G8" s="133" t="s">
        <v>472</v>
      </c>
      <c r="H8" s="133" t="s">
        <v>1690</v>
      </c>
      <c r="I8" s="133" t="s">
        <v>2279</v>
      </c>
      <c r="J8" s="133" t="s">
        <v>472</v>
      </c>
      <c r="K8" s="133" t="s">
        <v>1097</v>
      </c>
      <c r="L8" s="133">
        <v>1</v>
      </c>
      <c r="M8" s="133" t="s">
        <v>2371</v>
      </c>
      <c r="N8" s="133" t="s">
        <v>1541</v>
      </c>
      <c r="O8" s="133" t="s">
        <v>2440</v>
      </c>
      <c r="P8" s="133" t="s">
        <v>2441</v>
      </c>
      <c r="Q8" s="133" t="s">
        <v>2442</v>
      </c>
      <c r="R8" s="133" t="s">
        <v>1345</v>
      </c>
      <c r="S8" s="133">
        <v>6</v>
      </c>
      <c r="T8" s="133" t="s">
        <v>2285</v>
      </c>
      <c r="U8" s="133">
        <v>2001</v>
      </c>
      <c r="V8" s="133" t="s">
        <v>2443</v>
      </c>
      <c r="W8" s="133" t="s">
        <v>2287</v>
      </c>
      <c r="X8" s="133" t="s">
        <v>1345</v>
      </c>
      <c r="Y8" s="133">
        <v>2018</v>
      </c>
      <c r="Z8" s="133" t="s">
        <v>2288</v>
      </c>
      <c r="AA8" s="133">
        <v>51</v>
      </c>
      <c r="AB8" s="133" t="s">
        <v>1349</v>
      </c>
      <c r="AC8" s="133">
        <v>5</v>
      </c>
      <c r="AD8" s="133" t="s">
        <v>1345</v>
      </c>
      <c r="AE8" s="133" t="s">
        <v>1345</v>
      </c>
      <c r="AF8" s="133" t="s">
        <v>1345</v>
      </c>
      <c r="AG8" s="133" t="s">
        <v>1349</v>
      </c>
      <c r="AH8" s="133" t="s">
        <v>2444</v>
      </c>
      <c r="AI8" s="133">
        <v>2016</v>
      </c>
      <c r="AJ8" s="133" t="s">
        <v>1345</v>
      </c>
      <c r="AK8" s="133" t="s">
        <v>2290</v>
      </c>
      <c r="AL8" s="133" t="s">
        <v>1612</v>
      </c>
      <c r="AM8" s="133" t="s">
        <v>2291</v>
      </c>
      <c r="AN8" s="133" t="s">
        <v>2291</v>
      </c>
      <c r="AO8" s="133" t="s">
        <v>2291</v>
      </c>
      <c r="AP8" s="133" t="s">
        <v>2291</v>
      </c>
      <c r="AQ8" s="133" t="s">
        <v>2291</v>
      </c>
      <c r="AR8" s="133" t="s">
        <v>2291</v>
      </c>
      <c r="AS8" s="133" t="s">
        <v>1802</v>
      </c>
      <c r="AT8" s="133" t="s">
        <v>1358</v>
      </c>
      <c r="AU8" s="133" t="s">
        <v>2445</v>
      </c>
      <c r="AV8" s="133">
        <v>5000</v>
      </c>
      <c r="AW8" s="133" t="s">
        <v>2377</v>
      </c>
      <c r="AX8" s="133" t="s">
        <v>2430</v>
      </c>
      <c r="AY8" s="133" t="s">
        <v>1349</v>
      </c>
      <c r="AZ8" s="133" t="s">
        <v>2446</v>
      </c>
      <c r="BA8" s="133" t="s">
        <v>2361</v>
      </c>
      <c r="BB8" s="133" t="s">
        <v>2062</v>
      </c>
      <c r="BC8" s="133" t="s">
        <v>2346</v>
      </c>
      <c r="BD8" s="133" t="s">
        <v>2297</v>
      </c>
      <c r="BE8" s="133" t="s">
        <v>2447</v>
      </c>
      <c r="BF8" s="133" t="s">
        <v>2300</v>
      </c>
      <c r="BG8" s="133" t="s">
        <v>2300</v>
      </c>
      <c r="BH8" s="133">
        <v>4.5</v>
      </c>
      <c r="BI8" s="133">
        <v>4.5</v>
      </c>
      <c r="BJ8" s="133">
        <v>4.5</v>
      </c>
      <c r="BK8" s="133" t="s">
        <v>1360</v>
      </c>
      <c r="BL8" s="133" t="s">
        <v>1360</v>
      </c>
      <c r="BM8" s="133" t="s">
        <v>1360</v>
      </c>
      <c r="BN8" s="133" t="s">
        <v>1349</v>
      </c>
      <c r="BO8" s="133" t="s">
        <v>2300</v>
      </c>
      <c r="BP8" s="133" t="s">
        <v>2300</v>
      </c>
      <c r="BQ8" s="133" t="s">
        <v>1349</v>
      </c>
      <c r="BR8" s="133" t="s">
        <v>1349</v>
      </c>
      <c r="BS8" s="133" t="s">
        <v>1804</v>
      </c>
      <c r="BT8" s="133" t="s">
        <v>1345</v>
      </c>
      <c r="BU8" s="133" t="s">
        <v>2448</v>
      </c>
      <c r="BV8" s="133" t="s">
        <v>1349</v>
      </c>
      <c r="BW8" s="133" t="s">
        <v>2300</v>
      </c>
      <c r="BX8" s="133" t="s">
        <v>1345</v>
      </c>
      <c r="BY8" s="133" t="s">
        <v>2302</v>
      </c>
      <c r="BZ8" s="133" t="s">
        <v>2449</v>
      </c>
      <c r="CA8" s="133" t="s">
        <v>472</v>
      </c>
      <c r="CB8" s="133" t="s">
        <v>2289</v>
      </c>
      <c r="CC8" s="133" t="s">
        <v>2289</v>
      </c>
      <c r="CD8" s="133" t="s">
        <v>2289</v>
      </c>
      <c r="CE8" s="133">
        <v>0</v>
      </c>
      <c r="CF8" s="133">
        <v>0</v>
      </c>
      <c r="CG8" s="133">
        <v>15300</v>
      </c>
      <c r="CH8" s="133">
        <v>600</v>
      </c>
      <c r="CI8" s="133">
        <v>250</v>
      </c>
      <c r="CJ8" s="133">
        <v>1000</v>
      </c>
      <c r="CK8" s="136">
        <v>1</v>
      </c>
      <c r="CL8" s="136">
        <v>1</v>
      </c>
      <c r="CM8" s="136">
        <v>0</v>
      </c>
      <c r="CN8" s="136">
        <v>0</v>
      </c>
      <c r="CO8" s="133" t="s">
        <v>2307</v>
      </c>
      <c r="CP8" s="133" t="s">
        <v>1565</v>
      </c>
      <c r="CQ8" s="133" t="s">
        <v>2308</v>
      </c>
      <c r="CR8" s="133">
        <v>9</v>
      </c>
      <c r="CS8" s="133" t="s">
        <v>2405</v>
      </c>
      <c r="CT8" s="133" t="s">
        <v>2450</v>
      </c>
      <c r="CU8" s="133" t="s">
        <v>1345</v>
      </c>
      <c r="CV8" s="133" t="s">
        <v>2407</v>
      </c>
      <c r="CW8" s="133" t="s">
        <v>1349</v>
      </c>
      <c r="CX8" s="133" t="s">
        <v>2289</v>
      </c>
      <c r="CY8" s="133" t="s">
        <v>2289</v>
      </c>
      <c r="CZ8" s="133" t="s">
        <v>2311</v>
      </c>
      <c r="DA8" s="133" t="s">
        <v>1358</v>
      </c>
      <c r="DB8" s="133" t="s">
        <v>1903</v>
      </c>
      <c r="DC8" s="133" t="s">
        <v>2312</v>
      </c>
      <c r="DD8" s="132" t="s">
        <v>2349</v>
      </c>
      <c r="DE8" s="133" t="s">
        <v>2350</v>
      </c>
      <c r="DF8" s="133" t="s">
        <v>2315</v>
      </c>
      <c r="DG8" s="133" t="s">
        <v>2316</v>
      </c>
      <c r="DH8" s="133" t="s">
        <v>2317</v>
      </c>
      <c r="DI8" s="133" t="s">
        <v>1556</v>
      </c>
      <c r="DJ8" s="133" t="s">
        <v>1556</v>
      </c>
      <c r="DK8" s="133" t="s">
        <v>1556</v>
      </c>
      <c r="DL8" s="133" t="s">
        <v>2318</v>
      </c>
      <c r="DM8" s="133" t="s">
        <v>2451</v>
      </c>
      <c r="DN8" s="133" t="s">
        <v>1345</v>
      </c>
      <c r="DO8" s="133" t="s">
        <v>2452</v>
      </c>
      <c r="DP8" s="133" t="s">
        <v>1349</v>
      </c>
      <c r="DQ8" s="133" t="s">
        <v>1358</v>
      </c>
      <c r="DR8" s="133" t="s">
        <v>1345</v>
      </c>
      <c r="DS8" s="133" t="s">
        <v>2318</v>
      </c>
      <c r="DT8" s="133">
        <v>15300</v>
      </c>
      <c r="DU8" s="133" t="s">
        <v>2453</v>
      </c>
      <c r="DV8" s="133" t="s">
        <v>1345</v>
      </c>
      <c r="DW8" s="133" t="s">
        <v>2436</v>
      </c>
      <c r="DX8" s="133" t="s">
        <v>1345</v>
      </c>
      <c r="DY8" s="133" t="s">
        <v>1349</v>
      </c>
      <c r="DZ8" s="133" t="s">
        <v>2437</v>
      </c>
      <c r="EA8" s="133" t="s">
        <v>1345</v>
      </c>
      <c r="EB8" s="133" t="s">
        <v>1345</v>
      </c>
      <c r="EC8" s="133" t="s">
        <v>1345</v>
      </c>
      <c r="ED8" s="133" t="s">
        <v>2438</v>
      </c>
      <c r="EE8" s="132">
        <v>0.6</v>
      </c>
      <c r="EF8" s="133" t="s">
        <v>2370</v>
      </c>
      <c r="EG8" s="133" t="s">
        <v>1345</v>
      </c>
      <c r="EH8" s="133" t="s">
        <v>2325</v>
      </c>
      <c r="EI8" s="133" t="s">
        <v>2326</v>
      </c>
      <c r="EJ8" s="132" t="s">
        <v>2327</v>
      </c>
      <c r="EK8" s="133" t="s">
        <v>2354</v>
      </c>
      <c r="EL8" s="133" t="s">
        <v>1389</v>
      </c>
      <c r="EM8" s="133">
        <v>4</v>
      </c>
      <c r="EN8" s="133" t="s">
        <v>2329</v>
      </c>
      <c r="EO8" s="133">
        <v>2</v>
      </c>
      <c r="EP8" s="133" t="s">
        <v>2454</v>
      </c>
      <c r="EQ8" s="133">
        <v>3</v>
      </c>
      <c r="ER8" s="132" t="s">
        <v>2455</v>
      </c>
      <c r="ES8" s="133">
        <v>3</v>
      </c>
      <c r="ET8" s="132" t="s">
        <v>2456</v>
      </c>
      <c r="EU8" s="133">
        <v>4</v>
      </c>
      <c r="EV8" s="132" t="s">
        <v>2333</v>
      </c>
      <c r="EW8" s="133">
        <v>5</v>
      </c>
      <c r="EX8" s="132" t="s">
        <v>2457</v>
      </c>
      <c r="EY8" s="133">
        <v>5</v>
      </c>
      <c r="EZ8" s="132" t="s">
        <v>2335</v>
      </c>
    </row>
    <row r="9" spans="1:157" ht="15" customHeight="1">
      <c r="A9" s="127">
        <v>500</v>
      </c>
      <c r="B9" s="127">
        <v>32</v>
      </c>
      <c r="C9" s="128" t="s">
        <v>1795</v>
      </c>
      <c r="D9" s="129">
        <v>43728</v>
      </c>
      <c r="E9" s="128" t="s">
        <v>2180</v>
      </c>
      <c r="F9" s="128" t="s">
        <v>1728</v>
      </c>
      <c r="G9" s="128" t="s">
        <v>264</v>
      </c>
      <c r="H9" s="128" t="s">
        <v>1690</v>
      </c>
      <c r="I9" s="128" t="s">
        <v>1081</v>
      </c>
      <c r="J9" s="128" t="s">
        <v>264</v>
      </c>
      <c r="K9" s="128" t="s">
        <v>264</v>
      </c>
      <c r="L9" s="128">
        <v>1</v>
      </c>
      <c r="M9" s="128" t="s">
        <v>2181</v>
      </c>
      <c r="N9" s="128" t="s">
        <v>1343</v>
      </c>
      <c r="O9" s="128" t="s">
        <v>2182</v>
      </c>
      <c r="P9" s="128" t="s">
        <v>2183</v>
      </c>
      <c r="Q9" s="128">
        <v>74777812</v>
      </c>
      <c r="R9" s="128" t="s">
        <v>1345</v>
      </c>
      <c r="S9" s="128">
        <v>7</v>
      </c>
      <c r="T9" s="128" t="s">
        <v>1346</v>
      </c>
      <c r="U9" s="128">
        <v>2016</v>
      </c>
      <c r="V9" s="127" t="s">
        <v>2118</v>
      </c>
      <c r="W9" s="128" t="s">
        <v>2119</v>
      </c>
      <c r="X9" s="128" t="s">
        <v>1349</v>
      </c>
      <c r="Y9" s="128"/>
      <c r="Z9" s="128"/>
      <c r="AA9" s="128">
        <v>35</v>
      </c>
      <c r="AB9" s="128" t="s">
        <v>1349</v>
      </c>
      <c r="AC9" s="128">
        <v>0</v>
      </c>
      <c r="AD9" s="128" t="s">
        <v>1345</v>
      </c>
      <c r="AE9" s="128" t="s">
        <v>1349</v>
      </c>
      <c r="AF9" s="128" t="s">
        <v>1349</v>
      </c>
      <c r="AG9" s="128" t="s">
        <v>1349</v>
      </c>
      <c r="AH9" s="128" t="s">
        <v>1358</v>
      </c>
      <c r="AI9" s="128" t="s">
        <v>1935</v>
      </c>
      <c r="AJ9" s="128" t="s">
        <v>1349</v>
      </c>
      <c r="AK9" s="128" t="s">
        <v>2120</v>
      </c>
      <c r="AU9" s="127" t="s">
        <v>1805</v>
      </c>
      <c r="AV9" s="127">
        <v>2000</v>
      </c>
      <c r="AW9" s="127" t="s">
        <v>1807</v>
      </c>
      <c r="AX9" s="127" t="s">
        <v>2033</v>
      </c>
      <c r="AY9" s="128" t="s">
        <v>1349</v>
      </c>
      <c r="BB9" s="127" t="s">
        <v>1358</v>
      </c>
      <c r="BC9" s="127" t="s">
        <v>1358</v>
      </c>
      <c r="BD9" s="127" t="s">
        <v>1358</v>
      </c>
      <c r="BE9" s="127" t="s">
        <v>2165</v>
      </c>
      <c r="BH9" s="127" t="s">
        <v>2063</v>
      </c>
      <c r="BN9" s="128" t="s">
        <v>1349</v>
      </c>
      <c r="BQ9" s="128" t="s">
        <v>1345</v>
      </c>
      <c r="BR9" s="128" t="s">
        <v>1345</v>
      </c>
      <c r="BS9" s="128" t="s">
        <v>1358</v>
      </c>
      <c r="BT9" s="128" t="s">
        <v>1345</v>
      </c>
      <c r="BU9" s="128"/>
      <c r="BV9" s="128"/>
      <c r="BW9" s="128" t="s">
        <v>1358</v>
      </c>
      <c r="BX9" s="128" t="s">
        <v>1345</v>
      </c>
      <c r="BY9" s="128" t="s">
        <v>2167</v>
      </c>
      <c r="BZ9" s="128" t="s">
        <v>2064</v>
      </c>
      <c r="CA9" s="127" t="s">
        <v>2065</v>
      </c>
      <c r="CB9" s="128" t="s">
        <v>1358</v>
      </c>
      <c r="CC9" s="128" t="s">
        <v>1358</v>
      </c>
      <c r="CD9" s="128" t="s">
        <v>1358</v>
      </c>
      <c r="CU9" s="128"/>
      <c r="CW9" s="128" t="s">
        <v>1345</v>
      </c>
      <c r="CX9" s="127">
        <v>0</v>
      </c>
      <c r="CY9" s="130">
        <v>1</v>
      </c>
      <c r="CZ9" s="127" t="s">
        <v>2068</v>
      </c>
      <c r="DA9" s="127" t="s">
        <v>2069</v>
      </c>
      <c r="DD9" s="127" t="s">
        <v>2184</v>
      </c>
      <c r="DE9" s="127" t="s">
        <v>2144</v>
      </c>
      <c r="DF9" s="127" t="s">
        <v>1936</v>
      </c>
      <c r="DG9" s="127" t="s">
        <v>1826</v>
      </c>
      <c r="DH9" s="127" t="s">
        <v>2185</v>
      </c>
      <c r="DL9" s="127" t="s">
        <v>2186</v>
      </c>
      <c r="DM9" s="127" t="s">
        <v>1942</v>
      </c>
      <c r="DN9" s="128" t="s">
        <v>1349</v>
      </c>
      <c r="DO9" s="127" t="s">
        <v>1358</v>
      </c>
      <c r="DP9" s="128" t="s">
        <v>1345</v>
      </c>
      <c r="DQ9" s="127" t="s">
        <v>2170</v>
      </c>
      <c r="DR9" s="128"/>
      <c r="DV9" s="128" t="s">
        <v>1345</v>
      </c>
      <c r="DW9" s="127" t="s">
        <v>2172</v>
      </c>
      <c r="DX9" s="128" t="s">
        <v>1345</v>
      </c>
      <c r="DY9" s="128" t="s">
        <v>1349</v>
      </c>
      <c r="DZ9" s="128" t="s">
        <v>1834</v>
      </c>
      <c r="EA9" s="128" t="s">
        <v>1345</v>
      </c>
      <c r="EB9" s="128" t="s">
        <v>1345</v>
      </c>
      <c r="EC9" s="128" t="s">
        <v>1345</v>
      </c>
      <c r="ED9" s="128" t="s">
        <v>2050</v>
      </c>
      <c r="EF9" s="128" t="s">
        <v>1836</v>
      </c>
      <c r="EG9" s="128"/>
      <c r="EI9" s="138" t="s">
        <v>2187</v>
      </c>
      <c r="EJ9" s="128" t="s">
        <v>2082</v>
      </c>
      <c r="EK9" s="128" t="s">
        <v>2083</v>
      </c>
      <c r="EL9" s="128" t="s">
        <v>1389</v>
      </c>
      <c r="EM9" s="128">
        <v>2</v>
      </c>
      <c r="EN9" s="128" t="s">
        <v>2188</v>
      </c>
      <c r="EO9" s="128">
        <v>1</v>
      </c>
      <c r="EP9" s="128" t="s">
        <v>2131</v>
      </c>
      <c r="EQ9" s="128">
        <v>3</v>
      </c>
      <c r="ER9" s="128" t="s">
        <v>2177</v>
      </c>
      <c r="ES9" s="128">
        <v>3</v>
      </c>
      <c r="ET9" s="128" t="s">
        <v>2155</v>
      </c>
      <c r="EU9" s="128">
        <v>4</v>
      </c>
      <c r="EV9" s="128" t="s">
        <v>1989</v>
      </c>
      <c r="EW9" s="128">
        <v>3</v>
      </c>
      <c r="EX9" s="127" t="s">
        <v>2157</v>
      </c>
      <c r="EY9" s="128">
        <v>1</v>
      </c>
      <c r="EZ9" s="127" t="s">
        <v>2179</v>
      </c>
    </row>
    <row r="10" spans="1:157">
      <c r="A10" s="127">
        <v>501</v>
      </c>
      <c r="B10" s="127">
        <v>16</v>
      </c>
      <c r="C10" s="128" t="s">
        <v>1337</v>
      </c>
      <c r="D10" s="129">
        <v>43727</v>
      </c>
      <c r="E10" s="128" t="s">
        <v>1727</v>
      </c>
      <c r="F10" s="139" t="s">
        <v>1728</v>
      </c>
      <c r="G10" s="139" t="s">
        <v>133</v>
      </c>
      <c r="H10" s="128" t="s">
        <v>1690</v>
      </c>
      <c r="I10" s="128" t="s">
        <v>1069</v>
      </c>
      <c r="J10" s="128" t="s">
        <v>441</v>
      </c>
      <c r="K10" s="128" t="s">
        <v>1691</v>
      </c>
      <c r="L10" s="128">
        <v>0.05</v>
      </c>
      <c r="M10" s="128" t="s">
        <v>1342</v>
      </c>
      <c r="N10" s="128" t="s">
        <v>1343</v>
      </c>
      <c r="O10" s="128" t="s">
        <v>1449</v>
      </c>
      <c r="P10" s="128" t="s">
        <v>1729</v>
      </c>
      <c r="Q10" s="128" t="s">
        <v>1730</v>
      </c>
      <c r="R10" s="128" t="s">
        <v>1345</v>
      </c>
      <c r="S10" s="128">
        <v>3</v>
      </c>
      <c r="T10" s="128" t="s">
        <v>1346</v>
      </c>
      <c r="U10" s="128">
        <v>2002</v>
      </c>
      <c r="V10" s="128" t="s">
        <v>1731</v>
      </c>
      <c r="W10" s="128" t="s">
        <v>1732</v>
      </c>
      <c r="X10" s="128" t="s">
        <v>1349</v>
      </c>
      <c r="Y10" s="128"/>
      <c r="Z10" s="128"/>
      <c r="AA10" s="128">
        <v>10</v>
      </c>
      <c r="AB10" s="128" t="s">
        <v>1349</v>
      </c>
      <c r="AC10" s="128">
        <v>2</v>
      </c>
      <c r="AD10" s="128" t="s">
        <v>1345</v>
      </c>
      <c r="AE10" s="128" t="s">
        <v>1345</v>
      </c>
      <c r="AF10" s="128" t="s">
        <v>1345</v>
      </c>
      <c r="AG10" s="128" t="s">
        <v>1349</v>
      </c>
      <c r="AH10" s="128" t="s">
        <v>1349</v>
      </c>
      <c r="AI10" s="128">
        <v>2016</v>
      </c>
      <c r="AJ10" s="128" t="s">
        <v>1349</v>
      </c>
      <c r="AK10" s="128" t="s">
        <v>1697</v>
      </c>
      <c r="AL10" s="128" t="s">
        <v>1351</v>
      </c>
      <c r="AM10" s="128" t="s">
        <v>1351</v>
      </c>
      <c r="AN10" s="128" t="s">
        <v>1351</v>
      </c>
      <c r="AO10" s="128" t="s">
        <v>1351</v>
      </c>
      <c r="AP10" s="128" t="s">
        <v>1351</v>
      </c>
      <c r="AQ10" s="128" t="s">
        <v>1733</v>
      </c>
      <c r="AR10" s="128" t="s">
        <v>1352</v>
      </c>
      <c r="AS10" s="128" t="s">
        <v>1353</v>
      </c>
      <c r="AT10" s="128" t="s">
        <v>1349</v>
      </c>
      <c r="AU10" s="127" t="s">
        <v>1734</v>
      </c>
      <c r="AV10" s="127">
        <v>2500</v>
      </c>
      <c r="AW10" s="128" t="s">
        <v>1735</v>
      </c>
      <c r="AX10" s="128" t="s">
        <v>1736</v>
      </c>
      <c r="AY10" s="128" t="s">
        <v>1345</v>
      </c>
      <c r="AZ10" s="128" t="s">
        <v>1737</v>
      </c>
      <c r="BA10" s="128" t="s">
        <v>1738</v>
      </c>
      <c r="BB10" s="128" t="s">
        <v>1358</v>
      </c>
      <c r="BC10" s="128" t="s">
        <v>1358</v>
      </c>
      <c r="BD10" s="128" t="s">
        <v>1358</v>
      </c>
      <c r="BE10" s="128" t="s">
        <v>1701</v>
      </c>
      <c r="BF10" s="127" t="s">
        <v>1701</v>
      </c>
      <c r="BG10" s="127" t="s">
        <v>1701</v>
      </c>
      <c r="BH10" s="128">
        <v>3</v>
      </c>
      <c r="BI10" s="128">
        <v>5</v>
      </c>
      <c r="BJ10" s="128"/>
      <c r="BK10" s="128" t="s">
        <v>1702</v>
      </c>
      <c r="BL10" s="128" t="s">
        <v>1458</v>
      </c>
      <c r="BM10" s="128"/>
      <c r="BN10" s="128" t="s">
        <v>1349</v>
      </c>
      <c r="BQ10" s="128" t="s">
        <v>1345</v>
      </c>
      <c r="BR10" s="128" t="s">
        <v>1349</v>
      </c>
      <c r="BS10" s="130">
        <v>0</v>
      </c>
      <c r="BT10" s="128" t="s">
        <v>1345</v>
      </c>
      <c r="BU10" s="128" t="s">
        <v>1739</v>
      </c>
      <c r="BV10" s="128" t="s">
        <v>1349</v>
      </c>
      <c r="BX10" s="128" t="s">
        <v>1345</v>
      </c>
      <c r="BY10" s="128" t="s">
        <v>1362</v>
      </c>
      <c r="BZ10" s="128" t="s">
        <v>1363</v>
      </c>
      <c r="CA10" s="128" t="s">
        <v>1740</v>
      </c>
      <c r="CB10" s="128" t="s">
        <v>1364</v>
      </c>
      <c r="CC10" s="128" t="s">
        <v>1364</v>
      </c>
      <c r="CD10" s="128" t="s">
        <v>1364</v>
      </c>
      <c r="CE10" s="128">
        <v>10000</v>
      </c>
      <c r="CF10" s="128">
        <v>600</v>
      </c>
      <c r="CG10" s="128">
        <v>1500</v>
      </c>
      <c r="CH10" s="128">
        <v>20</v>
      </c>
      <c r="CI10" s="128">
        <v>15</v>
      </c>
      <c r="CJ10" s="128">
        <v>40</v>
      </c>
      <c r="CK10" s="130">
        <v>0.7</v>
      </c>
      <c r="CL10" s="130">
        <v>0.6</v>
      </c>
      <c r="CM10" s="127">
        <v>30</v>
      </c>
      <c r="CN10" s="127">
        <v>40</v>
      </c>
      <c r="CO10" s="127" t="s">
        <v>1365</v>
      </c>
      <c r="CP10" s="127" t="s">
        <v>1366</v>
      </c>
      <c r="CQ10" s="127" t="s">
        <v>1367</v>
      </c>
      <c r="CR10" s="127">
        <v>3</v>
      </c>
      <c r="CS10" s="127" t="s">
        <v>1741</v>
      </c>
      <c r="CT10" s="127" t="s">
        <v>1742</v>
      </c>
      <c r="CU10" s="128" t="s">
        <v>1345</v>
      </c>
      <c r="CV10" s="127" t="s">
        <v>1743</v>
      </c>
      <c r="CW10" s="128" t="s">
        <v>1345</v>
      </c>
      <c r="CX10" s="127">
        <v>10</v>
      </c>
      <c r="CY10" s="127">
        <v>80</v>
      </c>
      <c r="CZ10" s="127" t="s">
        <v>1744</v>
      </c>
      <c r="DA10" s="127" t="s">
        <v>1372</v>
      </c>
      <c r="DB10" s="127">
        <v>5</v>
      </c>
      <c r="DC10" s="127" t="s">
        <v>1373</v>
      </c>
      <c r="DD10" s="127" t="s">
        <v>1374</v>
      </c>
      <c r="DE10" s="127" t="s">
        <v>1375</v>
      </c>
      <c r="DF10" s="127" t="s">
        <v>1712</v>
      </c>
      <c r="DG10" s="140" t="s">
        <v>1713</v>
      </c>
      <c r="DH10" s="127" t="s">
        <v>1745</v>
      </c>
      <c r="DI10" s="127" t="s">
        <v>1381</v>
      </c>
      <c r="DJ10" s="127" t="s">
        <v>1746</v>
      </c>
      <c r="DL10" s="127" t="s">
        <v>1715</v>
      </c>
      <c r="DM10" s="127" t="s">
        <v>1409</v>
      </c>
      <c r="DN10" s="128" t="s">
        <v>1345</v>
      </c>
      <c r="DO10" s="127" t="s">
        <v>1716</v>
      </c>
      <c r="DP10" s="128" t="s">
        <v>1345</v>
      </c>
      <c r="DQ10" s="127" t="s">
        <v>1382</v>
      </c>
      <c r="DR10" s="128" t="s">
        <v>1349</v>
      </c>
      <c r="DT10" s="128" t="s">
        <v>1364</v>
      </c>
      <c r="DU10" s="127" t="s">
        <v>1364</v>
      </c>
      <c r="DV10" s="128" t="s">
        <v>1345</v>
      </c>
      <c r="DW10" s="130" t="s">
        <v>1747</v>
      </c>
      <c r="DX10" s="128" t="s">
        <v>1345</v>
      </c>
      <c r="DY10" s="128" t="s">
        <v>1349</v>
      </c>
      <c r="DZ10" s="128" t="s">
        <v>1748</v>
      </c>
      <c r="EA10" s="128" t="s">
        <v>1345</v>
      </c>
      <c r="EB10" s="128" t="s">
        <v>1345</v>
      </c>
      <c r="EC10" s="128" t="s">
        <v>1345</v>
      </c>
      <c r="ED10" s="128" t="s">
        <v>1749</v>
      </c>
      <c r="EE10" s="127">
        <v>0.2</v>
      </c>
      <c r="EF10" s="128" t="s">
        <v>1750</v>
      </c>
      <c r="EG10" s="128" t="s">
        <v>1349</v>
      </c>
      <c r="EI10" s="128" t="s">
        <v>1751</v>
      </c>
      <c r="EJ10" s="128" t="s">
        <v>1720</v>
      </c>
      <c r="EK10" s="128" t="s">
        <v>1752</v>
      </c>
      <c r="EL10" s="128" t="s">
        <v>1416</v>
      </c>
      <c r="EM10" s="128">
        <v>4</v>
      </c>
      <c r="EN10" s="128" t="s">
        <v>1753</v>
      </c>
      <c r="EO10" s="127">
        <v>2</v>
      </c>
      <c r="EP10" s="128" t="s">
        <v>1754</v>
      </c>
      <c r="EQ10" s="128">
        <v>3</v>
      </c>
      <c r="ER10" s="128" t="s">
        <v>1723</v>
      </c>
      <c r="ES10" s="128">
        <v>4</v>
      </c>
      <c r="ET10" s="128" t="s">
        <v>1724</v>
      </c>
      <c r="EU10" s="128">
        <v>3</v>
      </c>
      <c r="EV10" s="128" t="s">
        <v>1441</v>
      </c>
      <c r="EW10" s="128">
        <v>5</v>
      </c>
      <c r="EX10" s="128" t="s">
        <v>1725</v>
      </c>
      <c r="EY10" s="128">
        <v>1</v>
      </c>
      <c r="EZ10" s="128" t="s">
        <v>1726</v>
      </c>
    </row>
    <row r="11" spans="1:157">
      <c r="A11" s="127">
        <v>502</v>
      </c>
      <c r="B11" s="127">
        <v>17</v>
      </c>
      <c r="C11" s="128" t="s">
        <v>1337</v>
      </c>
      <c r="D11" s="129">
        <v>43727</v>
      </c>
      <c r="E11" s="128" t="s">
        <v>1755</v>
      </c>
      <c r="F11" s="139"/>
      <c r="G11" s="139" t="s">
        <v>133</v>
      </c>
      <c r="H11" s="128" t="s">
        <v>1690</v>
      </c>
      <c r="I11" s="128" t="s">
        <v>1069</v>
      </c>
      <c r="J11" s="128" t="s">
        <v>441</v>
      </c>
      <c r="K11" s="128" t="s">
        <v>1691</v>
      </c>
      <c r="L11" s="128">
        <v>7.0000000000000007E-2</v>
      </c>
      <c r="M11" s="128" t="s">
        <v>1342</v>
      </c>
      <c r="N11" s="128" t="s">
        <v>1692</v>
      </c>
      <c r="O11" s="128" t="s">
        <v>1449</v>
      </c>
      <c r="P11" s="128" t="s">
        <v>1756</v>
      </c>
      <c r="Q11" s="128">
        <v>75287774</v>
      </c>
      <c r="R11" s="128" t="s">
        <v>1345</v>
      </c>
      <c r="S11" s="128">
        <v>3</v>
      </c>
      <c r="T11" s="128" t="s">
        <v>1346</v>
      </c>
      <c r="U11" s="128">
        <v>1992</v>
      </c>
      <c r="V11" s="127" t="s">
        <v>1757</v>
      </c>
      <c r="W11" s="127" t="s">
        <v>1758</v>
      </c>
      <c r="X11" s="128" t="s">
        <v>1349</v>
      </c>
      <c r="Y11" s="128"/>
      <c r="Z11" s="128"/>
      <c r="AA11" s="128">
        <v>9</v>
      </c>
      <c r="AB11" s="128" t="s">
        <v>1349</v>
      </c>
      <c r="AC11" s="128">
        <v>1</v>
      </c>
      <c r="AD11" s="128" t="s">
        <v>1345</v>
      </c>
      <c r="AE11" s="128" t="s">
        <v>1345</v>
      </c>
      <c r="AF11" s="128" t="s">
        <v>1349</v>
      </c>
      <c r="AG11" s="128" t="s">
        <v>1349</v>
      </c>
      <c r="AH11" s="128" t="s">
        <v>1349</v>
      </c>
      <c r="AI11" s="128">
        <v>2016</v>
      </c>
      <c r="AJ11" s="128" t="s">
        <v>1349</v>
      </c>
      <c r="AK11" s="128" t="s">
        <v>1759</v>
      </c>
      <c r="AL11" s="128" t="s">
        <v>1351</v>
      </c>
      <c r="AM11" s="128" t="s">
        <v>1351</v>
      </c>
      <c r="AN11" s="128" t="s">
        <v>1351</v>
      </c>
      <c r="AO11" s="128" t="s">
        <v>1351</v>
      </c>
      <c r="AP11" s="128" t="s">
        <v>1351</v>
      </c>
      <c r="AQ11" s="128" t="s">
        <v>1351</v>
      </c>
      <c r="AR11" s="128" t="s">
        <v>1352</v>
      </c>
      <c r="AS11" s="128" t="s">
        <v>1353</v>
      </c>
      <c r="AT11" s="128" t="s">
        <v>1349</v>
      </c>
      <c r="AU11" s="127">
        <v>18000</v>
      </c>
      <c r="AV11" s="127">
        <v>5000</v>
      </c>
      <c r="AW11" s="128" t="s">
        <v>1760</v>
      </c>
      <c r="AX11" s="128" t="s">
        <v>1761</v>
      </c>
      <c r="AY11" s="128" t="s">
        <v>1349</v>
      </c>
      <c r="BB11" s="128" t="s">
        <v>1358</v>
      </c>
      <c r="BC11" s="128" t="s">
        <v>1358</v>
      </c>
      <c r="BD11" s="128" t="s">
        <v>1358</v>
      </c>
      <c r="BE11" s="128" t="s">
        <v>1762</v>
      </c>
      <c r="BF11" s="128" t="s">
        <v>1762</v>
      </c>
      <c r="BG11" s="127" t="s">
        <v>1762</v>
      </c>
      <c r="BH11" s="128">
        <v>2.5</v>
      </c>
      <c r="BI11" s="128">
        <v>4.5</v>
      </c>
      <c r="BK11" s="128" t="s">
        <v>1702</v>
      </c>
      <c r="BL11" s="128" t="s">
        <v>1703</v>
      </c>
      <c r="BN11" s="128" t="s">
        <v>1349</v>
      </c>
      <c r="BQ11" s="128" t="s">
        <v>1345</v>
      </c>
      <c r="BR11" s="128" t="s">
        <v>1349</v>
      </c>
      <c r="BS11" s="127">
        <v>0</v>
      </c>
      <c r="BT11" s="128" t="s">
        <v>1345</v>
      </c>
      <c r="BU11" s="128" t="s">
        <v>1763</v>
      </c>
      <c r="BV11" s="128" t="s">
        <v>1349</v>
      </c>
      <c r="BX11" s="128" t="s">
        <v>1345</v>
      </c>
      <c r="BY11" s="128" t="s">
        <v>1362</v>
      </c>
      <c r="BZ11" s="128" t="s">
        <v>1363</v>
      </c>
      <c r="CA11" s="128" t="s">
        <v>1701</v>
      </c>
      <c r="CB11" s="128" t="s">
        <v>1364</v>
      </c>
      <c r="CC11" s="128" t="s">
        <v>1364</v>
      </c>
      <c r="CD11" s="128" t="s">
        <v>1364</v>
      </c>
      <c r="CE11" s="128">
        <v>1100</v>
      </c>
      <c r="CF11" s="128">
        <v>450</v>
      </c>
      <c r="CG11" s="128">
        <v>1800</v>
      </c>
      <c r="CH11" s="128">
        <v>25</v>
      </c>
      <c r="CI11" s="127">
        <v>15</v>
      </c>
      <c r="CJ11" s="128">
        <v>35</v>
      </c>
      <c r="CK11" s="130">
        <v>0.8</v>
      </c>
      <c r="CL11" s="130">
        <v>0.8</v>
      </c>
      <c r="CM11" s="130">
        <v>0.2</v>
      </c>
      <c r="CN11" s="130">
        <v>0.2</v>
      </c>
      <c r="CO11" s="127" t="s">
        <v>1365</v>
      </c>
      <c r="CP11" s="127" t="s">
        <v>1366</v>
      </c>
      <c r="CQ11" s="127" t="s">
        <v>1367</v>
      </c>
      <c r="CR11" s="127">
        <v>4</v>
      </c>
      <c r="CS11" s="127" t="s">
        <v>1706</v>
      </c>
      <c r="CT11" s="127" t="s">
        <v>1707</v>
      </c>
      <c r="CU11" s="128" t="s">
        <v>1345</v>
      </c>
      <c r="CV11" s="127" t="s">
        <v>1408</v>
      </c>
      <c r="CW11" s="128" t="s">
        <v>1345</v>
      </c>
      <c r="CX11" s="127">
        <v>10</v>
      </c>
      <c r="CY11" s="127">
        <v>80</v>
      </c>
      <c r="CZ11" s="127" t="s">
        <v>1371</v>
      </c>
      <c r="DA11" s="127" t="s">
        <v>1709</v>
      </c>
      <c r="DB11" s="127">
        <v>9</v>
      </c>
      <c r="DC11" s="127" t="s">
        <v>1710</v>
      </c>
      <c r="DD11" s="127" t="s">
        <v>1711</v>
      </c>
      <c r="DE11" s="127" t="s">
        <v>1764</v>
      </c>
      <c r="DF11" s="127" t="s">
        <v>1712</v>
      </c>
      <c r="DG11" s="127" t="s">
        <v>1713</v>
      </c>
      <c r="DH11" s="127" t="s">
        <v>1714</v>
      </c>
      <c r="DI11" s="127" t="s">
        <v>1381</v>
      </c>
      <c r="DJ11" s="127" t="s">
        <v>1381</v>
      </c>
      <c r="DL11" s="127" t="s">
        <v>1715</v>
      </c>
      <c r="DM11" s="127" t="s">
        <v>1409</v>
      </c>
      <c r="DN11" s="128" t="s">
        <v>1345</v>
      </c>
      <c r="DO11" s="127" t="s">
        <v>1716</v>
      </c>
      <c r="DP11" s="128" t="s">
        <v>1345</v>
      </c>
      <c r="DQ11" s="127" t="s">
        <v>1382</v>
      </c>
      <c r="DR11" s="128" t="s">
        <v>1349</v>
      </c>
      <c r="DT11" s="128" t="s">
        <v>1364</v>
      </c>
      <c r="DU11" s="127" t="s">
        <v>1364</v>
      </c>
      <c r="DV11" s="128" t="s">
        <v>1345</v>
      </c>
      <c r="DW11" s="130" t="s">
        <v>1765</v>
      </c>
      <c r="DX11" s="128" t="s">
        <v>1345</v>
      </c>
      <c r="DY11" s="128" t="s">
        <v>1349</v>
      </c>
      <c r="EA11" s="128" t="s">
        <v>1345</v>
      </c>
      <c r="EB11" s="128" t="s">
        <v>1345</v>
      </c>
      <c r="EC11" s="128" t="s">
        <v>1345</v>
      </c>
      <c r="ED11" s="128" t="s">
        <v>1605</v>
      </c>
      <c r="EE11" s="127">
        <v>0.2</v>
      </c>
      <c r="EF11" s="128" t="s">
        <v>1750</v>
      </c>
      <c r="EG11" s="128" t="s">
        <v>1349</v>
      </c>
      <c r="EI11" s="128" t="s">
        <v>1719</v>
      </c>
      <c r="EJ11" s="128" t="s">
        <v>1766</v>
      </c>
      <c r="EK11" s="128" t="s">
        <v>1752</v>
      </c>
      <c r="EL11" s="128" t="s">
        <v>1416</v>
      </c>
      <c r="EM11" s="127">
        <v>4</v>
      </c>
      <c r="EN11" s="127" t="s">
        <v>1753</v>
      </c>
      <c r="EO11" s="128">
        <v>1</v>
      </c>
      <c r="EP11" s="128" t="s">
        <v>1767</v>
      </c>
      <c r="EQ11" s="128">
        <v>1</v>
      </c>
      <c r="ER11" s="128" t="s">
        <v>1768</v>
      </c>
      <c r="ES11" s="128">
        <v>4</v>
      </c>
      <c r="ET11" s="128" t="s">
        <v>1724</v>
      </c>
      <c r="EU11" s="128">
        <v>3</v>
      </c>
      <c r="EV11" s="128" t="s">
        <v>1441</v>
      </c>
      <c r="EW11" s="128">
        <v>5</v>
      </c>
      <c r="EX11" s="128" t="s">
        <v>1769</v>
      </c>
      <c r="EY11" s="128">
        <v>1</v>
      </c>
      <c r="EZ11" s="128" t="s">
        <v>1726</v>
      </c>
    </row>
    <row r="12" spans="1:157">
      <c r="A12" s="127">
        <v>503</v>
      </c>
      <c r="B12" s="127">
        <v>19</v>
      </c>
      <c r="C12" s="128" t="s">
        <v>1337</v>
      </c>
      <c r="D12" s="129">
        <v>43728</v>
      </c>
      <c r="E12" s="128" t="s">
        <v>1783</v>
      </c>
      <c r="F12" s="139"/>
      <c r="G12" s="139" t="s">
        <v>133</v>
      </c>
      <c r="H12" s="128" t="s">
        <v>1690</v>
      </c>
      <c r="I12" s="128" t="s">
        <v>1069</v>
      </c>
      <c r="J12" s="128" t="s">
        <v>441</v>
      </c>
      <c r="K12" s="128" t="s">
        <v>1691</v>
      </c>
      <c r="L12" s="127">
        <v>7.0000000000000007E-2</v>
      </c>
      <c r="M12" s="128" t="s">
        <v>1342</v>
      </c>
      <c r="N12" s="128" t="s">
        <v>1692</v>
      </c>
      <c r="O12" s="128" t="s">
        <v>1449</v>
      </c>
      <c r="P12" s="128" t="s">
        <v>1784</v>
      </c>
      <c r="Q12" s="128">
        <v>62006571</v>
      </c>
      <c r="R12" s="128" t="s">
        <v>1345</v>
      </c>
      <c r="S12" s="128">
        <v>3</v>
      </c>
      <c r="T12" s="128" t="s">
        <v>1346</v>
      </c>
      <c r="U12" s="128">
        <v>2008</v>
      </c>
      <c r="V12" s="127" t="s">
        <v>1695</v>
      </c>
      <c r="W12" s="127" t="s">
        <v>1758</v>
      </c>
      <c r="X12" s="128" t="s">
        <v>1349</v>
      </c>
      <c r="Y12" s="128"/>
      <c r="Z12" s="128"/>
      <c r="AA12" s="128">
        <v>15</v>
      </c>
      <c r="AB12" s="128" t="s">
        <v>1349</v>
      </c>
      <c r="AC12" s="128">
        <v>1</v>
      </c>
      <c r="AD12" s="128" t="s">
        <v>1345</v>
      </c>
      <c r="AE12" s="128" t="s">
        <v>1345</v>
      </c>
      <c r="AF12" s="128" t="s">
        <v>1345</v>
      </c>
      <c r="AG12" s="128" t="s">
        <v>1349</v>
      </c>
      <c r="AH12" s="128" t="s">
        <v>1342</v>
      </c>
      <c r="AI12" s="128">
        <v>2017</v>
      </c>
      <c r="AJ12" s="128" t="s">
        <v>1349</v>
      </c>
      <c r="AK12" s="128" t="s">
        <v>1697</v>
      </c>
      <c r="AL12" s="128" t="s">
        <v>1351</v>
      </c>
      <c r="AM12" s="128" t="s">
        <v>1351</v>
      </c>
      <c r="AN12" s="128" t="s">
        <v>1351</v>
      </c>
      <c r="AO12" s="128" t="s">
        <v>1351</v>
      </c>
      <c r="AP12" s="128" t="s">
        <v>1351</v>
      </c>
      <c r="AQ12" s="128" t="s">
        <v>1352</v>
      </c>
      <c r="AR12" s="128" t="s">
        <v>1352</v>
      </c>
      <c r="AS12" s="128" t="s">
        <v>1353</v>
      </c>
      <c r="AT12" s="128" t="s">
        <v>1342</v>
      </c>
      <c r="AU12" s="127">
        <v>30000</v>
      </c>
      <c r="AV12" s="127">
        <v>10000</v>
      </c>
      <c r="AW12" s="128" t="s">
        <v>1785</v>
      </c>
      <c r="AX12" s="128" t="s">
        <v>1775</v>
      </c>
      <c r="AY12" s="128" t="s">
        <v>1342</v>
      </c>
      <c r="BB12" s="128" t="s">
        <v>1358</v>
      </c>
      <c r="BC12" s="128" t="s">
        <v>1358</v>
      </c>
      <c r="BD12" s="128" t="s">
        <v>1358</v>
      </c>
      <c r="BE12" s="128" t="s">
        <v>1786</v>
      </c>
      <c r="BF12" s="128" t="s">
        <v>1786</v>
      </c>
      <c r="BG12" s="128" t="s">
        <v>1786</v>
      </c>
      <c r="BH12" s="128">
        <v>3</v>
      </c>
      <c r="BI12" s="128">
        <v>6</v>
      </c>
      <c r="BK12" s="128" t="s">
        <v>1787</v>
      </c>
      <c r="BL12" s="128" t="s">
        <v>1703</v>
      </c>
      <c r="BN12" s="128" t="s">
        <v>1349</v>
      </c>
      <c r="BQ12" s="128" t="s">
        <v>1345</v>
      </c>
      <c r="BR12" s="128" t="s">
        <v>1349</v>
      </c>
      <c r="BS12" s="130">
        <v>0</v>
      </c>
      <c r="BT12" s="128" t="s">
        <v>1345</v>
      </c>
      <c r="BU12" s="128" t="s">
        <v>1788</v>
      </c>
      <c r="BV12" s="128" t="s">
        <v>1349</v>
      </c>
      <c r="BX12" s="128" t="s">
        <v>1345</v>
      </c>
      <c r="BY12" s="128" t="s">
        <v>1362</v>
      </c>
      <c r="BZ12" s="128" t="s">
        <v>1363</v>
      </c>
      <c r="CA12" s="128" t="s">
        <v>1705</v>
      </c>
      <c r="CB12" s="127">
        <v>0</v>
      </c>
      <c r="CC12" s="127">
        <v>0</v>
      </c>
      <c r="CD12" s="127">
        <v>0</v>
      </c>
      <c r="CE12" s="128">
        <v>1000</v>
      </c>
      <c r="CF12" s="128">
        <v>1000</v>
      </c>
      <c r="CG12" s="128">
        <v>1500</v>
      </c>
      <c r="CH12" s="127">
        <v>18</v>
      </c>
      <c r="CI12" s="127">
        <v>15</v>
      </c>
      <c r="CJ12" s="128">
        <v>25</v>
      </c>
      <c r="CK12" s="130">
        <v>0.8</v>
      </c>
      <c r="CL12" s="130">
        <v>0.7</v>
      </c>
      <c r="CM12" s="130">
        <v>0.2</v>
      </c>
      <c r="CN12" s="130">
        <v>0.3</v>
      </c>
      <c r="CO12" s="127" t="s">
        <v>1365</v>
      </c>
      <c r="CP12" s="127" t="s">
        <v>1366</v>
      </c>
      <c r="CQ12" s="127" t="s">
        <v>1367</v>
      </c>
      <c r="CR12" s="127">
        <v>4</v>
      </c>
      <c r="CS12" s="127" t="s">
        <v>1778</v>
      </c>
      <c r="CT12" s="127" t="s">
        <v>1707</v>
      </c>
      <c r="CU12" s="128" t="s">
        <v>1345</v>
      </c>
      <c r="CV12" s="127" t="s">
        <v>1789</v>
      </c>
      <c r="CW12" s="128" t="s">
        <v>1345</v>
      </c>
      <c r="CX12" s="127">
        <v>10</v>
      </c>
      <c r="CY12" s="127">
        <v>70</v>
      </c>
      <c r="CZ12" s="127" t="s">
        <v>1371</v>
      </c>
      <c r="DA12" s="127" t="s">
        <v>1709</v>
      </c>
      <c r="DB12" s="127">
        <v>6</v>
      </c>
      <c r="DC12" s="127" t="s">
        <v>1710</v>
      </c>
      <c r="DD12" s="127" t="s">
        <v>1711</v>
      </c>
      <c r="DE12" s="127" t="s">
        <v>1375</v>
      </c>
      <c r="DF12" s="127" t="s">
        <v>1712</v>
      </c>
      <c r="DG12" s="127" t="s">
        <v>1713</v>
      </c>
      <c r="DH12" s="127" t="s">
        <v>1714</v>
      </c>
      <c r="DI12" s="127" t="s">
        <v>1790</v>
      </c>
      <c r="DJ12" s="127" t="s">
        <v>1381</v>
      </c>
      <c r="DL12" s="127" t="s">
        <v>1715</v>
      </c>
      <c r="DM12" s="127" t="s">
        <v>1409</v>
      </c>
      <c r="DN12" s="128" t="s">
        <v>1345</v>
      </c>
      <c r="DO12" s="127" t="s">
        <v>1716</v>
      </c>
      <c r="DP12" s="128" t="s">
        <v>1345</v>
      </c>
      <c r="DQ12" s="127" t="s">
        <v>1791</v>
      </c>
      <c r="DR12" s="128" t="s">
        <v>1349</v>
      </c>
      <c r="DT12" s="128" t="s">
        <v>1364</v>
      </c>
      <c r="DU12" s="127" t="s">
        <v>1364</v>
      </c>
      <c r="DV12" s="128" t="s">
        <v>1345</v>
      </c>
      <c r="DW12" s="130" t="s">
        <v>1747</v>
      </c>
      <c r="DX12" s="128" t="s">
        <v>1345</v>
      </c>
      <c r="DY12" s="128" t="s">
        <v>1349</v>
      </c>
      <c r="EA12" s="128" t="s">
        <v>1345</v>
      </c>
      <c r="EB12" s="128" t="s">
        <v>1349</v>
      </c>
      <c r="EC12" s="128" t="s">
        <v>1345</v>
      </c>
      <c r="ED12" s="127" t="s">
        <v>1749</v>
      </c>
      <c r="EE12" s="127">
        <v>0.2</v>
      </c>
      <c r="EF12" s="128" t="s">
        <v>1792</v>
      </c>
      <c r="EG12" s="128" t="s">
        <v>1349</v>
      </c>
      <c r="EI12" s="128" t="s">
        <v>1719</v>
      </c>
      <c r="EJ12" s="127" t="s">
        <v>1720</v>
      </c>
      <c r="EK12" s="128" t="s">
        <v>1489</v>
      </c>
      <c r="EL12" s="128" t="s">
        <v>1416</v>
      </c>
      <c r="EM12" s="128">
        <v>1</v>
      </c>
      <c r="EN12" s="128" t="s">
        <v>1793</v>
      </c>
      <c r="EO12" s="128">
        <v>1</v>
      </c>
      <c r="EP12" s="128" t="s">
        <v>1767</v>
      </c>
      <c r="EQ12" s="128">
        <v>1</v>
      </c>
      <c r="ER12" s="128" t="s">
        <v>1768</v>
      </c>
      <c r="ES12" s="128">
        <v>4</v>
      </c>
      <c r="ET12" s="128" t="s">
        <v>1724</v>
      </c>
      <c r="EU12" s="128">
        <v>3</v>
      </c>
      <c r="EV12" s="128" t="s">
        <v>1441</v>
      </c>
      <c r="EW12" s="128">
        <v>5</v>
      </c>
      <c r="EX12" s="128" t="s">
        <v>1794</v>
      </c>
      <c r="EY12" s="128">
        <v>1</v>
      </c>
      <c r="EZ12" s="128" t="s">
        <v>1726</v>
      </c>
    </row>
    <row r="13" spans="1:157">
      <c r="A13" s="127">
        <v>504</v>
      </c>
      <c r="B13" s="127">
        <v>4</v>
      </c>
      <c r="C13" s="128" t="s">
        <v>1337</v>
      </c>
      <c r="D13" s="129">
        <v>43725</v>
      </c>
      <c r="E13" s="128" t="s">
        <v>1444</v>
      </c>
      <c r="F13" s="128" t="e">
        <f>IF(E13 &lt;&gt; "", VLOOKUP(E13, '[2]Internal-logic'!G$1:I$364, 2, FALSE),"")</f>
        <v>#N/A</v>
      </c>
      <c r="G13" s="128" t="s">
        <v>1445</v>
      </c>
      <c r="H13" s="128" t="s">
        <v>1339</v>
      </c>
      <c r="I13" s="128" t="s">
        <v>1446</v>
      </c>
      <c r="J13" s="128" t="s">
        <v>1445</v>
      </c>
      <c r="K13" s="128" t="s">
        <v>1447</v>
      </c>
      <c r="L13" s="128">
        <v>0.7</v>
      </c>
      <c r="M13" s="128" t="s">
        <v>1342</v>
      </c>
      <c r="N13" s="128" t="s">
        <v>1448</v>
      </c>
      <c r="O13" s="128" t="s">
        <v>1449</v>
      </c>
      <c r="P13" s="128" t="s">
        <v>1450</v>
      </c>
      <c r="Q13" s="128">
        <v>71755029</v>
      </c>
      <c r="R13" s="128" t="s">
        <v>1345</v>
      </c>
      <c r="S13" s="128">
        <v>3</v>
      </c>
      <c r="T13" s="128" t="s">
        <v>1346</v>
      </c>
      <c r="U13" s="128">
        <v>2002</v>
      </c>
      <c r="V13" s="127" t="s">
        <v>1451</v>
      </c>
      <c r="W13" s="128" t="s">
        <v>1452</v>
      </c>
      <c r="X13" s="128" t="s">
        <v>1349</v>
      </c>
      <c r="Y13" s="128"/>
      <c r="Z13" s="128"/>
      <c r="AA13" s="128">
        <v>14</v>
      </c>
      <c r="AB13" s="128" t="s">
        <v>1383</v>
      </c>
      <c r="AC13" s="128">
        <v>1</v>
      </c>
      <c r="AD13" s="128" t="s">
        <v>1345</v>
      </c>
      <c r="AE13" s="128" t="s">
        <v>1345</v>
      </c>
      <c r="AF13" s="128" t="s">
        <v>1345</v>
      </c>
      <c r="AG13" s="128" t="s">
        <v>1349</v>
      </c>
      <c r="AH13" s="128" t="s">
        <v>1342</v>
      </c>
      <c r="AI13" s="128">
        <v>2014</v>
      </c>
      <c r="AJ13" s="128" t="s">
        <v>1349</v>
      </c>
      <c r="AK13" s="128" t="s">
        <v>1453</v>
      </c>
      <c r="AL13" s="128" t="s">
        <v>1351</v>
      </c>
      <c r="AM13" s="128" t="s">
        <v>1351</v>
      </c>
      <c r="AN13" s="128" t="s">
        <v>1351</v>
      </c>
      <c r="AO13" s="128" t="s">
        <v>1351</v>
      </c>
      <c r="AP13" s="128" t="s">
        <v>1351</v>
      </c>
      <c r="AQ13" s="128" t="s">
        <v>1352</v>
      </c>
      <c r="AR13" s="128" t="s">
        <v>1352</v>
      </c>
      <c r="AS13" s="128" t="s">
        <v>1353</v>
      </c>
      <c r="AT13" s="128" t="s">
        <v>1342</v>
      </c>
      <c r="AU13" s="128" t="s">
        <v>1358</v>
      </c>
      <c r="AV13" s="128" t="s">
        <v>1454</v>
      </c>
      <c r="AW13" s="128" t="s">
        <v>1455</v>
      </c>
      <c r="AX13" s="127" t="s">
        <v>1456</v>
      </c>
      <c r="AY13" s="128" t="s">
        <v>1349</v>
      </c>
      <c r="BB13" s="127" t="s">
        <v>1358</v>
      </c>
      <c r="BC13" s="127" t="s">
        <v>1358</v>
      </c>
      <c r="BD13" s="127" t="s">
        <v>1358</v>
      </c>
      <c r="BE13" s="127" t="s">
        <v>1457</v>
      </c>
      <c r="BH13" s="127">
        <v>2</v>
      </c>
      <c r="BI13" s="127">
        <v>6</v>
      </c>
      <c r="BK13" s="127" t="s">
        <v>1458</v>
      </c>
      <c r="BL13" s="127" t="s">
        <v>1459</v>
      </c>
      <c r="BN13" s="128" t="s">
        <v>1383</v>
      </c>
      <c r="BO13" s="127" t="s">
        <v>1460</v>
      </c>
      <c r="BP13" s="127" t="s">
        <v>1461</v>
      </c>
      <c r="BQ13" s="128" t="s">
        <v>1345</v>
      </c>
      <c r="BR13" s="128" t="s">
        <v>1345</v>
      </c>
      <c r="BS13" s="130">
        <v>0</v>
      </c>
      <c r="BT13" s="128" t="s">
        <v>1345</v>
      </c>
      <c r="BU13" s="128" t="s">
        <v>1462</v>
      </c>
      <c r="BV13" s="128" t="s">
        <v>1349</v>
      </c>
      <c r="BX13" s="128" t="s">
        <v>1345</v>
      </c>
      <c r="BY13" s="128" t="s">
        <v>1362</v>
      </c>
      <c r="BZ13" s="128" t="s">
        <v>1363</v>
      </c>
      <c r="CA13" s="128" t="s">
        <v>1463</v>
      </c>
      <c r="CB13" s="128" t="s">
        <v>1364</v>
      </c>
      <c r="CC13" s="128" t="s">
        <v>1364</v>
      </c>
      <c r="CD13" s="128" t="s">
        <v>1364</v>
      </c>
      <c r="CE13" s="128">
        <v>1000</v>
      </c>
      <c r="CF13" s="128">
        <v>500</v>
      </c>
      <c r="CG13" s="127">
        <v>1000</v>
      </c>
      <c r="CH13" s="128">
        <v>200</v>
      </c>
      <c r="CI13" s="128">
        <v>300</v>
      </c>
      <c r="CJ13" s="128">
        <v>500</v>
      </c>
      <c r="CK13" s="130">
        <v>0</v>
      </c>
      <c r="CL13" s="141">
        <v>0</v>
      </c>
      <c r="CM13" s="130">
        <v>1</v>
      </c>
      <c r="CN13" s="130">
        <v>1</v>
      </c>
      <c r="CO13" s="127" t="s">
        <v>1365</v>
      </c>
      <c r="CP13" s="127" t="s">
        <v>1465</v>
      </c>
      <c r="CQ13" s="127" t="s">
        <v>1366</v>
      </c>
      <c r="CU13" s="128"/>
      <c r="CW13" s="128" t="s">
        <v>1345</v>
      </c>
      <c r="CX13" s="127">
        <v>10</v>
      </c>
      <c r="CY13" s="130">
        <v>0.8</v>
      </c>
      <c r="CZ13" s="127" t="s">
        <v>1371</v>
      </c>
      <c r="DA13" s="127" t="s">
        <v>1372</v>
      </c>
      <c r="DB13" s="127">
        <v>5</v>
      </c>
      <c r="DC13" s="127" t="s">
        <v>1373</v>
      </c>
      <c r="DD13" s="127" t="s">
        <v>1374</v>
      </c>
      <c r="DE13" s="127" t="s">
        <v>1375</v>
      </c>
      <c r="DF13" s="127" t="s">
        <v>1376</v>
      </c>
      <c r="DG13" s="127" t="s">
        <v>1377</v>
      </c>
      <c r="DH13" s="127" t="s">
        <v>1466</v>
      </c>
      <c r="DI13" s="127" t="s">
        <v>1466</v>
      </c>
      <c r="DL13" s="127" t="s">
        <v>1410</v>
      </c>
      <c r="DM13" s="127" t="s">
        <v>1467</v>
      </c>
      <c r="DN13" s="128" t="s">
        <v>1383</v>
      </c>
      <c r="DO13" s="127" t="s">
        <v>1468</v>
      </c>
      <c r="DP13" s="128" t="s">
        <v>1345</v>
      </c>
      <c r="DQ13" s="127" t="s">
        <v>1412</v>
      </c>
      <c r="DR13" s="128" t="s">
        <v>1342</v>
      </c>
      <c r="DT13" s="128" t="s">
        <v>1364</v>
      </c>
      <c r="DU13" s="127" t="s">
        <v>1384</v>
      </c>
      <c r="DV13" s="128" t="s">
        <v>1345</v>
      </c>
      <c r="DW13" s="127" t="s">
        <v>1385</v>
      </c>
      <c r="DX13" s="128" t="s">
        <v>1342</v>
      </c>
      <c r="DY13" s="128" t="s">
        <v>1349</v>
      </c>
      <c r="EA13" s="128" t="s">
        <v>1342</v>
      </c>
      <c r="EB13" s="128" t="s">
        <v>1342</v>
      </c>
      <c r="EC13" s="128" t="s">
        <v>1342</v>
      </c>
      <c r="ED13" s="128" t="s">
        <v>1469</v>
      </c>
      <c r="EG13" s="128" t="s">
        <v>1349</v>
      </c>
      <c r="EL13" s="128" t="s">
        <v>1389</v>
      </c>
      <c r="EM13" s="128">
        <v>5</v>
      </c>
      <c r="EN13" s="127" t="s">
        <v>1470</v>
      </c>
      <c r="EO13" s="128">
        <v>5</v>
      </c>
      <c r="EP13" s="127" t="s">
        <v>1471</v>
      </c>
      <c r="EQ13" s="128">
        <v>1</v>
      </c>
      <c r="ER13" s="127" t="s">
        <v>1472</v>
      </c>
      <c r="ES13" s="128">
        <v>5</v>
      </c>
      <c r="ET13" s="127" t="s">
        <v>1473</v>
      </c>
      <c r="EU13" s="128">
        <v>2</v>
      </c>
      <c r="EV13" s="127" t="s">
        <v>1474</v>
      </c>
      <c r="EW13" s="128">
        <v>4</v>
      </c>
      <c r="EX13" s="127" t="s">
        <v>1475</v>
      </c>
      <c r="EY13" s="128">
        <v>2</v>
      </c>
      <c r="EZ13" s="127" t="s">
        <v>1476</v>
      </c>
    </row>
    <row r="14" spans="1:157">
      <c r="A14" s="127">
        <v>505</v>
      </c>
      <c r="B14" s="127">
        <v>28</v>
      </c>
      <c r="C14" s="128" t="s">
        <v>1795</v>
      </c>
      <c r="D14" s="129">
        <v>43726</v>
      </c>
      <c r="E14" s="128" t="s">
        <v>2116</v>
      </c>
      <c r="F14" s="128" t="s">
        <v>1728</v>
      </c>
      <c r="G14" s="128" t="s">
        <v>167</v>
      </c>
      <c r="H14" s="128" t="s">
        <v>1690</v>
      </c>
      <c r="I14" s="128" t="s">
        <v>1081</v>
      </c>
      <c r="J14" s="128" t="s">
        <v>167</v>
      </c>
      <c r="K14" s="128" t="s">
        <v>167</v>
      </c>
      <c r="L14" s="128">
        <v>15</v>
      </c>
      <c r="M14" s="128" t="s">
        <v>2092</v>
      </c>
      <c r="N14" s="128" t="s">
        <v>2028</v>
      </c>
      <c r="O14" s="128" t="s">
        <v>1449</v>
      </c>
      <c r="P14" s="128" t="s">
        <v>2117</v>
      </c>
      <c r="Q14" s="128">
        <v>75033905</v>
      </c>
      <c r="R14" s="128" t="s">
        <v>1345</v>
      </c>
      <c r="S14" s="128">
        <v>7</v>
      </c>
      <c r="T14" s="128" t="s">
        <v>1346</v>
      </c>
      <c r="U14" s="128">
        <v>2019</v>
      </c>
      <c r="V14" s="127" t="s">
        <v>2118</v>
      </c>
      <c r="W14" s="128" t="s">
        <v>2119</v>
      </c>
      <c r="X14" s="128" t="s">
        <v>1349</v>
      </c>
      <c r="Y14" s="128"/>
      <c r="Z14" s="128"/>
      <c r="AA14" s="128">
        <v>50</v>
      </c>
      <c r="AB14" s="128" t="s">
        <v>1349</v>
      </c>
      <c r="AC14" s="128">
        <v>0</v>
      </c>
      <c r="AD14" s="128" t="s">
        <v>1345</v>
      </c>
      <c r="AE14" s="128" t="s">
        <v>1349</v>
      </c>
      <c r="AF14" s="128" t="s">
        <v>1349</v>
      </c>
      <c r="AG14" s="128" t="s">
        <v>1349</v>
      </c>
      <c r="AH14" s="128" t="s">
        <v>1358</v>
      </c>
      <c r="AI14" s="128" t="s">
        <v>1935</v>
      </c>
      <c r="AJ14" s="128" t="s">
        <v>1349</v>
      </c>
      <c r="AK14" s="128" t="s">
        <v>2120</v>
      </c>
      <c r="AT14" s="128" t="s">
        <v>1804</v>
      </c>
      <c r="AY14" s="128"/>
      <c r="BB14" s="127" t="s">
        <v>1358</v>
      </c>
      <c r="BC14" s="127" t="s">
        <v>1358</v>
      </c>
      <c r="BD14" s="127" t="s">
        <v>1358</v>
      </c>
      <c r="BE14" s="127" t="s">
        <v>2098</v>
      </c>
      <c r="BH14" s="127" t="s">
        <v>2063</v>
      </c>
      <c r="BN14" s="128" t="s">
        <v>1349</v>
      </c>
      <c r="BQ14" s="128" t="s">
        <v>1345</v>
      </c>
      <c r="BR14" s="128" t="s">
        <v>1345</v>
      </c>
      <c r="BS14" s="128" t="s">
        <v>1358</v>
      </c>
      <c r="BT14" s="128" t="s">
        <v>1345</v>
      </c>
      <c r="BU14" s="128" t="s">
        <v>2100</v>
      </c>
      <c r="BV14" s="128"/>
      <c r="BW14" s="128" t="s">
        <v>1358</v>
      </c>
      <c r="BX14" s="128" t="s">
        <v>1345</v>
      </c>
      <c r="BY14" s="128" t="s">
        <v>1362</v>
      </c>
      <c r="BZ14" s="128" t="s">
        <v>2101</v>
      </c>
      <c r="CA14" s="128" t="s">
        <v>167</v>
      </c>
      <c r="CB14" s="128" t="s">
        <v>1358</v>
      </c>
      <c r="CC14" s="128" t="s">
        <v>1358</v>
      </c>
      <c r="CD14" s="128" t="s">
        <v>1358</v>
      </c>
      <c r="CE14" s="128" t="s">
        <v>1866</v>
      </c>
      <c r="CF14" s="128" t="s">
        <v>1866</v>
      </c>
      <c r="CG14" s="128" t="s">
        <v>1866</v>
      </c>
      <c r="CH14" s="128">
        <v>0</v>
      </c>
      <c r="CI14" s="128">
        <v>0</v>
      </c>
      <c r="CJ14" s="128">
        <v>0</v>
      </c>
      <c r="CK14" s="130">
        <v>0</v>
      </c>
      <c r="CL14" s="130">
        <v>0</v>
      </c>
      <c r="CM14" s="130">
        <v>1</v>
      </c>
      <c r="CN14" s="130">
        <v>1</v>
      </c>
      <c r="CO14" s="127" t="s">
        <v>2067</v>
      </c>
      <c r="CU14" s="128"/>
      <c r="CW14" s="128" t="s">
        <v>1345</v>
      </c>
      <c r="CX14" s="127">
        <v>0</v>
      </c>
      <c r="CY14" s="130">
        <v>1</v>
      </c>
      <c r="CZ14" s="127" t="s">
        <v>2121</v>
      </c>
      <c r="DA14" s="128" t="s">
        <v>2122</v>
      </c>
      <c r="DB14" s="127" t="s">
        <v>2123</v>
      </c>
      <c r="DC14" s="127" t="s">
        <v>2124</v>
      </c>
      <c r="DD14" s="127" t="s">
        <v>1976</v>
      </c>
      <c r="DE14" s="127" t="s">
        <v>1825</v>
      </c>
      <c r="DF14" s="127" t="s">
        <v>1936</v>
      </c>
      <c r="DG14" s="127" t="s">
        <v>1826</v>
      </c>
      <c r="DH14" s="127" t="s">
        <v>1679</v>
      </c>
      <c r="DN14" s="128" t="s">
        <v>1349</v>
      </c>
      <c r="DO14" s="127" t="s">
        <v>2125</v>
      </c>
      <c r="DP14" s="128" t="s">
        <v>1349</v>
      </c>
      <c r="DQ14" s="127" t="s">
        <v>2108</v>
      </c>
      <c r="DR14" s="128" t="s">
        <v>2126</v>
      </c>
      <c r="DS14" s="127" t="s">
        <v>1679</v>
      </c>
      <c r="DT14" s="128" t="s">
        <v>2127</v>
      </c>
      <c r="DV14" s="128" t="s">
        <v>1345</v>
      </c>
      <c r="DW14" s="127" t="s">
        <v>1866</v>
      </c>
      <c r="DX14" s="128" t="s">
        <v>1345</v>
      </c>
      <c r="DY14" s="128" t="s">
        <v>1349</v>
      </c>
      <c r="DZ14" s="128" t="s">
        <v>2079</v>
      </c>
      <c r="EA14" s="128" t="s">
        <v>1345</v>
      </c>
      <c r="EB14" s="128" t="s">
        <v>1345</v>
      </c>
      <c r="EC14" s="128" t="s">
        <v>1345</v>
      </c>
      <c r="ED14" s="128" t="s">
        <v>2050</v>
      </c>
      <c r="EE14" s="127">
        <v>0.6</v>
      </c>
      <c r="EF14" s="128" t="s">
        <v>1836</v>
      </c>
      <c r="EG14" s="128" t="s">
        <v>1345</v>
      </c>
      <c r="EH14" s="128" t="s">
        <v>2128</v>
      </c>
      <c r="EI14" s="128" t="s">
        <v>2129</v>
      </c>
      <c r="EJ14" s="128" t="s">
        <v>2130</v>
      </c>
      <c r="EL14" s="128" t="s">
        <v>1389</v>
      </c>
      <c r="EM14" s="128">
        <v>3</v>
      </c>
      <c r="EN14" s="128" t="s">
        <v>2053</v>
      </c>
      <c r="EO14" s="128">
        <v>1</v>
      </c>
      <c r="EP14" s="128" t="s">
        <v>2131</v>
      </c>
      <c r="EQ14" s="128">
        <v>1</v>
      </c>
      <c r="ER14" s="128" t="s">
        <v>2111</v>
      </c>
      <c r="ES14" s="128"/>
      <c r="ET14" s="128" t="s">
        <v>2087</v>
      </c>
      <c r="EU14" s="128">
        <v>3</v>
      </c>
      <c r="EV14" s="128" t="s">
        <v>2132</v>
      </c>
      <c r="EW14" s="128">
        <v>1</v>
      </c>
      <c r="EX14" s="127" t="s">
        <v>2114</v>
      </c>
      <c r="EY14" s="128">
        <v>1</v>
      </c>
      <c r="EZ14" s="127" t="s">
        <v>2115</v>
      </c>
    </row>
    <row r="15" spans="1:157">
      <c r="A15" s="127">
        <v>506</v>
      </c>
      <c r="B15" s="132">
        <v>45</v>
      </c>
      <c r="C15" s="133" t="s">
        <v>2278</v>
      </c>
      <c r="D15" s="134">
        <v>43724</v>
      </c>
      <c r="E15" s="133" t="s">
        <v>2482</v>
      </c>
      <c r="F15" s="133" t="e">
        <v>#N/A</v>
      </c>
      <c r="G15" s="133" t="e">
        <v>#N/A</v>
      </c>
      <c r="H15" s="133" t="s">
        <v>1690</v>
      </c>
      <c r="I15" s="133" t="s">
        <v>1094</v>
      </c>
      <c r="J15" s="133" t="s">
        <v>138</v>
      </c>
      <c r="K15" s="133" t="s">
        <v>2483</v>
      </c>
      <c r="L15" s="133">
        <v>80</v>
      </c>
      <c r="M15" s="133" t="s">
        <v>2393</v>
      </c>
      <c r="N15" s="133" t="s">
        <v>1541</v>
      </c>
      <c r="O15" s="133" t="s">
        <v>1693</v>
      </c>
      <c r="P15" s="133" t="s">
        <v>2484</v>
      </c>
      <c r="Q15" s="133">
        <v>55941267</v>
      </c>
      <c r="R15" s="133" t="s">
        <v>1345</v>
      </c>
      <c r="S15" s="133">
        <v>6</v>
      </c>
      <c r="T15" s="133" t="s">
        <v>2285</v>
      </c>
      <c r="U15" s="133">
        <v>2008</v>
      </c>
      <c r="V15" s="133" t="s">
        <v>2485</v>
      </c>
      <c r="W15" s="133" t="s">
        <v>1548</v>
      </c>
      <c r="X15" s="133" t="s">
        <v>1349</v>
      </c>
      <c r="Y15" s="133" t="s">
        <v>2300</v>
      </c>
      <c r="Z15" s="133" t="s">
        <v>2300</v>
      </c>
      <c r="AA15" s="133">
        <v>40</v>
      </c>
      <c r="AB15" s="133" t="s">
        <v>1349</v>
      </c>
      <c r="AC15" s="133">
        <v>2</v>
      </c>
      <c r="AD15" s="133" t="s">
        <v>1345</v>
      </c>
      <c r="AE15" s="133" t="s">
        <v>1345</v>
      </c>
      <c r="AF15" s="133" t="s">
        <v>1349</v>
      </c>
      <c r="AG15" s="133" t="s">
        <v>1349</v>
      </c>
      <c r="AH15" s="133" t="s">
        <v>1556</v>
      </c>
      <c r="AI15" s="133">
        <v>2010</v>
      </c>
      <c r="AJ15" s="133" t="s">
        <v>1349</v>
      </c>
      <c r="AK15" s="133" t="s">
        <v>2341</v>
      </c>
      <c r="AL15" s="133" t="s">
        <v>1612</v>
      </c>
      <c r="AM15" s="133" t="s">
        <v>1612</v>
      </c>
      <c r="AN15" s="133" t="s">
        <v>1612</v>
      </c>
      <c r="AO15" s="133" t="s">
        <v>1612</v>
      </c>
      <c r="AP15" s="133" t="s">
        <v>1612</v>
      </c>
      <c r="AQ15" s="133" t="s">
        <v>2291</v>
      </c>
      <c r="AR15" s="133" t="s">
        <v>2291</v>
      </c>
      <c r="AS15" s="133" t="s">
        <v>1802</v>
      </c>
      <c r="AT15" s="133" t="s">
        <v>1358</v>
      </c>
      <c r="AU15" s="133" t="s">
        <v>2486</v>
      </c>
      <c r="AV15" s="132">
        <v>5000</v>
      </c>
      <c r="AW15" s="133" t="s">
        <v>2487</v>
      </c>
      <c r="AX15" s="133" t="s">
        <v>2430</v>
      </c>
      <c r="AY15" s="133" t="s">
        <v>1349</v>
      </c>
      <c r="AZ15" s="133" t="s">
        <v>2488</v>
      </c>
      <c r="BA15" s="133" t="s">
        <v>2361</v>
      </c>
      <c r="BB15" s="133" t="s">
        <v>2289</v>
      </c>
      <c r="BC15" s="133" t="s">
        <v>2289</v>
      </c>
      <c r="BD15" s="133" t="s">
        <v>2289</v>
      </c>
      <c r="BE15" s="133" t="s">
        <v>2483</v>
      </c>
      <c r="BF15" s="133" t="s">
        <v>2300</v>
      </c>
      <c r="BG15" s="133" t="s">
        <v>2300</v>
      </c>
      <c r="BH15" s="132">
        <v>3</v>
      </c>
      <c r="BI15" s="133">
        <v>3</v>
      </c>
      <c r="BJ15" s="133">
        <v>3</v>
      </c>
      <c r="BK15" s="133" t="s">
        <v>1360</v>
      </c>
      <c r="BL15" s="133" t="s">
        <v>1360</v>
      </c>
      <c r="BM15" s="133" t="s">
        <v>1360</v>
      </c>
      <c r="BN15" s="133" t="s">
        <v>1383</v>
      </c>
      <c r="BO15" s="133" t="s">
        <v>2489</v>
      </c>
      <c r="BP15" s="133" t="s">
        <v>2490</v>
      </c>
      <c r="BQ15" s="133" t="s">
        <v>1349</v>
      </c>
      <c r="BR15" s="133" t="s">
        <v>1349</v>
      </c>
      <c r="BS15" s="133" t="s">
        <v>1804</v>
      </c>
      <c r="BT15" s="133" t="s">
        <v>1345</v>
      </c>
      <c r="BU15" s="133" t="s">
        <v>2491</v>
      </c>
      <c r="BV15" s="133" t="s">
        <v>1349</v>
      </c>
      <c r="BW15" s="133" t="s">
        <v>2300</v>
      </c>
      <c r="BX15" s="133" t="s">
        <v>1349</v>
      </c>
      <c r="BY15" s="133" t="s">
        <v>1565</v>
      </c>
      <c r="BZ15" s="133" t="s">
        <v>2300</v>
      </c>
      <c r="CA15" s="133" t="s">
        <v>2300</v>
      </c>
      <c r="CB15" s="133" t="s">
        <v>2289</v>
      </c>
      <c r="CC15" s="133" t="s">
        <v>2289</v>
      </c>
      <c r="CD15" s="133" t="s">
        <v>2289</v>
      </c>
      <c r="CE15" s="133">
        <v>3200</v>
      </c>
      <c r="CF15" s="133">
        <v>2800</v>
      </c>
      <c r="CG15" s="133">
        <v>3600</v>
      </c>
      <c r="CH15" s="133">
        <v>40</v>
      </c>
      <c r="CI15" s="133">
        <v>30</v>
      </c>
      <c r="CJ15" s="133">
        <v>60</v>
      </c>
      <c r="CK15" s="136">
        <v>1</v>
      </c>
      <c r="CL15" s="136">
        <v>1</v>
      </c>
      <c r="CM15" s="136">
        <v>0</v>
      </c>
      <c r="CN15" s="136">
        <v>0</v>
      </c>
      <c r="CO15" s="133" t="s">
        <v>2307</v>
      </c>
      <c r="CP15" s="133" t="s">
        <v>1565</v>
      </c>
      <c r="CQ15" s="133" t="s">
        <v>2308</v>
      </c>
      <c r="CR15" s="133">
        <v>4</v>
      </c>
      <c r="CS15" s="133" t="s">
        <v>1360</v>
      </c>
      <c r="CT15" s="133" t="s">
        <v>2492</v>
      </c>
      <c r="CU15" s="133" t="s">
        <v>1345</v>
      </c>
      <c r="CV15" s="133" t="s">
        <v>2407</v>
      </c>
      <c r="CW15" s="133" t="s">
        <v>1345</v>
      </c>
      <c r="CX15" s="132">
        <v>30</v>
      </c>
      <c r="CY15" s="136">
        <v>0.3</v>
      </c>
      <c r="CZ15" s="133" t="s">
        <v>2493</v>
      </c>
      <c r="DA15" s="133" t="s">
        <v>2494</v>
      </c>
      <c r="DB15" s="133" t="s">
        <v>1903</v>
      </c>
      <c r="DC15" s="133" t="s">
        <v>2495</v>
      </c>
      <c r="DD15" s="132" t="s">
        <v>2496</v>
      </c>
      <c r="DE15" s="133" t="s">
        <v>2497</v>
      </c>
      <c r="DF15" s="133" t="s">
        <v>2498</v>
      </c>
      <c r="DG15" s="133" t="s">
        <v>2499</v>
      </c>
      <c r="DH15" s="133" t="s">
        <v>1565</v>
      </c>
      <c r="DI15" s="133" t="s">
        <v>1556</v>
      </c>
      <c r="DJ15" s="133" t="s">
        <v>1556</v>
      </c>
      <c r="DK15" s="133" t="s">
        <v>1556</v>
      </c>
      <c r="DL15" s="133" t="s">
        <v>2500</v>
      </c>
      <c r="DM15" s="133" t="s">
        <v>2501</v>
      </c>
      <c r="DN15" s="133" t="s">
        <v>1345</v>
      </c>
      <c r="DO15" s="133" t="s">
        <v>2502</v>
      </c>
      <c r="DP15" s="133" t="s">
        <v>1345</v>
      </c>
      <c r="DQ15" s="133" t="s">
        <v>2435</v>
      </c>
      <c r="DR15" s="133" t="s">
        <v>1349</v>
      </c>
      <c r="DS15" s="133" t="s">
        <v>2300</v>
      </c>
      <c r="DT15" s="133" t="s">
        <v>2300</v>
      </c>
      <c r="DU15" s="133" t="s">
        <v>2300</v>
      </c>
      <c r="DV15" s="133" t="s">
        <v>1345</v>
      </c>
      <c r="DW15" s="133" t="s">
        <v>2503</v>
      </c>
      <c r="DX15" s="133" t="s">
        <v>1345</v>
      </c>
      <c r="DY15" s="133" t="s">
        <v>1349</v>
      </c>
      <c r="DZ15" s="133" t="s">
        <v>2504</v>
      </c>
      <c r="EA15" s="133" t="s">
        <v>1345</v>
      </c>
      <c r="EB15" s="133" t="s">
        <v>1345</v>
      </c>
      <c r="EC15" s="133" t="s">
        <v>1345</v>
      </c>
      <c r="ED15" s="133" t="s">
        <v>2353</v>
      </c>
      <c r="EE15" s="132">
        <v>0.1</v>
      </c>
      <c r="EF15" s="133" t="s">
        <v>2370</v>
      </c>
      <c r="EG15" s="133" t="s">
        <v>1349</v>
      </c>
      <c r="EH15" s="133" t="s">
        <v>2300</v>
      </c>
      <c r="EI15" s="133" t="s">
        <v>2326</v>
      </c>
      <c r="EJ15" s="132" t="s">
        <v>2327</v>
      </c>
      <c r="EK15" s="133" t="s">
        <v>2419</v>
      </c>
      <c r="EL15" s="133" t="s">
        <v>1389</v>
      </c>
      <c r="EM15" s="133">
        <v>3</v>
      </c>
      <c r="EN15" s="133" t="s">
        <v>2388</v>
      </c>
      <c r="EO15" s="133">
        <v>3</v>
      </c>
      <c r="EP15" s="133" t="s">
        <v>2505</v>
      </c>
      <c r="EQ15" s="133">
        <v>5</v>
      </c>
      <c r="ER15" s="132" t="s">
        <v>2506</v>
      </c>
      <c r="ES15" s="133">
        <v>4</v>
      </c>
      <c r="ET15" s="132" t="s">
        <v>2507</v>
      </c>
      <c r="EU15" s="133">
        <v>5</v>
      </c>
      <c r="EV15" s="132" t="s">
        <v>2508</v>
      </c>
      <c r="EW15" s="133">
        <v>2</v>
      </c>
      <c r="EX15" s="132" t="s">
        <v>2481</v>
      </c>
      <c r="EY15" s="133">
        <v>1</v>
      </c>
      <c r="EZ15" s="132" t="s">
        <v>2424</v>
      </c>
    </row>
    <row r="16" spans="1:157">
      <c r="A16" s="127">
        <v>507</v>
      </c>
      <c r="B16" s="127">
        <v>15</v>
      </c>
      <c r="C16" s="128" t="s">
        <v>1337</v>
      </c>
      <c r="D16" s="129">
        <v>43727</v>
      </c>
      <c r="E16" s="128" t="s">
        <v>1689</v>
      </c>
      <c r="F16" s="139"/>
      <c r="G16" s="139" t="s">
        <v>133</v>
      </c>
      <c r="H16" s="128" t="s">
        <v>1690</v>
      </c>
      <c r="I16" s="128" t="s">
        <v>1069</v>
      </c>
      <c r="J16" s="128" t="s">
        <v>441</v>
      </c>
      <c r="K16" s="128" t="s">
        <v>1691</v>
      </c>
      <c r="L16" s="128">
        <v>0.05</v>
      </c>
      <c r="M16" s="128" t="s">
        <v>1342</v>
      </c>
      <c r="N16" s="128" t="s">
        <v>1692</v>
      </c>
      <c r="O16" s="128" t="s">
        <v>1693</v>
      </c>
      <c r="P16" s="127" t="s">
        <v>1694</v>
      </c>
      <c r="Q16" s="128">
        <v>72115212</v>
      </c>
      <c r="R16" s="128" t="s">
        <v>1345</v>
      </c>
      <c r="S16" s="128">
        <v>3</v>
      </c>
      <c r="T16" s="128" t="s">
        <v>1346</v>
      </c>
      <c r="U16" s="128">
        <v>2002</v>
      </c>
      <c r="V16" s="127" t="s">
        <v>1695</v>
      </c>
      <c r="W16" s="128" t="s">
        <v>1696</v>
      </c>
      <c r="X16" s="128" t="s">
        <v>1349</v>
      </c>
      <c r="Y16" s="128"/>
      <c r="Z16" s="128"/>
      <c r="AA16" s="128">
        <v>12</v>
      </c>
      <c r="AB16" s="128" t="s">
        <v>1349</v>
      </c>
      <c r="AC16" s="128">
        <v>1</v>
      </c>
      <c r="AD16" s="128" t="s">
        <v>1345</v>
      </c>
      <c r="AE16" s="128" t="s">
        <v>1345</v>
      </c>
      <c r="AF16" s="128" t="s">
        <v>1345</v>
      </c>
      <c r="AG16" s="128" t="s">
        <v>1349</v>
      </c>
      <c r="AH16" s="128" t="s">
        <v>1342</v>
      </c>
      <c r="AI16" s="128">
        <v>2014</v>
      </c>
      <c r="AJ16" s="128" t="s">
        <v>1349</v>
      </c>
      <c r="AK16" s="128" t="s">
        <v>1697</v>
      </c>
      <c r="AL16" s="128" t="s">
        <v>1351</v>
      </c>
      <c r="AM16" s="128" t="s">
        <v>1351</v>
      </c>
      <c r="AN16" s="128" t="s">
        <v>1351</v>
      </c>
      <c r="AO16" s="128" t="s">
        <v>1351</v>
      </c>
      <c r="AP16" s="128" t="s">
        <v>1351</v>
      </c>
      <c r="AQ16" s="128" t="s">
        <v>1352</v>
      </c>
      <c r="AR16" s="128" t="s">
        <v>1352</v>
      </c>
      <c r="AS16" s="128" t="s">
        <v>1353</v>
      </c>
      <c r="AT16" s="128" t="s">
        <v>1342</v>
      </c>
      <c r="AU16" s="127" t="s">
        <v>1698</v>
      </c>
      <c r="AV16" s="127">
        <v>2500</v>
      </c>
      <c r="AW16" s="128" t="s">
        <v>1699</v>
      </c>
      <c r="AX16" s="128" t="s">
        <v>1700</v>
      </c>
      <c r="AY16" s="128" t="s">
        <v>1349</v>
      </c>
      <c r="BB16" s="128" t="s">
        <v>1358</v>
      </c>
      <c r="BC16" s="128" t="s">
        <v>1358</v>
      </c>
      <c r="BD16" s="128" t="s">
        <v>1358</v>
      </c>
      <c r="BE16" s="128" t="s">
        <v>1701</v>
      </c>
      <c r="BF16" s="128" t="s">
        <v>1701</v>
      </c>
      <c r="BG16" s="128" t="s">
        <v>1701</v>
      </c>
      <c r="BH16" s="127">
        <v>3</v>
      </c>
      <c r="BI16" s="127">
        <v>5</v>
      </c>
      <c r="BK16" s="127" t="s">
        <v>1702</v>
      </c>
      <c r="BL16" s="127" t="s">
        <v>1703</v>
      </c>
      <c r="BN16" s="128" t="s">
        <v>1349</v>
      </c>
      <c r="BQ16" s="128" t="s">
        <v>1345</v>
      </c>
      <c r="BR16" s="128" t="s">
        <v>1349</v>
      </c>
      <c r="BS16" s="130">
        <v>0</v>
      </c>
      <c r="BT16" s="128" t="s">
        <v>1345</v>
      </c>
      <c r="BU16" s="128" t="s">
        <v>1704</v>
      </c>
      <c r="BV16" s="128" t="s">
        <v>1349</v>
      </c>
      <c r="BX16" s="128" t="s">
        <v>1345</v>
      </c>
      <c r="BY16" s="128" t="s">
        <v>1362</v>
      </c>
      <c r="BZ16" s="128" t="s">
        <v>1363</v>
      </c>
      <c r="CA16" s="128" t="s">
        <v>1705</v>
      </c>
      <c r="CB16" s="128" t="s">
        <v>1364</v>
      </c>
      <c r="CC16" s="128" t="s">
        <v>1364</v>
      </c>
      <c r="CD16" s="128" t="s">
        <v>1364</v>
      </c>
      <c r="CE16" s="128">
        <v>1400</v>
      </c>
      <c r="CF16" s="128">
        <v>8000</v>
      </c>
      <c r="CG16" s="128">
        <v>2400</v>
      </c>
      <c r="CH16" s="127">
        <v>30</v>
      </c>
      <c r="CI16" s="127">
        <v>22</v>
      </c>
      <c r="CJ16" s="127">
        <v>45</v>
      </c>
      <c r="CK16" s="130">
        <v>0.7</v>
      </c>
      <c r="CL16" s="130">
        <v>0.7</v>
      </c>
      <c r="CM16" s="127">
        <v>30</v>
      </c>
      <c r="CN16" s="127">
        <v>30</v>
      </c>
      <c r="CO16" s="127" t="s">
        <v>1365</v>
      </c>
      <c r="CP16" s="127" t="s">
        <v>1366</v>
      </c>
      <c r="CQ16" s="127" t="s">
        <v>1367</v>
      </c>
      <c r="CR16" s="127">
        <v>3</v>
      </c>
      <c r="CS16" s="127" t="s">
        <v>1706</v>
      </c>
      <c r="CT16" s="127" t="s">
        <v>1707</v>
      </c>
      <c r="CU16" s="128" t="s">
        <v>1345</v>
      </c>
      <c r="CV16" s="127" t="s">
        <v>1708</v>
      </c>
      <c r="CW16" s="128" t="s">
        <v>1345</v>
      </c>
      <c r="CX16" s="127">
        <v>15</v>
      </c>
      <c r="CY16" s="127">
        <v>80</v>
      </c>
      <c r="CZ16" s="127" t="s">
        <v>1371</v>
      </c>
      <c r="DA16" s="127" t="s">
        <v>1709</v>
      </c>
      <c r="DB16" s="127">
        <v>7</v>
      </c>
      <c r="DC16" s="127" t="s">
        <v>1710</v>
      </c>
      <c r="DD16" s="127" t="s">
        <v>1711</v>
      </c>
      <c r="DE16" s="127" t="s">
        <v>1375</v>
      </c>
      <c r="DF16" s="127" t="s">
        <v>1712</v>
      </c>
      <c r="DG16" s="127" t="s">
        <v>1713</v>
      </c>
      <c r="DH16" s="127" t="s">
        <v>1714</v>
      </c>
      <c r="DI16" s="127" t="s">
        <v>1381</v>
      </c>
      <c r="DJ16" s="127" t="s">
        <v>1381</v>
      </c>
      <c r="DL16" s="127" t="s">
        <v>1715</v>
      </c>
      <c r="DM16" s="127" t="s">
        <v>1409</v>
      </c>
      <c r="DN16" s="128" t="s">
        <v>1345</v>
      </c>
      <c r="DO16" s="127" t="s">
        <v>1716</v>
      </c>
      <c r="DP16" s="128" t="s">
        <v>1345</v>
      </c>
      <c r="DQ16" s="127" t="s">
        <v>1382</v>
      </c>
      <c r="DR16" s="128" t="s">
        <v>1349</v>
      </c>
      <c r="DT16" s="128" t="s">
        <v>1364</v>
      </c>
      <c r="DU16" s="127" t="s">
        <v>1364</v>
      </c>
      <c r="DV16" s="128" t="s">
        <v>1345</v>
      </c>
      <c r="DW16" s="130" t="s">
        <v>1717</v>
      </c>
      <c r="DX16" s="128" t="s">
        <v>1345</v>
      </c>
      <c r="DY16" s="128" t="s">
        <v>1349</v>
      </c>
      <c r="EA16" s="128" t="s">
        <v>1345</v>
      </c>
      <c r="EB16" s="128" t="s">
        <v>1345</v>
      </c>
      <c r="EC16" s="128" t="s">
        <v>1345</v>
      </c>
      <c r="ED16" s="128" t="s">
        <v>1581</v>
      </c>
      <c r="EE16" s="127">
        <v>0.3</v>
      </c>
      <c r="EF16" s="128" t="s">
        <v>1718</v>
      </c>
      <c r="EG16" s="128" t="s">
        <v>1349</v>
      </c>
      <c r="EI16" s="128" t="s">
        <v>1719</v>
      </c>
      <c r="EJ16" s="127" t="s">
        <v>1720</v>
      </c>
      <c r="EK16" s="128" t="s">
        <v>1411</v>
      </c>
      <c r="EL16" s="128" t="s">
        <v>1416</v>
      </c>
      <c r="EM16" s="128">
        <v>5</v>
      </c>
      <c r="EN16" s="128" t="s">
        <v>1721</v>
      </c>
      <c r="EO16" s="128">
        <v>2</v>
      </c>
      <c r="EP16" s="128" t="s">
        <v>1722</v>
      </c>
      <c r="EQ16" s="128">
        <v>3</v>
      </c>
      <c r="ER16" s="128" t="s">
        <v>1723</v>
      </c>
      <c r="ES16" s="128">
        <v>4</v>
      </c>
      <c r="ET16" s="128" t="s">
        <v>1724</v>
      </c>
      <c r="EU16" s="128">
        <v>3</v>
      </c>
      <c r="EV16" s="128" t="s">
        <v>1441</v>
      </c>
      <c r="EW16" s="128">
        <v>5</v>
      </c>
      <c r="EX16" s="128" t="s">
        <v>1725</v>
      </c>
      <c r="EY16" s="128">
        <v>1</v>
      </c>
      <c r="EZ16" s="128" t="s">
        <v>1726</v>
      </c>
    </row>
    <row r="17" spans="1:157">
      <c r="A17" s="127">
        <v>508</v>
      </c>
      <c r="B17" s="132">
        <v>52</v>
      </c>
      <c r="C17" s="133" t="s">
        <v>2278</v>
      </c>
      <c r="D17" s="134">
        <v>43731</v>
      </c>
      <c r="E17" s="133" t="s">
        <v>2613</v>
      </c>
      <c r="F17" s="133" t="e">
        <v>#N/A</v>
      </c>
      <c r="G17" s="133" t="e">
        <v>#N/A</v>
      </c>
      <c r="H17" s="133" t="s">
        <v>1690</v>
      </c>
      <c r="I17" s="133" t="s">
        <v>1081</v>
      </c>
      <c r="J17" s="133" t="s">
        <v>156</v>
      </c>
      <c r="K17" s="133" t="s">
        <v>2585</v>
      </c>
      <c r="L17" s="133">
        <v>0.8</v>
      </c>
      <c r="M17" s="133" t="s">
        <v>2281</v>
      </c>
      <c r="N17" s="133" t="s">
        <v>1541</v>
      </c>
      <c r="O17" s="133" t="s">
        <v>1693</v>
      </c>
      <c r="P17" s="133" t="s">
        <v>611</v>
      </c>
      <c r="Q17" s="133" t="s">
        <v>2614</v>
      </c>
      <c r="R17" s="133" t="s">
        <v>1345</v>
      </c>
      <c r="S17" s="133">
        <v>9</v>
      </c>
      <c r="T17" s="133" t="s">
        <v>2285</v>
      </c>
      <c r="U17" s="133">
        <v>2001</v>
      </c>
      <c r="V17" s="133" t="s">
        <v>2286</v>
      </c>
      <c r="W17" s="133" t="s">
        <v>2359</v>
      </c>
      <c r="X17" s="133" t="s">
        <v>1345</v>
      </c>
      <c r="Y17" s="133">
        <v>2019</v>
      </c>
      <c r="Z17" s="133" t="s">
        <v>2288</v>
      </c>
      <c r="AA17" s="133">
        <v>93</v>
      </c>
      <c r="AB17" s="133" t="s">
        <v>1349</v>
      </c>
      <c r="AC17" s="133">
        <v>3</v>
      </c>
      <c r="AD17" s="133" t="s">
        <v>1345</v>
      </c>
      <c r="AE17" s="133" t="s">
        <v>1345</v>
      </c>
      <c r="AF17" s="133" t="s">
        <v>1345</v>
      </c>
      <c r="AG17" s="133" t="s">
        <v>1349</v>
      </c>
      <c r="AH17" s="133" t="s">
        <v>2428</v>
      </c>
      <c r="AI17" s="133">
        <v>2015</v>
      </c>
      <c r="AJ17" s="133" t="s">
        <v>1345</v>
      </c>
      <c r="AK17" s="133" t="s">
        <v>2290</v>
      </c>
      <c r="AL17" s="133" t="s">
        <v>1612</v>
      </c>
      <c r="AM17" s="133" t="s">
        <v>2291</v>
      </c>
      <c r="AN17" s="133" t="s">
        <v>2291</v>
      </c>
      <c r="AO17" s="133" t="s">
        <v>2291</v>
      </c>
      <c r="AP17" s="133" t="s">
        <v>2291</v>
      </c>
      <c r="AQ17" s="133" t="s">
        <v>2291</v>
      </c>
      <c r="AR17" s="133" t="s">
        <v>2291</v>
      </c>
      <c r="AS17" s="133" t="s">
        <v>1802</v>
      </c>
      <c r="AT17" s="133" t="s">
        <v>1358</v>
      </c>
      <c r="AU17" s="133" t="s">
        <v>2615</v>
      </c>
      <c r="AV17" s="133">
        <v>2500</v>
      </c>
      <c r="AW17" s="133" t="s">
        <v>2616</v>
      </c>
      <c r="AX17" s="133" t="s">
        <v>2604</v>
      </c>
      <c r="AY17" s="133" t="s">
        <v>1349</v>
      </c>
      <c r="AZ17" s="133" t="s">
        <v>2361</v>
      </c>
      <c r="BA17" s="133" t="s">
        <v>2361</v>
      </c>
      <c r="BB17" s="133" t="s">
        <v>2289</v>
      </c>
      <c r="BC17" s="133" t="s">
        <v>2289</v>
      </c>
      <c r="BD17" s="133" t="s">
        <v>2289</v>
      </c>
      <c r="BE17" s="133" t="s">
        <v>156</v>
      </c>
      <c r="BF17" s="133" t="s">
        <v>2300</v>
      </c>
      <c r="BG17" s="133" t="s">
        <v>2300</v>
      </c>
      <c r="BH17" s="133">
        <v>12.5</v>
      </c>
      <c r="BI17" s="133">
        <v>12.5</v>
      </c>
      <c r="BJ17" s="133">
        <v>12.5</v>
      </c>
      <c r="BK17" s="133" t="s">
        <v>2405</v>
      </c>
      <c r="BL17" s="133" t="s">
        <v>2405</v>
      </c>
      <c r="BM17" s="133" t="s">
        <v>2405</v>
      </c>
      <c r="BN17" s="133" t="s">
        <v>1349</v>
      </c>
      <c r="BO17" s="133" t="s">
        <v>2300</v>
      </c>
      <c r="BP17" s="133" t="s">
        <v>2300</v>
      </c>
      <c r="BQ17" s="133" t="s">
        <v>1349</v>
      </c>
      <c r="BR17" s="133" t="s">
        <v>1349</v>
      </c>
      <c r="BS17" s="133" t="s">
        <v>1804</v>
      </c>
      <c r="BT17" s="133" t="s">
        <v>1349</v>
      </c>
      <c r="BU17" s="133" t="s">
        <v>2617</v>
      </c>
      <c r="BV17" s="133" t="s">
        <v>1349</v>
      </c>
      <c r="BW17" s="133" t="s">
        <v>2300</v>
      </c>
      <c r="BX17" s="133" t="s">
        <v>1345</v>
      </c>
      <c r="BY17" s="133" t="s">
        <v>2302</v>
      </c>
      <c r="BZ17" s="133" t="s">
        <v>2606</v>
      </c>
      <c r="CA17" s="133" t="s">
        <v>156</v>
      </c>
      <c r="CB17" s="133" t="s">
        <v>2289</v>
      </c>
      <c r="CC17" s="133" t="s">
        <v>2289</v>
      </c>
      <c r="CD17" s="133" t="s">
        <v>2289</v>
      </c>
      <c r="CE17" s="133">
        <v>240</v>
      </c>
      <c r="CF17" s="133">
        <v>280</v>
      </c>
      <c r="CG17" s="133">
        <v>300</v>
      </c>
      <c r="CH17" s="133">
        <v>300</v>
      </c>
      <c r="CI17" s="133">
        <v>360</v>
      </c>
      <c r="CJ17" s="133">
        <v>400</v>
      </c>
      <c r="CK17" s="135">
        <v>0.1</v>
      </c>
      <c r="CL17" s="136">
        <v>0.1</v>
      </c>
      <c r="CM17" s="133" t="s">
        <v>2619</v>
      </c>
      <c r="CN17" s="133" t="s">
        <v>2619</v>
      </c>
      <c r="CO17" s="133" t="s">
        <v>2307</v>
      </c>
      <c r="CP17" s="133" t="s">
        <v>1565</v>
      </c>
      <c r="CQ17" s="133" t="s">
        <v>2308</v>
      </c>
      <c r="CR17" s="133">
        <v>3</v>
      </c>
      <c r="CS17" s="133" t="s">
        <v>2007</v>
      </c>
      <c r="CT17" s="133" t="s">
        <v>2607</v>
      </c>
      <c r="CU17" s="133" t="s">
        <v>1345</v>
      </c>
      <c r="CV17" s="133" t="s">
        <v>2407</v>
      </c>
      <c r="CW17" s="133" t="s">
        <v>1349</v>
      </c>
      <c r="CX17" s="133" t="s">
        <v>2289</v>
      </c>
      <c r="CY17" s="133" t="s">
        <v>2289</v>
      </c>
      <c r="CZ17" s="133" t="s">
        <v>2311</v>
      </c>
      <c r="DA17" s="133" t="s">
        <v>1358</v>
      </c>
      <c r="DB17" s="133" t="s">
        <v>1903</v>
      </c>
      <c r="DC17" s="133" t="s">
        <v>2524</v>
      </c>
      <c r="DD17" s="132" t="s">
        <v>2349</v>
      </c>
      <c r="DE17" s="133" t="s">
        <v>2350</v>
      </c>
      <c r="DF17" s="133" t="s">
        <v>2315</v>
      </c>
      <c r="DG17" s="133" t="s">
        <v>2316</v>
      </c>
      <c r="DH17" s="133" t="s">
        <v>2620</v>
      </c>
      <c r="DI17" s="133" t="s">
        <v>1556</v>
      </c>
      <c r="DJ17" s="133" t="s">
        <v>1556</v>
      </c>
      <c r="DK17" s="133" t="s">
        <v>1556</v>
      </c>
      <c r="DL17" s="133" t="s">
        <v>2608</v>
      </c>
      <c r="DM17" s="133" t="s">
        <v>2609</v>
      </c>
      <c r="DN17" s="133" t="s">
        <v>1345</v>
      </c>
      <c r="DO17" s="133" t="s">
        <v>2610</v>
      </c>
      <c r="DP17" s="133" t="s">
        <v>1349</v>
      </c>
      <c r="DQ17" s="133" t="s">
        <v>1358</v>
      </c>
      <c r="DR17" s="133" t="s">
        <v>1349</v>
      </c>
      <c r="DS17" s="133" t="s">
        <v>2300</v>
      </c>
      <c r="DT17" s="133" t="s">
        <v>2300</v>
      </c>
      <c r="DU17" s="133" t="s">
        <v>2300</v>
      </c>
      <c r="DV17" s="133" t="s">
        <v>1345</v>
      </c>
      <c r="DW17" s="133" t="s">
        <v>2436</v>
      </c>
      <c r="DX17" s="133" t="s">
        <v>1345</v>
      </c>
      <c r="DY17" s="133" t="s">
        <v>1349</v>
      </c>
      <c r="DZ17" s="133" t="s">
        <v>2533</v>
      </c>
      <c r="EA17" s="133"/>
      <c r="EB17" s="133" t="s">
        <v>1345</v>
      </c>
      <c r="EC17" s="133" t="s">
        <v>1345</v>
      </c>
      <c r="ED17" s="133" t="s">
        <v>2353</v>
      </c>
      <c r="EE17" s="132">
        <v>0.7</v>
      </c>
      <c r="EF17" s="133" t="s">
        <v>2370</v>
      </c>
      <c r="EG17" s="133" t="s">
        <v>1345</v>
      </c>
      <c r="EH17" s="133" t="s">
        <v>2325</v>
      </c>
      <c r="EI17" s="133" t="s">
        <v>2326</v>
      </c>
      <c r="EJ17" s="132" t="s">
        <v>2327</v>
      </c>
      <c r="EK17" s="133" t="s">
        <v>2419</v>
      </c>
      <c r="EL17" s="133" t="s">
        <v>1389</v>
      </c>
      <c r="EM17" s="133">
        <v>5</v>
      </c>
      <c r="EN17" s="133" t="s">
        <v>2439</v>
      </c>
      <c r="EO17" s="133">
        <v>3</v>
      </c>
      <c r="EP17" s="133" t="s">
        <v>2611</v>
      </c>
      <c r="EQ17" s="133">
        <v>3</v>
      </c>
      <c r="ER17" s="132" t="s">
        <v>2455</v>
      </c>
      <c r="ES17" s="133">
        <v>2</v>
      </c>
      <c r="ET17" s="132" t="s">
        <v>2612</v>
      </c>
      <c r="EU17" s="133">
        <v>4</v>
      </c>
      <c r="EV17" s="132" t="s">
        <v>2621</v>
      </c>
      <c r="EW17" s="133">
        <v>5</v>
      </c>
      <c r="EX17" s="132" t="s">
        <v>2457</v>
      </c>
      <c r="EY17" s="133">
        <v>1</v>
      </c>
      <c r="EZ17" s="132" t="s">
        <v>2424</v>
      </c>
    </row>
    <row r="18" spans="1:157">
      <c r="A18" s="127">
        <v>509</v>
      </c>
      <c r="B18" s="127">
        <v>34</v>
      </c>
      <c r="C18" s="128" t="s">
        <v>1795</v>
      </c>
      <c r="D18" s="129">
        <v>43731</v>
      </c>
      <c r="E18" s="128" t="s">
        <v>2216</v>
      </c>
      <c r="F18" s="128" t="s">
        <v>1728</v>
      </c>
      <c r="G18" s="128" t="s">
        <v>156</v>
      </c>
      <c r="H18" s="128" t="s">
        <v>1690</v>
      </c>
      <c r="I18" s="128" t="s">
        <v>1081</v>
      </c>
      <c r="J18" s="128" t="s">
        <v>156</v>
      </c>
      <c r="K18" s="128" t="s">
        <v>156</v>
      </c>
      <c r="L18" s="128">
        <v>1</v>
      </c>
      <c r="M18" s="128" t="s">
        <v>2181</v>
      </c>
      <c r="N18" s="128" t="s">
        <v>1343</v>
      </c>
      <c r="O18" s="128" t="s">
        <v>2217</v>
      </c>
      <c r="Q18" s="128">
        <v>70293990</v>
      </c>
      <c r="R18" s="128" t="s">
        <v>1345</v>
      </c>
      <c r="S18" s="128">
        <v>7</v>
      </c>
      <c r="T18" s="128" t="s">
        <v>1346</v>
      </c>
      <c r="U18" s="128">
        <v>2017</v>
      </c>
      <c r="V18" s="127" t="s">
        <v>2218</v>
      </c>
      <c r="W18" s="128" t="s">
        <v>2219</v>
      </c>
      <c r="X18" s="128" t="s">
        <v>1349</v>
      </c>
      <c r="Y18" s="128"/>
      <c r="Z18" s="128"/>
      <c r="AA18" s="128">
        <v>23</v>
      </c>
      <c r="AB18" s="128" t="s">
        <v>1345</v>
      </c>
      <c r="AC18" s="128">
        <v>1</v>
      </c>
      <c r="AD18" s="128" t="s">
        <v>1349</v>
      </c>
      <c r="AE18" s="128" t="s">
        <v>1345</v>
      </c>
      <c r="AF18" s="128" t="s">
        <v>1345</v>
      </c>
      <c r="AG18" s="128" t="s">
        <v>1345</v>
      </c>
      <c r="AH18" s="128" t="s">
        <v>1358</v>
      </c>
      <c r="AI18" s="128">
        <v>2017</v>
      </c>
      <c r="AJ18" s="128" t="s">
        <v>1349</v>
      </c>
      <c r="AK18" s="128" t="s">
        <v>2194</v>
      </c>
      <c r="AL18" s="128"/>
      <c r="AM18" s="128"/>
      <c r="AN18" s="128"/>
      <c r="AO18" s="128"/>
      <c r="AP18" s="128"/>
      <c r="AQ18" s="128" t="s">
        <v>1352</v>
      </c>
      <c r="AR18" s="128" t="s">
        <v>1352</v>
      </c>
      <c r="AS18" s="128"/>
      <c r="AT18" s="128"/>
      <c r="AU18" s="127" t="s">
        <v>2220</v>
      </c>
      <c r="AV18" s="128">
        <v>1000</v>
      </c>
      <c r="AW18" s="128" t="s">
        <v>2221</v>
      </c>
      <c r="AX18" s="128" t="s">
        <v>2222</v>
      </c>
      <c r="AY18" s="128" t="s">
        <v>1349</v>
      </c>
      <c r="BB18" s="128" t="s">
        <v>1358</v>
      </c>
      <c r="BC18" s="128" t="s">
        <v>1358</v>
      </c>
      <c r="BD18" s="128" t="s">
        <v>1358</v>
      </c>
      <c r="BE18" s="127" t="s">
        <v>2195</v>
      </c>
      <c r="BH18" s="127" t="s">
        <v>2196</v>
      </c>
      <c r="BN18" s="128"/>
      <c r="BQ18" s="128" t="s">
        <v>1345</v>
      </c>
      <c r="BR18" s="128" t="s">
        <v>1345</v>
      </c>
      <c r="BS18" s="127" t="s">
        <v>1358</v>
      </c>
      <c r="BT18" s="128" t="s">
        <v>1345</v>
      </c>
      <c r="BU18" s="128" t="s">
        <v>2223</v>
      </c>
      <c r="BV18" s="128" t="s">
        <v>1345</v>
      </c>
      <c r="BW18" s="128" t="s">
        <v>2224</v>
      </c>
      <c r="BX18" s="128" t="s">
        <v>1345</v>
      </c>
      <c r="BY18" s="128" t="s">
        <v>2167</v>
      </c>
      <c r="BZ18" s="128" t="s">
        <v>2225</v>
      </c>
      <c r="CA18" s="127" t="s">
        <v>2226</v>
      </c>
      <c r="CB18" s="128" t="s">
        <v>1358</v>
      </c>
      <c r="CC18" s="128" t="s">
        <v>1358</v>
      </c>
      <c r="CD18" s="128" t="s">
        <v>1358</v>
      </c>
      <c r="CE18" s="128">
        <v>0</v>
      </c>
      <c r="CF18" s="128">
        <v>0</v>
      </c>
      <c r="CG18" s="128">
        <v>0</v>
      </c>
      <c r="CH18" s="128">
        <v>17</v>
      </c>
      <c r="CI18" s="128">
        <v>19</v>
      </c>
      <c r="CJ18" s="128">
        <v>80</v>
      </c>
      <c r="CK18" s="128">
        <v>0</v>
      </c>
      <c r="CL18" s="130">
        <v>0</v>
      </c>
      <c r="CM18" s="130" t="s">
        <v>2227</v>
      </c>
      <c r="CN18" s="127" t="s">
        <v>2228</v>
      </c>
      <c r="CO18" s="127" t="s">
        <v>1816</v>
      </c>
      <c r="CP18" s="127" t="s">
        <v>1358</v>
      </c>
      <c r="CQ18" s="127" t="s">
        <v>2229</v>
      </c>
      <c r="CR18" s="127">
        <v>2</v>
      </c>
      <c r="CS18" s="127" t="s">
        <v>2230</v>
      </c>
      <c r="CT18" s="127" t="s">
        <v>2231</v>
      </c>
      <c r="CU18" s="128" t="s">
        <v>1349</v>
      </c>
      <c r="CV18" s="127" t="s">
        <v>2232</v>
      </c>
      <c r="CW18" s="128" t="s">
        <v>1349</v>
      </c>
      <c r="CX18" s="127" t="s">
        <v>2233</v>
      </c>
      <c r="DD18" s="127" t="s">
        <v>2106</v>
      </c>
      <c r="DE18" s="127" t="s">
        <v>2234</v>
      </c>
      <c r="DF18" s="127" t="s">
        <v>2144</v>
      </c>
      <c r="DG18" s="127" t="s">
        <v>2204</v>
      </c>
      <c r="DM18" s="127" t="s">
        <v>2015</v>
      </c>
      <c r="DN18" s="128" t="s">
        <v>1349</v>
      </c>
      <c r="DO18" s="127" t="s">
        <v>1358</v>
      </c>
      <c r="DP18" s="128" t="s">
        <v>1345</v>
      </c>
      <c r="DQ18" s="127" t="s">
        <v>2235</v>
      </c>
      <c r="DR18" s="128" t="s">
        <v>1349</v>
      </c>
      <c r="DV18" s="128" t="s">
        <v>1345</v>
      </c>
      <c r="DW18" s="127" t="s">
        <v>1866</v>
      </c>
      <c r="DX18" s="128" t="s">
        <v>1345</v>
      </c>
      <c r="DY18" s="128" t="s">
        <v>1349</v>
      </c>
      <c r="DZ18" s="128" t="s">
        <v>2236</v>
      </c>
      <c r="EA18" s="128"/>
      <c r="EB18" s="128" t="s">
        <v>1345</v>
      </c>
      <c r="EC18" s="128" t="s">
        <v>1345</v>
      </c>
      <c r="ED18" s="128" t="s">
        <v>2237</v>
      </c>
      <c r="EE18" s="128" t="s">
        <v>2206</v>
      </c>
      <c r="EF18" s="128" t="s">
        <v>1836</v>
      </c>
      <c r="EG18" s="128" t="s">
        <v>1349</v>
      </c>
      <c r="EI18" s="128" t="s">
        <v>2238</v>
      </c>
      <c r="EJ18" s="128" t="s">
        <v>2239</v>
      </c>
      <c r="EK18" s="128" t="s">
        <v>2240</v>
      </c>
      <c r="EL18" s="128" t="s">
        <v>1389</v>
      </c>
      <c r="EM18" s="128">
        <v>4</v>
      </c>
      <c r="EN18" s="128" t="s">
        <v>2241</v>
      </c>
      <c r="EO18" s="128">
        <v>4</v>
      </c>
      <c r="EP18" s="128" t="s">
        <v>2210</v>
      </c>
      <c r="EQ18" s="128">
        <v>2</v>
      </c>
      <c r="ER18" s="128" t="s">
        <v>2211</v>
      </c>
      <c r="ES18" s="128">
        <v>4</v>
      </c>
      <c r="ET18" s="127" t="s">
        <v>2242</v>
      </c>
      <c r="EU18" s="128">
        <v>5</v>
      </c>
      <c r="EV18" s="127" t="s">
        <v>2243</v>
      </c>
      <c r="EW18" s="128">
        <v>3</v>
      </c>
      <c r="EX18" s="127" t="s">
        <v>2214</v>
      </c>
      <c r="EY18" s="128">
        <v>1</v>
      </c>
      <c r="EZ18" s="127" t="s">
        <v>2215</v>
      </c>
    </row>
    <row r="19" spans="1:157">
      <c r="A19" s="127">
        <v>510</v>
      </c>
      <c r="B19" s="127">
        <v>35</v>
      </c>
      <c r="C19" s="128" t="s">
        <v>1795</v>
      </c>
      <c r="D19" s="129">
        <v>43732</v>
      </c>
      <c r="E19" s="128" t="s">
        <v>2244</v>
      </c>
      <c r="F19" s="128" t="s">
        <v>1728</v>
      </c>
      <c r="G19" s="128" t="s">
        <v>156</v>
      </c>
      <c r="H19" s="128" t="s">
        <v>1690</v>
      </c>
      <c r="I19" s="128" t="s">
        <v>1081</v>
      </c>
      <c r="J19" s="128" t="s">
        <v>156</v>
      </c>
      <c r="K19" s="128" t="s">
        <v>156</v>
      </c>
      <c r="L19" s="128">
        <v>1</v>
      </c>
      <c r="M19" s="128" t="s">
        <v>2181</v>
      </c>
      <c r="N19" s="128" t="s">
        <v>1343</v>
      </c>
      <c r="O19" s="128" t="s">
        <v>2245</v>
      </c>
      <c r="P19" s="128" t="s">
        <v>2246</v>
      </c>
      <c r="Q19" s="128">
        <v>70061686</v>
      </c>
      <c r="R19" s="128" t="s">
        <v>1345</v>
      </c>
      <c r="S19" s="128">
        <v>7</v>
      </c>
      <c r="T19" s="128" t="s">
        <v>1346</v>
      </c>
      <c r="U19" s="128">
        <v>2000</v>
      </c>
      <c r="V19" s="127" t="s">
        <v>2247</v>
      </c>
      <c r="W19" s="128" t="s">
        <v>2248</v>
      </c>
      <c r="X19" s="128" t="s">
        <v>1349</v>
      </c>
      <c r="Y19" s="128"/>
      <c r="Z19" s="128"/>
      <c r="AA19" s="128">
        <v>23</v>
      </c>
      <c r="AB19" s="128" t="s">
        <v>1349</v>
      </c>
      <c r="AC19" s="128">
        <v>3</v>
      </c>
      <c r="AD19" s="128" t="s">
        <v>1349</v>
      </c>
      <c r="AE19" s="128" t="s">
        <v>1345</v>
      </c>
      <c r="AF19" s="128" t="s">
        <v>1345</v>
      </c>
      <c r="AG19" s="128" t="s">
        <v>1345</v>
      </c>
      <c r="AH19" s="128" t="s">
        <v>1358</v>
      </c>
      <c r="AI19" s="128">
        <v>2000</v>
      </c>
      <c r="AJ19" s="128" t="s">
        <v>1349</v>
      </c>
      <c r="AK19" s="128" t="s">
        <v>2194</v>
      </c>
      <c r="AM19" s="128"/>
      <c r="AN19" s="128"/>
      <c r="AO19" s="128"/>
      <c r="AP19" s="128"/>
      <c r="AQ19" s="128" t="s">
        <v>1352</v>
      </c>
      <c r="AR19" s="128" t="s">
        <v>1352</v>
      </c>
      <c r="AS19" s="128"/>
      <c r="AT19" s="128"/>
      <c r="AU19" s="127" t="s">
        <v>2249</v>
      </c>
      <c r="AV19" s="128">
        <v>1750</v>
      </c>
      <c r="AW19" s="128" t="s">
        <v>2250</v>
      </c>
      <c r="AX19" s="128" t="s">
        <v>2222</v>
      </c>
      <c r="AY19" s="128" t="s">
        <v>1349</v>
      </c>
      <c r="BB19" s="128" t="s">
        <v>1358</v>
      </c>
      <c r="BC19" s="128" t="s">
        <v>1358</v>
      </c>
      <c r="BD19" s="128" t="s">
        <v>1358</v>
      </c>
      <c r="BE19" s="127" t="s">
        <v>2195</v>
      </c>
      <c r="BH19" s="127" t="s">
        <v>2196</v>
      </c>
      <c r="BN19" s="128"/>
      <c r="BQ19" s="128" t="s">
        <v>1345</v>
      </c>
      <c r="BR19" s="128" t="s">
        <v>1345</v>
      </c>
      <c r="BS19" s="127" t="s">
        <v>1358</v>
      </c>
      <c r="BT19" s="128" t="s">
        <v>1345</v>
      </c>
      <c r="BU19" s="128" t="s">
        <v>2251</v>
      </c>
      <c r="BV19" s="128" t="s">
        <v>1349</v>
      </c>
      <c r="BX19" s="128" t="s">
        <v>1345</v>
      </c>
      <c r="BY19" s="128" t="s">
        <v>2167</v>
      </c>
      <c r="BZ19" s="128" t="s">
        <v>2252</v>
      </c>
      <c r="CA19" s="128" t="s">
        <v>2253</v>
      </c>
      <c r="CB19" s="128" t="s">
        <v>1358</v>
      </c>
      <c r="CC19" s="128" t="s">
        <v>1358</v>
      </c>
      <c r="CD19" s="128" t="s">
        <v>1358</v>
      </c>
      <c r="CE19" s="128">
        <v>0</v>
      </c>
      <c r="CF19" s="128">
        <v>0</v>
      </c>
      <c r="CG19" s="128">
        <v>0</v>
      </c>
      <c r="CH19" s="128" t="s">
        <v>1866</v>
      </c>
      <c r="CI19" s="128" t="s">
        <v>1866</v>
      </c>
      <c r="CJ19" s="128" t="s">
        <v>1866</v>
      </c>
      <c r="CK19" s="141">
        <v>0</v>
      </c>
      <c r="CL19" s="130">
        <v>0</v>
      </c>
      <c r="CM19" s="128" t="s">
        <v>2254</v>
      </c>
      <c r="CN19" s="128" t="s">
        <v>2255</v>
      </c>
      <c r="CO19" s="128" t="s">
        <v>1816</v>
      </c>
      <c r="CP19" s="128" t="s">
        <v>1358</v>
      </c>
      <c r="CQ19" s="128" t="s">
        <v>2229</v>
      </c>
      <c r="CR19" s="128">
        <v>1</v>
      </c>
      <c r="CS19" s="128" t="s">
        <v>1741</v>
      </c>
      <c r="CT19" s="128" t="s">
        <v>1489</v>
      </c>
      <c r="CU19" s="128" t="s">
        <v>1349</v>
      </c>
      <c r="CV19" s="128" t="s">
        <v>2256</v>
      </c>
      <c r="CW19" s="128" t="s">
        <v>1349</v>
      </c>
      <c r="CX19" s="127" t="s">
        <v>2202</v>
      </c>
      <c r="DD19" s="127" t="s">
        <v>2203</v>
      </c>
      <c r="DE19" s="127" t="s">
        <v>1976</v>
      </c>
      <c r="DF19" s="127" t="s">
        <v>2204</v>
      </c>
      <c r="DG19" s="127" t="s">
        <v>1866</v>
      </c>
      <c r="DM19" s="127" t="s">
        <v>2257</v>
      </c>
      <c r="DN19" s="128" t="s">
        <v>1349</v>
      </c>
      <c r="DO19" s="127" t="s">
        <v>1358</v>
      </c>
      <c r="DP19" s="128" t="s">
        <v>1345</v>
      </c>
      <c r="DQ19" s="127" t="s">
        <v>2235</v>
      </c>
      <c r="DR19" s="128" t="s">
        <v>1349</v>
      </c>
      <c r="DV19" s="128" t="s">
        <v>1345</v>
      </c>
      <c r="DW19" s="127" t="s">
        <v>1866</v>
      </c>
      <c r="DX19" s="128" t="s">
        <v>1345</v>
      </c>
      <c r="DY19" s="128" t="s">
        <v>1349</v>
      </c>
      <c r="DZ19" s="128" t="s">
        <v>2205</v>
      </c>
      <c r="EA19" s="128"/>
      <c r="EB19" s="128" t="s">
        <v>1345</v>
      </c>
      <c r="EC19" s="128" t="s">
        <v>1345</v>
      </c>
      <c r="ED19" s="128" t="s">
        <v>1835</v>
      </c>
      <c r="EE19" s="127">
        <v>0.5</v>
      </c>
      <c r="EF19" s="128" t="s">
        <v>1836</v>
      </c>
      <c r="EG19" s="128" t="s">
        <v>1349</v>
      </c>
      <c r="EI19" s="128" t="s">
        <v>2258</v>
      </c>
      <c r="EK19" s="128" t="s">
        <v>2259</v>
      </c>
      <c r="EL19" s="128" t="s">
        <v>1389</v>
      </c>
      <c r="EM19" s="128">
        <v>3</v>
      </c>
      <c r="EO19" s="128">
        <v>4</v>
      </c>
      <c r="EP19" s="128" t="s">
        <v>2260</v>
      </c>
      <c r="EQ19" s="128">
        <v>2</v>
      </c>
      <c r="ER19" s="128" t="s">
        <v>2261</v>
      </c>
      <c r="ES19" s="128">
        <v>4</v>
      </c>
      <c r="ET19" s="127" t="s">
        <v>2242</v>
      </c>
      <c r="EU19" s="128">
        <v>5</v>
      </c>
      <c r="EV19" s="127" t="s">
        <v>2243</v>
      </c>
      <c r="EW19" s="128">
        <v>3</v>
      </c>
      <c r="EX19" s="127" t="s">
        <v>2214</v>
      </c>
      <c r="EY19" s="128">
        <v>1</v>
      </c>
      <c r="EZ19" s="127" t="s">
        <v>2215</v>
      </c>
    </row>
    <row r="20" spans="1:157">
      <c r="A20" s="127">
        <v>511</v>
      </c>
      <c r="B20" s="127">
        <v>1</v>
      </c>
      <c r="C20" s="128" t="s">
        <v>1337</v>
      </c>
      <c r="D20" s="129">
        <v>43720</v>
      </c>
      <c r="E20" s="128" t="s">
        <v>1338</v>
      </c>
      <c r="F20" s="128">
        <v>1</v>
      </c>
      <c r="G20" s="128" t="s">
        <v>472</v>
      </c>
      <c r="H20" s="128" t="s">
        <v>1339</v>
      </c>
      <c r="I20" s="128" t="s">
        <v>1340</v>
      </c>
      <c r="J20" s="128" t="s">
        <v>472</v>
      </c>
      <c r="K20" s="128" t="s">
        <v>1341</v>
      </c>
      <c r="L20" s="128">
        <v>1</v>
      </c>
      <c r="M20" s="128" t="s">
        <v>1342</v>
      </c>
      <c r="N20" s="128" t="s">
        <v>1343</v>
      </c>
      <c r="O20" s="128" t="s">
        <v>1022</v>
      </c>
      <c r="P20" s="128" t="s">
        <v>1344</v>
      </c>
      <c r="Q20" s="128">
        <v>60349073</v>
      </c>
      <c r="R20" s="128" t="s">
        <v>1345</v>
      </c>
      <c r="S20" s="128">
        <v>3</v>
      </c>
      <c r="T20" s="128" t="s">
        <v>1346</v>
      </c>
      <c r="U20" s="128">
        <v>2014</v>
      </c>
      <c r="V20" s="127" t="s">
        <v>1347</v>
      </c>
      <c r="W20" s="128" t="s">
        <v>1348</v>
      </c>
      <c r="X20" s="128" t="s">
        <v>1345</v>
      </c>
      <c r="Y20" s="128">
        <v>2018</v>
      </c>
      <c r="Z20" s="128"/>
      <c r="AA20" s="128">
        <v>22</v>
      </c>
      <c r="AB20" s="128" t="s">
        <v>1349</v>
      </c>
      <c r="AC20" s="128">
        <v>0</v>
      </c>
      <c r="AD20" s="128" t="s">
        <v>1345</v>
      </c>
      <c r="AE20" s="128" t="s">
        <v>1345</v>
      </c>
      <c r="AF20" s="128" t="s">
        <v>1345</v>
      </c>
      <c r="AG20" s="128" t="s">
        <v>1349</v>
      </c>
      <c r="AH20" s="128" t="s">
        <v>1342</v>
      </c>
      <c r="AI20" s="128">
        <v>2016</v>
      </c>
      <c r="AJ20" s="128" t="s">
        <v>1349</v>
      </c>
      <c r="AK20" s="128" t="s">
        <v>1350</v>
      </c>
      <c r="AL20" s="128" t="s">
        <v>1351</v>
      </c>
      <c r="AM20" s="127" t="s">
        <v>1351</v>
      </c>
      <c r="AN20" s="127" t="s">
        <v>1351</v>
      </c>
      <c r="AO20" s="127" t="s">
        <v>1351</v>
      </c>
      <c r="AP20" s="127" t="s">
        <v>1351</v>
      </c>
      <c r="AQ20" s="127" t="s">
        <v>1351</v>
      </c>
      <c r="AR20" s="127" t="s">
        <v>1352</v>
      </c>
      <c r="AS20" s="127" t="s">
        <v>1353</v>
      </c>
      <c r="AT20" s="127" t="s">
        <v>1342</v>
      </c>
      <c r="AU20" s="127">
        <v>2500</v>
      </c>
      <c r="AV20" s="127">
        <v>10000</v>
      </c>
      <c r="AW20" s="127" t="s">
        <v>1354</v>
      </c>
      <c r="AX20" s="127" t="s">
        <v>1355</v>
      </c>
      <c r="AY20" s="128" t="s">
        <v>1345</v>
      </c>
      <c r="AZ20" s="127" t="s">
        <v>1356</v>
      </c>
      <c r="BA20" s="127" t="s">
        <v>1357</v>
      </c>
      <c r="BB20" s="127" t="s">
        <v>1358</v>
      </c>
      <c r="BC20" s="127" t="s">
        <v>1358</v>
      </c>
      <c r="BD20" s="127" t="s">
        <v>1358</v>
      </c>
      <c r="BE20" s="127" t="s">
        <v>1359</v>
      </c>
      <c r="BF20" s="127" t="s">
        <v>1359</v>
      </c>
      <c r="BG20" s="127" t="s">
        <v>1359</v>
      </c>
      <c r="BH20" s="127">
        <v>1</v>
      </c>
      <c r="BI20" s="127">
        <v>3</v>
      </c>
      <c r="BK20" s="127" t="s">
        <v>1360</v>
      </c>
      <c r="BL20" s="127" t="s">
        <v>1360</v>
      </c>
      <c r="BN20" s="128" t="s">
        <v>1349</v>
      </c>
      <c r="BQ20" s="128" t="s">
        <v>1345</v>
      </c>
      <c r="BR20" s="128" t="s">
        <v>1345</v>
      </c>
      <c r="BS20" s="127">
        <v>0</v>
      </c>
      <c r="BT20" s="128" t="s">
        <v>1345</v>
      </c>
      <c r="BU20" s="128" t="s">
        <v>1361</v>
      </c>
      <c r="BV20" s="128" t="s">
        <v>1349</v>
      </c>
      <c r="BX20" s="128" t="s">
        <v>1345</v>
      </c>
      <c r="BY20" s="128" t="s">
        <v>1362</v>
      </c>
      <c r="BZ20" s="128" t="s">
        <v>1363</v>
      </c>
      <c r="CA20" s="128" t="s">
        <v>1359</v>
      </c>
      <c r="CB20" s="127" t="s">
        <v>1364</v>
      </c>
      <c r="CC20" s="127" t="s">
        <v>1364</v>
      </c>
      <c r="CD20" s="127" t="s">
        <v>1364</v>
      </c>
      <c r="CE20" s="127">
        <v>0</v>
      </c>
      <c r="CF20" s="127">
        <v>375</v>
      </c>
      <c r="CG20" s="127">
        <v>6600</v>
      </c>
      <c r="CH20" s="127">
        <v>0</v>
      </c>
      <c r="CI20" s="127">
        <v>80</v>
      </c>
      <c r="CJ20" s="127">
        <v>120</v>
      </c>
      <c r="CK20" s="130">
        <v>0</v>
      </c>
      <c r="CL20" s="130">
        <v>1</v>
      </c>
      <c r="CM20" s="130">
        <v>0</v>
      </c>
      <c r="CN20" s="130">
        <v>0</v>
      </c>
      <c r="CO20" s="127" t="s">
        <v>1365</v>
      </c>
      <c r="CP20" s="127" t="s">
        <v>1366</v>
      </c>
      <c r="CQ20" s="127" t="s">
        <v>1367</v>
      </c>
      <c r="CR20" s="127">
        <v>5</v>
      </c>
      <c r="CS20" s="127" t="s">
        <v>1368</v>
      </c>
      <c r="CT20" s="127" t="s">
        <v>1369</v>
      </c>
      <c r="CU20" s="128" t="s">
        <v>1345</v>
      </c>
      <c r="CV20" s="127" t="s">
        <v>1370</v>
      </c>
      <c r="CW20" s="128" t="s">
        <v>1345</v>
      </c>
      <c r="CX20" s="127">
        <v>30</v>
      </c>
      <c r="CY20" s="130">
        <v>0.6</v>
      </c>
      <c r="CZ20" s="127" t="s">
        <v>1371</v>
      </c>
      <c r="DA20" s="127" t="s">
        <v>1372</v>
      </c>
      <c r="DB20" s="127">
        <v>8</v>
      </c>
      <c r="DC20" s="127" t="s">
        <v>1373</v>
      </c>
      <c r="DD20" s="127" t="s">
        <v>1374</v>
      </c>
      <c r="DE20" s="127" t="s">
        <v>1375</v>
      </c>
      <c r="DF20" s="127" t="s">
        <v>1376</v>
      </c>
      <c r="DG20" s="127" t="s">
        <v>1377</v>
      </c>
      <c r="DH20" s="127" t="s">
        <v>1378</v>
      </c>
      <c r="DI20" s="127" t="s">
        <v>1379</v>
      </c>
      <c r="DJ20" s="127" t="s">
        <v>1366</v>
      </c>
      <c r="DK20" s="127" t="s">
        <v>1366</v>
      </c>
      <c r="DL20" s="127" t="s">
        <v>1380</v>
      </c>
      <c r="DM20" s="127" t="s">
        <v>1381</v>
      </c>
      <c r="DN20" s="128" t="s">
        <v>1342</v>
      </c>
      <c r="DP20" s="128" t="s">
        <v>1345</v>
      </c>
      <c r="DQ20" s="127" t="s">
        <v>1382</v>
      </c>
      <c r="DR20" s="128" t="s">
        <v>1383</v>
      </c>
      <c r="DS20" s="127" t="s">
        <v>1378</v>
      </c>
      <c r="DT20" s="128">
        <v>200</v>
      </c>
      <c r="DU20" s="127" t="s">
        <v>1384</v>
      </c>
      <c r="DV20" s="128" t="s">
        <v>1345</v>
      </c>
      <c r="DW20" s="127" t="s">
        <v>1385</v>
      </c>
      <c r="DX20" s="128" t="s">
        <v>1345</v>
      </c>
      <c r="DY20" s="128" t="s">
        <v>1349</v>
      </c>
      <c r="EA20" s="128" t="s">
        <v>1345</v>
      </c>
      <c r="EB20" s="128" t="s">
        <v>1345</v>
      </c>
      <c r="EC20" s="128" t="s">
        <v>1345</v>
      </c>
      <c r="ED20" s="128" t="s">
        <v>1386</v>
      </c>
      <c r="EE20" s="127">
        <v>0.4</v>
      </c>
      <c r="EF20" s="128" t="s">
        <v>1387</v>
      </c>
      <c r="EG20" s="128" t="s">
        <v>1349</v>
      </c>
      <c r="EI20" s="128" t="s">
        <v>1388</v>
      </c>
      <c r="EL20" s="128" t="s">
        <v>1389</v>
      </c>
      <c r="EM20" s="128">
        <v>1</v>
      </c>
      <c r="EN20" s="128" t="s">
        <v>1390</v>
      </c>
      <c r="EO20" s="128">
        <v>1</v>
      </c>
      <c r="EP20" s="128" t="s">
        <v>1391</v>
      </c>
      <c r="EQ20" s="128">
        <v>1</v>
      </c>
      <c r="ER20" s="128" t="s">
        <v>1392</v>
      </c>
      <c r="ES20" s="128">
        <v>4</v>
      </c>
      <c r="ET20" s="128" t="s">
        <v>1393</v>
      </c>
      <c r="EU20" s="128">
        <v>5</v>
      </c>
      <c r="EV20" s="127" t="s">
        <v>1394</v>
      </c>
      <c r="EW20" s="128">
        <v>4</v>
      </c>
      <c r="EX20" s="127" t="s">
        <v>1395</v>
      </c>
      <c r="EY20" s="128">
        <v>1</v>
      </c>
      <c r="EZ20" s="127" t="s">
        <v>1396</v>
      </c>
    </row>
    <row r="21" spans="1:157" ht="15" customHeight="1">
      <c r="A21" s="127">
        <v>512</v>
      </c>
      <c r="B21" s="127">
        <v>2</v>
      </c>
      <c r="C21" s="127" t="s">
        <v>1337</v>
      </c>
      <c r="D21" s="142">
        <v>43721</v>
      </c>
      <c r="E21" s="127" t="s">
        <v>1397</v>
      </c>
      <c r="G21" s="127" t="s">
        <v>472</v>
      </c>
      <c r="H21" s="127" t="s">
        <v>1339</v>
      </c>
      <c r="I21" s="127" t="s">
        <v>1340</v>
      </c>
      <c r="J21" s="127" t="s">
        <v>472</v>
      </c>
      <c r="K21" s="127" t="s">
        <v>1398</v>
      </c>
      <c r="L21" s="127">
        <v>2.5000000000000001E-2</v>
      </c>
      <c r="M21" s="127" t="s">
        <v>1342</v>
      </c>
      <c r="N21" s="127" t="s">
        <v>1343</v>
      </c>
      <c r="O21" s="127" t="s">
        <v>1022</v>
      </c>
      <c r="P21" s="127" t="s">
        <v>1399</v>
      </c>
      <c r="Q21" s="127">
        <v>79655186</v>
      </c>
      <c r="R21" s="127" t="s">
        <v>1345</v>
      </c>
      <c r="S21" s="127">
        <v>3</v>
      </c>
      <c r="T21" s="127" t="s">
        <v>1346</v>
      </c>
      <c r="U21" s="127">
        <v>2014</v>
      </c>
      <c r="V21" s="127" t="s">
        <v>1400</v>
      </c>
      <c r="W21" s="127" t="s">
        <v>1401</v>
      </c>
      <c r="X21" s="127" t="s">
        <v>1342</v>
      </c>
      <c r="AA21" s="127">
        <v>20</v>
      </c>
      <c r="AB21" s="127" t="s">
        <v>1349</v>
      </c>
      <c r="AC21" s="127">
        <v>2</v>
      </c>
      <c r="AD21" s="127" t="s">
        <v>1345</v>
      </c>
      <c r="AE21" s="127" t="s">
        <v>1345</v>
      </c>
      <c r="AF21" s="127" t="s">
        <v>1345</v>
      </c>
      <c r="AG21" s="127" t="s">
        <v>1349</v>
      </c>
      <c r="AH21" s="127" t="s">
        <v>1342</v>
      </c>
      <c r="AI21" s="127" t="s">
        <v>1402</v>
      </c>
      <c r="AJ21" s="127" t="s">
        <v>1342</v>
      </c>
      <c r="AK21" s="127" t="s">
        <v>1350</v>
      </c>
      <c r="AL21" s="127" t="s">
        <v>1351</v>
      </c>
      <c r="AM21" s="127" t="s">
        <v>1351</v>
      </c>
      <c r="AN21" s="127" t="s">
        <v>1351</v>
      </c>
      <c r="AO21" s="127" t="s">
        <v>1351</v>
      </c>
      <c r="AP21" s="127" t="s">
        <v>1351</v>
      </c>
      <c r="AQ21" s="127" t="s">
        <v>1351</v>
      </c>
      <c r="AR21" s="127" t="s">
        <v>1352</v>
      </c>
      <c r="AS21" s="127" t="s">
        <v>1353</v>
      </c>
      <c r="AT21" s="127" t="s">
        <v>1342</v>
      </c>
      <c r="AU21" s="127">
        <v>6000</v>
      </c>
      <c r="AV21" s="127">
        <v>2500</v>
      </c>
      <c r="AW21" s="127" t="s">
        <v>1403</v>
      </c>
      <c r="AX21" s="127" t="s">
        <v>1404</v>
      </c>
      <c r="AY21" s="127" t="s">
        <v>1349</v>
      </c>
      <c r="BB21" s="127" t="s">
        <v>1358</v>
      </c>
      <c r="BC21" s="127" t="s">
        <v>1358</v>
      </c>
      <c r="BD21" s="127" t="s">
        <v>1358</v>
      </c>
      <c r="BE21" s="127" t="s">
        <v>1405</v>
      </c>
      <c r="BH21" s="127">
        <v>5</v>
      </c>
      <c r="BI21" s="127">
        <v>7</v>
      </c>
      <c r="BK21" s="127" t="s">
        <v>1360</v>
      </c>
      <c r="BL21" s="127" t="s">
        <v>1360</v>
      </c>
      <c r="BN21" s="127" t="s">
        <v>1349</v>
      </c>
      <c r="BQ21" s="127" t="s">
        <v>1345</v>
      </c>
      <c r="BR21" s="127" t="s">
        <v>1342</v>
      </c>
      <c r="BS21" s="130">
        <v>0</v>
      </c>
      <c r="BT21" s="127" t="s">
        <v>1345</v>
      </c>
      <c r="BU21" s="127" t="s">
        <v>1406</v>
      </c>
      <c r="BV21" s="127" t="s">
        <v>1349</v>
      </c>
      <c r="BX21" s="127" t="s">
        <v>1345</v>
      </c>
      <c r="BY21" s="127" t="s">
        <v>1362</v>
      </c>
      <c r="BZ21" s="127" t="s">
        <v>1363</v>
      </c>
      <c r="CA21" s="127" t="s">
        <v>1398</v>
      </c>
      <c r="CB21" s="127" t="s">
        <v>1364</v>
      </c>
      <c r="CC21" s="127" t="s">
        <v>1364</v>
      </c>
      <c r="CD21" s="127" t="s">
        <v>1364</v>
      </c>
      <c r="CE21" s="127">
        <v>1700</v>
      </c>
      <c r="CF21" s="127">
        <v>1000</v>
      </c>
      <c r="CG21" s="127">
        <v>4000</v>
      </c>
      <c r="CH21" s="127">
        <v>60</v>
      </c>
      <c r="CI21" s="127">
        <v>30</v>
      </c>
      <c r="CJ21" s="127">
        <v>120</v>
      </c>
      <c r="CK21" s="130">
        <v>0.4</v>
      </c>
      <c r="CL21" s="130">
        <v>0.3</v>
      </c>
      <c r="CM21" s="130">
        <v>0.6</v>
      </c>
      <c r="CN21" s="130">
        <v>0.7</v>
      </c>
      <c r="CO21" s="127" t="s">
        <v>1365</v>
      </c>
      <c r="CP21" s="127" t="s">
        <v>1366</v>
      </c>
      <c r="CQ21" s="127" t="s">
        <v>1367</v>
      </c>
      <c r="CR21" s="127">
        <v>0.03</v>
      </c>
      <c r="CS21" s="127" t="s">
        <v>1360</v>
      </c>
      <c r="CT21" s="127" t="s">
        <v>1407</v>
      </c>
      <c r="CU21" s="127" t="s">
        <v>1345</v>
      </c>
      <c r="CV21" s="127" t="s">
        <v>1408</v>
      </c>
      <c r="CW21" s="127" t="s">
        <v>1345</v>
      </c>
      <c r="CX21" s="127">
        <v>20</v>
      </c>
      <c r="CY21" s="130">
        <v>0.7</v>
      </c>
      <c r="CZ21" s="127" t="s">
        <v>1371</v>
      </c>
      <c r="DA21" s="127" t="s">
        <v>1372</v>
      </c>
      <c r="DB21" s="127">
        <v>6</v>
      </c>
      <c r="DC21" s="127" t="s">
        <v>1373</v>
      </c>
      <c r="DD21" s="127" t="s">
        <v>1374</v>
      </c>
      <c r="DE21" s="127" t="s">
        <v>1375</v>
      </c>
      <c r="DF21" s="127" t="s">
        <v>1376</v>
      </c>
      <c r="DG21" s="127" t="s">
        <v>1377</v>
      </c>
      <c r="DH21" s="127" t="s">
        <v>1409</v>
      </c>
      <c r="DI21" s="127" t="s">
        <v>1379</v>
      </c>
      <c r="DJ21" s="127" t="s">
        <v>1366</v>
      </c>
      <c r="DK21" s="127" t="s">
        <v>1366</v>
      </c>
      <c r="DL21" s="127" t="s">
        <v>1410</v>
      </c>
      <c r="DM21" s="127" t="s">
        <v>1381</v>
      </c>
      <c r="DN21" s="127" t="s">
        <v>1383</v>
      </c>
      <c r="DO21" s="127" t="s">
        <v>1411</v>
      </c>
      <c r="DP21" s="127" t="s">
        <v>1345</v>
      </c>
      <c r="DQ21" s="127" t="s">
        <v>1412</v>
      </c>
      <c r="DR21" s="127" t="s">
        <v>1342</v>
      </c>
      <c r="DT21" s="127" t="s">
        <v>1364</v>
      </c>
      <c r="DU21" s="127" t="s">
        <v>1384</v>
      </c>
      <c r="DV21" s="127" t="s">
        <v>1345</v>
      </c>
      <c r="DW21" s="130" t="s">
        <v>1413</v>
      </c>
      <c r="DX21" s="127" t="s">
        <v>1345</v>
      </c>
      <c r="DY21" s="127" t="s">
        <v>1349</v>
      </c>
      <c r="EA21" s="127" t="s">
        <v>1345</v>
      </c>
      <c r="EB21" s="127" t="s">
        <v>1345</v>
      </c>
      <c r="EC21" s="127" t="s">
        <v>1345</v>
      </c>
      <c r="ED21" s="127" t="s">
        <v>1414</v>
      </c>
      <c r="EE21" s="127">
        <v>0.3</v>
      </c>
      <c r="EF21" s="127" t="s">
        <v>1415</v>
      </c>
      <c r="EG21" s="127" t="s">
        <v>1349</v>
      </c>
      <c r="EL21" s="127" t="s">
        <v>1416</v>
      </c>
      <c r="EM21" s="127">
        <v>4</v>
      </c>
      <c r="EN21" s="127" t="s">
        <v>1417</v>
      </c>
      <c r="EO21" s="127">
        <v>1</v>
      </c>
      <c r="EP21" s="127" t="s">
        <v>1391</v>
      </c>
      <c r="EQ21" s="127">
        <v>3</v>
      </c>
      <c r="ER21" s="127" t="s">
        <v>1418</v>
      </c>
      <c r="ES21" s="127">
        <v>3</v>
      </c>
      <c r="ET21" s="127" t="s">
        <v>1419</v>
      </c>
      <c r="EU21" s="127">
        <v>3</v>
      </c>
      <c r="EV21" s="127" t="s">
        <v>1420</v>
      </c>
      <c r="EW21" s="127">
        <v>5</v>
      </c>
      <c r="EX21" s="127" t="s">
        <v>1421</v>
      </c>
      <c r="EY21" s="127">
        <v>1</v>
      </c>
      <c r="EZ21" s="127" t="s">
        <v>1396</v>
      </c>
    </row>
    <row r="22" spans="1:157" ht="14.25" customHeight="1">
      <c r="A22" s="127">
        <v>513</v>
      </c>
      <c r="B22" s="127">
        <v>21</v>
      </c>
      <c r="C22" s="128" t="s">
        <v>1795</v>
      </c>
      <c r="D22" s="129">
        <v>43718</v>
      </c>
      <c r="E22" s="128" t="s">
        <v>1849</v>
      </c>
      <c r="F22" s="128" t="s">
        <v>1728</v>
      </c>
      <c r="G22" s="128" t="s">
        <v>1625</v>
      </c>
      <c r="H22" s="128" t="s">
        <v>1068</v>
      </c>
      <c r="I22" s="128" t="s">
        <v>1093</v>
      </c>
      <c r="J22" s="128" t="s">
        <v>1625</v>
      </c>
      <c r="K22" s="128" t="s">
        <v>1850</v>
      </c>
      <c r="L22" s="128">
        <v>4</v>
      </c>
      <c r="M22" s="128" t="s">
        <v>1851</v>
      </c>
      <c r="N22" s="127" t="s">
        <v>1852</v>
      </c>
      <c r="O22" s="127" t="s">
        <v>921</v>
      </c>
      <c r="P22" s="127" t="s">
        <v>1853</v>
      </c>
      <c r="Q22" s="128">
        <v>60085040</v>
      </c>
      <c r="R22" s="128" t="s">
        <v>1345</v>
      </c>
      <c r="S22" s="128">
        <v>6</v>
      </c>
      <c r="T22" s="128" t="s">
        <v>1346</v>
      </c>
      <c r="U22" s="128">
        <v>2016</v>
      </c>
      <c r="V22" s="127" t="s">
        <v>1854</v>
      </c>
      <c r="W22" s="143" t="s">
        <v>1855</v>
      </c>
      <c r="X22" s="128" t="s">
        <v>1345</v>
      </c>
      <c r="Y22" s="128">
        <v>2019</v>
      </c>
      <c r="Z22" s="128"/>
      <c r="AA22" s="128">
        <v>16</v>
      </c>
      <c r="AB22" s="128" t="s">
        <v>1804</v>
      </c>
      <c r="AC22" s="128">
        <v>0</v>
      </c>
      <c r="AD22" s="128" t="s">
        <v>1345</v>
      </c>
      <c r="AE22" s="128" t="s">
        <v>1345</v>
      </c>
      <c r="AF22" s="128" t="s">
        <v>1345</v>
      </c>
      <c r="AG22" s="128" t="s">
        <v>1345</v>
      </c>
      <c r="AH22" s="128" t="s">
        <v>1856</v>
      </c>
      <c r="AI22" s="144" t="s">
        <v>1857</v>
      </c>
      <c r="AJ22" s="128" t="s">
        <v>1349</v>
      </c>
      <c r="AK22" s="144" t="s">
        <v>1801</v>
      </c>
      <c r="AL22" s="128" t="s">
        <v>1550</v>
      </c>
      <c r="AM22" s="128" t="s">
        <v>1351</v>
      </c>
      <c r="AN22" s="128" t="s">
        <v>1351</v>
      </c>
      <c r="AO22" s="128" t="s">
        <v>1351</v>
      </c>
      <c r="AP22" s="128" t="s">
        <v>1351</v>
      </c>
      <c r="AQ22" s="128" t="s">
        <v>1352</v>
      </c>
      <c r="AR22" s="128" t="s">
        <v>1352</v>
      </c>
      <c r="AS22" s="128" t="s">
        <v>1803</v>
      </c>
      <c r="AT22" s="128" t="s">
        <v>1804</v>
      </c>
      <c r="AU22" s="144" t="s">
        <v>1858</v>
      </c>
      <c r="AV22" s="144" t="s">
        <v>1859</v>
      </c>
      <c r="AW22" s="144" t="s">
        <v>1860</v>
      </c>
      <c r="AX22" s="144" t="s">
        <v>1861</v>
      </c>
      <c r="AY22" s="144" t="s">
        <v>1345</v>
      </c>
      <c r="AZ22" s="144" t="s">
        <v>1808</v>
      </c>
      <c r="BA22" s="144" t="s">
        <v>1808</v>
      </c>
      <c r="BB22" s="144" t="s">
        <v>1358</v>
      </c>
      <c r="BC22" s="144" t="s">
        <v>1358</v>
      </c>
      <c r="BD22" s="144" t="s">
        <v>1358</v>
      </c>
      <c r="BE22" s="144" t="s">
        <v>1811</v>
      </c>
      <c r="BF22" s="144" t="s">
        <v>1811</v>
      </c>
      <c r="BG22" s="144" t="s">
        <v>1811</v>
      </c>
      <c r="BH22" s="144">
        <v>3</v>
      </c>
      <c r="BI22" s="144">
        <v>3</v>
      </c>
      <c r="BJ22" s="144">
        <v>7</v>
      </c>
      <c r="BK22" s="127" t="s">
        <v>1812</v>
      </c>
      <c r="BL22" s="127" t="s">
        <v>1812</v>
      </c>
      <c r="BM22" s="127" t="s">
        <v>1812</v>
      </c>
      <c r="BN22" s="128" t="s">
        <v>1349</v>
      </c>
      <c r="BO22" s="144"/>
      <c r="BP22" s="144"/>
      <c r="BQ22" s="128" t="s">
        <v>1345</v>
      </c>
      <c r="BR22" s="128" t="s">
        <v>1349</v>
      </c>
      <c r="BS22" s="128" t="s">
        <v>1856</v>
      </c>
      <c r="BT22" s="128" t="s">
        <v>1862</v>
      </c>
      <c r="BU22" s="128" t="s">
        <v>1342</v>
      </c>
      <c r="BV22" s="128" t="s">
        <v>1349</v>
      </c>
      <c r="BW22" s="144" t="s">
        <v>1863</v>
      </c>
      <c r="BX22" s="128" t="s">
        <v>1349</v>
      </c>
      <c r="BY22" s="128" t="s">
        <v>1856</v>
      </c>
      <c r="BZ22" s="128" t="s">
        <v>1856</v>
      </c>
      <c r="CA22" s="128" t="s">
        <v>1856</v>
      </c>
      <c r="CB22" s="128" t="s">
        <v>1815</v>
      </c>
      <c r="CC22" s="144" t="s">
        <v>1864</v>
      </c>
      <c r="CD22" s="128" t="s">
        <v>1815</v>
      </c>
      <c r="CE22" s="144">
        <v>0</v>
      </c>
      <c r="CF22" s="144">
        <v>0</v>
      </c>
      <c r="CG22" s="128">
        <v>400</v>
      </c>
      <c r="CH22" s="144" t="s">
        <v>1865</v>
      </c>
      <c r="CI22" s="144" t="s">
        <v>1866</v>
      </c>
      <c r="CJ22" s="144" t="s">
        <v>1866</v>
      </c>
      <c r="CK22" s="144" t="s">
        <v>1867</v>
      </c>
      <c r="CL22" s="144" t="s">
        <v>1867</v>
      </c>
      <c r="CM22" s="144" t="s">
        <v>1867</v>
      </c>
      <c r="CN22" s="144" t="s">
        <v>1867</v>
      </c>
      <c r="CO22" s="144" t="s">
        <v>1868</v>
      </c>
      <c r="CP22" s="144" t="s">
        <v>1358</v>
      </c>
      <c r="CQ22" s="144" t="s">
        <v>1869</v>
      </c>
      <c r="CR22" s="144">
        <v>15</v>
      </c>
      <c r="CS22" s="144" t="s">
        <v>1818</v>
      </c>
      <c r="CT22" s="144" t="s">
        <v>1870</v>
      </c>
      <c r="CU22" s="128" t="s">
        <v>1349</v>
      </c>
      <c r="CV22" s="144" t="s">
        <v>1871</v>
      </c>
      <c r="CW22" s="128" t="s">
        <v>1345</v>
      </c>
      <c r="CX22" s="144" t="s">
        <v>1856</v>
      </c>
      <c r="CY22" s="128" t="s">
        <v>1815</v>
      </c>
      <c r="CZ22" s="128" t="s">
        <v>1821</v>
      </c>
      <c r="DA22" s="128" t="s">
        <v>1822</v>
      </c>
      <c r="DB22" s="128" t="s">
        <v>1872</v>
      </c>
      <c r="DC22" s="128" t="s">
        <v>1358</v>
      </c>
      <c r="DD22" s="128" t="s">
        <v>1373</v>
      </c>
      <c r="DE22" s="128" t="s">
        <v>1873</v>
      </c>
      <c r="DF22" s="128" t="s">
        <v>1874</v>
      </c>
      <c r="DG22" s="127" t="s">
        <v>1875</v>
      </c>
      <c r="DH22" s="128" t="s">
        <v>1876</v>
      </c>
      <c r="DI22" s="128" t="s">
        <v>1829</v>
      </c>
      <c r="DJ22" s="128" t="s">
        <v>1829</v>
      </c>
      <c r="DK22" s="128" t="s">
        <v>1829</v>
      </c>
      <c r="DL22" s="128" t="s">
        <v>1877</v>
      </c>
      <c r="DM22" s="128" t="s">
        <v>1878</v>
      </c>
      <c r="DN22" s="128" t="s">
        <v>1345</v>
      </c>
      <c r="DO22" s="128" t="s">
        <v>1879</v>
      </c>
      <c r="DP22" s="128" t="s">
        <v>1383</v>
      </c>
      <c r="DQ22" s="128" t="s">
        <v>1832</v>
      </c>
      <c r="DR22" s="128" t="s">
        <v>1349</v>
      </c>
      <c r="DS22" s="128"/>
      <c r="DT22" s="128"/>
      <c r="DV22" s="128" t="s">
        <v>1383</v>
      </c>
      <c r="DW22" s="127" t="s">
        <v>1833</v>
      </c>
      <c r="DX22" s="128" t="s">
        <v>1383</v>
      </c>
      <c r="DY22" s="128" t="s">
        <v>1880</v>
      </c>
      <c r="DZ22" s="128" t="s">
        <v>1834</v>
      </c>
      <c r="EA22" s="128" t="s">
        <v>1383</v>
      </c>
      <c r="EB22" s="128" t="s">
        <v>1383</v>
      </c>
      <c r="EC22" s="128" t="s">
        <v>1383</v>
      </c>
      <c r="ED22" s="128" t="s">
        <v>1881</v>
      </c>
      <c r="EE22" s="127">
        <v>0.5</v>
      </c>
      <c r="EF22" s="128" t="s">
        <v>1836</v>
      </c>
      <c r="EG22" s="128" t="s">
        <v>1345</v>
      </c>
      <c r="EH22" s="130" t="s">
        <v>1882</v>
      </c>
      <c r="EI22" s="128" t="s">
        <v>1883</v>
      </c>
      <c r="EJ22" s="128" t="s">
        <v>1884</v>
      </c>
      <c r="EK22" s="128" t="s">
        <v>1885</v>
      </c>
      <c r="EL22" s="128" t="s">
        <v>1886</v>
      </c>
      <c r="EM22" s="128">
        <v>4</v>
      </c>
      <c r="EN22" s="128" t="s">
        <v>1887</v>
      </c>
      <c r="EO22" s="128">
        <v>3</v>
      </c>
      <c r="EP22" s="128" t="s">
        <v>1888</v>
      </c>
      <c r="EQ22" s="128">
        <v>3</v>
      </c>
      <c r="ER22" s="127" t="s">
        <v>1844</v>
      </c>
      <c r="ES22" s="128">
        <v>2</v>
      </c>
      <c r="ET22" s="128" t="s">
        <v>1889</v>
      </c>
      <c r="EU22" s="128">
        <v>5</v>
      </c>
      <c r="EV22" s="127" t="s">
        <v>1846</v>
      </c>
      <c r="EW22" s="128">
        <v>3</v>
      </c>
      <c r="EX22" s="128" t="s">
        <v>1847</v>
      </c>
      <c r="EY22" s="128">
        <v>1</v>
      </c>
      <c r="EZ22" s="128" t="s">
        <v>1890</v>
      </c>
    </row>
    <row r="23" spans="1:157" ht="14.25" customHeight="1">
      <c r="A23" s="127">
        <v>514</v>
      </c>
      <c r="B23" s="127">
        <v>13</v>
      </c>
      <c r="C23" s="128" t="s">
        <v>1337</v>
      </c>
      <c r="D23" s="129">
        <v>43731</v>
      </c>
      <c r="E23" s="128" t="s">
        <v>1652</v>
      </c>
      <c r="F23" s="128" t="e">
        <f>IF(E23 &lt;&gt; "", VLOOKUP(E23, '[4]Internal-logic'!G$1:I$364, 2, FALSE),"")</f>
        <v>#N/A</v>
      </c>
      <c r="G23" s="128" t="e">
        <f>IF(E23 &lt;&gt; "", VLOOKUP(E23, '[4]Internal-logic'!G$1:I$364, 3, FALSE),"")</f>
        <v>#N/A</v>
      </c>
      <c r="H23" s="128" t="s">
        <v>1539</v>
      </c>
      <c r="I23" s="128" t="s">
        <v>1069</v>
      </c>
      <c r="J23" s="128" t="s">
        <v>62</v>
      </c>
      <c r="K23" s="128"/>
      <c r="L23" s="128">
        <v>0.02</v>
      </c>
      <c r="M23" s="128" t="s">
        <v>1349</v>
      </c>
      <c r="N23" s="127" t="s">
        <v>1541</v>
      </c>
      <c r="O23" s="127" t="s">
        <v>1653</v>
      </c>
      <c r="P23" s="128" t="s">
        <v>1654</v>
      </c>
      <c r="Q23" s="128" t="s">
        <v>1655</v>
      </c>
      <c r="R23" s="128" t="s">
        <v>1345</v>
      </c>
      <c r="S23" s="128">
        <v>3</v>
      </c>
      <c r="T23" s="128" t="s">
        <v>1544</v>
      </c>
      <c r="U23" s="128">
        <v>1994</v>
      </c>
      <c r="V23" s="128" t="s">
        <v>1627</v>
      </c>
      <c r="W23" s="128" t="s">
        <v>1546</v>
      </c>
      <c r="X23" s="128" t="s">
        <v>1349</v>
      </c>
      <c r="Y23" s="128"/>
      <c r="Z23" s="128"/>
      <c r="AA23" s="128">
        <v>22</v>
      </c>
      <c r="AB23" s="128" t="s">
        <v>1548</v>
      </c>
      <c r="AC23" s="128">
        <v>2</v>
      </c>
      <c r="AD23" s="128" t="s">
        <v>1345</v>
      </c>
      <c r="AE23" s="128" t="s">
        <v>1349</v>
      </c>
      <c r="AF23" s="128" t="s">
        <v>1349</v>
      </c>
      <c r="AG23" s="128" t="s">
        <v>1349</v>
      </c>
      <c r="AI23" s="128"/>
      <c r="AJ23" s="128" t="s">
        <v>1345</v>
      </c>
      <c r="AL23" s="128" t="s">
        <v>1634</v>
      </c>
      <c r="AM23" s="127" t="s">
        <v>1351</v>
      </c>
      <c r="AN23" s="127" t="s">
        <v>1351</v>
      </c>
      <c r="AO23" s="127" t="s">
        <v>1351</v>
      </c>
      <c r="AP23" s="127" t="s">
        <v>1351</v>
      </c>
      <c r="AQ23" s="127" t="s">
        <v>1351</v>
      </c>
      <c r="AS23" s="127" t="s">
        <v>1552</v>
      </c>
      <c r="AT23" s="128" t="s">
        <v>1635</v>
      </c>
      <c r="AU23" s="127" t="s">
        <v>1636</v>
      </c>
      <c r="AV23" s="127">
        <v>5000</v>
      </c>
      <c r="AW23" s="128" t="s">
        <v>1637</v>
      </c>
      <c r="AX23" s="128" t="s">
        <v>1555</v>
      </c>
      <c r="AY23" s="128" t="s">
        <v>1349</v>
      </c>
      <c r="AZ23" s="128" t="s">
        <v>1556</v>
      </c>
      <c r="BA23" s="128" t="s">
        <v>1556</v>
      </c>
      <c r="BB23" s="128" t="s">
        <v>1638</v>
      </c>
      <c r="BC23" s="128" t="s">
        <v>1638</v>
      </c>
      <c r="BD23" s="128" t="s">
        <v>1638</v>
      </c>
      <c r="BE23" s="128" t="s">
        <v>62</v>
      </c>
      <c r="BF23" s="128" t="s">
        <v>62</v>
      </c>
      <c r="BG23" s="128" t="s">
        <v>62</v>
      </c>
      <c r="BH23" s="128">
        <v>3</v>
      </c>
      <c r="BI23" s="128" t="s">
        <v>1556</v>
      </c>
      <c r="BJ23" s="128" t="s">
        <v>1556</v>
      </c>
      <c r="BK23" s="128" t="s">
        <v>1559</v>
      </c>
      <c r="BL23" s="128" t="s">
        <v>1556</v>
      </c>
      <c r="BM23" s="128" t="s">
        <v>1559</v>
      </c>
      <c r="BN23" s="128" t="s">
        <v>1349</v>
      </c>
      <c r="BO23" s="128" t="s">
        <v>1556</v>
      </c>
      <c r="BP23" s="128" t="s">
        <v>1556</v>
      </c>
      <c r="BQ23" s="128" t="s">
        <v>1345</v>
      </c>
      <c r="BR23" s="128" t="s">
        <v>1349</v>
      </c>
      <c r="BS23" s="128" t="s">
        <v>1349</v>
      </c>
      <c r="BT23" s="128" t="s">
        <v>1345</v>
      </c>
      <c r="BU23" s="128" t="s">
        <v>1556</v>
      </c>
      <c r="BV23" s="128" t="s">
        <v>1349</v>
      </c>
      <c r="BW23" s="128" t="s">
        <v>1556</v>
      </c>
      <c r="BX23" s="128" t="s">
        <v>1345</v>
      </c>
      <c r="BY23" s="128" t="s">
        <v>1561</v>
      </c>
      <c r="BZ23" s="128" t="s">
        <v>1562</v>
      </c>
      <c r="CA23" s="128" t="s">
        <v>62</v>
      </c>
      <c r="CB23" s="128" t="s">
        <v>1556</v>
      </c>
      <c r="CC23" s="128" t="s">
        <v>1556</v>
      </c>
      <c r="CD23" s="128" t="s">
        <v>1556</v>
      </c>
      <c r="CE23" s="128">
        <v>1500</v>
      </c>
      <c r="CF23" s="128">
        <v>2000</v>
      </c>
      <c r="CG23" s="128">
        <v>5000</v>
      </c>
      <c r="CH23" s="128">
        <v>0</v>
      </c>
      <c r="CI23" s="128">
        <v>0</v>
      </c>
      <c r="CJ23" s="128">
        <v>0</v>
      </c>
      <c r="CK23" s="130">
        <v>0.4</v>
      </c>
      <c r="CL23" s="130">
        <v>0.4</v>
      </c>
      <c r="CM23" s="130">
        <v>0.6</v>
      </c>
      <c r="CN23" s="130">
        <v>0.6</v>
      </c>
      <c r="CP23" s="127" t="s">
        <v>1565</v>
      </c>
      <c r="CQ23" s="127" t="s">
        <v>1556</v>
      </c>
      <c r="CR23" s="127" t="s">
        <v>1556</v>
      </c>
      <c r="CS23" s="127" t="s">
        <v>1556</v>
      </c>
      <c r="CT23" s="127" t="s">
        <v>1556</v>
      </c>
      <c r="CU23" s="127" t="s">
        <v>1556</v>
      </c>
      <c r="CV23" s="127" t="s">
        <v>1556</v>
      </c>
      <c r="CW23" s="128" t="s">
        <v>1383</v>
      </c>
      <c r="CX23" s="127">
        <v>0</v>
      </c>
      <c r="CY23" s="130">
        <v>1</v>
      </c>
      <c r="CZ23" s="127" t="s">
        <v>1639</v>
      </c>
      <c r="DA23" s="127" t="s">
        <v>1640</v>
      </c>
      <c r="DB23" s="127">
        <v>4</v>
      </c>
      <c r="DC23" s="127" t="s">
        <v>1641</v>
      </c>
      <c r="DD23" s="127" t="s">
        <v>1642</v>
      </c>
      <c r="DE23" s="127" t="s">
        <v>1643</v>
      </c>
      <c r="DF23" s="127" t="s">
        <v>1644</v>
      </c>
      <c r="DG23" s="127" t="s">
        <v>1645</v>
      </c>
      <c r="DH23" s="127" t="s">
        <v>1646</v>
      </c>
      <c r="DI23" s="127" t="s">
        <v>1556</v>
      </c>
      <c r="DJ23" s="127" t="s">
        <v>1556</v>
      </c>
      <c r="DK23" s="127" t="s">
        <v>1556</v>
      </c>
      <c r="DL23" s="127" t="s">
        <v>1646</v>
      </c>
      <c r="DM23" s="127" t="s">
        <v>1556</v>
      </c>
      <c r="DN23" s="128"/>
      <c r="DP23" s="128" t="s">
        <v>1383</v>
      </c>
      <c r="DQ23" s="127" t="s">
        <v>1647</v>
      </c>
      <c r="DR23" s="128" t="s">
        <v>1349</v>
      </c>
      <c r="DS23" s="127" t="s">
        <v>1556</v>
      </c>
      <c r="DT23" s="127" t="s">
        <v>1556</v>
      </c>
      <c r="DU23" s="127" t="s">
        <v>1556</v>
      </c>
      <c r="DV23" s="127" t="s">
        <v>1383</v>
      </c>
      <c r="DW23" s="130">
        <v>1</v>
      </c>
      <c r="DX23" s="127" t="s">
        <v>1383</v>
      </c>
      <c r="DY23" s="127" t="s">
        <v>1349</v>
      </c>
      <c r="DZ23" s="127" t="s">
        <v>1580</v>
      </c>
      <c r="EA23" s="127" t="s">
        <v>1383</v>
      </c>
      <c r="EB23" s="128" t="s">
        <v>1383</v>
      </c>
      <c r="EC23" s="127" t="s">
        <v>1383</v>
      </c>
      <c r="ED23" s="127" t="s">
        <v>1630</v>
      </c>
      <c r="EE23" s="127">
        <v>0</v>
      </c>
      <c r="EF23" s="128" t="s">
        <v>1606</v>
      </c>
      <c r="EG23" s="128" t="s">
        <v>1349</v>
      </c>
      <c r="EH23" s="127" t="s">
        <v>1556</v>
      </c>
      <c r="EI23" s="127" t="s">
        <v>1584</v>
      </c>
      <c r="EJ23" s="127" t="s">
        <v>1585</v>
      </c>
      <c r="EK23" s="127" t="s">
        <v>1556</v>
      </c>
      <c r="EL23" s="128" t="s">
        <v>1416</v>
      </c>
      <c r="EM23" s="128">
        <v>4</v>
      </c>
      <c r="EN23" s="128" t="s">
        <v>1622</v>
      </c>
      <c r="EO23" s="128">
        <v>1</v>
      </c>
      <c r="EP23" s="128" t="s">
        <v>1656</v>
      </c>
      <c r="EQ23" s="128">
        <v>1</v>
      </c>
      <c r="ER23" s="128" t="s">
        <v>1649</v>
      </c>
      <c r="ES23" s="128">
        <v>2</v>
      </c>
      <c r="ET23" s="128" t="s">
        <v>1650</v>
      </c>
      <c r="EU23" s="128">
        <v>4</v>
      </c>
      <c r="EV23" s="128" t="s">
        <v>1657</v>
      </c>
      <c r="EW23" s="128">
        <v>4</v>
      </c>
      <c r="EX23" s="128" t="s">
        <v>1591</v>
      </c>
      <c r="EY23" s="128">
        <v>1</v>
      </c>
    </row>
    <row r="24" spans="1:157">
      <c r="A24" s="127">
        <v>515</v>
      </c>
      <c r="B24" s="132">
        <v>44</v>
      </c>
      <c r="C24" s="133" t="s">
        <v>2278</v>
      </c>
      <c r="D24" s="134">
        <v>43724</v>
      </c>
      <c r="E24" s="133" t="s">
        <v>2458</v>
      </c>
      <c r="F24" s="133" t="e">
        <v>#N/A</v>
      </c>
      <c r="G24" s="133" t="e">
        <v>#N/A</v>
      </c>
      <c r="H24" s="133" t="s">
        <v>1690</v>
      </c>
      <c r="I24" s="133" t="s">
        <v>1094</v>
      </c>
      <c r="J24" s="133" t="s">
        <v>138</v>
      </c>
      <c r="K24" s="133" t="s">
        <v>1174</v>
      </c>
      <c r="L24" s="133">
        <v>73</v>
      </c>
      <c r="M24" s="133" t="s">
        <v>2393</v>
      </c>
      <c r="N24" s="133" t="s">
        <v>1541</v>
      </c>
      <c r="O24" s="133" t="s">
        <v>800</v>
      </c>
      <c r="P24" s="133" t="s">
        <v>2459</v>
      </c>
      <c r="Q24" s="133">
        <v>70692360</v>
      </c>
      <c r="R24" s="133" t="s">
        <v>1345</v>
      </c>
      <c r="S24" s="133">
        <v>11</v>
      </c>
      <c r="T24" s="133" t="s">
        <v>1920</v>
      </c>
      <c r="U24" s="133">
        <v>1993</v>
      </c>
      <c r="V24" s="133" t="s">
        <v>2358</v>
      </c>
      <c r="W24" s="133" t="s">
        <v>2359</v>
      </c>
      <c r="X24" s="133" t="s">
        <v>1345</v>
      </c>
      <c r="Y24" s="133">
        <v>2018</v>
      </c>
      <c r="Z24" s="133" t="s">
        <v>2288</v>
      </c>
      <c r="AA24" s="133">
        <v>40</v>
      </c>
      <c r="AB24" s="133" t="s">
        <v>1349</v>
      </c>
      <c r="AC24" s="133">
        <v>4</v>
      </c>
      <c r="AD24" s="133" t="s">
        <v>1345</v>
      </c>
      <c r="AE24" s="133" t="s">
        <v>1345</v>
      </c>
      <c r="AF24" s="133" t="s">
        <v>1349</v>
      </c>
      <c r="AG24" s="133" t="s">
        <v>1349</v>
      </c>
      <c r="AH24" s="133" t="s">
        <v>2460</v>
      </c>
      <c r="AI24" s="133">
        <v>2009</v>
      </c>
      <c r="AJ24" s="133" t="s">
        <v>1345</v>
      </c>
      <c r="AK24" s="133" t="s">
        <v>2290</v>
      </c>
      <c r="AL24" s="133" t="s">
        <v>1612</v>
      </c>
      <c r="AM24" s="133" t="s">
        <v>2291</v>
      </c>
      <c r="AN24" s="133" t="s">
        <v>2291</v>
      </c>
      <c r="AO24" s="133" t="s">
        <v>2291</v>
      </c>
      <c r="AP24" s="133" t="s">
        <v>2291</v>
      </c>
      <c r="AQ24" s="133" t="s">
        <v>2291</v>
      </c>
      <c r="AR24" s="133" t="s">
        <v>2291</v>
      </c>
      <c r="AS24" s="133" t="s">
        <v>1802</v>
      </c>
      <c r="AT24" s="133" t="s">
        <v>1358</v>
      </c>
      <c r="AU24" s="133" t="s">
        <v>2461</v>
      </c>
      <c r="AV24" s="133">
        <v>2500</v>
      </c>
      <c r="AW24" s="133" t="s">
        <v>2397</v>
      </c>
      <c r="AX24" s="133" t="s">
        <v>2430</v>
      </c>
      <c r="AY24" s="133" t="s">
        <v>1349</v>
      </c>
      <c r="AZ24" s="133" t="s">
        <v>2462</v>
      </c>
      <c r="BA24" s="133" t="s">
        <v>2361</v>
      </c>
      <c r="BB24" s="133" t="s">
        <v>2289</v>
      </c>
      <c r="BC24" s="133" t="s">
        <v>2289</v>
      </c>
      <c r="BD24" s="133" t="s">
        <v>2289</v>
      </c>
      <c r="BE24" s="133" t="s">
        <v>2463</v>
      </c>
      <c r="BF24" s="133" t="s">
        <v>2300</v>
      </c>
      <c r="BG24" s="133" t="s">
        <v>2300</v>
      </c>
      <c r="BH24" s="133">
        <v>5</v>
      </c>
      <c r="BI24" s="133">
        <v>5</v>
      </c>
      <c r="BJ24" s="133">
        <v>5</v>
      </c>
      <c r="BK24" s="133" t="s">
        <v>1360</v>
      </c>
      <c r="BL24" s="133" t="s">
        <v>1360</v>
      </c>
      <c r="BM24" s="133" t="s">
        <v>1360</v>
      </c>
      <c r="BN24" s="133" t="s">
        <v>1349</v>
      </c>
      <c r="BO24" s="133" t="s">
        <v>2300</v>
      </c>
      <c r="BP24" s="133" t="s">
        <v>2300</v>
      </c>
      <c r="BQ24" s="133" t="s">
        <v>1349</v>
      </c>
      <c r="BR24" s="133" t="s">
        <v>1349</v>
      </c>
      <c r="BS24" s="133" t="s">
        <v>1804</v>
      </c>
      <c r="BT24" s="133" t="s">
        <v>1345</v>
      </c>
      <c r="BU24" s="133" t="s">
        <v>2464</v>
      </c>
      <c r="BV24" s="133" t="s">
        <v>1349</v>
      </c>
      <c r="BW24" s="133" t="s">
        <v>2300</v>
      </c>
      <c r="BX24" s="133" t="s">
        <v>1345</v>
      </c>
      <c r="BY24" s="133" t="s">
        <v>2302</v>
      </c>
      <c r="BZ24" s="133" t="s">
        <v>2449</v>
      </c>
      <c r="CA24" s="133" t="s">
        <v>2465</v>
      </c>
      <c r="CB24" s="133" t="s">
        <v>2289</v>
      </c>
      <c r="CC24" s="133" t="s">
        <v>2289</v>
      </c>
      <c r="CD24" s="133" t="s">
        <v>2289</v>
      </c>
      <c r="CE24" s="133">
        <v>4000</v>
      </c>
      <c r="CF24" s="133">
        <v>3000</v>
      </c>
      <c r="CG24" s="133">
        <v>6000</v>
      </c>
      <c r="CH24" s="133">
        <v>120</v>
      </c>
      <c r="CI24" s="133">
        <v>90</v>
      </c>
      <c r="CJ24" s="133">
        <v>200</v>
      </c>
      <c r="CK24" s="136">
        <v>0</v>
      </c>
      <c r="CL24" s="136">
        <v>0</v>
      </c>
      <c r="CM24" s="136">
        <v>1</v>
      </c>
      <c r="CN24" s="136">
        <v>1</v>
      </c>
      <c r="CO24" s="133" t="s">
        <v>2467</v>
      </c>
      <c r="CP24" s="133" t="s">
        <v>2468</v>
      </c>
      <c r="CQ24" s="133" t="s">
        <v>2469</v>
      </c>
      <c r="CR24" s="133">
        <v>1</v>
      </c>
      <c r="CS24" s="133" t="s">
        <v>1360</v>
      </c>
      <c r="CT24" s="133" t="s">
        <v>2470</v>
      </c>
      <c r="CU24" s="133" t="s">
        <v>1345</v>
      </c>
      <c r="CV24" s="133" t="s">
        <v>2407</v>
      </c>
      <c r="CW24" s="133" t="s">
        <v>1349</v>
      </c>
      <c r="CX24" s="133" t="s">
        <v>2289</v>
      </c>
      <c r="CY24" s="133" t="s">
        <v>2289</v>
      </c>
      <c r="CZ24" s="133" t="s">
        <v>2311</v>
      </c>
      <c r="DA24" s="133" t="s">
        <v>1358</v>
      </c>
      <c r="DB24" s="133" t="s">
        <v>1903</v>
      </c>
      <c r="DC24" s="133" t="s">
        <v>2471</v>
      </c>
      <c r="DD24" s="132" t="s">
        <v>2472</v>
      </c>
      <c r="DE24" s="133" t="s">
        <v>2473</v>
      </c>
      <c r="DF24" s="133" t="s">
        <v>2315</v>
      </c>
      <c r="DG24" s="133" t="s">
        <v>2474</v>
      </c>
      <c r="DH24" s="133" t="s">
        <v>2475</v>
      </c>
      <c r="DI24" s="133" t="s">
        <v>1556</v>
      </c>
      <c r="DJ24" s="133" t="s">
        <v>1556</v>
      </c>
      <c r="DK24" s="133" t="s">
        <v>1556</v>
      </c>
      <c r="DL24" s="133" t="s">
        <v>2476</v>
      </c>
      <c r="DM24" s="133" t="s">
        <v>2477</v>
      </c>
      <c r="DN24" s="133" t="s">
        <v>1345</v>
      </c>
      <c r="DO24" s="133" t="s">
        <v>2452</v>
      </c>
      <c r="DP24" s="133" t="s">
        <v>1349</v>
      </c>
      <c r="DQ24" s="133" t="s">
        <v>1358</v>
      </c>
      <c r="DR24" s="133" t="s">
        <v>1349</v>
      </c>
      <c r="DS24" s="133" t="s">
        <v>2300</v>
      </c>
      <c r="DT24" s="133" t="s">
        <v>2300</v>
      </c>
      <c r="DU24" s="133" t="s">
        <v>2300</v>
      </c>
      <c r="DV24" s="133" t="s">
        <v>1345</v>
      </c>
      <c r="DW24" s="133" t="s">
        <v>2466</v>
      </c>
      <c r="DX24" s="133" t="s">
        <v>1345</v>
      </c>
      <c r="DY24" s="133" t="s">
        <v>1349</v>
      </c>
      <c r="DZ24" s="133" t="s">
        <v>2437</v>
      </c>
      <c r="EA24" s="133" t="s">
        <v>1345</v>
      </c>
      <c r="EB24" s="133" t="s">
        <v>1345</v>
      </c>
      <c r="EC24" s="133" t="s">
        <v>1345</v>
      </c>
      <c r="ED24" s="133" t="s">
        <v>2353</v>
      </c>
      <c r="EE24" s="132">
        <v>0.1</v>
      </c>
      <c r="EF24" s="133" t="s">
        <v>2370</v>
      </c>
      <c r="EG24" s="133" t="s">
        <v>1345</v>
      </c>
      <c r="EH24" s="133" t="s">
        <v>2325</v>
      </c>
      <c r="EI24" s="133" t="s">
        <v>2326</v>
      </c>
      <c r="EJ24" s="132" t="s">
        <v>2327</v>
      </c>
      <c r="EK24" s="133" t="s">
        <v>2354</v>
      </c>
      <c r="EL24" s="133" t="s">
        <v>1389</v>
      </c>
      <c r="EM24" s="133">
        <v>5</v>
      </c>
      <c r="EN24" s="133" t="s">
        <v>2478</v>
      </c>
      <c r="EO24" s="133">
        <v>3</v>
      </c>
      <c r="EP24" s="133" t="s">
        <v>2479</v>
      </c>
      <c r="EQ24" s="133">
        <v>3</v>
      </c>
      <c r="ER24" s="132" t="s">
        <v>2455</v>
      </c>
      <c r="ES24" s="133">
        <v>3</v>
      </c>
      <c r="ET24" s="132" t="s">
        <v>2456</v>
      </c>
      <c r="EU24" s="133">
        <v>4</v>
      </c>
      <c r="EV24" s="132" t="s">
        <v>2480</v>
      </c>
      <c r="EW24" s="133">
        <v>2</v>
      </c>
      <c r="EX24" s="132" t="s">
        <v>2481</v>
      </c>
      <c r="EY24" s="133">
        <v>1</v>
      </c>
      <c r="EZ24" s="132" t="s">
        <v>2424</v>
      </c>
    </row>
    <row r="25" spans="1:157">
      <c r="A25" s="127">
        <v>516</v>
      </c>
      <c r="B25" s="127">
        <v>26</v>
      </c>
      <c r="C25" s="128" t="s">
        <v>1795</v>
      </c>
      <c r="D25" s="129">
        <v>43724</v>
      </c>
      <c r="E25" s="128" t="s">
        <v>2026</v>
      </c>
      <c r="F25" s="128" t="s">
        <v>1728</v>
      </c>
      <c r="G25" s="128" t="s">
        <v>264</v>
      </c>
      <c r="H25" s="128" t="s">
        <v>1690</v>
      </c>
      <c r="I25" s="128" t="s">
        <v>1081</v>
      </c>
      <c r="J25" s="128" t="s">
        <v>264</v>
      </c>
      <c r="K25" s="128" t="s">
        <v>264</v>
      </c>
      <c r="L25" s="128">
        <v>1</v>
      </c>
      <c r="M25" s="128" t="s">
        <v>2027</v>
      </c>
      <c r="N25" s="128" t="s">
        <v>2028</v>
      </c>
      <c r="O25" s="128" t="s">
        <v>649</v>
      </c>
      <c r="P25" s="128" t="s">
        <v>2029</v>
      </c>
      <c r="Q25" s="128">
        <v>73489890</v>
      </c>
      <c r="R25" s="128" t="s">
        <v>1345</v>
      </c>
      <c r="S25" s="128">
        <v>7</v>
      </c>
      <c r="T25" s="128" t="s">
        <v>1346</v>
      </c>
      <c r="U25" s="128">
        <v>2007</v>
      </c>
      <c r="V25" s="127" t="s">
        <v>1893</v>
      </c>
      <c r="W25" s="128" t="s">
        <v>2030</v>
      </c>
      <c r="X25" s="128" t="s">
        <v>1349</v>
      </c>
      <c r="Y25" s="128"/>
      <c r="Z25" s="128"/>
      <c r="AA25" s="128">
        <v>23</v>
      </c>
      <c r="AB25" s="128" t="s">
        <v>1349</v>
      </c>
      <c r="AC25" s="128">
        <v>1</v>
      </c>
      <c r="AD25" s="128" t="s">
        <v>1345</v>
      </c>
      <c r="AE25" s="128" t="s">
        <v>1345</v>
      </c>
      <c r="AF25" s="128" t="s">
        <v>1345</v>
      </c>
      <c r="AG25" s="128" t="s">
        <v>1345</v>
      </c>
      <c r="AH25" s="128" t="s">
        <v>1856</v>
      </c>
      <c r="AI25" s="128">
        <v>2008</v>
      </c>
      <c r="AJ25" s="128" t="s">
        <v>1349</v>
      </c>
      <c r="AK25" s="128" t="s">
        <v>2031</v>
      </c>
      <c r="AL25" s="128" t="s">
        <v>1550</v>
      </c>
      <c r="AM25" s="128" t="s">
        <v>1896</v>
      </c>
      <c r="AN25" s="128" t="s">
        <v>1896</v>
      </c>
      <c r="AO25" s="128" t="s">
        <v>1896</v>
      </c>
      <c r="AP25" s="128" t="s">
        <v>1896</v>
      </c>
      <c r="AQ25" s="128" t="s">
        <v>1352</v>
      </c>
      <c r="AR25" s="128" t="s">
        <v>1352</v>
      </c>
      <c r="AS25" s="128" t="s">
        <v>1803</v>
      </c>
      <c r="AT25" s="128" t="s">
        <v>1804</v>
      </c>
      <c r="AU25" s="128" t="s">
        <v>1805</v>
      </c>
      <c r="AV25" s="128">
        <v>1000</v>
      </c>
      <c r="AW25" s="128" t="s">
        <v>2032</v>
      </c>
      <c r="AX25" s="128" t="s">
        <v>2033</v>
      </c>
      <c r="AY25" s="128" t="s">
        <v>1345</v>
      </c>
      <c r="BB25" s="128" t="s">
        <v>1358</v>
      </c>
      <c r="BC25" s="128" t="s">
        <v>1358</v>
      </c>
      <c r="BD25" s="128" t="s">
        <v>1358</v>
      </c>
      <c r="BE25" s="128" t="s">
        <v>2034</v>
      </c>
      <c r="BH25" s="128">
        <v>7</v>
      </c>
      <c r="BI25" s="128">
        <v>7</v>
      </c>
      <c r="BJ25" s="128">
        <v>10</v>
      </c>
      <c r="BK25" s="128" t="s">
        <v>1702</v>
      </c>
      <c r="BL25" s="128" t="s">
        <v>1702</v>
      </c>
      <c r="BM25" s="128" t="s">
        <v>1702</v>
      </c>
      <c r="BN25" s="128" t="s">
        <v>1349</v>
      </c>
      <c r="BQ25" s="128" t="s">
        <v>1345</v>
      </c>
      <c r="BR25" s="128" t="s">
        <v>1345</v>
      </c>
      <c r="BS25" s="128" t="s">
        <v>1358</v>
      </c>
      <c r="BT25" s="128" t="s">
        <v>1345</v>
      </c>
      <c r="BU25" s="128" t="s">
        <v>2035</v>
      </c>
      <c r="BV25" s="128" t="s">
        <v>1345</v>
      </c>
      <c r="BW25" s="128" t="s">
        <v>2036</v>
      </c>
      <c r="BX25" s="128" t="s">
        <v>1345</v>
      </c>
      <c r="BY25" s="128" t="s">
        <v>1362</v>
      </c>
      <c r="BZ25" s="128" t="s">
        <v>2037</v>
      </c>
      <c r="CA25" s="128" t="s">
        <v>2038</v>
      </c>
      <c r="CB25" s="128" t="s">
        <v>1358</v>
      </c>
      <c r="CC25" s="128" t="s">
        <v>1358</v>
      </c>
      <c r="CD25" s="128" t="s">
        <v>1358</v>
      </c>
      <c r="CE25" s="128">
        <v>0</v>
      </c>
      <c r="CF25" s="128" t="s">
        <v>1866</v>
      </c>
      <c r="CG25" s="128">
        <v>150</v>
      </c>
      <c r="CH25" s="128">
        <v>69</v>
      </c>
      <c r="CI25" s="128">
        <v>69</v>
      </c>
      <c r="CJ25" s="128">
        <v>69</v>
      </c>
      <c r="CK25" s="128" t="s">
        <v>2039</v>
      </c>
      <c r="CL25" s="130">
        <v>0.54</v>
      </c>
      <c r="CM25" s="128" t="s">
        <v>1866</v>
      </c>
      <c r="CN25" s="130">
        <v>0.46</v>
      </c>
      <c r="CO25" s="128" t="s">
        <v>1868</v>
      </c>
      <c r="CP25" s="130" t="s">
        <v>1902</v>
      </c>
      <c r="CQ25" s="128" t="s">
        <v>1817</v>
      </c>
      <c r="CR25" s="130" t="s">
        <v>1904</v>
      </c>
      <c r="CS25" s="128" t="s">
        <v>1368</v>
      </c>
      <c r="CT25" s="130" t="s">
        <v>2040</v>
      </c>
      <c r="CU25" s="128" t="s">
        <v>1349</v>
      </c>
      <c r="CV25" s="130" t="s">
        <v>2041</v>
      </c>
      <c r="CW25" s="128" t="s">
        <v>1349</v>
      </c>
      <c r="CX25" s="130" t="s">
        <v>1902</v>
      </c>
      <c r="CY25" s="127" t="s">
        <v>2042</v>
      </c>
      <c r="DB25" s="127" t="s">
        <v>1358</v>
      </c>
      <c r="DC25" s="127" t="s">
        <v>2043</v>
      </c>
      <c r="DD25" s="127" t="s">
        <v>1824</v>
      </c>
      <c r="DE25" s="127" t="s">
        <v>1976</v>
      </c>
      <c r="DF25" s="127" t="s">
        <v>2044</v>
      </c>
      <c r="DG25" s="127" t="s">
        <v>2045</v>
      </c>
      <c r="DH25" s="127" t="s">
        <v>1978</v>
      </c>
      <c r="DK25" s="127" t="s">
        <v>1878</v>
      </c>
      <c r="DL25" s="127" t="s">
        <v>2046</v>
      </c>
      <c r="DM25" s="127" t="s">
        <v>1878</v>
      </c>
      <c r="DN25" s="128" t="s">
        <v>1349</v>
      </c>
      <c r="DO25" s="127" t="s">
        <v>1358</v>
      </c>
      <c r="DP25" s="128" t="s">
        <v>1345</v>
      </c>
      <c r="DQ25" s="127" t="s">
        <v>2047</v>
      </c>
      <c r="DR25" s="128" t="s">
        <v>1349</v>
      </c>
      <c r="DV25" s="128" t="s">
        <v>1345</v>
      </c>
      <c r="DW25" s="127" t="s">
        <v>2048</v>
      </c>
      <c r="DX25" s="128" t="s">
        <v>1345</v>
      </c>
      <c r="DY25" s="128" t="s">
        <v>1349</v>
      </c>
      <c r="DZ25" s="128" t="s">
        <v>2049</v>
      </c>
      <c r="EA25" s="128" t="s">
        <v>1345</v>
      </c>
      <c r="EB25" s="128" t="s">
        <v>1345</v>
      </c>
      <c r="EC25" s="128" t="s">
        <v>1345</v>
      </c>
      <c r="ED25" s="128" t="s">
        <v>2050</v>
      </c>
      <c r="EE25" s="127">
        <v>0.5</v>
      </c>
      <c r="EF25" s="128" t="s">
        <v>1836</v>
      </c>
      <c r="EG25" s="128" t="s">
        <v>1349</v>
      </c>
      <c r="EI25" s="128" t="s">
        <v>1949</v>
      </c>
      <c r="EJ25" s="128" t="s">
        <v>2051</v>
      </c>
      <c r="EK25" s="128" t="s">
        <v>2052</v>
      </c>
      <c r="EL25" s="128" t="s">
        <v>1886</v>
      </c>
      <c r="EM25" s="128">
        <v>3</v>
      </c>
      <c r="EN25" s="128" t="s">
        <v>2053</v>
      </c>
      <c r="EO25" s="128">
        <v>3</v>
      </c>
      <c r="EP25" s="127" t="s">
        <v>2054</v>
      </c>
      <c r="EQ25" s="128">
        <v>2</v>
      </c>
      <c r="ER25" s="128" t="s">
        <v>2055</v>
      </c>
      <c r="ES25" s="128">
        <v>5</v>
      </c>
      <c r="ET25" s="128" t="s">
        <v>2056</v>
      </c>
      <c r="EU25" s="128">
        <v>3</v>
      </c>
      <c r="EV25" s="128" t="s">
        <v>2057</v>
      </c>
      <c r="EW25" s="128">
        <v>2</v>
      </c>
      <c r="EX25" s="127" t="s">
        <v>2058</v>
      </c>
      <c r="EY25" s="128">
        <v>1</v>
      </c>
      <c r="EZ25" s="127" t="s">
        <v>2059</v>
      </c>
    </row>
    <row r="26" spans="1:157">
      <c r="A26" s="127">
        <v>517</v>
      </c>
      <c r="B26" s="127">
        <v>18</v>
      </c>
      <c r="C26" s="128" t="s">
        <v>1337</v>
      </c>
      <c r="D26" s="129">
        <v>43728</v>
      </c>
      <c r="E26" s="128" t="s">
        <v>1770</v>
      </c>
      <c r="F26" s="139"/>
      <c r="G26" s="139" t="s">
        <v>133</v>
      </c>
      <c r="H26" s="128" t="s">
        <v>1690</v>
      </c>
      <c r="I26" s="128" t="s">
        <v>1069</v>
      </c>
      <c r="J26" s="128" t="s">
        <v>441</v>
      </c>
      <c r="K26" s="128" t="s">
        <v>1691</v>
      </c>
      <c r="L26" s="128">
        <v>0.05</v>
      </c>
      <c r="M26" s="128" t="s">
        <v>1342</v>
      </c>
      <c r="N26" s="128" t="s">
        <v>1692</v>
      </c>
      <c r="O26" s="128" t="s">
        <v>800</v>
      </c>
      <c r="P26" s="128" t="s">
        <v>1771</v>
      </c>
      <c r="Q26" s="128">
        <v>51687101</v>
      </c>
      <c r="R26" s="128" t="s">
        <v>1345</v>
      </c>
      <c r="S26" s="128">
        <v>3</v>
      </c>
      <c r="T26" s="128" t="s">
        <v>1346</v>
      </c>
      <c r="U26" s="128">
        <v>2006</v>
      </c>
      <c r="V26" s="127" t="s">
        <v>1772</v>
      </c>
      <c r="W26" s="127" t="s">
        <v>1773</v>
      </c>
      <c r="X26" s="128" t="s">
        <v>1349</v>
      </c>
      <c r="Y26" s="128"/>
      <c r="Z26" s="128"/>
      <c r="AA26" s="128">
        <v>14</v>
      </c>
      <c r="AB26" s="128" t="s">
        <v>1349</v>
      </c>
      <c r="AC26" s="128">
        <v>2</v>
      </c>
      <c r="AD26" s="128" t="s">
        <v>1345</v>
      </c>
      <c r="AE26" s="128" t="s">
        <v>1345</v>
      </c>
      <c r="AF26" s="128" t="s">
        <v>1345</v>
      </c>
      <c r="AG26" s="128" t="s">
        <v>1349</v>
      </c>
      <c r="AH26" s="128" t="s">
        <v>1342</v>
      </c>
      <c r="AI26" s="128">
        <v>2016</v>
      </c>
      <c r="AJ26" s="128" t="s">
        <v>1349</v>
      </c>
      <c r="AK26" s="128" t="s">
        <v>1697</v>
      </c>
      <c r="AL26" s="128" t="s">
        <v>1351</v>
      </c>
      <c r="AM26" s="128" t="s">
        <v>1351</v>
      </c>
      <c r="AN26" s="128" t="s">
        <v>1351</v>
      </c>
      <c r="AO26" s="128" t="s">
        <v>1351</v>
      </c>
      <c r="AP26" s="128" t="s">
        <v>1351</v>
      </c>
      <c r="AQ26" s="128" t="s">
        <v>1352</v>
      </c>
      <c r="AR26" s="128" t="s">
        <v>1352</v>
      </c>
      <c r="AS26" s="128" t="s">
        <v>1353</v>
      </c>
      <c r="AT26" s="128" t="s">
        <v>1342</v>
      </c>
      <c r="AU26" s="127">
        <v>25000</v>
      </c>
      <c r="AV26" s="127">
        <v>15000</v>
      </c>
      <c r="AW26" s="128" t="s">
        <v>1774</v>
      </c>
      <c r="AX26" s="128" t="s">
        <v>1775</v>
      </c>
      <c r="AY26" s="128" t="s">
        <v>1349</v>
      </c>
      <c r="BB26" s="128" t="s">
        <v>1358</v>
      </c>
      <c r="BC26" s="128" t="s">
        <v>1358</v>
      </c>
      <c r="BD26" s="128" t="s">
        <v>1358</v>
      </c>
      <c r="BE26" s="128" t="s">
        <v>1701</v>
      </c>
      <c r="BF26" s="128" t="s">
        <v>1776</v>
      </c>
      <c r="BH26" s="128">
        <v>3</v>
      </c>
      <c r="BI26" s="128">
        <v>5</v>
      </c>
      <c r="BK26" s="128" t="s">
        <v>1702</v>
      </c>
      <c r="BL26" s="128" t="s">
        <v>1703</v>
      </c>
      <c r="BN26" s="128" t="s">
        <v>1349</v>
      </c>
      <c r="BQ26" s="128" t="s">
        <v>1345</v>
      </c>
      <c r="BR26" s="128" t="s">
        <v>1349</v>
      </c>
      <c r="BS26" s="130">
        <v>0</v>
      </c>
      <c r="BT26" s="128" t="s">
        <v>1345</v>
      </c>
      <c r="BU26" s="128" t="s">
        <v>1777</v>
      </c>
      <c r="BV26" s="128" t="s">
        <v>1349</v>
      </c>
      <c r="BX26" s="128" t="s">
        <v>1345</v>
      </c>
      <c r="BY26" s="128" t="s">
        <v>1362</v>
      </c>
      <c r="BZ26" s="128" t="s">
        <v>1363</v>
      </c>
      <c r="CA26" s="128" t="s">
        <v>1705</v>
      </c>
      <c r="CB26" s="128" t="s">
        <v>1364</v>
      </c>
      <c r="CC26" s="128" t="s">
        <v>1364</v>
      </c>
      <c r="CD26" s="128" t="s">
        <v>1364</v>
      </c>
      <c r="CE26" s="128">
        <v>1200</v>
      </c>
      <c r="CF26" s="127">
        <v>800</v>
      </c>
      <c r="CG26" s="128">
        <v>1600</v>
      </c>
      <c r="CH26" s="127">
        <v>15</v>
      </c>
      <c r="CI26" s="127">
        <v>15</v>
      </c>
      <c r="CJ26" s="127">
        <v>30</v>
      </c>
      <c r="CK26" s="130">
        <v>0.8</v>
      </c>
      <c r="CL26" s="130">
        <v>0.6</v>
      </c>
      <c r="CM26" s="130">
        <v>0.2</v>
      </c>
      <c r="CN26" s="130">
        <v>0.4</v>
      </c>
      <c r="CO26" s="127" t="s">
        <v>1365</v>
      </c>
      <c r="CP26" s="127" t="s">
        <v>1366</v>
      </c>
      <c r="CQ26" s="127" t="s">
        <v>1367</v>
      </c>
      <c r="CR26" s="127">
        <v>3</v>
      </c>
      <c r="CS26" s="127" t="s">
        <v>1778</v>
      </c>
      <c r="CT26" s="127" t="s">
        <v>1707</v>
      </c>
      <c r="CU26" s="128" t="s">
        <v>1345</v>
      </c>
      <c r="CV26" s="127" t="s">
        <v>1408</v>
      </c>
      <c r="CW26" s="128" t="s">
        <v>1345</v>
      </c>
      <c r="CX26" s="127">
        <v>20</v>
      </c>
      <c r="CY26" s="127">
        <v>70</v>
      </c>
      <c r="CZ26" s="127" t="s">
        <v>1779</v>
      </c>
      <c r="DA26" s="127" t="s">
        <v>1709</v>
      </c>
      <c r="DB26" s="127">
        <v>7</v>
      </c>
      <c r="DC26" s="127" t="s">
        <v>1710</v>
      </c>
      <c r="DD26" s="127" t="s">
        <v>1711</v>
      </c>
      <c r="DE26" s="127" t="s">
        <v>1375</v>
      </c>
      <c r="DF26" s="127" t="s">
        <v>1712</v>
      </c>
      <c r="DG26" s="127" t="s">
        <v>1780</v>
      </c>
      <c r="DH26" s="127" t="s">
        <v>1714</v>
      </c>
      <c r="DI26" s="127" t="s">
        <v>1381</v>
      </c>
      <c r="DJ26" s="127" t="s">
        <v>1381</v>
      </c>
      <c r="DL26" s="127" t="s">
        <v>1715</v>
      </c>
      <c r="DM26" s="127" t="s">
        <v>1409</v>
      </c>
      <c r="DN26" s="128" t="s">
        <v>1345</v>
      </c>
      <c r="DO26" s="127" t="s">
        <v>1716</v>
      </c>
      <c r="DP26" s="128" t="s">
        <v>1345</v>
      </c>
      <c r="DQ26" s="127" t="s">
        <v>1382</v>
      </c>
      <c r="DR26" s="128" t="s">
        <v>1349</v>
      </c>
      <c r="DT26" s="128" t="s">
        <v>1364</v>
      </c>
      <c r="DU26" s="127" t="s">
        <v>1364</v>
      </c>
      <c r="DV26" s="128" t="s">
        <v>1345</v>
      </c>
      <c r="DW26" s="130" t="s">
        <v>1413</v>
      </c>
      <c r="DX26" s="128" t="s">
        <v>1345</v>
      </c>
      <c r="DY26" s="128" t="s">
        <v>1349</v>
      </c>
      <c r="EA26" s="128" t="s">
        <v>1345</v>
      </c>
      <c r="EB26" s="128" t="s">
        <v>1345</v>
      </c>
      <c r="EC26" s="128" t="s">
        <v>1345</v>
      </c>
      <c r="ED26" s="128" t="s">
        <v>1581</v>
      </c>
      <c r="EE26" s="127">
        <v>0.2</v>
      </c>
      <c r="EF26" s="128" t="s">
        <v>1750</v>
      </c>
      <c r="EG26" s="128" t="s">
        <v>1349</v>
      </c>
      <c r="EI26" s="128" t="s">
        <v>1719</v>
      </c>
      <c r="EJ26" s="127" t="s">
        <v>1720</v>
      </c>
      <c r="EK26" s="128" t="s">
        <v>1411</v>
      </c>
      <c r="EL26" s="128" t="s">
        <v>1416</v>
      </c>
      <c r="EM26" s="128">
        <v>4</v>
      </c>
      <c r="EN26" s="127" t="s">
        <v>1781</v>
      </c>
      <c r="EO26" s="128">
        <v>1</v>
      </c>
      <c r="EP26" s="128" t="s">
        <v>1782</v>
      </c>
      <c r="EQ26" s="128">
        <v>1</v>
      </c>
      <c r="ER26" s="128" t="s">
        <v>1768</v>
      </c>
      <c r="ES26" s="128">
        <v>4</v>
      </c>
      <c r="ET26" s="128" t="s">
        <v>1724</v>
      </c>
      <c r="EU26" s="128">
        <v>3</v>
      </c>
      <c r="EV26" s="128" t="s">
        <v>1441</v>
      </c>
      <c r="EW26" s="128">
        <v>5</v>
      </c>
      <c r="EX26" s="128" t="s">
        <v>1769</v>
      </c>
      <c r="EY26" s="128">
        <v>1</v>
      </c>
      <c r="EZ26" s="128" t="s">
        <v>1726</v>
      </c>
    </row>
    <row r="27" spans="1:157">
      <c r="A27" s="127">
        <v>518</v>
      </c>
      <c r="B27" s="132">
        <v>53</v>
      </c>
      <c r="C27" s="133" t="s">
        <v>2278</v>
      </c>
      <c r="D27" s="134">
        <v>43732</v>
      </c>
      <c r="E27" s="133" t="s">
        <v>2622</v>
      </c>
      <c r="F27" s="133" t="e">
        <v>#N/A</v>
      </c>
      <c r="G27" s="133" t="e">
        <v>#N/A</v>
      </c>
      <c r="H27" s="133" t="s">
        <v>1690</v>
      </c>
      <c r="I27" s="133" t="s">
        <v>1081</v>
      </c>
      <c r="J27" s="133" t="s">
        <v>156</v>
      </c>
      <c r="K27" s="133" t="s">
        <v>2558</v>
      </c>
      <c r="L27" s="133">
        <v>0.2</v>
      </c>
      <c r="M27" s="133" t="s">
        <v>2281</v>
      </c>
      <c r="N27" s="133" t="s">
        <v>1541</v>
      </c>
      <c r="O27" s="133" t="s">
        <v>2623</v>
      </c>
      <c r="P27" s="133" t="s">
        <v>2624</v>
      </c>
      <c r="Q27" s="133" t="s">
        <v>2625</v>
      </c>
      <c r="R27" s="133" t="s">
        <v>1345</v>
      </c>
      <c r="S27" s="133">
        <v>10</v>
      </c>
      <c r="T27" s="133" t="s">
        <v>1920</v>
      </c>
      <c r="U27" s="133">
        <v>2013</v>
      </c>
      <c r="V27" s="133" t="s">
        <v>2286</v>
      </c>
      <c r="W27" s="133" t="s">
        <v>2359</v>
      </c>
      <c r="X27" s="133" t="s">
        <v>1345</v>
      </c>
      <c r="Y27" s="133">
        <v>2018</v>
      </c>
      <c r="Z27" s="133" t="s">
        <v>2288</v>
      </c>
      <c r="AA27" s="133">
        <v>100</v>
      </c>
      <c r="AB27" s="133" t="s">
        <v>1349</v>
      </c>
      <c r="AC27" s="133">
        <v>5</v>
      </c>
      <c r="AD27" s="133" t="s">
        <v>1345</v>
      </c>
      <c r="AE27" s="133" t="s">
        <v>1345</v>
      </c>
      <c r="AF27" s="133" t="s">
        <v>1345</v>
      </c>
      <c r="AG27" s="133" t="s">
        <v>1349</v>
      </c>
      <c r="AH27" s="133" t="s">
        <v>2626</v>
      </c>
      <c r="AI27" s="133">
        <v>2014</v>
      </c>
      <c r="AJ27" s="133" t="s">
        <v>1345</v>
      </c>
      <c r="AK27" s="133" t="s">
        <v>2290</v>
      </c>
      <c r="AL27" s="133" t="s">
        <v>1612</v>
      </c>
      <c r="AM27" s="133" t="s">
        <v>2291</v>
      </c>
      <c r="AN27" s="133" t="s">
        <v>2291</v>
      </c>
      <c r="AO27" s="133" t="s">
        <v>2291</v>
      </c>
      <c r="AP27" s="133" t="s">
        <v>2291</v>
      </c>
      <c r="AQ27" s="133" t="s">
        <v>2291</v>
      </c>
      <c r="AR27" s="133" t="s">
        <v>2291</v>
      </c>
      <c r="AS27" s="133" t="s">
        <v>1802</v>
      </c>
      <c r="AT27" s="133" t="s">
        <v>1358</v>
      </c>
      <c r="AU27" s="133" t="s">
        <v>2486</v>
      </c>
      <c r="AV27" s="133">
        <v>2000</v>
      </c>
      <c r="AW27" s="133" t="s">
        <v>2487</v>
      </c>
      <c r="AX27" s="133" t="s">
        <v>2627</v>
      </c>
      <c r="AY27" s="133" t="s">
        <v>1349</v>
      </c>
      <c r="AZ27" s="133" t="s">
        <v>2361</v>
      </c>
      <c r="BA27" s="133" t="s">
        <v>2361</v>
      </c>
      <c r="BB27" s="133" t="s">
        <v>2289</v>
      </c>
      <c r="BC27" s="133" t="s">
        <v>2289</v>
      </c>
      <c r="BD27" s="133" t="s">
        <v>2289</v>
      </c>
      <c r="BE27" s="133" t="s">
        <v>156</v>
      </c>
      <c r="BF27" s="133" t="s">
        <v>2300</v>
      </c>
      <c r="BG27" s="133" t="s">
        <v>2300</v>
      </c>
      <c r="BH27" s="133">
        <v>12.5</v>
      </c>
      <c r="BI27" s="133">
        <v>12.5</v>
      </c>
      <c r="BJ27" s="133">
        <v>12.5</v>
      </c>
      <c r="BK27" s="133" t="s">
        <v>2405</v>
      </c>
      <c r="BL27" s="133" t="s">
        <v>2405</v>
      </c>
      <c r="BM27" s="133" t="s">
        <v>2405</v>
      </c>
      <c r="BN27" s="133" t="s">
        <v>1349</v>
      </c>
      <c r="BO27" s="133" t="s">
        <v>2300</v>
      </c>
      <c r="BP27" s="133" t="s">
        <v>2300</v>
      </c>
      <c r="BQ27" s="133" t="s">
        <v>1349</v>
      </c>
      <c r="BR27" s="133" t="s">
        <v>1349</v>
      </c>
      <c r="BS27" s="133" t="s">
        <v>1804</v>
      </c>
      <c r="BT27" s="133" t="s">
        <v>1349</v>
      </c>
      <c r="BU27" s="133" t="s">
        <v>2300</v>
      </c>
      <c r="BV27" s="133" t="s">
        <v>1349</v>
      </c>
      <c r="BW27" s="133" t="s">
        <v>2300</v>
      </c>
      <c r="BX27" s="133" t="s">
        <v>1345</v>
      </c>
      <c r="BY27" s="133" t="s">
        <v>2302</v>
      </c>
      <c r="BZ27" s="133" t="s">
        <v>2628</v>
      </c>
      <c r="CA27" s="133" t="s">
        <v>2629</v>
      </c>
      <c r="CB27" s="133" t="s">
        <v>2289</v>
      </c>
      <c r="CC27" s="133" t="s">
        <v>2289</v>
      </c>
      <c r="CD27" s="133" t="s">
        <v>2289</v>
      </c>
      <c r="CE27" s="133">
        <v>250</v>
      </c>
      <c r="CF27" s="133">
        <v>210</v>
      </c>
      <c r="CG27" s="133">
        <v>100</v>
      </c>
      <c r="CH27" s="133">
        <v>1240</v>
      </c>
      <c r="CI27" s="133">
        <v>1100</v>
      </c>
      <c r="CJ27" s="133">
        <v>1500</v>
      </c>
      <c r="CK27" s="135">
        <v>0.1</v>
      </c>
      <c r="CL27" s="135">
        <v>0.1</v>
      </c>
      <c r="CM27" s="133" t="s">
        <v>2619</v>
      </c>
      <c r="CN27" s="133" t="s">
        <v>2619</v>
      </c>
      <c r="CO27" s="133" t="s">
        <v>1868</v>
      </c>
      <c r="CP27" s="133" t="s">
        <v>2630</v>
      </c>
      <c r="CQ27" s="133" t="s">
        <v>2631</v>
      </c>
      <c r="CR27" s="133">
        <v>3</v>
      </c>
      <c r="CS27" s="133" t="s">
        <v>2007</v>
      </c>
      <c r="CT27" s="133" t="s">
        <v>2607</v>
      </c>
      <c r="CU27" s="133" t="s">
        <v>1345</v>
      </c>
      <c r="CV27" s="133" t="s">
        <v>2632</v>
      </c>
      <c r="CW27" s="133" t="s">
        <v>1349</v>
      </c>
      <c r="CX27" s="133" t="s">
        <v>2289</v>
      </c>
      <c r="CY27" s="133" t="s">
        <v>2289</v>
      </c>
      <c r="CZ27" s="133" t="s">
        <v>2311</v>
      </c>
      <c r="DA27" s="133" t="s">
        <v>1358</v>
      </c>
      <c r="DB27" s="133" t="s">
        <v>1903</v>
      </c>
      <c r="DC27" s="133" t="s">
        <v>2524</v>
      </c>
      <c r="DD27" s="132" t="s">
        <v>2349</v>
      </c>
      <c r="DE27" s="133" t="s">
        <v>2350</v>
      </c>
      <c r="DF27" s="133" t="s">
        <v>2315</v>
      </c>
      <c r="DG27" s="133" t="s">
        <v>2316</v>
      </c>
      <c r="DH27" s="133" t="s">
        <v>2577</v>
      </c>
      <c r="DI27" s="133" t="s">
        <v>1556</v>
      </c>
      <c r="DJ27" s="133" t="s">
        <v>1556</v>
      </c>
      <c r="DK27" s="133" t="s">
        <v>1556</v>
      </c>
      <c r="DL27" s="133" t="s">
        <v>2608</v>
      </c>
      <c r="DM27" s="133" t="s">
        <v>2609</v>
      </c>
      <c r="DN27" s="133" t="s">
        <v>1345</v>
      </c>
      <c r="DO27" s="133" t="s">
        <v>2610</v>
      </c>
      <c r="DP27" s="133" t="s">
        <v>1349</v>
      </c>
      <c r="DQ27" s="133" t="s">
        <v>1358</v>
      </c>
      <c r="DR27" s="133" t="s">
        <v>1349</v>
      </c>
      <c r="DS27" s="133" t="s">
        <v>2300</v>
      </c>
      <c r="DT27" s="133" t="s">
        <v>2300</v>
      </c>
      <c r="DU27" s="133" t="s">
        <v>2300</v>
      </c>
      <c r="DV27" s="133" t="s">
        <v>1345</v>
      </c>
      <c r="DW27" s="133" t="s">
        <v>2436</v>
      </c>
      <c r="DX27" s="133" t="s">
        <v>1345</v>
      </c>
      <c r="DY27" s="133" t="s">
        <v>1349</v>
      </c>
      <c r="DZ27" s="133" t="s">
        <v>2533</v>
      </c>
      <c r="EA27" s="133"/>
      <c r="EB27" s="133" t="s">
        <v>1345</v>
      </c>
      <c r="EC27" s="133" t="s">
        <v>1345</v>
      </c>
      <c r="ED27" s="133" t="s">
        <v>2633</v>
      </c>
      <c r="EE27" s="132">
        <v>0.6</v>
      </c>
      <c r="EF27" s="133" t="s">
        <v>2370</v>
      </c>
      <c r="EG27" s="133" t="s">
        <v>1345</v>
      </c>
      <c r="EH27" s="133" t="s">
        <v>2325</v>
      </c>
      <c r="EI27" s="133" t="s">
        <v>2326</v>
      </c>
      <c r="EJ27" s="132" t="s">
        <v>2327</v>
      </c>
      <c r="EK27" s="133" t="s">
        <v>2419</v>
      </c>
      <c r="EL27" s="133" t="s">
        <v>1389</v>
      </c>
      <c r="EM27" s="133">
        <v>5</v>
      </c>
      <c r="EN27" s="133" t="s">
        <v>2439</v>
      </c>
      <c r="EO27" s="133">
        <v>3</v>
      </c>
      <c r="EP27" s="133" t="s">
        <v>2611</v>
      </c>
      <c r="EQ27" s="133">
        <v>3</v>
      </c>
      <c r="ER27" s="132" t="s">
        <v>2455</v>
      </c>
      <c r="ES27" s="133">
        <v>2</v>
      </c>
      <c r="ET27" s="132" t="s">
        <v>2612</v>
      </c>
      <c r="EU27" s="133">
        <v>4</v>
      </c>
      <c r="EV27" s="132" t="s">
        <v>2634</v>
      </c>
      <c r="EW27" s="133">
        <v>5</v>
      </c>
      <c r="EX27" s="132" t="s">
        <v>2457</v>
      </c>
      <c r="EY27" s="133">
        <v>1</v>
      </c>
      <c r="EZ27" s="132" t="s">
        <v>2424</v>
      </c>
      <c r="FA27" s="132"/>
    </row>
    <row r="28" spans="1:157">
      <c r="A28" s="127">
        <v>519</v>
      </c>
      <c r="B28" s="132">
        <v>49</v>
      </c>
      <c r="C28" s="133" t="s">
        <v>2278</v>
      </c>
      <c r="D28" s="134">
        <v>43727</v>
      </c>
      <c r="E28" s="133" t="s">
        <v>2584</v>
      </c>
      <c r="F28" s="133" t="e">
        <v>#N/A</v>
      </c>
      <c r="G28" s="133" t="e">
        <v>#N/A</v>
      </c>
      <c r="H28" s="133" t="s">
        <v>1690</v>
      </c>
      <c r="I28" s="133" t="s">
        <v>1081</v>
      </c>
      <c r="J28" s="133" t="s">
        <v>167</v>
      </c>
      <c r="K28" s="133" t="s">
        <v>2585</v>
      </c>
      <c r="L28" s="133">
        <v>45</v>
      </c>
      <c r="M28" s="133" t="s">
        <v>2393</v>
      </c>
      <c r="N28" s="133" t="s">
        <v>1541</v>
      </c>
      <c r="O28" s="133" t="s">
        <v>2440</v>
      </c>
      <c r="P28" s="133" t="s">
        <v>2586</v>
      </c>
      <c r="Q28" s="133" t="s">
        <v>2587</v>
      </c>
      <c r="R28" s="133" t="s">
        <v>1345</v>
      </c>
      <c r="S28" s="133">
        <v>5</v>
      </c>
      <c r="T28" s="133" t="s">
        <v>2285</v>
      </c>
      <c r="U28" s="133">
        <v>2015</v>
      </c>
      <c r="V28" s="133" t="s">
        <v>2358</v>
      </c>
      <c r="W28" s="133" t="s">
        <v>2359</v>
      </c>
      <c r="X28" s="133" t="s">
        <v>1345</v>
      </c>
      <c r="Y28" s="133">
        <v>2019</v>
      </c>
      <c r="Z28" s="133" t="s">
        <v>2288</v>
      </c>
      <c r="AA28" s="133">
        <v>53</v>
      </c>
      <c r="AB28" s="133" t="s">
        <v>1349</v>
      </c>
      <c r="AC28" s="133">
        <v>2</v>
      </c>
      <c r="AD28" s="133" t="s">
        <v>1345</v>
      </c>
      <c r="AE28" s="133" t="s">
        <v>1345</v>
      </c>
      <c r="AF28" s="133" t="s">
        <v>1349</v>
      </c>
      <c r="AG28" s="133" t="s">
        <v>1349</v>
      </c>
      <c r="AH28" s="133" t="s">
        <v>2289</v>
      </c>
      <c r="AI28" s="133">
        <v>2016</v>
      </c>
      <c r="AJ28" s="133" t="s">
        <v>1345</v>
      </c>
      <c r="AK28" s="133" t="s">
        <v>2341</v>
      </c>
      <c r="AL28" s="133" t="s">
        <v>1612</v>
      </c>
      <c r="AM28" s="133" t="s">
        <v>2291</v>
      </c>
      <c r="AN28" s="133" t="s">
        <v>2291</v>
      </c>
      <c r="AO28" s="133" t="s">
        <v>1550</v>
      </c>
      <c r="AP28" s="133" t="s">
        <v>2291</v>
      </c>
      <c r="AQ28" s="133" t="s">
        <v>2291</v>
      </c>
      <c r="AR28" s="133" t="s">
        <v>2291</v>
      </c>
      <c r="AS28" s="133" t="s">
        <v>1802</v>
      </c>
      <c r="AT28" s="133" t="s">
        <v>1358</v>
      </c>
      <c r="AU28" s="132" t="s">
        <v>2588</v>
      </c>
      <c r="AV28" s="133">
        <v>700</v>
      </c>
      <c r="AW28" s="133" t="s">
        <v>2513</v>
      </c>
      <c r="AX28" s="133" t="s">
        <v>2563</v>
      </c>
      <c r="AY28" s="133" t="s">
        <v>1349</v>
      </c>
      <c r="AZ28" s="133" t="s">
        <v>2361</v>
      </c>
      <c r="BA28" s="133" t="s">
        <v>2361</v>
      </c>
      <c r="BB28" s="133" t="s">
        <v>2289</v>
      </c>
      <c r="BC28" s="133" t="s">
        <v>2289</v>
      </c>
      <c r="BD28" s="133" t="s">
        <v>2289</v>
      </c>
      <c r="BE28" s="133" t="s">
        <v>167</v>
      </c>
      <c r="BF28" s="133" t="s">
        <v>2300</v>
      </c>
      <c r="BG28" s="133" t="s">
        <v>2300</v>
      </c>
      <c r="BH28" s="133">
        <v>3</v>
      </c>
      <c r="BI28" s="133">
        <v>4</v>
      </c>
      <c r="BJ28" s="133">
        <v>5</v>
      </c>
      <c r="BK28" s="133" t="s">
        <v>2405</v>
      </c>
      <c r="BL28" s="133" t="s">
        <v>2405</v>
      </c>
      <c r="BM28" s="133" t="s">
        <v>2405</v>
      </c>
      <c r="BN28" s="133" t="s">
        <v>1349</v>
      </c>
      <c r="BO28" s="133" t="s">
        <v>2300</v>
      </c>
      <c r="BP28" s="133" t="s">
        <v>2300</v>
      </c>
      <c r="BQ28" s="133" t="s">
        <v>1345</v>
      </c>
      <c r="BR28" s="133" t="s">
        <v>1345</v>
      </c>
      <c r="BS28" s="133" t="s">
        <v>1804</v>
      </c>
      <c r="BT28" s="133" t="s">
        <v>1345</v>
      </c>
      <c r="BU28" s="133" t="s">
        <v>2567</v>
      </c>
      <c r="BV28" s="133" t="s">
        <v>1349</v>
      </c>
      <c r="BW28" s="133" t="s">
        <v>2300</v>
      </c>
      <c r="BX28" s="133" t="s">
        <v>1345</v>
      </c>
      <c r="BY28" s="133" t="s">
        <v>2302</v>
      </c>
      <c r="BZ28" s="133" t="s">
        <v>2545</v>
      </c>
      <c r="CA28" s="133" t="s">
        <v>2300</v>
      </c>
      <c r="CB28" s="133" t="s">
        <v>2289</v>
      </c>
      <c r="CC28" s="133" t="s">
        <v>2289</v>
      </c>
      <c r="CD28" s="133" t="s">
        <v>2289</v>
      </c>
      <c r="CE28" s="133">
        <v>420</v>
      </c>
      <c r="CF28" s="133">
        <v>3300</v>
      </c>
      <c r="CG28" s="133">
        <v>740</v>
      </c>
      <c r="CH28" s="133">
        <v>160</v>
      </c>
      <c r="CI28" s="133">
        <v>90</v>
      </c>
      <c r="CJ28" s="133">
        <v>200</v>
      </c>
      <c r="CK28" s="135">
        <v>0.9</v>
      </c>
      <c r="CL28" s="136">
        <v>0.8</v>
      </c>
      <c r="CM28" s="136">
        <v>0.1</v>
      </c>
      <c r="CN28" s="136">
        <v>0.2</v>
      </c>
      <c r="CO28" s="133" t="s">
        <v>2307</v>
      </c>
      <c r="CP28" s="133" t="s">
        <v>1565</v>
      </c>
      <c r="CQ28" s="133" t="s">
        <v>2308</v>
      </c>
      <c r="CR28" s="133">
        <v>0.2</v>
      </c>
      <c r="CS28" s="133" t="s">
        <v>1360</v>
      </c>
      <c r="CT28" s="133" t="s">
        <v>2569</v>
      </c>
      <c r="CU28" s="133" t="s">
        <v>1345</v>
      </c>
      <c r="CV28" s="133" t="s">
        <v>2407</v>
      </c>
      <c r="CW28" s="133" t="s">
        <v>1345</v>
      </c>
      <c r="CX28" s="132">
        <v>10</v>
      </c>
      <c r="CY28" s="136">
        <v>0.9</v>
      </c>
      <c r="CZ28" s="133" t="s">
        <v>2570</v>
      </c>
      <c r="DA28" s="133" t="s">
        <v>2494</v>
      </c>
      <c r="DB28" s="133" t="s">
        <v>1903</v>
      </c>
      <c r="DC28" s="133" t="s">
        <v>2571</v>
      </c>
      <c r="DD28" s="132" t="s">
        <v>2572</v>
      </c>
      <c r="DE28" s="133" t="s">
        <v>2573</v>
      </c>
      <c r="DF28" s="133" t="s">
        <v>2574</v>
      </c>
      <c r="DG28" s="133" t="s">
        <v>2575</v>
      </c>
      <c r="DH28" s="133" t="s">
        <v>2589</v>
      </c>
      <c r="DI28" s="133" t="s">
        <v>1556</v>
      </c>
      <c r="DJ28" s="133" t="s">
        <v>1556</v>
      </c>
      <c r="DK28" s="133" t="s">
        <v>1556</v>
      </c>
      <c r="DL28" s="133" t="s">
        <v>2590</v>
      </c>
      <c r="DM28" s="133" t="s">
        <v>2578</v>
      </c>
      <c r="DN28" s="133" t="s">
        <v>1345</v>
      </c>
      <c r="DO28" s="133" t="s">
        <v>2579</v>
      </c>
      <c r="DP28" s="133" t="s">
        <v>1345</v>
      </c>
      <c r="DQ28" s="133" t="s">
        <v>2435</v>
      </c>
      <c r="DR28" s="133" t="s">
        <v>1349</v>
      </c>
      <c r="DS28" s="133" t="s">
        <v>2300</v>
      </c>
      <c r="DT28" s="133" t="s">
        <v>2300</v>
      </c>
      <c r="DU28" s="133" t="s">
        <v>2300</v>
      </c>
      <c r="DV28" s="133" t="s">
        <v>1345</v>
      </c>
      <c r="DW28" s="133" t="s">
        <v>2580</v>
      </c>
      <c r="DX28" s="133" t="s">
        <v>1345</v>
      </c>
      <c r="DY28" s="133" t="s">
        <v>1349</v>
      </c>
      <c r="DZ28" s="133" t="s">
        <v>2533</v>
      </c>
      <c r="EA28" s="133" t="s">
        <v>1345</v>
      </c>
      <c r="EB28" s="133" t="s">
        <v>1345</v>
      </c>
      <c r="EC28" s="133" t="s">
        <v>1345</v>
      </c>
      <c r="ED28" s="133" t="s">
        <v>2323</v>
      </c>
      <c r="EE28" s="132">
        <v>0.2</v>
      </c>
      <c r="EF28" s="133" t="s">
        <v>2370</v>
      </c>
      <c r="EG28" s="133" t="s">
        <v>1345</v>
      </c>
      <c r="EH28" s="133" t="s">
        <v>2325</v>
      </c>
      <c r="EI28" s="133" t="s">
        <v>2326</v>
      </c>
      <c r="EJ28" s="132" t="s">
        <v>2327</v>
      </c>
      <c r="EK28" s="133" t="s">
        <v>2419</v>
      </c>
      <c r="EL28" s="133" t="s">
        <v>1389</v>
      </c>
      <c r="EM28" s="133">
        <v>3</v>
      </c>
      <c r="EN28" s="133" t="s">
        <v>2388</v>
      </c>
      <c r="EO28" s="133">
        <v>3</v>
      </c>
      <c r="EP28" s="133" t="s">
        <v>2479</v>
      </c>
      <c r="EQ28" s="133">
        <v>4</v>
      </c>
      <c r="ER28" s="132" t="s">
        <v>2331</v>
      </c>
      <c r="ES28" s="133">
        <v>4</v>
      </c>
      <c r="ET28" s="132" t="s">
        <v>2583</v>
      </c>
      <c r="EU28" s="133">
        <v>4</v>
      </c>
      <c r="EV28" s="132" t="s">
        <v>2508</v>
      </c>
      <c r="EW28" s="133">
        <v>2</v>
      </c>
      <c r="EX28" s="132" t="s">
        <v>2423</v>
      </c>
      <c r="EY28" s="133">
        <v>1</v>
      </c>
      <c r="EZ28" s="132" t="s">
        <v>2424</v>
      </c>
    </row>
    <row r="29" spans="1:157">
      <c r="A29" s="127">
        <v>520</v>
      </c>
      <c r="B29" s="127">
        <v>28</v>
      </c>
      <c r="C29" s="128" t="s">
        <v>1795</v>
      </c>
      <c r="D29" s="129">
        <v>43725</v>
      </c>
      <c r="E29" s="128" t="s">
        <v>2091</v>
      </c>
      <c r="F29" s="128" t="s">
        <v>1728</v>
      </c>
      <c r="G29" s="128" t="s">
        <v>167</v>
      </c>
      <c r="H29" s="128" t="s">
        <v>1690</v>
      </c>
      <c r="I29" s="128" t="s">
        <v>1081</v>
      </c>
      <c r="J29" s="128" t="s">
        <v>167</v>
      </c>
      <c r="K29" s="128" t="s">
        <v>167</v>
      </c>
      <c r="L29" s="128">
        <v>15</v>
      </c>
      <c r="M29" s="128" t="s">
        <v>2092</v>
      </c>
      <c r="N29" s="128" t="s">
        <v>2028</v>
      </c>
      <c r="O29" s="128" t="s">
        <v>687</v>
      </c>
      <c r="P29" s="128" t="s">
        <v>536</v>
      </c>
      <c r="Q29" s="128">
        <v>52392645</v>
      </c>
      <c r="R29" s="128" t="s">
        <v>1345</v>
      </c>
      <c r="S29" s="128">
        <v>7</v>
      </c>
      <c r="T29" s="128" t="s">
        <v>1346</v>
      </c>
      <c r="U29" s="128">
        <v>2017</v>
      </c>
      <c r="V29" s="127" t="s">
        <v>2093</v>
      </c>
      <c r="W29" s="128" t="s">
        <v>2094</v>
      </c>
      <c r="X29" s="128" t="s">
        <v>1349</v>
      </c>
      <c r="Y29" s="128"/>
      <c r="Z29" s="128"/>
      <c r="AA29" s="128">
        <v>30</v>
      </c>
      <c r="AB29" s="128" t="s">
        <v>1349</v>
      </c>
      <c r="AC29" s="128">
        <v>3</v>
      </c>
      <c r="AD29" s="128" t="s">
        <v>1349</v>
      </c>
      <c r="AE29" s="128" t="s">
        <v>1345</v>
      </c>
      <c r="AF29" s="128" t="s">
        <v>1345</v>
      </c>
      <c r="AG29" s="128" t="s">
        <v>1345</v>
      </c>
      <c r="AH29" s="128" t="s">
        <v>1358</v>
      </c>
      <c r="AI29" s="128">
        <v>2017</v>
      </c>
      <c r="AJ29" s="128" t="s">
        <v>1349</v>
      </c>
      <c r="AK29" s="128" t="s">
        <v>2095</v>
      </c>
      <c r="AS29" s="127" t="s">
        <v>2096</v>
      </c>
      <c r="AT29" s="127" t="s">
        <v>1862</v>
      </c>
      <c r="AU29" s="127" t="s">
        <v>2097</v>
      </c>
      <c r="AV29" s="127">
        <v>2000</v>
      </c>
      <c r="AW29" s="128" t="s">
        <v>2032</v>
      </c>
      <c r="AX29" s="128" t="s">
        <v>2033</v>
      </c>
      <c r="AY29" s="128" t="s">
        <v>1349</v>
      </c>
      <c r="BB29" s="128" t="s">
        <v>1358</v>
      </c>
      <c r="BC29" s="128" t="s">
        <v>1358</v>
      </c>
      <c r="BD29" s="128" t="s">
        <v>1358</v>
      </c>
      <c r="BE29" s="128" t="s">
        <v>2098</v>
      </c>
      <c r="BH29" s="128" t="s">
        <v>2099</v>
      </c>
      <c r="BM29" s="127" t="s">
        <v>1702</v>
      </c>
      <c r="BN29" s="128" t="s">
        <v>1349</v>
      </c>
      <c r="BQ29" s="128" t="s">
        <v>1345</v>
      </c>
      <c r="BR29" s="128" t="s">
        <v>1345</v>
      </c>
      <c r="BS29" s="128" t="s">
        <v>1358</v>
      </c>
      <c r="BT29" s="128" t="s">
        <v>1349</v>
      </c>
      <c r="BU29" s="128" t="s">
        <v>2100</v>
      </c>
      <c r="BV29" s="128" t="s">
        <v>1349</v>
      </c>
      <c r="BW29" s="128" t="s">
        <v>1358</v>
      </c>
      <c r="BX29" s="128" t="s">
        <v>1345</v>
      </c>
      <c r="BY29" s="128" t="s">
        <v>1362</v>
      </c>
      <c r="BZ29" s="128" t="s">
        <v>2101</v>
      </c>
      <c r="CA29" s="128" t="s">
        <v>167</v>
      </c>
      <c r="CB29" s="128" t="s">
        <v>1358</v>
      </c>
      <c r="CC29" s="128" t="s">
        <v>1358</v>
      </c>
      <c r="CD29" s="128" t="s">
        <v>1358</v>
      </c>
      <c r="CG29" s="128">
        <v>10000</v>
      </c>
      <c r="CH29" s="128" t="s">
        <v>2102</v>
      </c>
      <c r="CI29" s="128">
        <v>250</v>
      </c>
      <c r="CJ29" s="128">
        <v>250</v>
      </c>
      <c r="CK29" s="130">
        <v>0.9</v>
      </c>
      <c r="CL29" s="130">
        <v>0.9</v>
      </c>
      <c r="CM29" s="130">
        <v>0.1</v>
      </c>
      <c r="CN29" s="130">
        <v>0.1</v>
      </c>
      <c r="CO29" s="127" t="s">
        <v>2103</v>
      </c>
      <c r="CP29" s="127" t="s">
        <v>1358</v>
      </c>
      <c r="CQ29" s="128" t="s">
        <v>1817</v>
      </c>
      <c r="CR29" s="127">
        <v>0.05</v>
      </c>
      <c r="CS29" s="127" t="s">
        <v>1360</v>
      </c>
      <c r="CT29" s="127" t="s">
        <v>1824</v>
      </c>
      <c r="CU29" s="128" t="s">
        <v>1349</v>
      </c>
      <c r="CV29" s="127" t="s">
        <v>2104</v>
      </c>
      <c r="CW29" s="128" t="s">
        <v>1349</v>
      </c>
      <c r="CX29" s="127">
        <v>0</v>
      </c>
      <c r="DC29" s="127" t="s">
        <v>2105</v>
      </c>
      <c r="DD29" s="127" t="s">
        <v>2106</v>
      </c>
      <c r="DE29" s="127" t="s">
        <v>1825</v>
      </c>
      <c r="DF29" s="127" t="s">
        <v>1936</v>
      </c>
      <c r="DG29" s="127" t="s">
        <v>1866</v>
      </c>
      <c r="DH29" s="127" t="s">
        <v>1358</v>
      </c>
      <c r="DK29" s="127" t="s">
        <v>2107</v>
      </c>
      <c r="DL29" s="127" t="s">
        <v>1815</v>
      </c>
      <c r="DM29" s="127" t="s">
        <v>1878</v>
      </c>
      <c r="DN29" s="128" t="s">
        <v>1349</v>
      </c>
      <c r="DO29" s="127" t="s">
        <v>1358</v>
      </c>
      <c r="DP29" s="128" t="s">
        <v>1345</v>
      </c>
      <c r="DQ29" s="127" t="s">
        <v>2108</v>
      </c>
      <c r="DR29" s="128" t="s">
        <v>1349</v>
      </c>
      <c r="DV29" s="128" t="s">
        <v>1345</v>
      </c>
      <c r="DW29" s="127" t="s">
        <v>1866</v>
      </c>
      <c r="DX29" s="128" t="s">
        <v>1345</v>
      </c>
      <c r="DY29" s="128" t="s">
        <v>1349</v>
      </c>
      <c r="DZ29" s="128" t="s">
        <v>2079</v>
      </c>
      <c r="EA29" s="128" t="s">
        <v>1345</v>
      </c>
      <c r="EB29" s="128" t="s">
        <v>1345</v>
      </c>
      <c r="EC29" s="128" t="s">
        <v>1345</v>
      </c>
      <c r="ED29" s="128" t="s">
        <v>2050</v>
      </c>
      <c r="EE29" s="127">
        <v>0.5</v>
      </c>
      <c r="EF29" s="128" t="s">
        <v>1836</v>
      </c>
      <c r="EG29" s="128" t="s">
        <v>1349</v>
      </c>
      <c r="EI29" s="128" t="s">
        <v>1949</v>
      </c>
      <c r="EJ29" s="128" t="s">
        <v>2051</v>
      </c>
      <c r="EK29" s="128" t="s">
        <v>2083</v>
      </c>
      <c r="EL29" s="128" t="s">
        <v>1389</v>
      </c>
      <c r="EM29" s="128">
        <v>3</v>
      </c>
      <c r="EN29" s="128" t="s">
        <v>2109</v>
      </c>
      <c r="EO29" s="128">
        <v>5</v>
      </c>
      <c r="EP29" s="128" t="s">
        <v>2110</v>
      </c>
      <c r="EQ29" s="128">
        <v>1</v>
      </c>
      <c r="ER29" s="128" t="s">
        <v>2111</v>
      </c>
      <c r="ES29" s="128">
        <v>5</v>
      </c>
      <c r="ET29" s="128" t="s">
        <v>2112</v>
      </c>
      <c r="EU29" s="128">
        <v>5</v>
      </c>
      <c r="EV29" s="128" t="s">
        <v>2113</v>
      </c>
      <c r="EW29" s="128">
        <v>1</v>
      </c>
      <c r="EX29" s="127" t="s">
        <v>2114</v>
      </c>
      <c r="EY29" s="128">
        <v>1</v>
      </c>
      <c r="EZ29" s="127" t="s">
        <v>2115</v>
      </c>
    </row>
    <row r="30" spans="1:157">
      <c r="A30" s="127">
        <v>521</v>
      </c>
      <c r="B30" s="127">
        <v>36</v>
      </c>
      <c r="C30" s="128" t="s">
        <v>1795</v>
      </c>
      <c r="D30" s="129">
        <v>43732</v>
      </c>
      <c r="E30" s="128" t="s">
        <v>2262</v>
      </c>
      <c r="F30" s="128" t="s">
        <v>1728</v>
      </c>
      <c r="G30" s="128" t="s">
        <v>156</v>
      </c>
      <c r="H30" s="128" t="s">
        <v>1690</v>
      </c>
      <c r="I30" s="128" t="s">
        <v>1081</v>
      </c>
      <c r="J30" s="128" t="s">
        <v>156</v>
      </c>
      <c r="K30" s="128" t="s">
        <v>156</v>
      </c>
      <c r="L30" s="128">
        <v>1</v>
      </c>
      <c r="M30" s="128" t="s">
        <v>2181</v>
      </c>
      <c r="N30" s="128" t="s">
        <v>1343</v>
      </c>
      <c r="O30" s="128" t="s">
        <v>2263</v>
      </c>
      <c r="P30" s="128" t="s">
        <v>2264</v>
      </c>
      <c r="Q30" s="128" t="s">
        <v>2265</v>
      </c>
      <c r="R30" s="128" t="s">
        <v>1345</v>
      </c>
      <c r="S30" s="128">
        <v>7</v>
      </c>
      <c r="T30" s="128" t="s">
        <v>1920</v>
      </c>
      <c r="U30" s="129">
        <v>37278</v>
      </c>
      <c r="V30" s="128" t="s">
        <v>2266</v>
      </c>
      <c r="W30" s="128" t="s">
        <v>2267</v>
      </c>
      <c r="X30" s="128" t="s">
        <v>1349</v>
      </c>
      <c r="Y30" s="128"/>
      <c r="Z30" s="128"/>
      <c r="AA30" s="128">
        <v>25</v>
      </c>
      <c r="AB30" s="128" t="s">
        <v>1349</v>
      </c>
      <c r="AC30" s="128"/>
      <c r="AD30" s="128" t="s">
        <v>1349</v>
      </c>
      <c r="AE30" s="128" t="s">
        <v>1345</v>
      </c>
      <c r="AF30" s="128" t="s">
        <v>1345</v>
      </c>
      <c r="AG30" s="128" t="s">
        <v>1345</v>
      </c>
      <c r="AH30" s="128" t="s">
        <v>1358</v>
      </c>
      <c r="AI30" s="128">
        <v>2003</v>
      </c>
      <c r="AJ30" s="128" t="s">
        <v>1349</v>
      </c>
      <c r="AK30" s="128" t="s">
        <v>2194</v>
      </c>
      <c r="AQ30" s="128" t="s">
        <v>1352</v>
      </c>
      <c r="AR30" s="128" t="s">
        <v>1352</v>
      </c>
      <c r="AU30" s="127" t="s">
        <v>1805</v>
      </c>
      <c r="AV30" s="128">
        <v>2000</v>
      </c>
      <c r="AW30" s="128" t="s">
        <v>2250</v>
      </c>
      <c r="AX30" s="128" t="s">
        <v>2222</v>
      </c>
      <c r="AY30" s="128" t="s">
        <v>1349</v>
      </c>
      <c r="BB30" s="128" t="s">
        <v>1358</v>
      </c>
      <c r="BC30" s="128" t="s">
        <v>1358</v>
      </c>
      <c r="BD30" s="128" t="s">
        <v>1358</v>
      </c>
      <c r="BE30" s="127" t="s">
        <v>2195</v>
      </c>
      <c r="BH30" s="127" t="s">
        <v>2196</v>
      </c>
      <c r="BN30" s="128"/>
      <c r="BQ30" s="128" t="s">
        <v>1345</v>
      </c>
      <c r="BR30" s="128" t="s">
        <v>1345</v>
      </c>
      <c r="BS30" s="127" t="s">
        <v>1358</v>
      </c>
      <c r="BT30" s="128" t="s">
        <v>1383</v>
      </c>
      <c r="BU30" s="128" t="s">
        <v>2268</v>
      </c>
      <c r="BV30" s="128" t="s">
        <v>1342</v>
      </c>
      <c r="BX30" s="128" t="s">
        <v>1383</v>
      </c>
      <c r="BY30" s="128" t="s">
        <v>2167</v>
      </c>
      <c r="BZ30" s="128" t="s">
        <v>2064</v>
      </c>
      <c r="CA30" s="128" t="s">
        <v>2269</v>
      </c>
      <c r="CB30" s="128" t="s">
        <v>1358</v>
      </c>
      <c r="CC30" s="128" t="s">
        <v>1358</v>
      </c>
      <c r="CD30" s="128" t="s">
        <v>1358</v>
      </c>
      <c r="CE30" s="128">
        <v>0</v>
      </c>
      <c r="CF30" s="128">
        <v>0</v>
      </c>
      <c r="CG30" s="128">
        <v>0</v>
      </c>
      <c r="CH30" s="128">
        <v>24</v>
      </c>
      <c r="CI30" s="128">
        <v>15</v>
      </c>
      <c r="CJ30" s="128">
        <v>30</v>
      </c>
      <c r="CK30" s="141">
        <v>0</v>
      </c>
      <c r="CL30" s="130">
        <v>0</v>
      </c>
      <c r="CM30" s="128" t="s">
        <v>2270</v>
      </c>
      <c r="CN30" s="128" t="s">
        <v>2271</v>
      </c>
      <c r="CO30" s="128" t="s">
        <v>1816</v>
      </c>
      <c r="CP30" s="128" t="s">
        <v>1358</v>
      </c>
      <c r="CQ30" s="128" t="s">
        <v>1817</v>
      </c>
      <c r="CR30" s="128">
        <v>2</v>
      </c>
      <c r="CS30" s="128" t="s">
        <v>1741</v>
      </c>
      <c r="CT30" s="128" t="s">
        <v>1904</v>
      </c>
      <c r="CU30" s="128" t="s">
        <v>1349</v>
      </c>
      <c r="CV30" s="128" t="s">
        <v>2256</v>
      </c>
      <c r="CW30" s="128" t="s">
        <v>1349</v>
      </c>
      <c r="CX30" s="127" t="s">
        <v>2272</v>
      </c>
      <c r="DD30" s="127" t="s">
        <v>1976</v>
      </c>
      <c r="DE30" s="127" t="s">
        <v>2204</v>
      </c>
      <c r="DF30" s="127" t="s">
        <v>2204</v>
      </c>
      <c r="DG30" s="127" t="s">
        <v>1826</v>
      </c>
      <c r="DM30" s="127" t="s">
        <v>2273</v>
      </c>
      <c r="DN30" s="128" t="s">
        <v>1349</v>
      </c>
      <c r="DO30" s="127" t="s">
        <v>1358</v>
      </c>
      <c r="DP30" s="128" t="s">
        <v>1349</v>
      </c>
      <c r="DQ30" s="127" t="s">
        <v>2274</v>
      </c>
      <c r="DR30" s="128" t="s">
        <v>1349</v>
      </c>
      <c r="DV30" s="128" t="s">
        <v>1345</v>
      </c>
      <c r="DW30" s="127" t="s">
        <v>1866</v>
      </c>
      <c r="DX30" s="128" t="s">
        <v>1345</v>
      </c>
      <c r="DY30" s="128" t="s">
        <v>1349</v>
      </c>
      <c r="DZ30" s="128" t="s">
        <v>2205</v>
      </c>
      <c r="EA30" s="128"/>
      <c r="EB30" s="128" t="s">
        <v>1345</v>
      </c>
      <c r="EC30" s="128" t="s">
        <v>1345</v>
      </c>
      <c r="ED30" s="128" t="s">
        <v>2275</v>
      </c>
      <c r="EE30" s="127">
        <v>0.5</v>
      </c>
      <c r="EF30" s="128" t="s">
        <v>1836</v>
      </c>
      <c r="EG30" s="128" t="s">
        <v>1349</v>
      </c>
      <c r="EI30" s="128" t="s">
        <v>2276</v>
      </c>
      <c r="EJ30" s="128" t="s">
        <v>2277</v>
      </c>
      <c r="EL30" s="128" t="s">
        <v>1389</v>
      </c>
      <c r="EM30" s="128">
        <v>4</v>
      </c>
      <c r="EN30" s="128" t="s">
        <v>2209</v>
      </c>
      <c r="EO30" s="128">
        <v>4</v>
      </c>
      <c r="EP30" s="128" t="s">
        <v>2210</v>
      </c>
      <c r="EQ30" s="128">
        <v>2</v>
      </c>
      <c r="ER30" s="128" t="s">
        <v>2211</v>
      </c>
      <c r="ES30" s="128">
        <v>4</v>
      </c>
      <c r="ET30" s="127" t="s">
        <v>2212</v>
      </c>
      <c r="EU30" s="128">
        <v>4</v>
      </c>
      <c r="EV30" s="127" t="s">
        <v>2213</v>
      </c>
      <c r="EW30" s="128">
        <v>3</v>
      </c>
      <c r="EX30" s="127" t="s">
        <v>2214</v>
      </c>
      <c r="EY30" s="128">
        <v>1</v>
      </c>
      <c r="EZ30" s="127" t="s">
        <v>2215</v>
      </c>
    </row>
    <row r="31" spans="1:157">
      <c r="A31" s="127">
        <v>522</v>
      </c>
      <c r="B31" s="127">
        <v>27</v>
      </c>
      <c r="C31" s="128" t="s">
        <v>1795</v>
      </c>
      <c r="D31" s="129">
        <v>43724</v>
      </c>
      <c r="E31" s="128" t="s">
        <v>2060</v>
      </c>
      <c r="F31" s="128" t="s">
        <v>1728</v>
      </c>
      <c r="G31" s="128" t="s">
        <v>264</v>
      </c>
      <c r="H31" s="128" t="s">
        <v>1690</v>
      </c>
      <c r="I31" s="128" t="s">
        <v>1081</v>
      </c>
      <c r="J31" s="128" t="s">
        <v>264</v>
      </c>
      <c r="K31" s="128" t="s">
        <v>264</v>
      </c>
      <c r="L31" s="128">
        <v>1</v>
      </c>
      <c r="M31" s="128" t="s">
        <v>2027</v>
      </c>
      <c r="N31" s="128" t="s">
        <v>1343</v>
      </c>
      <c r="O31" s="128" t="s">
        <v>744</v>
      </c>
      <c r="P31" s="128" t="s">
        <v>648</v>
      </c>
      <c r="Q31" s="128">
        <v>76262571</v>
      </c>
      <c r="R31" s="128" t="s">
        <v>1345</v>
      </c>
      <c r="S31" s="128">
        <v>7</v>
      </c>
      <c r="T31" s="127" t="s">
        <v>1920</v>
      </c>
      <c r="U31" s="128">
        <v>2007</v>
      </c>
      <c r="V31" s="127" t="s">
        <v>1893</v>
      </c>
      <c r="W31" s="128" t="s">
        <v>2030</v>
      </c>
      <c r="X31" s="128" t="s">
        <v>1349</v>
      </c>
      <c r="Y31" s="128"/>
      <c r="Z31" s="128"/>
      <c r="AA31" s="128">
        <v>55</v>
      </c>
      <c r="AB31" s="128" t="s">
        <v>1349</v>
      </c>
      <c r="AC31" s="128">
        <v>4</v>
      </c>
      <c r="AD31" s="128" t="s">
        <v>1345</v>
      </c>
      <c r="AE31" s="128" t="s">
        <v>1349</v>
      </c>
      <c r="AF31" s="128" t="s">
        <v>1349</v>
      </c>
      <c r="AG31" s="128" t="s">
        <v>1349</v>
      </c>
      <c r="AH31" s="128" t="s">
        <v>1856</v>
      </c>
      <c r="AI31" s="128" t="s">
        <v>2061</v>
      </c>
      <c r="AJ31" s="128" t="s">
        <v>1349</v>
      </c>
      <c r="AU31" s="127" t="s">
        <v>1805</v>
      </c>
      <c r="AV31" s="127">
        <v>2000</v>
      </c>
      <c r="AW31" s="127" t="s">
        <v>1807</v>
      </c>
      <c r="AX31" s="127" t="s">
        <v>2033</v>
      </c>
      <c r="AY31" s="128" t="s">
        <v>1349</v>
      </c>
      <c r="BB31" s="127" t="s">
        <v>2062</v>
      </c>
      <c r="BC31" s="127" t="s">
        <v>1358</v>
      </c>
      <c r="BD31" s="127" t="s">
        <v>1358</v>
      </c>
      <c r="BH31" s="127" t="s">
        <v>2063</v>
      </c>
      <c r="BN31" s="128" t="s">
        <v>1349</v>
      </c>
      <c r="BQ31" s="128" t="s">
        <v>1345</v>
      </c>
      <c r="BR31" s="128" t="s">
        <v>1345</v>
      </c>
      <c r="BS31" s="127" t="s">
        <v>1358</v>
      </c>
      <c r="BT31" s="128" t="s">
        <v>1345</v>
      </c>
      <c r="BV31" s="128"/>
      <c r="BW31" s="127" t="s">
        <v>1358</v>
      </c>
      <c r="BX31" s="128" t="s">
        <v>1349</v>
      </c>
      <c r="BY31" s="127" t="s">
        <v>1362</v>
      </c>
      <c r="BZ31" s="128" t="s">
        <v>2064</v>
      </c>
      <c r="CA31" s="127" t="s">
        <v>2065</v>
      </c>
      <c r="CB31" s="127" t="s">
        <v>1358</v>
      </c>
      <c r="CC31" s="127" t="s">
        <v>1358</v>
      </c>
      <c r="CD31" s="127" t="s">
        <v>1358</v>
      </c>
      <c r="CE31" s="127" t="s">
        <v>1866</v>
      </c>
      <c r="CF31" s="127" t="s">
        <v>1866</v>
      </c>
      <c r="CG31" s="127">
        <v>100000</v>
      </c>
      <c r="CH31" s="127" t="s">
        <v>1373</v>
      </c>
      <c r="CI31" s="127" t="s">
        <v>1489</v>
      </c>
      <c r="CJ31" s="127" t="s">
        <v>2066</v>
      </c>
      <c r="CK31" s="130">
        <v>0</v>
      </c>
      <c r="CO31" s="127" t="s">
        <v>2067</v>
      </c>
      <c r="CU31" s="128"/>
      <c r="CW31" s="128" t="s">
        <v>1345</v>
      </c>
      <c r="CX31" s="127">
        <v>0</v>
      </c>
      <c r="CY31" s="130">
        <v>1</v>
      </c>
      <c r="CZ31" s="127" t="s">
        <v>2068</v>
      </c>
      <c r="DA31" s="127" t="s">
        <v>2069</v>
      </c>
      <c r="DB31" s="127" t="s">
        <v>2070</v>
      </c>
      <c r="DD31" s="127" t="s">
        <v>2071</v>
      </c>
      <c r="DE31" s="127" t="s">
        <v>2072</v>
      </c>
      <c r="DF31" s="127" t="s">
        <v>2073</v>
      </c>
      <c r="DG31" s="127" t="s">
        <v>1866</v>
      </c>
      <c r="DH31" s="127" t="s">
        <v>2074</v>
      </c>
      <c r="DL31" s="127" t="s">
        <v>2074</v>
      </c>
      <c r="DN31" s="128" t="s">
        <v>1349</v>
      </c>
      <c r="DO31" s="127" t="s">
        <v>1358</v>
      </c>
      <c r="DP31" s="128" t="s">
        <v>1345</v>
      </c>
      <c r="DQ31" s="138" t="s">
        <v>2075</v>
      </c>
      <c r="DR31" s="128" t="s">
        <v>1345</v>
      </c>
      <c r="DS31" s="127" t="s">
        <v>2076</v>
      </c>
      <c r="DT31" s="128" t="s">
        <v>2077</v>
      </c>
      <c r="DU31" s="127" t="s">
        <v>1902</v>
      </c>
      <c r="DV31" s="128" t="s">
        <v>1345</v>
      </c>
      <c r="DW31" s="127" t="s">
        <v>2048</v>
      </c>
      <c r="DX31" s="128" t="s">
        <v>2078</v>
      </c>
      <c r="DY31" s="128" t="s">
        <v>1349</v>
      </c>
      <c r="DZ31" s="128" t="s">
        <v>2079</v>
      </c>
      <c r="EA31" s="128" t="s">
        <v>1345</v>
      </c>
      <c r="EB31" s="128" t="s">
        <v>1345</v>
      </c>
      <c r="EC31" s="128" t="s">
        <v>1345</v>
      </c>
      <c r="ED31" s="128" t="s">
        <v>2050</v>
      </c>
      <c r="EE31" s="127">
        <v>0.5</v>
      </c>
      <c r="EF31" s="128" t="s">
        <v>2080</v>
      </c>
      <c r="EG31" s="128" t="s">
        <v>1349</v>
      </c>
      <c r="EI31" s="127" t="s">
        <v>2081</v>
      </c>
      <c r="EJ31" s="128" t="s">
        <v>2082</v>
      </c>
      <c r="EK31" s="128" t="s">
        <v>2083</v>
      </c>
      <c r="EL31" s="128" t="s">
        <v>1389</v>
      </c>
      <c r="EM31" s="128">
        <v>3</v>
      </c>
      <c r="EN31" s="128" t="s">
        <v>2053</v>
      </c>
      <c r="EO31" s="128">
        <v>1</v>
      </c>
      <c r="EP31" s="127" t="s">
        <v>2084</v>
      </c>
      <c r="EQ31" s="128" t="s">
        <v>2085</v>
      </c>
      <c r="ER31" s="128" t="s">
        <v>2086</v>
      </c>
      <c r="ES31" s="128" t="s">
        <v>2087</v>
      </c>
      <c r="ET31" s="128" t="s">
        <v>2087</v>
      </c>
      <c r="EU31" s="128">
        <v>2</v>
      </c>
      <c r="EV31" s="128" t="s">
        <v>2088</v>
      </c>
      <c r="EW31" s="128">
        <v>3</v>
      </c>
      <c r="EX31" s="128" t="s">
        <v>2089</v>
      </c>
      <c r="EY31" s="128">
        <v>3</v>
      </c>
      <c r="EZ31" s="127" t="s">
        <v>2090</v>
      </c>
    </row>
    <row r="32" spans="1:157">
      <c r="A32" s="127">
        <v>523</v>
      </c>
      <c r="B32" s="127">
        <v>5</v>
      </c>
      <c r="C32" s="128" t="s">
        <v>1337</v>
      </c>
      <c r="D32" s="129">
        <v>43726</v>
      </c>
      <c r="E32" s="128" t="s">
        <v>1477</v>
      </c>
      <c r="F32" s="128" t="e">
        <f>IF(E32 &lt;&gt; "", VLOOKUP(E32, '[2]Internal-logic'!G$1:I$364, 2, FALSE),"")</f>
        <v>#N/A</v>
      </c>
      <c r="G32" s="128" t="s">
        <v>1445</v>
      </c>
      <c r="H32" s="128" t="s">
        <v>1339</v>
      </c>
      <c r="I32" s="128" t="s">
        <v>1446</v>
      </c>
      <c r="J32" s="128" t="s">
        <v>1445</v>
      </c>
      <c r="K32" s="128" t="s">
        <v>1446</v>
      </c>
      <c r="L32" s="128">
        <v>4.4999999999999998E-2</v>
      </c>
      <c r="M32" s="128" t="s">
        <v>1342</v>
      </c>
      <c r="N32" s="128" t="s">
        <v>1343</v>
      </c>
      <c r="O32" s="128" t="s">
        <v>997</v>
      </c>
      <c r="P32" s="128" t="s">
        <v>1478</v>
      </c>
      <c r="Q32" s="128">
        <v>51548302</v>
      </c>
      <c r="R32" s="128" t="s">
        <v>1345</v>
      </c>
      <c r="S32" s="128">
        <v>3</v>
      </c>
      <c r="T32" s="128" t="s">
        <v>1346</v>
      </c>
      <c r="U32" s="128"/>
      <c r="V32" s="127" t="s">
        <v>1479</v>
      </c>
      <c r="W32" s="127" t="s">
        <v>1348</v>
      </c>
      <c r="X32" s="128" t="s">
        <v>1345</v>
      </c>
      <c r="Y32" s="128">
        <v>2019</v>
      </c>
      <c r="Z32" s="128"/>
      <c r="AA32" s="128">
        <v>45</v>
      </c>
      <c r="AB32" s="128" t="s">
        <v>1349</v>
      </c>
      <c r="AC32" s="128"/>
      <c r="AD32" s="128" t="s">
        <v>1345</v>
      </c>
      <c r="AE32" s="128" t="s">
        <v>1345</v>
      </c>
      <c r="AF32" s="128" t="s">
        <v>1345</v>
      </c>
      <c r="AG32" s="128" t="s">
        <v>1349</v>
      </c>
      <c r="AH32" s="128" t="s">
        <v>1342</v>
      </c>
      <c r="AI32" s="128">
        <v>2018</v>
      </c>
      <c r="AJ32" s="128" t="s">
        <v>1349</v>
      </c>
      <c r="AK32" s="128" t="s">
        <v>1350</v>
      </c>
      <c r="AL32" s="128" t="s">
        <v>1351</v>
      </c>
      <c r="AM32" s="128" t="s">
        <v>1351</v>
      </c>
      <c r="AN32" s="128" t="s">
        <v>1351</v>
      </c>
      <c r="AO32" s="128" t="s">
        <v>1351</v>
      </c>
      <c r="AP32" s="128" t="s">
        <v>1351</v>
      </c>
      <c r="AQ32" s="128" t="s">
        <v>1351</v>
      </c>
      <c r="AR32" s="128" t="s">
        <v>1352</v>
      </c>
      <c r="AS32" s="128" t="s">
        <v>1353</v>
      </c>
      <c r="AT32" s="128" t="s">
        <v>1342</v>
      </c>
      <c r="AU32" s="127">
        <v>3000</v>
      </c>
      <c r="AV32" s="127">
        <v>1000</v>
      </c>
      <c r="AW32" s="128" t="s">
        <v>1480</v>
      </c>
      <c r="AX32" s="138" t="s">
        <v>1404</v>
      </c>
      <c r="AY32" s="128" t="s">
        <v>1349</v>
      </c>
      <c r="BB32" s="127" t="s">
        <v>1358</v>
      </c>
      <c r="BC32" s="127" t="s">
        <v>1358</v>
      </c>
      <c r="BD32" s="127" t="s">
        <v>1358</v>
      </c>
      <c r="BE32" s="127" t="s">
        <v>1446</v>
      </c>
      <c r="BH32" s="127">
        <v>0.5</v>
      </c>
      <c r="BI32" s="127">
        <v>1</v>
      </c>
      <c r="BK32" s="127" t="s">
        <v>1360</v>
      </c>
      <c r="BL32" s="127" t="s">
        <v>1360</v>
      </c>
      <c r="BN32" s="128" t="s">
        <v>1349</v>
      </c>
      <c r="BQ32" s="128" t="s">
        <v>1345</v>
      </c>
      <c r="BR32" s="128" t="s">
        <v>1342</v>
      </c>
      <c r="BS32" s="130">
        <v>0</v>
      </c>
      <c r="BT32" s="128" t="s">
        <v>1345</v>
      </c>
      <c r="BU32" s="128" t="s">
        <v>1481</v>
      </c>
      <c r="BV32" s="128" t="s">
        <v>1349</v>
      </c>
      <c r="BX32" s="128" t="s">
        <v>1345</v>
      </c>
      <c r="BY32" s="128" t="s">
        <v>1362</v>
      </c>
      <c r="BZ32" s="128" t="s">
        <v>1363</v>
      </c>
      <c r="CA32" s="128" t="s">
        <v>1446</v>
      </c>
      <c r="CB32" s="128" t="s">
        <v>1364</v>
      </c>
      <c r="CC32" s="128" t="s">
        <v>1364</v>
      </c>
      <c r="CD32" s="128" t="s">
        <v>1364</v>
      </c>
      <c r="CE32" s="128">
        <v>0</v>
      </c>
      <c r="CF32" s="128">
        <v>0</v>
      </c>
      <c r="CG32" s="128">
        <v>0</v>
      </c>
      <c r="CH32" s="128">
        <v>40</v>
      </c>
      <c r="CI32" s="128">
        <v>60</v>
      </c>
      <c r="CJ32" s="128">
        <v>100</v>
      </c>
      <c r="CK32" s="130">
        <v>0.7</v>
      </c>
      <c r="CL32" s="130">
        <v>0.7</v>
      </c>
      <c r="CM32" s="130">
        <v>0.3</v>
      </c>
      <c r="CN32" s="130">
        <v>0.3</v>
      </c>
      <c r="CO32" s="127" t="s">
        <v>1365</v>
      </c>
      <c r="CP32" s="127" t="s">
        <v>1366</v>
      </c>
      <c r="CQ32" s="127" t="s">
        <v>1367</v>
      </c>
      <c r="CR32" s="127">
        <v>5</v>
      </c>
      <c r="CS32" s="127" t="s">
        <v>1368</v>
      </c>
      <c r="CT32" s="127" t="s">
        <v>1369</v>
      </c>
      <c r="CU32" s="128" t="s">
        <v>1345</v>
      </c>
      <c r="CV32" s="127" t="s">
        <v>1370</v>
      </c>
      <c r="CW32" s="128" t="s">
        <v>1345</v>
      </c>
      <c r="CX32" s="127">
        <v>30</v>
      </c>
      <c r="CY32" s="130">
        <v>0.6</v>
      </c>
      <c r="CZ32" s="127" t="s">
        <v>1483</v>
      </c>
      <c r="DA32" s="127" t="s">
        <v>1372</v>
      </c>
      <c r="DB32" s="127">
        <v>6</v>
      </c>
      <c r="DC32" s="127" t="s">
        <v>1373</v>
      </c>
      <c r="DD32" s="127" t="s">
        <v>1374</v>
      </c>
      <c r="DE32" s="127" t="s">
        <v>1375</v>
      </c>
      <c r="DF32" s="127" t="s">
        <v>1376</v>
      </c>
      <c r="DG32" s="127" t="s">
        <v>1377</v>
      </c>
      <c r="DH32" s="127" t="s">
        <v>1484</v>
      </c>
      <c r="DI32" s="127" t="s">
        <v>1485</v>
      </c>
      <c r="DJ32" s="127" t="s">
        <v>1379</v>
      </c>
      <c r="DL32" s="127" t="s">
        <v>1410</v>
      </c>
      <c r="DM32" s="127" t="s">
        <v>1486</v>
      </c>
      <c r="DN32" s="128" t="s">
        <v>1342</v>
      </c>
      <c r="DP32" s="128" t="s">
        <v>1345</v>
      </c>
      <c r="DQ32" s="127" t="s">
        <v>1487</v>
      </c>
      <c r="DR32" s="128" t="s">
        <v>1342</v>
      </c>
      <c r="DT32" s="128" t="s">
        <v>1364</v>
      </c>
      <c r="DU32" s="127" t="s">
        <v>1488</v>
      </c>
      <c r="DV32" s="128" t="s">
        <v>1345</v>
      </c>
      <c r="DW32" s="127" t="s">
        <v>1489</v>
      </c>
      <c r="DX32" s="128" t="s">
        <v>1345</v>
      </c>
      <c r="DY32" s="128" t="s">
        <v>1349</v>
      </c>
      <c r="EA32" s="128" t="s">
        <v>1345</v>
      </c>
      <c r="EB32" s="128" t="s">
        <v>1345</v>
      </c>
      <c r="EC32" s="128" t="s">
        <v>1345</v>
      </c>
      <c r="ED32" s="128" t="s">
        <v>1414</v>
      </c>
      <c r="EE32" s="127">
        <v>0.5</v>
      </c>
      <c r="EF32" s="127" t="s">
        <v>1387</v>
      </c>
      <c r="EG32" s="128" t="s">
        <v>1349</v>
      </c>
      <c r="EL32" s="128" t="s">
        <v>1416</v>
      </c>
      <c r="EM32" s="128">
        <v>1</v>
      </c>
      <c r="EN32" s="127" t="s">
        <v>1490</v>
      </c>
      <c r="EO32" s="128">
        <v>1</v>
      </c>
      <c r="EP32" s="127" t="s">
        <v>1491</v>
      </c>
      <c r="EQ32" s="128">
        <v>1</v>
      </c>
      <c r="ER32" s="127" t="s">
        <v>1472</v>
      </c>
      <c r="ES32" s="128">
        <v>5</v>
      </c>
      <c r="ET32" s="127" t="s">
        <v>1492</v>
      </c>
      <c r="EU32" s="128">
        <v>1</v>
      </c>
      <c r="EV32" s="127" t="s">
        <v>1493</v>
      </c>
      <c r="EW32" s="128">
        <v>4</v>
      </c>
      <c r="EX32" s="127" t="s">
        <v>1494</v>
      </c>
      <c r="EY32" s="128">
        <v>1</v>
      </c>
      <c r="EZ32" s="127" t="s">
        <v>1495</v>
      </c>
      <c r="FA32" s="132"/>
    </row>
    <row r="33" spans="1:157">
      <c r="A33" s="127">
        <v>524</v>
      </c>
      <c r="B33" s="127">
        <v>3</v>
      </c>
      <c r="C33" s="128" t="s">
        <v>1337</v>
      </c>
      <c r="D33" s="129">
        <v>43721</v>
      </c>
      <c r="E33" s="128" t="s">
        <v>1422</v>
      </c>
      <c r="F33" s="128" t="e">
        <f>IF(E33 &lt;&gt; "", VLOOKUP(E33, '[2]Internal-logic'!G$1:I$364, 2, FALSE),"")</f>
        <v>#N/A</v>
      </c>
      <c r="G33" s="128" t="s">
        <v>1398</v>
      </c>
      <c r="H33" s="128" t="s">
        <v>1339</v>
      </c>
      <c r="I33" s="128" t="s">
        <v>1340</v>
      </c>
      <c r="J33" s="128" t="s">
        <v>472</v>
      </c>
      <c r="K33" s="128" t="s">
        <v>1398</v>
      </c>
      <c r="L33" s="128">
        <v>2.5000000000000001E-2</v>
      </c>
      <c r="M33" s="128" t="s">
        <v>1342</v>
      </c>
      <c r="N33" s="128" t="s">
        <v>1343</v>
      </c>
      <c r="O33" s="128" t="s">
        <v>997</v>
      </c>
      <c r="P33" s="128" t="s">
        <v>1423</v>
      </c>
      <c r="Q33" s="128">
        <v>72933187</v>
      </c>
      <c r="R33" s="128" t="s">
        <v>1345</v>
      </c>
      <c r="S33" s="128">
        <v>3</v>
      </c>
      <c r="T33" s="128" t="s">
        <v>1346</v>
      </c>
      <c r="U33" s="128">
        <v>2003</v>
      </c>
      <c r="V33" s="127" t="s">
        <v>1424</v>
      </c>
      <c r="W33" s="128" t="s">
        <v>1425</v>
      </c>
      <c r="X33" s="128" t="s">
        <v>1349</v>
      </c>
      <c r="Y33" s="128"/>
      <c r="Z33" s="128"/>
      <c r="AA33" s="128">
        <v>35</v>
      </c>
      <c r="AB33" s="128" t="s">
        <v>1383</v>
      </c>
      <c r="AC33" s="128">
        <v>2</v>
      </c>
      <c r="AD33" s="128" t="s">
        <v>1345</v>
      </c>
      <c r="AE33" s="128" t="s">
        <v>1345</v>
      </c>
      <c r="AF33" s="128" t="s">
        <v>1345</v>
      </c>
      <c r="AG33" s="128" t="s">
        <v>1349</v>
      </c>
      <c r="AH33" s="128" t="s">
        <v>1342</v>
      </c>
      <c r="AI33" s="128">
        <v>2010</v>
      </c>
      <c r="AJ33" s="128" t="s">
        <v>1349</v>
      </c>
      <c r="AK33" s="128" t="s">
        <v>1426</v>
      </c>
      <c r="AL33" s="128" t="s">
        <v>1351</v>
      </c>
      <c r="AM33" s="128" t="s">
        <v>1351</v>
      </c>
      <c r="AN33" s="128" t="s">
        <v>1351</v>
      </c>
      <c r="AO33" s="128" t="s">
        <v>1351</v>
      </c>
      <c r="AP33" s="128" t="s">
        <v>1351</v>
      </c>
      <c r="AQ33" s="128" t="s">
        <v>1351</v>
      </c>
      <c r="AR33" s="128" t="s">
        <v>1351</v>
      </c>
      <c r="AS33" s="128" t="s">
        <v>1353</v>
      </c>
      <c r="AT33" s="128" t="s">
        <v>1427</v>
      </c>
      <c r="AU33" s="127">
        <v>6000</v>
      </c>
      <c r="AV33" s="127">
        <v>25000</v>
      </c>
      <c r="AW33" s="128" t="s">
        <v>1428</v>
      </c>
      <c r="AX33" s="127" t="s">
        <v>1429</v>
      </c>
      <c r="AY33" s="128" t="s">
        <v>1349</v>
      </c>
      <c r="BB33" s="127" t="s">
        <v>1430</v>
      </c>
      <c r="BC33" s="127" t="s">
        <v>1358</v>
      </c>
      <c r="BD33" s="127" t="s">
        <v>1358</v>
      </c>
      <c r="BE33" s="127" t="s">
        <v>1431</v>
      </c>
      <c r="BF33" s="127" t="s">
        <v>1432</v>
      </c>
      <c r="BH33" s="127">
        <v>7</v>
      </c>
      <c r="BI33" s="127">
        <v>8</v>
      </c>
      <c r="BK33" s="127" t="s">
        <v>1433</v>
      </c>
      <c r="BL33" s="127" t="s">
        <v>1434</v>
      </c>
      <c r="BN33" s="128" t="s">
        <v>1349</v>
      </c>
      <c r="BQ33" s="128" t="s">
        <v>1345</v>
      </c>
      <c r="BR33" s="128" t="s">
        <v>1342</v>
      </c>
      <c r="BS33" s="130">
        <v>0</v>
      </c>
      <c r="BT33" s="128" t="s">
        <v>1345</v>
      </c>
      <c r="BU33" s="128" t="s">
        <v>1342</v>
      </c>
      <c r="BV33" s="128"/>
      <c r="BX33" s="128" t="s">
        <v>1342</v>
      </c>
      <c r="CB33" s="127" t="s">
        <v>1364</v>
      </c>
      <c r="CC33" s="127" t="s">
        <v>1364</v>
      </c>
      <c r="CD33" s="127" t="s">
        <v>1364</v>
      </c>
      <c r="CE33" s="127">
        <v>0</v>
      </c>
      <c r="CF33" s="127">
        <v>0</v>
      </c>
      <c r="CG33" s="127">
        <v>1500</v>
      </c>
      <c r="CH33" s="127">
        <v>0</v>
      </c>
      <c r="CI33" s="127">
        <v>0</v>
      </c>
      <c r="CJ33" s="127">
        <v>0</v>
      </c>
      <c r="CK33" s="130">
        <v>1</v>
      </c>
      <c r="CL33" s="130">
        <v>1</v>
      </c>
      <c r="CM33" s="130">
        <v>0</v>
      </c>
      <c r="CN33" s="130">
        <v>0</v>
      </c>
      <c r="CO33" s="127" t="s">
        <v>1365</v>
      </c>
      <c r="CP33" s="127" t="s">
        <v>1366</v>
      </c>
      <c r="CQ33" s="127" t="s">
        <v>1367</v>
      </c>
      <c r="CR33" s="127">
        <v>0.03</v>
      </c>
      <c r="CS33" s="127" t="s">
        <v>1360</v>
      </c>
      <c r="CT33" s="127" t="s">
        <v>1407</v>
      </c>
      <c r="CU33" s="128" t="s">
        <v>1345</v>
      </c>
      <c r="CV33" s="127" t="s">
        <v>1408</v>
      </c>
      <c r="CW33" s="128" t="s">
        <v>1345</v>
      </c>
      <c r="CX33" s="127">
        <v>20</v>
      </c>
      <c r="CY33" s="130">
        <v>0.75</v>
      </c>
      <c r="CZ33" s="127" t="s">
        <v>1371</v>
      </c>
      <c r="DA33" s="127" t="s">
        <v>1372</v>
      </c>
      <c r="DB33" s="127">
        <v>8</v>
      </c>
      <c r="DC33" s="127" t="s">
        <v>1373</v>
      </c>
      <c r="DD33" s="127" t="s">
        <v>1374</v>
      </c>
      <c r="DE33" s="127" t="s">
        <v>1375</v>
      </c>
      <c r="DF33" s="127" t="s">
        <v>1376</v>
      </c>
      <c r="DG33" s="127" t="s">
        <v>1377</v>
      </c>
      <c r="DH33" s="127" t="s">
        <v>1378</v>
      </c>
      <c r="DI33" s="127" t="s">
        <v>1379</v>
      </c>
      <c r="DJ33" s="127" t="s">
        <v>1379</v>
      </c>
      <c r="DK33" s="127" t="s">
        <v>1366</v>
      </c>
      <c r="DL33" s="127" t="s">
        <v>1410</v>
      </c>
      <c r="DM33" s="127" t="s">
        <v>1381</v>
      </c>
      <c r="DN33" s="128" t="s">
        <v>1342</v>
      </c>
      <c r="DP33" s="128" t="s">
        <v>1345</v>
      </c>
      <c r="DQ33" s="127" t="s">
        <v>1412</v>
      </c>
      <c r="DR33" s="128" t="s">
        <v>1342</v>
      </c>
      <c r="DT33" s="128" t="s">
        <v>1364</v>
      </c>
      <c r="DU33" s="127" t="s">
        <v>1435</v>
      </c>
      <c r="DV33" s="128" t="s">
        <v>1345</v>
      </c>
      <c r="DW33" s="127" t="s">
        <v>1436</v>
      </c>
      <c r="DX33" s="128" t="s">
        <v>1345</v>
      </c>
      <c r="DY33" s="128" t="s">
        <v>1349</v>
      </c>
      <c r="EA33" s="128" t="s">
        <v>1345</v>
      </c>
      <c r="EB33" s="128" t="s">
        <v>1345</v>
      </c>
      <c r="EC33" s="128" t="s">
        <v>1345</v>
      </c>
      <c r="ED33" s="128" t="s">
        <v>1414</v>
      </c>
      <c r="EE33" s="127">
        <v>0.7</v>
      </c>
      <c r="EF33" s="128" t="s">
        <v>1437</v>
      </c>
      <c r="EG33" s="128" t="s">
        <v>1349</v>
      </c>
      <c r="EL33" s="128" t="s">
        <v>1416</v>
      </c>
      <c r="EM33" s="128">
        <v>4</v>
      </c>
      <c r="EN33" s="127" t="s">
        <v>1438</v>
      </c>
      <c r="EO33" s="128">
        <v>1</v>
      </c>
      <c r="EP33" s="127" t="s">
        <v>1391</v>
      </c>
      <c r="EQ33" s="128">
        <v>2</v>
      </c>
      <c r="ER33" s="127" t="s">
        <v>1439</v>
      </c>
      <c r="ES33" s="128">
        <v>5</v>
      </c>
      <c r="ET33" s="127" t="s">
        <v>1440</v>
      </c>
      <c r="EU33" s="128">
        <v>2</v>
      </c>
      <c r="EV33" s="127" t="s">
        <v>1441</v>
      </c>
      <c r="EW33" s="128">
        <v>5</v>
      </c>
      <c r="EX33" s="127" t="s">
        <v>1442</v>
      </c>
      <c r="EY33" s="128">
        <v>2</v>
      </c>
      <c r="EZ33" s="127" t="s">
        <v>1443</v>
      </c>
    </row>
    <row r="34" spans="1:157" ht="63.75">
      <c r="A34" s="127">
        <v>525</v>
      </c>
      <c r="B34" s="127">
        <v>20</v>
      </c>
      <c r="C34" s="128" t="s">
        <v>1795</v>
      </c>
      <c r="D34" s="129">
        <v>43717</v>
      </c>
      <c r="E34" s="128" t="s">
        <v>455</v>
      </c>
      <c r="F34" s="128">
        <f>IF(E34 &lt;&gt; "", VLOOKUP(E34, '[9]Internal-logic'!G$1:I$364, 2, FALSE),"")</f>
        <v>322</v>
      </c>
      <c r="G34" s="128" t="str">
        <f>IF(E34 &lt;&gt; "", VLOOKUP(E34, '[9]Internal-logic'!G$1:I$364, 3, FALSE),"")</f>
        <v>Zambo</v>
      </c>
      <c r="H34" s="128" t="s">
        <v>1690</v>
      </c>
      <c r="I34" s="128" t="s">
        <v>1093</v>
      </c>
      <c r="J34" s="128" t="s">
        <v>451</v>
      </c>
      <c r="K34" s="128" t="s">
        <v>1796</v>
      </c>
      <c r="L34" s="128">
        <v>1</v>
      </c>
      <c r="M34" s="128" t="s">
        <v>1797</v>
      </c>
      <c r="N34" s="128" t="s">
        <v>1343</v>
      </c>
      <c r="O34" s="128" t="s">
        <v>1798</v>
      </c>
      <c r="P34" s="128" t="s">
        <v>1799</v>
      </c>
      <c r="Q34" s="128">
        <v>58080971</v>
      </c>
      <c r="R34" s="128" t="s">
        <v>1345</v>
      </c>
      <c r="S34" s="128">
        <v>6</v>
      </c>
      <c r="T34" s="128" t="s">
        <v>1346</v>
      </c>
      <c r="U34" s="128">
        <v>2007</v>
      </c>
      <c r="V34" s="127" t="s">
        <v>1800</v>
      </c>
      <c r="X34" s="128" t="s">
        <v>1345</v>
      </c>
      <c r="Y34" s="128">
        <v>2019</v>
      </c>
      <c r="Z34" s="128"/>
      <c r="AA34" s="128"/>
      <c r="AB34" s="128" t="s">
        <v>1349</v>
      </c>
      <c r="AC34" s="128">
        <v>0</v>
      </c>
      <c r="AD34" s="128" t="s">
        <v>1345</v>
      </c>
      <c r="AE34" s="128" t="s">
        <v>1345</v>
      </c>
      <c r="AF34" s="128" t="s">
        <v>1345</v>
      </c>
      <c r="AG34" s="128" t="s">
        <v>1345</v>
      </c>
      <c r="AI34" s="128">
        <v>2017</v>
      </c>
      <c r="AJ34" s="128" t="s">
        <v>1349</v>
      </c>
      <c r="AK34" s="144" t="s">
        <v>1801</v>
      </c>
      <c r="AL34" s="128" t="s">
        <v>1550</v>
      </c>
      <c r="AM34" s="128" t="s">
        <v>1802</v>
      </c>
      <c r="AN34" s="128" t="s">
        <v>1802</v>
      </c>
      <c r="AO34" s="128" t="s">
        <v>1802</v>
      </c>
      <c r="AP34" s="128" t="s">
        <v>1802</v>
      </c>
      <c r="AQ34" s="128" t="s">
        <v>1352</v>
      </c>
      <c r="AR34" s="128" t="s">
        <v>1352</v>
      </c>
      <c r="AS34" s="128" t="s">
        <v>1803</v>
      </c>
      <c r="AT34" s="128" t="s">
        <v>1804</v>
      </c>
      <c r="AU34" s="128" t="s">
        <v>1805</v>
      </c>
      <c r="AW34" s="128" t="s">
        <v>1806</v>
      </c>
      <c r="AX34" s="127" t="s">
        <v>1807</v>
      </c>
      <c r="AY34" s="128" t="s">
        <v>1345</v>
      </c>
      <c r="AZ34" s="144" t="s">
        <v>1808</v>
      </c>
      <c r="BB34" s="127" t="s">
        <v>1809</v>
      </c>
      <c r="BE34" s="127" t="s">
        <v>1810</v>
      </c>
      <c r="BF34" s="127" t="s">
        <v>1810</v>
      </c>
      <c r="BG34" s="144" t="s">
        <v>1811</v>
      </c>
      <c r="BH34" s="144">
        <v>3</v>
      </c>
      <c r="BI34" s="144">
        <v>3</v>
      </c>
      <c r="BJ34" s="144">
        <v>7</v>
      </c>
      <c r="BK34" s="127" t="s">
        <v>1812</v>
      </c>
      <c r="BL34" s="127" t="s">
        <v>1812</v>
      </c>
      <c r="BM34" s="127" t="s">
        <v>1812</v>
      </c>
      <c r="BN34" s="128" t="s">
        <v>1349</v>
      </c>
      <c r="BQ34" s="128" t="s">
        <v>1345</v>
      </c>
      <c r="BR34" s="128" t="s">
        <v>1349</v>
      </c>
      <c r="BS34" s="128" t="s">
        <v>1358</v>
      </c>
      <c r="BT34" s="128" t="s">
        <v>1345</v>
      </c>
      <c r="BU34" s="128" t="s">
        <v>1342</v>
      </c>
      <c r="BV34" s="128" t="s">
        <v>1349</v>
      </c>
      <c r="BX34" s="128" t="s">
        <v>1345</v>
      </c>
      <c r="BY34" s="128" t="s">
        <v>1362</v>
      </c>
      <c r="BZ34" s="128" t="s">
        <v>1813</v>
      </c>
      <c r="CA34" s="128" t="s">
        <v>1814</v>
      </c>
      <c r="CB34" s="128" t="s">
        <v>1815</v>
      </c>
      <c r="CC34" s="128" t="s">
        <v>1815</v>
      </c>
      <c r="CD34" s="128" t="s">
        <v>1815</v>
      </c>
      <c r="CE34" s="128">
        <v>24000</v>
      </c>
      <c r="CF34" s="128">
        <v>18000</v>
      </c>
      <c r="CG34" s="128">
        <v>50000</v>
      </c>
      <c r="CH34" s="128">
        <v>2664</v>
      </c>
      <c r="CI34" s="128">
        <v>1443</v>
      </c>
      <c r="CJ34" s="128">
        <v>2775</v>
      </c>
      <c r="CK34" s="130">
        <v>0.9</v>
      </c>
      <c r="CL34" s="130">
        <v>0.95</v>
      </c>
      <c r="CM34" s="130">
        <v>0.1</v>
      </c>
      <c r="CN34" s="130">
        <v>0.05</v>
      </c>
      <c r="CO34" s="127" t="s">
        <v>1816</v>
      </c>
      <c r="CP34" s="127" t="s">
        <v>1358</v>
      </c>
      <c r="CQ34" s="127" t="s">
        <v>1817</v>
      </c>
      <c r="CR34" s="127">
        <v>5</v>
      </c>
      <c r="CS34" s="144" t="s">
        <v>1818</v>
      </c>
      <c r="CT34" s="127" t="s">
        <v>1819</v>
      </c>
      <c r="CU34" s="128" t="s">
        <v>1349</v>
      </c>
      <c r="CV34" s="127" t="s">
        <v>1820</v>
      </c>
      <c r="CW34" s="128" t="s">
        <v>1349</v>
      </c>
      <c r="CX34" s="130">
        <v>0</v>
      </c>
      <c r="CY34" s="130">
        <v>1</v>
      </c>
      <c r="CZ34" s="128" t="s">
        <v>1821</v>
      </c>
      <c r="DA34" s="128" t="s">
        <v>1822</v>
      </c>
      <c r="DC34" s="127" t="s">
        <v>1823</v>
      </c>
      <c r="DD34" s="127" t="s">
        <v>1824</v>
      </c>
      <c r="DE34" s="127" t="s">
        <v>1825</v>
      </c>
      <c r="DF34" s="127" t="s">
        <v>1826</v>
      </c>
      <c r="DG34" s="127" t="s">
        <v>1827</v>
      </c>
      <c r="DH34" s="127" t="s">
        <v>1828</v>
      </c>
      <c r="DI34" s="128" t="s">
        <v>1829</v>
      </c>
      <c r="DJ34" s="128" t="s">
        <v>1829</v>
      </c>
      <c r="DK34" s="128" t="s">
        <v>1829</v>
      </c>
      <c r="DL34" s="128" t="s">
        <v>1830</v>
      </c>
      <c r="DM34" s="128" t="s">
        <v>1829</v>
      </c>
      <c r="DN34" s="128" t="s">
        <v>1345</v>
      </c>
      <c r="DO34" s="128" t="s">
        <v>1831</v>
      </c>
      <c r="DP34" s="128" t="s">
        <v>1345</v>
      </c>
      <c r="DQ34" s="128" t="s">
        <v>1832</v>
      </c>
      <c r="DR34" s="128" t="s">
        <v>1345</v>
      </c>
      <c r="DS34" s="128" t="s">
        <v>1578</v>
      </c>
      <c r="DT34" s="128">
        <v>40000</v>
      </c>
      <c r="DU34" s="128" t="s">
        <v>1358</v>
      </c>
      <c r="DV34" s="128" t="s">
        <v>1345</v>
      </c>
      <c r="DW34" s="127" t="s">
        <v>1833</v>
      </c>
      <c r="DX34" s="128" t="s">
        <v>1345</v>
      </c>
      <c r="DY34" s="128" t="s">
        <v>1349</v>
      </c>
      <c r="DZ34" s="128" t="s">
        <v>1834</v>
      </c>
      <c r="EA34" s="128" t="s">
        <v>1345</v>
      </c>
      <c r="EB34" s="128" t="s">
        <v>1345</v>
      </c>
      <c r="EC34" s="128" t="s">
        <v>1345</v>
      </c>
      <c r="ED34" s="128" t="s">
        <v>1835</v>
      </c>
      <c r="EE34" s="127">
        <v>0.5</v>
      </c>
      <c r="EF34" s="128" t="s">
        <v>1836</v>
      </c>
      <c r="EG34" s="128" t="s">
        <v>1345</v>
      </c>
      <c r="EH34" s="128" t="s">
        <v>1837</v>
      </c>
      <c r="EI34" s="128" t="s">
        <v>1838</v>
      </c>
      <c r="EJ34" s="128" t="s">
        <v>1839</v>
      </c>
      <c r="EK34" s="128" t="s">
        <v>1840</v>
      </c>
      <c r="EL34" s="128" t="s">
        <v>1841</v>
      </c>
      <c r="EM34" s="128"/>
      <c r="EN34" s="128" t="s">
        <v>1842</v>
      </c>
      <c r="EO34" s="128">
        <v>5</v>
      </c>
      <c r="EP34" s="128" t="s">
        <v>1843</v>
      </c>
      <c r="EQ34" s="128">
        <v>3</v>
      </c>
      <c r="ER34" s="127" t="s">
        <v>1844</v>
      </c>
      <c r="ES34" s="128">
        <v>3</v>
      </c>
      <c r="ET34" s="127" t="s">
        <v>1845</v>
      </c>
      <c r="EU34" s="128">
        <v>5</v>
      </c>
      <c r="EV34" s="127" t="s">
        <v>1846</v>
      </c>
      <c r="EW34" s="128">
        <v>3</v>
      </c>
      <c r="EX34" s="128" t="s">
        <v>1847</v>
      </c>
      <c r="EY34" s="128">
        <v>5</v>
      </c>
      <c r="EZ34" s="127" t="s">
        <v>1848</v>
      </c>
    </row>
    <row r="35" spans="1:157">
      <c r="A35" s="127">
        <v>526</v>
      </c>
      <c r="B35" s="132">
        <v>37</v>
      </c>
      <c r="C35" s="133" t="s">
        <v>2278</v>
      </c>
      <c r="D35" s="134">
        <v>43717</v>
      </c>
      <c r="E35" s="133" t="s">
        <v>473</v>
      </c>
      <c r="F35" s="133">
        <v>338</v>
      </c>
      <c r="G35" s="133" t="s">
        <v>451</v>
      </c>
      <c r="H35" s="133" t="s">
        <v>1690</v>
      </c>
      <c r="I35" s="133" t="s">
        <v>2279</v>
      </c>
      <c r="J35" s="133" t="s">
        <v>472</v>
      </c>
      <c r="K35" s="133" t="s">
        <v>2280</v>
      </c>
      <c r="L35" s="133">
        <v>1</v>
      </c>
      <c r="M35" s="133" t="s">
        <v>2281</v>
      </c>
      <c r="N35" s="133" t="s">
        <v>2282</v>
      </c>
      <c r="O35" s="133" t="s">
        <v>2283</v>
      </c>
      <c r="P35" s="133" t="s">
        <v>2284</v>
      </c>
      <c r="Q35" s="133" t="s">
        <v>1556</v>
      </c>
      <c r="R35" s="133" t="s">
        <v>1345</v>
      </c>
      <c r="S35" s="133">
        <v>6</v>
      </c>
      <c r="T35" s="133" t="s">
        <v>2285</v>
      </c>
      <c r="U35" s="133">
        <v>2009</v>
      </c>
      <c r="V35" s="133" t="s">
        <v>2286</v>
      </c>
      <c r="W35" s="133" t="s">
        <v>2287</v>
      </c>
      <c r="X35" s="133" t="s">
        <v>1345</v>
      </c>
      <c r="Y35" s="133">
        <v>2017</v>
      </c>
      <c r="Z35" s="133" t="s">
        <v>2288</v>
      </c>
      <c r="AA35" s="133">
        <v>22</v>
      </c>
      <c r="AB35" s="133" t="s">
        <v>1349</v>
      </c>
      <c r="AC35" s="133">
        <v>2</v>
      </c>
      <c r="AD35" s="133" t="s">
        <v>1345</v>
      </c>
      <c r="AE35" s="133" t="s">
        <v>1345</v>
      </c>
      <c r="AF35" s="133" t="s">
        <v>1349</v>
      </c>
      <c r="AG35" s="133" t="s">
        <v>1349</v>
      </c>
      <c r="AH35" s="133" t="s">
        <v>2289</v>
      </c>
      <c r="AI35" s="133">
        <v>2009</v>
      </c>
      <c r="AJ35" s="133" t="s">
        <v>1345</v>
      </c>
      <c r="AK35" s="133" t="s">
        <v>2290</v>
      </c>
      <c r="AL35" s="133" t="s">
        <v>1612</v>
      </c>
      <c r="AM35" s="133" t="s">
        <v>2291</v>
      </c>
      <c r="AN35" s="133" t="s">
        <v>2291</v>
      </c>
      <c r="AO35" s="133" t="s">
        <v>2291</v>
      </c>
      <c r="AP35" s="133" t="s">
        <v>2291</v>
      </c>
      <c r="AQ35" s="133" t="s">
        <v>2291</v>
      </c>
      <c r="AR35" s="133" t="s">
        <v>2291</v>
      </c>
      <c r="AS35" s="133" t="s">
        <v>1802</v>
      </c>
      <c r="AT35" s="133" t="s">
        <v>1358</v>
      </c>
      <c r="AU35" s="133" t="s">
        <v>2292</v>
      </c>
      <c r="AV35" s="132">
        <v>10000</v>
      </c>
      <c r="AW35" s="133" t="s">
        <v>2293</v>
      </c>
      <c r="AX35" s="133" t="s">
        <v>2294</v>
      </c>
      <c r="AY35" s="133" t="s">
        <v>1349</v>
      </c>
      <c r="AZ35" s="133" t="s">
        <v>2295</v>
      </c>
      <c r="BA35" s="133" t="s">
        <v>2296</v>
      </c>
      <c r="BB35" s="133" t="s">
        <v>1667</v>
      </c>
      <c r="BC35" s="133" t="s">
        <v>2297</v>
      </c>
      <c r="BD35" s="133" t="s">
        <v>2289</v>
      </c>
      <c r="BE35" s="133" t="s">
        <v>2298</v>
      </c>
      <c r="BF35" s="133" t="s">
        <v>2299</v>
      </c>
      <c r="BG35" s="133" t="s">
        <v>2300</v>
      </c>
      <c r="BH35" s="133">
        <v>7</v>
      </c>
      <c r="BI35" s="133">
        <v>9</v>
      </c>
      <c r="BJ35" s="133">
        <v>10</v>
      </c>
      <c r="BK35" s="133" t="s">
        <v>1360</v>
      </c>
      <c r="BL35" s="133" t="s">
        <v>1360</v>
      </c>
      <c r="BM35" s="133" t="s">
        <v>1360</v>
      </c>
      <c r="BN35" s="133" t="s">
        <v>1349</v>
      </c>
      <c r="BO35" s="133" t="s">
        <v>2300</v>
      </c>
      <c r="BP35" s="133" t="s">
        <v>2300</v>
      </c>
      <c r="BQ35" s="133" t="s">
        <v>1349</v>
      </c>
      <c r="BR35" s="133" t="s">
        <v>1349</v>
      </c>
      <c r="BS35" s="133" t="s">
        <v>1804</v>
      </c>
      <c r="BT35" s="133" t="s">
        <v>1345</v>
      </c>
      <c r="BU35" s="133" t="s">
        <v>2301</v>
      </c>
      <c r="BV35" s="133" t="s">
        <v>1349</v>
      </c>
      <c r="BW35" s="133" t="s">
        <v>2300</v>
      </c>
      <c r="BX35" s="133" t="s">
        <v>1345</v>
      </c>
      <c r="BY35" s="133" t="s">
        <v>2302</v>
      </c>
      <c r="BZ35" s="133" t="s">
        <v>2303</v>
      </c>
      <c r="CA35" s="133" t="s">
        <v>2304</v>
      </c>
      <c r="CB35" s="133" t="s">
        <v>2289</v>
      </c>
      <c r="CC35" s="133" t="s">
        <v>2289</v>
      </c>
      <c r="CD35" s="133" t="s">
        <v>2289</v>
      </c>
      <c r="CE35" s="133">
        <v>21120</v>
      </c>
      <c r="CF35" s="133">
        <v>13200</v>
      </c>
      <c r="CG35" s="133">
        <v>47520</v>
      </c>
      <c r="CH35" s="133">
        <v>550</v>
      </c>
      <c r="CI35" s="133">
        <v>330</v>
      </c>
      <c r="CJ35" s="133">
        <v>660</v>
      </c>
      <c r="CK35" s="135">
        <v>0.6</v>
      </c>
      <c r="CL35" s="136">
        <v>0.7</v>
      </c>
      <c r="CM35" s="137" t="s">
        <v>2305</v>
      </c>
      <c r="CN35" s="133" t="s">
        <v>2306</v>
      </c>
      <c r="CO35" s="133" t="s">
        <v>2307</v>
      </c>
      <c r="CP35" s="133" t="s">
        <v>1565</v>
      </c>
      <c r="CQ35" s="133" t="s">
        <v>2308</v>
      </c>
      <c r="CR35" s="133">
        <v>2</v>
      </c>
      <c r="CS35" s="133" t="s">
        <v>1360</v>
      </c>
      <c r="CT35" s="133" t="s">
        <v>2309</v>
      </c>
      <c r="CU35" s="133" t="s">
        <v>1345</v>
      </c>
      <c r="CV35" s="133" t="s">
        <v>2310</v>
      </c>
      <c r="CW35" s="133" t="s">
        <v>1349</v>
      </c>
      <c r="CX35" s="133" t="s">
        <v>2289</v>
      </c>
      <c r="CY35" s="133" t="s">
        <v>2289</v>
      </c>
      <c r="CZ35" s="133" t="s">
        <v>2311</v>
      </c>
      <c r="DA35" s="133" t="s">
        <v>1358</v>
      </c>
      <c r="DB35" s="133" t="s">
        <v>1903</v>
      </c>
      <c r="DC35" s="133" t="s">
        <v>2312</v>
      </c>
      <c r="DD35" s="132" t="s">
        <v>2313</v>
      </c>
      <c r="DE35" s="133" t="s">
        <v>2314</v>
      </c>
      <c r="DF35" s="133" t="s">
        <v>2315</v>
      </c>
      <c r="DG35" s="133" t="s">
        <v>2316</v>
      </c>
      <c r="DH35" s="133" t="s">
        <v>2317</v>
      </c>
      <c r="DI35" s="133" t="s">
        <v>1556</v>
      </c>
      <c r="DJ35" s="133" t="s">
        <v>1556</v>
      </c>
      <c r="DK35" s="133" t="s">
        <v>1556</v>
      </c>
      <c r="DL35" s="133" t="s">
        <v>2318</v>
      </c>
      <c r="DM35" s="133" t="s">
        <v>2319</v>
      </c>
      <c r="DN35" s="133" t="s">
        <v>1345</v>
      </c>
      <c r="DO35" s="133" t="s">
        <v>2320</v>
      </c>
      <c r="DP35" s="133" t="s">
        <v>1349</v>
      </c>
      <c r="DQ35" s="133" t="s">
        <v>1358</v>
      </c>
      <c r="DR35" s="133" t="s">
        <v>1345</v>
      </c>
      <c r="DS35" s="133" t="s">
        <v>2318</v>
      </c>
      <c r="DT35" s="133">
        <v>750</v>
      </c>
      <c r="DU35" s="133" t="s">
        <v>1358</v>
      </c>
      <c r="DV35" s="133" t="s">
        <v>1345</v>
      </c>
      <c r="DW35" s="133" t="s">
        <v>2321</v>
      </c>
      <c r="DX35" s="133" t="s">
        <v>1345</v>
      </c>
      <c r="DY35" s="133" t="s">
        <v>1349</v>
      </c>
      <c r="DZ35" s="133" t="s">
        <v>2322</v>
      </c>
      <c r="EA35" s="133" t="s">
        <v>1345</v>
      </c>
      <c r="EB35" s="133" t="s">
        <v>1345</v>
      </c>
      <c r="EC35" s="133" t="s">
        <v>1345</v>
      </c>
      <c r="ED35" s="133" t="s">
        <v>2323</v>
      </c>
      <c r="EE35" s="132">
        <v>0.5</v>
      </c>
      <c r="EF35" s="133" t="s">
        <v>2324</v>
      </c>
      <c r="EG35" s="133" t="s">
        <v>1345</v>
      </c>
      <c r="EH35" s="133" t="s">
        <v>2325</v>
      </c>
      <c r="EI35" s="133" t="s">
        <v>2326</v>
      </c>
      <c r="EJ35" s="132" t="s">
        <v>2327</v>
      </c>
      <c r="EK35" s="133" t="s">
        <v>2328</v>
      </c>
      <c r="EL35" s="133" t="s">
        <v>1389</v>
      </c>
      <c r="EM35" s="133">
        <v>4</v>
      </c>
      <c r="EN35" s="133" t="s">
        <v>2329</v>
      </c>
      <c r="EO35" s="133">
        <v>4</v>
      </c>
      <c r="EP35" s="133" t="s">
        <v>2330</v>
      </c>
      <c r="EQ35" s="133">
        <v>4</v>
      </c>
      <c r="ER35" s="132" t="s">
        <v>2331</v>
      </c>
      <c r="ES35" s="133">
        <v>5</v>
      </c>
      <c r="ET35" s="132" t="s">
        <v>2332</v>
      </c>
      <c r="EU35" s="133">
        <v>4</v>
      </c>
      <c r="EV35" s="132" t="s">
        <v>2333</v>
      </c>
      <c r="EW35" s="133">
        <v>4</v>
      </c>
      <c r="EX35" s="132" t="s">
        <v>2334</v>
      </c>
      <c r="EY35" s="133">
        <v>5</v>
      </c>
      <c r="EZ35" s="132" t="s">
        <v>2335</v>
      </c>
    </row>
    <row r="36" spans="1:157">
      <c r="A36" s="127">
        <v>527</v>
      </c>
      <c r="B36" s="132">
        <v>51</v>
      </c>
      <c r="C36" s="133" t="s">
        <v>2278</v>
      </c>
      <c r="D36" s="134">
        <v>43731</v>
      </c>
      <c r="E36" s="133" t="s">
        <v>2599</v>
      </c>
      <c r="F36" s="133" t="e">
        <v>#N/A</v>
      </c>
      <c r="G36" s="133" t="e">
        <v>#N/A</v>
      </c>
      <c r="H36" s="133" t="s">
        <v>1690</v>
      </c>
      <c r="I36" s="133" t="s">
        <v>1081</v>
      </c>
      <c r="J36" s="133" t="s">
        <v>156</v>
      </c>
      <c r="K36" s="133" t="s">
        <v>2600</v>
      </c>
      <c r="L36" s="133">
        <v>0.5</v>
      </c>
      <c r="M36" s="133" t="s">
        <v>2281</v>
      </c>
      <c r="N36" s="133" t="s">
        <v>1541</v>
      </c>
      <c r="O36" s="133" t="s">
        <v>2283</v>
      </c>
      <c r="P36" s="133" t="s">
        <v>2601</v>
      </c>
      <c r="Q36" s="145" t="s">
        <v>2602</v>
      </c>
      <c r="R36" s="133" t="s">
        <v>1345</v>
      </c>
      <c r="S36" s="133">
        <v>6</v>
      </c>
      <c r="T36" s="133" t="s">
        <v>2285</v>
      </c>
      <c r="U36" s="133">
        <v>2010</v>
      </c>
      <c r="V36" s="133" t="s">
        <v>2286</v>
      </c>
      <c r="W36" s="133" t="s">
        <v>2359</v>
      </c>
      <c r="X36" s="133" t="s">
        <v>1345</v>
      </c>
      <c r="Y36" s="133">
        <v>2012</v>
      </c>
      <c r="Z36" s="133" t="s">
        <v>2288</v>
      </c>
      <c r="AA36" s="133">
        <v>20</v>
      </c>
      <c r="AB36" s="133" t="s">
        <v>1349</v>
      </c>
      <c r="AC36" s="133">
        <v>4</v>
      </c>
      <c r="AD36" s="133" t="s">
        <v>1345</v>
      </c>
      <c r="AE36" s="133" t="s">
        <v>1345</v>
      </c>
      <c r="AF36" s="133" t="s">
        <v>1345</v>
      </c>
      <c r="AG36" s="133" t="s">
        <v>1349</v>
      </c>
      <c r="AH36" s="133" t="s">
        <v>2444</v>
      </c>
      <c r="AI36" s="133">
        <v>2013</v>
      </c>
      <c r="AJ36" s="133" t="s">
        <v>1345</v>
      </c>
      <c r="AK36" s="133" t="s">
        <v>2290</v>
      </c>
      <c r="AL36" s="133" t="s">
        <v>1612</v>
      </c>
      <c r="AM36" s="133" t="s">
        <v>2291</v>
      </c>
      <c r="AN36" s="133" t="s">
        <v>2291</v>
      </c>
      <c r="AO36" s="133" t="s">
        <v>2291</v>
      </c>
      <c r="AP36" s="133" t="s">
        <v>2291</v>
      </c>
      <c r="AQ36" s="133" t="s">
        <v>2291</v>
      </c>
      <c r="AR36" s="133" t="s">
        <v>2291</v>
      </c>
      <c r="AS36" s="133" t="s">
        <v>1802</v>
      </c>
      <c r="AT36" s="133" t="s">
        <v>1358</v>
      </c>
      <c r="AU36" s="133" t="s">
        <v>2603</v>
      </c>
      <c r="AV36" s="133">
        <v>1200</v>
      </c>
      <c r="AW36" s="133" t="s">
        <v>2487</v>
      </c>
      <c r="AX36" s="133" t="s">
        <v>2604</v>
      </c>
      <c r="AY36" s="133" t="s">
        <v>1349</v>
      </c>
      <c r="AZ36" s="133" t="s">
        <v>2361</v>
      </c>
      <c r="BA36" s="133" t="s">
        <v>2361</v>
      </c>
      <c r="BB36" s="133" t="s">
        <v>2289</v>
      </c>
      <c r="BC36" s="133" t="s">
        <v>2289</v>
      </c>
      <c r="BD36" s="133" t="s">
        <v>2289</v>
      </c>
      <c r="BE36" s="133" t="s">
        <v>156</v>
      </c>
      <c r="BF36" s="133" t="s">
        <v>2300</v>
      </c>
      <c r="BG36" s="133" t="s">
        <v>2300</v>
      </c>
      <c r="BH36" s="133">
        <v>14</v>
      </c>
      <c r="BI36" s="133">
        <v>15</v>
      </c>
      <c r="BJ36" s="133">
        <v>15</v>
      </c>
      <c r="BK36" s="133" t="s">
        <v>2405</v>
      </c>
      <c r="BL36" s="133" t="s">
        <v>2405</v>
      </c>
      <c r="BM36" s="133" t="s">
        <v>2405</v>
      </c>
      <c r="BN36" s="133" t="s">
        <v>1349</v>
      </c>
      <c r="BO36" s="133" t="s">
        <v>2300</v>
      </c>
      <c r="BP36" s="133" t="s">
        <v>2300</v>
      </c>
      <c r="BQ36" s="133" t="s">
        <v>1349</v>
      </c>
      <c r="BR36" s="133" t="s">
        <v>1349</v>
      </c>
      <c r="BS36" s="133" t="s">
        <v>1804</v>
      </c>
      <c r="BT36" s="133" t="s">
        <v>1349</v>
      </c>
      <c r="BU36" s="133" t="s">
        <v>2605</v>
      </c>
      <c r="BV36" s="133" t="s">
        <v>1349</v>
      </c>
      <c r="BW36" s="133" t="s">
        <v>2300</v>
      </c>
      <c r="BX36" s="133" t="s">
        <v>1345</v>
      </c>
      <c r="BY36" s="133" t="s">
        <v>2302</v>
      </c>
      <c r="BZ36" s="133" t="s">
        <v>2606</v>
      </c>
      <c r="CA36" s="133" t="s">
        <v>156</v>
      </c>
      <c r="CB36" s="133" t="s">
        <v>2289</v>
      </c>
      <c r="CC36" s="133" t="s">
        <v>2289</v>
      </c>
      <c r="CD36" s="133" t="s">
        <v>2289</v>
      </c>
      <c r="CE36" s="133">
        <v>220</v>
      </c>
      <c r="CF36" s="133">
        <v>150</v>
      </c>
      <c r="CG36" s="133">
        <v>240</v>
      </c>
      <c r="CH36" s="133">
        <v>80</v>
      </c>
      <c r="CI36" s="133">
        <v>60</v>
      </c>
      <c r="CJ36" s="133">
        <v>120</v>
      </c>
      <c r="CK36" s="136">
        <v>0.2</v>
      </c>
      <c r="CL36" s="136">
        <v>0.1</v>
      </c>
      <c r="CM36" s="136">
        <v>0.8</v>
      </c>
      <c r="CN36" s="136">
        <v>0.9</v>
      </c>
      <c r="CO36" s="133" t="s">
        <v>2307</v>
      </c>
      <c r="CP36" s="133" t="s">
        <v>1565</v>
      </c>
      <c r="CQ36" s="133" t="s">
        <v>2308</v>
      </c>
      <c r="CR36" s="133">
        <v>4</v>
      </c>
      <c r="CS36" s="133" t="s">
        <v>1360</v>
      </c>
      <c r="CT36" s="133" t="s">
        <v>2607</v>
      </c>
      <c r="CU36" s="133" t="s">
        <v>1345</v>
      </c>
      <c r="CV36" s="133" t="s">
        <v>2407</v>
      </c>
      <c r="CW36" s="133" t="s">
        <v>1349</v>
      </c>
      <c r="CX36" s="133" t="s">
        <v>2289</v>
      </c>
      <c r="CY36" s="133" t="s">
        <v>2289</v>
      </c>
      <c r="CZ36" s="133" t="s">
        <v>2311</v>
      </c>
      <c r="DA36" s="133" t="s">
        <v>1358</v>
      </c>
      <c r="DB36" s="133" t="s">
        <v>1903</v>
      </c>
      <c r="DC36" s="133" t="s">
        <v>2524</v>
      </c>
      <c r="DD36" s="132" t="s">
        <v>2349</v>
      </c>
      <c r="DE36" s="133" t="s">
        <v>2350</v>
      </c>
      <c r="DF36" s="133" t="s">
        <v>2315</v>
      </c>
      <c r="DG36" s="133" t="s">
        <v>2316</v>
      </c>
      <c r="DH36" s="133" t="s">
        <v>2596</v>
      </c>
      <c r="DI36" s="133" t="s">
        <v>1556</v>
      </c>
      <c r="DJ36" s="133" t="s">
        <v>1556</v>
      </c>
      <c r="DK36" s="133" t="s">
        <v>1556</v>
      </c>
      <c r="DL36" s="133" t="s">
        <v>2608</v>
      </c>
      <c r="DM36" s="133" t="s">
        <v>2609</v>
      </c>
      <c r="DN36" s="133" t="s">
        <v>1345</v>
      </c>
      <c r="DO36" s="133" t="s">
        <v>2610</v>
      </c>
      <c r="DP36" s="133" t="s">
        <v>1349</v>
      </c>
      <c r="DQ36" s="133" t="s">
        <v>1358</v>
      </c>
      <c r="DR36" s="133" t="s">
        <v>1349</v>
      </c>
      <c r="DS36" s="133" t="s">
        <v>2300</v>
      </c>
      <c r="DT36" s="133" t="s">
        <v>2300</v>
      </c>
      <c r="DU36" s="133" t="s">
        <v>2300</v>
      </c>
      <c r="DV36" s="133" t="s">
        <v>1345</v>
      </c>
      <c r="DW36" s="133" t="s">
        <v>2436</v>
      </c>
      <c r="DX36" s="133" t="s">
        <v>1345</v>
      </c>
      <c r="DY36" s="133" t="s">
        <v>1349</v>
      </c>
      <c r="DZ36" s="133" t="s">
        <v>2533</v>
      </c>
      <c r="EA36" s="133" t="s">
        <v>1345</v>
      </c>
      <c r="EB36" s="133" t="s">
        <v>1345</v>
      </c>
      <c r="EC36" s="133" t="s">
        <v>1345</v>
      </c>
      <c r="ED36" s="133" t="s">
        <v>2353</v>
      </c>
      <c r="EE36" s="132">
        <v>0.6</v>
      </c>
      <c r="EF36" s="133" t="s">
        <v>2370</v>
      </c>
      <c r="EG36" s="133" t="s">
        <v>1349</v>
      </c>
      <c r="EH36" s="133" t="s">
        <v>2300</v>
      </c>
      <c r="EI36" s="133" t="s">
        <v>2326</v>
      </c>
      <c r="EJ36" s="132" t="s">
        <v>2327</v>
      </c>
      <c r="EK36" s="133" t="s">
        <v>2419</v>
      </c>
      <c r="EL36" s="133" t="s">
        <v>1389</v>
      </c>
      <c r="EM36" s="133">
        <v>4</v>
      </c>
      <c r="EN36" s="133" t="s">
        <v>2439</v>
      </c>
      <c r="EO36" s="133">
        <v>2</v>
      </c>
      <c r="EP36" s="133" t="s">
        <v>2611</v>
      </c>
      <c r="EQ36" s="133">
        <v>3</v>
      </c>
      <c r="ER36" s="132" t="s">
        <v>2455</v>
      </c>
      <c r="ES36" s="133">
        <v>2</v>
      </c>
      <c r="ET36" s="132" t="s">
        <v>2612</v>
      </c>
      <c r="EU36" s="133">
        <v>4</v>
      </c>
      <c r="EV36" s="132" t="s">
        <v>2508</v>
      </c>
      <c r="EW36" s="133">
        <v>5</v>
      </c>
      <c r="EX36" s="132" t="s">
        <v>2457</v>
      </c>
      <c r="EY36" s="133">
        <v>1</v>
      </c>
      <c r="EZ36" s="132" t="s">
        <v>2424</v>
      </c>
      <c r="FA36" s="132"/>
    </row>
    <row r="37" spans="1:157">
      <c r="A37" s="127">
        <v>528</v>
      </c>
      <c r="B37" s="132">
        <v>38</v>
      </c>
      <c r="C37" s="133" t="s">
        <v>2278</v>
      </c>
      <c r="D37" s="134">
        <v>43718</v>
      </c>
      <c r="E37" s="133" t="s">
        <v>459</v>
      </c>
      <c r="F37" s="133">
        <v>327</v>
      </c>
      <c r="G37" s="133" t="s">
        <v>451</v>
      </c>
      <c r="H37" s="133" t="s">
        <v>1690</v>
      </c>
      <c r="I37" s="133" t="s">
        <v>2279</v>
      </c>
      <c r="J37" s="133" t="s">
        <v>451</v>
      </c>
      <c r="K37" s="133" t="s">
        <v>1540</v>
      </c>
      <c r="L37" s="133">
        <v>4</v>
      </c>
      <c r="M37" s="133" t="s">
        <v>2281</v>
      </c>
      <c r="N37" s="133" t="s">
        <v>1541</v>
      </c>
      <c r="O37" s="133" t="s">
        <v>2283</v>
      </c>
      <c r="P37" s="133" t="s">
        <v>2336</v>
      </c>
      <c r="Q37" s="133" t="s">
        <v>2337</v>
      </c>
      <c r="R37" s="133" t="s">
        <v>1345</v>
      </c>
      <c r="S37" s="133">
        <v>6</v>
      </c>
      <c r="T37" s="133" t="s">
        <v>2338</v>
      </c>
      <c r="U37" s="133">
        <v>2012</v>
      </c>
      <c r="V37" s="133" t="s">
        <v>2339</v>
      </c>
      <c r="W37" s="133" t="s">
        <v>2340</v>
      </c>
      <c r="X37" s="133" t="s">
        <v>1345</v>
      </c>
      <c r="Y37" s="133">
        <v>2017</v>
      </c>
      <c r="Z37" s="133">
        <v>2018</v>
      </c>
      <c r="AA37" s="133">
        <v>14</v>
      </c>
      <c r="AB37" s="133" t="s">
        <v>1349</v>
      </c>
      <c r="AC37" s="133">
        <v>2</v>
      </c>
      <c r="AD37" s="133" t="s">
        <v>1345</v>
      </c>
      <c r="AE37" s="133" t="s">
        <v>1345</v>
      </c>
      <c r="AF37" s="133" t="s">
        <v>1349</v>
      </c>
      <c r="AG37" s="133" t="s">
        <v>1349</v>
      </c>
      <c r="AH37" s="133" t="s">
        <v>2289</v>
      </c>
      <c r="AI37" s="133">
        <v>2017</v>
      </c>
      <c r="AJ37" s="133" t="s">
        <v>1345</v>
      </c>
      <c r="AK37" s="133" t="s">
        <v>2341</v>
      </c>
      <c r="AL37" s="133" t="s">
        <v>1612</v>
      </c>
      <c r="AM37" s="133" t="s">
        <v>2291</v>
      </c>
      <c r="AN37" s="133" t="s">
        <v>2291</v>
      </c>
      <c r="AO37" s="133" t="s">
        <v>2291</v>
      </c>
      <c r="AP37" s="133" t="s">
        <v>2291</v>
      </c>
      <c r="AQ37" s="133" t="s">
        <v>2291</v>
      </c>
      <c r="AR37" s="133" t="s">
        <v>2291</v>
      </c>
      <c r="AS37" s="133" t="s">
        <v>1802</v>
      </c>
      <c r="AT37" s="133" t="s">
        <v>1358</v>
      </c>
      <c r="AU37" s="133" t="s">
        <v>2342</v>
      </c>
      <c r="AV37" s="133">
        <v>2500</v>
      </c>
      <c r="AW37" s="133" t="s">
        <v>2343</v>
      </c>
      <c r="AX37" s="133" t="s">
        <v>2294</v>
      </c>
      <c r="AY37" s="133" t="s">
        <v>1349</v>
      </c>
      <c r="AZ37" s="133" t="s">
        <v>2344</v>
      </c>
      <c r="BA37" s="133" t="s">
        <v>2345</v>
      </c>
      <c r="BB37" s="133" t="s">
        <v>1667</v>
      </c>
      <c r="BC37" s="133" t="s">
        <v>2346</v>
      </c>
      <c r="BD37" s="133" t="s">
        <v>2289</v>
      </c>
      <c r="BE37" s="133" t="s">
        <v>1540</v>
      </c>
      <c r="BF37" s="133" t="s">
        <v>2300</v>
      </c>
      <c r="BG37" s="133" t="s">
        <v>2300</v>
      </c>
      <c r="BH37" s="133">
        <v>5</v>
      </c>
      <c r="BI37" s="133">
        <v>7</v>
      </c>
      <c r="BJ37" s="133">
        <v>7</v>
      </c>
      <c r="BK37" s="133" t="s">
        <v>1360</v>
      </c>
      <c r="BL37" s="133" t="s">
        <v>1360</v>
      </c>
      <c r="BM37" s="133" t="s">
        <v>1360</v>
      </c>
      <c r="BN37" s="133" t="s">
        <v>1349</v>
      </c>
      <c r="BO37" s="133" t="s">
        <v>2300</v>
      </c>
      <c r="BP37" s="133" t="s">
        <v>2300</v>
      </c>
      <c r="BQ37" s="133" t="s">
        <v>1349</v>
      </c>
      <c r="BR37" s="133" t="s">
        <v>1349</v>
      </c>
      <c r="BS37" s="133" t="s">
        <v>1804</v>
      </c>
      <c r="BT37" s="133" t="s">
        <v>1349</v>
      </c>
      <c r="BU37" s="133" t="s">
        <v>2301</v>
      </c>
      <c r="BV37" s="133" t="s">
        <v>1349</v>
      </c>
      <c r="BW37" s="133" t="s">
        <v>2300</v>
      </c>
      <c r="BX37" s="133" t="s">
        <v>1345</v>
      </c>
      <c r="BY37" s="133" t="s">
        <v>2302</v>
      </c>
      <c r="BZ37" s="133" t="s">
        <v>2303</v>
      </c>
      <c r="CA37" s="133" t="s">
        <v>2347</v>
      </c>
      <c r="CB37" s="133" t="s">
        <v>2289</v>
      </c>
      <c r="CC37" s="133" t="s">
        <v>2289</v>
      </c>
      <c r="CD37" s="133" t="s">
        <v>2289</v>
      </c>
      <c r="CE37" s="133">
        <v>420</v>
      </c>
      <c r="CF37" s="132">
        <v>600</v>
      </c>
      <c r="CG37" s="133">
        <v>1360</v>
      </c>
      <c r="CH37" s="133">
        <v>40</v>
      </c>
      <c r="CI37" s="133">
        <v>60</v>
      </c>
      <c r="CJ37" s="133">
        <v>400</v>
      </c>
      <c r="CK37" s="135">
        <v>0.7</v>
      </c>
      <c r="CL37" s="136">
        <v>0.7</v>
      </c>
      <c r="CM37" s="137" t="s">
        <v>2306</v>
      </c>
      <c r="CN37" s="133" t="s">
        <v>2306</v>
      </c>
      <c r="CO37" s="133" t="s">
        <v>2307</v>
      </c>
      <c r="CP37" s="133" t="s">
        <v>1565</v>
      </c>
      <c r="CQ37" s="133" t="s">
        <v>2308</v>
      </c>
      <c r="CR37" s="133">
        <v>9</v>
      </c>
      <c r="CS37" s="133" t="s">
        <v>1818</v>
      </c>
      <c r="CT37" s="133" t="s">
        <v>2348</v>
      </c>
      <c r="CU37" s="133" t="s">
        <v>1345</v>
      </c>
      <c r="CV37" s="133" t="s">
        <v>2310</v>
      </c>
      <c r="CW37" s="133" t="s">
        <v>1349</v>
      </c>
      <c r="CX37" s="133" t="s">
        <v>2289</v>
      </c>
      <c r="CY37" s="133" t="s">
        <v>2289</v>
      </c>
      <c r="CZ37" s="133" t="s">
        <v>2311</v>
      </c>
      <c r="DA37" s="133" t="s">
        <v>1358</v>
      </c>
      <c r="DB37" s="133" t="s">
        <v>1903</v>
      </c>
      <c r="DC37" s="133" t="s">
        <v>2312</v>
      </c>
      <c r="DD37" s="132" t="s">
        <v>2349</v>
      </c>
      <c r="DE37" s="133" t="s">
        <v>2350</v>
      </c>
      <c r="DF37" s="133" t="s">
        <v>2315</v>
      </c>
      <c r="DG37" s="133" t="s">
        <v>2316</v>
      </c>
      <c r="DH37" s="133" t="s">
        <v>2317</v>
      </c>
      <c r="DI37" s="133" t="s">
        <v>1556</v>
      </c>
      <c r="DJ37" s="133" t="s">
        <v>1556</v>
      </c>
      <c r="DK37" s="133" t="s">
        <v>1556</v>
      </c>
      <c r="DL37" s="133" t="s">
        <v>2318</v>
      </c>
      <c r="DM37" s="133" t="s">
        <v>2319</v>
      </c>
      <c r="DN37" s="133" t="s">
        <v>1345</v>
      </c>
      <c r="DO37" s="133" t="s">
        <v>2320</v>
      </c>
      <c r="DP37" s="133" t="s">
        <v>1349</v>
      </c>
      <c r="DQ37" s="133" t="s">
        <v>1358</v>
      </c>
      <c r="DR37" s="133" t="s">
        <v>1345</v>
      </c>
      <c r="DS37" s="133" t="s">
        <v>2318</v>
      </c>
      <c r="DT37" s="133">
        <v>375</v>
      </c>
      <c r="DU37" s="133" t="s">
        <v>1358</v>
      </c>
      <c r="DV37" s="133" t="s">
        <v>1345</v>
      </c>
      <c r="DW37" s="133" t="s">
        <v>2351</v>
      </c>
      <c r="DX37" s="133" t="s">
        <v>1345</v>
      </c>
      <c r="DY37" s="133" t="s">
        <v>1349</v>
      </c>
      <c r="DZ37" s="133" t="s">
        <v>2352</v>
      </c>
      <c r="EA37" s="133" t="s">
        <v>1345</v>
      </c>
      <c r="EB37" s="133" t="s">
        <v>1345</v>
      </c>
      <c r="EC37" s="133" t="s">
        <v>1345</v>
      </c>
      <c r="ED37" s="133" t="s">
        <v>2353</v>
      </c>
      <c r="EE37" s="132">
        <v>0.5</v>
      </c>
      <c r="EF37" s="133" t="s">
        <v>2324</v>
      </c>
      <c r="EG37" s="133" t="s">
        <v>1345</v>
      </c>
      <c r="EH37" s="133" t="s">
        <v>2325</v>
      </c>
      <c r="EI37" s="133" t="s">
        <v>2326</v>
      </c>
      <c r="EJ37" s="132" t="s">
        <v>2327</v>
      </c>
      <c r="EK37" s="133" t="s">
        <v>2354</v>
      </c>
      <c r="EL37" s="133" t="s">
        <v>1389</v>
      </c>
      <c r="EM37" s="133">
        <v>3</v>
      </c>
      <c r="EN37" s="133" t="s">
        <v>2355</v>
      </c>
      <c r="EO37" s="133">
        <v>4</v>
      </c>
      <c r="EP37" s="133" t="s">
        <v>2330</v>
      </c>
      <c r="EQ37" s="133">
        <v>2</v>
      </c>
      <c r="ER37" s="132" t="s">
        <v>2356</v>
      </c>
      <c r="ES37" s="133">
        <v>5</v>
      </c>
      <c r="ET37" s="132" t="s">
        <v>2332</v>
      </c>
      <c r="EU37" s="133">
        <v>4</v>
      </c>
      <c r="EV37" s="132" t="s">
        <v>2333</v>
      </c>
      <c r="EW37" s="133">
        <v>4</v>
      </c>
      <c r="EX37" s="132" t="s">
        <v>2334</v>
      </c>
      <c r="EY37" s="133">
        <v>5</v>
      </c>
      <c r="EZ37" s="132" t="s">
        <v>2335</v>
      </c>
      <c r="FA37" s="132"/>
    </row>
    <row r="38" spans="1:157">
      <c r="A38" s="127">
        <v>529</v>
      </c>
      <c r="B38" s="132">
        <v>39</v>
      </c>
      <c r="C38" s="133" t="s">
        <v>2278</v>
      </c>
      <c r="D38" s="134">
        <v>43719</v>
      </c>
      <c r="E38" s="133" t="s">
        <v>455</v>
      </c>
      <c r="F38" s="133">
        <v>322</v>
      </c>
      <c r="G38" s="133" t="s">
        <v>451</v>
      </c>
      <c r="H38" s="133" t="s">
        <v>1690</v>
      </c>
      <c r="I38" s="133" t="s">
        <v>2279</v>
      </c>
      <c r="J38" s="133" t="s">
        <v>451</v>
      </c>
      <c r="K38" s="133" t="s">
        <v>1540</v>
      </c>
      <c r="L38" s="133">
        <v>3</v>
      </c>
      <c r="M38" s="133" t="s">
        <v>2281</v>
      </c>
      <c r="N38" s="133" t="s">
        <v>1541</v>
      </c>
      <c r="O38" s="133" t="s">
        <v>2283</v>
      </c>
      <c r="P38" s="133" t="s">
        <v>2357</v>
      </c>
      <c r="Q38" s="133" t="s">
        <v>1556</v>
      </c>
      <c r="R38" s="133" t="s">
        <v>1345</v>
      </c>
      <c r="S38" s="133">
        <v>6</v>
      </c>
      <c r="T38" s="133" t="s">
        <v>2285</v>
      </c>
      <c r="U38" s="133">
        <v>2007</v>
      </c>
      <c r="V38" s="133" t="s">
        <v>2358</v>
      </c>
      <c r="W38" s="133" t="s">
        <v>2359</v>
      </c>
      <c r="X38" s="133" t="s">
        <v>1345</v>
      </c>
      <c r="Y38" s="133">
        <v>2017</v>
      </c>
      <c r="Z38" s="133" t="s">
        <v>2288</v>
      </c>
      <c r="AA38" s="133">
        <v>37</v>
      </c>
      <c r="AB38" s="133" t="s">
        <v>1349</v>
      </c>
      <c r="AC38" s="133">
        <v>3</v>
      </c>
      <c r="AD38" s="133" t="s">
        <v>1345</v>
      </c>
      <c r="AE38" s="133" t="s">
        <v>1345</v>
      </c>
      <c r="AF38" s="133" t="s">
        <v>1349</v>
      </c>
      <c r="AG38" s="133" t="s">
        <v>1349</v>
      </c>
      <c r="AH38" s="133" t="s">
        <v>2289</v>
      </c>
      <c r="AI38" s="133">
        <v>2011</v>
      </c>
      <c r="AJ38" s="133" t="s">
        <v>1345</v>
      </c>
      <c r="AK38" s="133" t="s">
        <v>2341</v>
      </c>
      <c r="AL38" s="133" t="s">
        <v>1612</v>
      </c>
      <c r="AM38" s="133" t="s">
        <v>2291</v>
      </c>
      <c r="AN38" s="133" t="s">
        <v>2291</v>
      </c>
      <c r="AO38" s="133" t="s">
        <v>2291</v>
      </c>
      <c r="AP38" s="133" t="s">
        <v>2291</v>
      </c>
      <c r="AQ38" s="133" t="s">
        <v>2291</v>
      </c>
      <c r="AR38" s="133" t="s">
        <v>2291</v>
      </c>
      <c r="AS38" s="133" t="s">
        <v>1802</v>
      </c>
      <c r="AT38" s="133" t="s">
        <v>1358</v>
      </c>
      <c r="AU38" s="133" t="s">
        <v>2360</v>
      </c>
      <c r="AV38" s="133">
        <v>1000</v>
      </c>
      <c r="AW38" s="133" t="s">
        <v>2343</v>
      </c>
      <c r="AX38" s="133" t="s">
        <v>2294</v>
      </c>
      <c r="AY38" s="133" t="s">
        <v>1349</v>
      </c>
      <c r="AZ38" s="133" t="s">
        <v>2361</v>
      </c>
      <c r="BA38" s="133" t="s">
        <v>2361</v>
      </c>
      <c r="BB38" s="133" t="s">
        <v>1667</v>
      </c>
      <c r="BC38" s="133" t="s">
        <v>2289</v>
      </c>
      <c r="BD38" s="133" t="s">
        <v>2289</v>
      </c>
      <c r="BE38" s="133" t="s">
        <v>2362</v>
      </c>
      <c r="BF38" s="133" t="s">
        <v>2300</v>
      </c>
      <c r="BG38" s="133" t="s">
        <v>2300</v>
      </c>
      <c r="BH38" s="133">
        <v>6</v>
      </c>
      <c r="BI38" s="133">
        <v>7</v>
      </c>
      <c r="BJ38" s="133">
        <v>8</v>
      </c>
      <c r="BK38" s="133" t="s">
        <v>1360</v>
      </c>
      <c r="BL38" s="133" t="s">
        <v>1360</v>
      </c>
      <c r="BM38" s="133" t="s">
        <v>1360</v>
      </c>
      <c r="BN38" s="133" t="s">
        <v>1345</v>
      </c>
      <c r="BO38" s="133" t="s">
        <v>2363</v>
      </c>
      <c r="BP38" s="133" t="s">
        <v>2364</v>
      </c>
      <c r="BQ38" s="133" t="s">
        <v>1349</v>
      </c>
      <c r="BR38" s="133" t="s">
        <v>1349</v>
      </c>
      <c r="BS38" s="133" t="s">
        <v>1804</v>
      </c>
      <c r="BT38" s="133" t="s">
        <v>1349</v>
      </c>
      <c r="BU38" s="133" t="s">
        <v>2301</v>
      </c>
      <c r="BV38" s="133" t="s">
        <v>1349</v>
      </c>
      <c r="BW38" s="133" t="s">
        <v>2300</v>
      </c>
      <c r="BX38" s="133" t="s">
        <v>1345</v>
      </c>
      <c r="BY38" s="133" t="s">
        <v>2302</v>
      </c>
      <c r="BZ38" s="133" t="s">
        <v>2303</v>
      </c>
      <c r="CA38" s="133" t="s">
        <v>2347</v>
      </c>
      <c r="CB38" s="133" t="s">
        <v>2289</v>
      </c>
      <c r="CC38" s="133" t="s">
        <v>2289</v>
      </c>
      <c r="CD38" s="133" t="s">
        <v>2289</v>
      </c>
      <c r="CE38" s="133">
        <v>140</v>
      </c>
      <c r="CF38" s="133">
        <v>80</v>
      </c>
      <c r="CG38" s="133">
        <v>220</v>
      </c>
      <c r="CH38" s="133">
        <v>100</v>
      </c>
      <c r="CI38" s="133">
        <v>80</v>
      </c>
      <c r="CJ38" s="133">
        <v>180</v>
      </c>
      <c r="CK38" s="146">
        <v>0.2142</v>
      </c>
      <c r="CL38" s="136">
        <v>0.25</v>
      </c>
      <c r="CM38" s="146">
        <v>0.78569999999999995</v>
      </c>
      <c r="CN38" s="136">
        <v>0.75</v>
      </c>
      <c r="CO38" s="133" t="s">
        <v>2307</v>
      </c>
      <c r="CP38" s="133" t="s">
        <v>1565</v>
      </c>
      <c r="CQ38" s="133" t="s">
        <v>2308</v>
      </c>
      <c r="CR38" s="133">
        <v>8</v>
      </c>
      <c r="CS38" s="133" t="s">
        <v>1360</v>
      </c>
      <c r="CT38" s="132" t="s">
        <v>2365</v>
      </c>
      <c r="CU38" s="133" t="s">
        <v>1345</v>
      </c>
      <c r="CV38" s="133" t="s">
        <v>2310</v>
      </c>
      <c r="CW38" s="133" t="s">
        <v>1349</v>
      </c>
      <c r="CX38" s="133" t="s">
        <v>2289</v>
      </c>
      <c r="CY38" s="133" t="s">
        <v>2289</v>
      </c>
      <c r="CZ38" s="133" t="s">
        <v>2311</v>
      </c>
      <c r="DA38" s="133" t="s">
        <v>1358</v>
      </c>
      <c r="DB38" s="133" t="s">
        <v>1903</v>
      </c>
      <c r="DC38" s="133" t="s">
        <v>2312</v>
      </c>
      <c r="DD38" s="132" t="s">
        <v>2366</v>
      </c>
      <c r="DE38" s="133" t="s">
        <v>2350</v>
      </c>
      <c r="DF38" s="133" t="s">
        <v>2315</v>
      </c>
      <c r="DG38" s="133" t="s">
        <v>2316</v>
      </c>
      <c r="DH38" s="133" t="s">
        <v>2317</v>
      </c>
      <c r="DI38" s="133" t="s">
        <v>1556</v>
      </c>
      <c r="DJ38" s="133" t="s">
        <v>1556</v>
      </c>
      <c r="DK38" s="133" t="s">
        <v>1556</v>
      </c>
      <c r="DL38" s="133" t="s">
        <v>2318</v>
      </c>
      <c r="DM38" s="133" t="s">
        <v>2367</v>
      </c>
      <c r="DN38" s="133" t="s">
        <v>1345</v>
      </c>
      <c r="DO38" s="133" t="s">
        <v>2320</v>
      </c>
      <c r="DP38" s="133" t="s">
        <v>1349</v>
      </c>
      <c r="DQ38" s="133" t="s">
        <v>1358</v>
      </c>
      <c r="DR38" s="133" t="s">
        <v>1345</v>
      </c>
      <c r="DS38" s="133" t="s">
        <v>2318</v>
      </c>
      <c r="DT38" s="133">
        <v>600</v>
      </c>
      <c r="DU38" s="133" t="s">
        <v>1358</v>
      </c>
      <c r="DV38" s="133" t="s">
        <v>1345</v>
      </c>
      <c r="DW38" s="133" t="s">
        <v>2368</v>
      </c>
      <c r="DX38" s="133" t="s">
        <v>1345</v>
      </c>
      <c r="DY38" s="133" t="s">
        <v>1349</v>
      </c>
      <c r="DZ38" s="133" t="s">
        <v>2369</v>
      </c>
      <c r="EA38" s="133" t="s">
        <v>1345</v>
      </c>
      <c r="EB38" s="133" t="s">
        <v>1345</v>
      </c>
      <c r="EC38" s="133" t="s">
        <v>1345</v>
      </c>
      <c r="ED38" s="133" t="s">
        <v>2353</v>
      </c>
      <c r="EE38" s="132">
        <v>0.6</v>
      </c>
      <c r="EF38" s="133" t="s">
        <v>2370</v>
      </c>
      <c r="EG38" s="133" t="s">
        <v>1345</v>
      </c>
      <c r="EH38" s="133" t="s">
        <v>2325</v>
      </c>
      <c r="EI38" s="133" t="s">
        <v>2326</v>
      </c>
      <c r="EJ38" s="132" t="s">
        <v>2327</v>
      </c>
      <c r="EK38" s="133" t="s">
        <v>2354</v>
      </c>
      <c r="EL38" s="133" t="s">
        <v>1389</v>
      </c>
      <c r="EM38" s="133">
        <v>4</v>
      </c>
      <c r="EN38" s="133" t="s">
        <v>2329</v>
      </c>
      <c r="EO38" s="133">
        <v>4</v>
      </c>
      <c r="EP38" s="133" t="s">
        <v>2330</v>
      </c>
      <c r="EQ38" s="133">
        <v>4</v>
      </c>
      <c r="ER38" s="132" t="s">
        <v>2331</v>
      </c>
      <c r="ES38" s="133">
        <v>5</v>
      </c>
      <c r="ET38" s="132" t="s">
        <v>2332</v>
      </c>
      <c r="EU38" s="133">
        <v>4</v>
      </c>
      <c r="EV38" s="132" t="s">
        <v>2333</v>
      </c>
      <c r="EW38" s="133">
        <v>4</v>
      </c>
      <c r="EX38" s="132" t="s">
        <v>2334</v>
      </c>
      <c r="EY38" s="133">
        <v>5</v>
      </c>
      <c r="EZ38" s="132" t="s">
        <v>2335</v>
      </c>
      <c r="FA38" s="132"/>
    </row>
    <row r="39" spans="1:157">
      <c r="A39" s="127">
        <v>530</v>
      </c>
      <c r="B39" s="132">
        <v>47</v>
      </c>
      <c r="C39" s="133" t="s">
        <v>2278</v>
      </c>
      <c r="D39" s="134">
        <v>43725</v>
      </c>
      <c r="E39" s="133" t="s">
        <v>504</v>
      </c>
      <c r="F39" s="133" t="e">
        <v>#N/A</v>
      </c>
      <c r="G39" s="133" t="e">
        <v>#N/A</v>
      </c>
      <c r="H39" s="133" t="s">
        <v>1690</v>
      </c>
      <c r="I39" s="133" t="s">
        <v>1094</v>
      </c>
      <c r="J39" s="133" t="s">
        <v>138</v>
      </c>
      <c r="K39" s="133" t="s">
        <v>2539</v>
      </c>
      <c r="L39" s="133">
        <v>73</v>
      </c>
      <c r="M39" s="133" t="s">
        <v>2393</v>
      </c>
      <c r="N39" s="133" t="s">
        <v>1541</v>
      </c>
      <c r="O39" s="133" t="s">
        <v>2540</v>
      </c>
      <c r="P39" s="133" t="s">
        <v>827</v>
      </c>
      <c r="Q39" s="133" t="s">
        <v>2300</v>
      </c>
      <c r="R39" s="133" t="s">
        <v>1345</v>
      </c>
      <c r="S39" s="133">
        <v>7</v>
      </c>
      <c r="T39" s="133" t="s">
        <v>2285</v>
      </c>
      <c r="U39" s="133">
        <v>2011</v>
      </c>
      <c r="V39" s="133" t="s">
        <v>2541</v>
      </c>
      <c r="W39" s="133" t="s">
        <v>2359</v>
      </c>
      <c r="X39" s="133" t="s">
        <v>1345</v>
      </c>
      <c r="Y39" s="133">
        <v>2019</v>
      </c>
      <c r="Z39" s="133" t="s">
        <v>2288</v>
      </c>
      <c r="AA39" s="133">
        <v>30</v>
      </c>
      <c r="AB39" s="133" t="s">
        <v>1349</v>
      </c>
      <c r="AC39" s="133">
        <v>2</v>
      </c>
      <c r="AD39" s="133" t="s">
        <v>1345</v>
      </c>
      <c r="AE39" s="133" t="s">
        <v>1345</v>
      </c>
      <c r="AF39" s="133" t="s">
        <v>1349</v>
      </c>
      <c r="AG39" s="133" t="s">
        <v>1349</v>
      </c>
      <c r="AH39" s="133" t="s">
        <v>2289</v>
      </c>
      <c r="AI39" s="133">
        <v>2015</v>
      </c>
      <c r="AJ39" s="133" t="s">
        <v>1345</v>
      </c>
      <c r="AK39" s="133" t="s">
        <v>2341</v>
      </c>
      <c r="AL39" s="133" t="s">
        <v>1612</v>
      </c>
      <c r="AM39" s="133" t="s">
        <v>2291</v>
      </c>
      <c r="AN39" s="133" t="s">
        <v>2291</v>
      </c>
      <c r="AO39" s="133" t="s">
        <v>1550</v>
      </c>
      <c r="AP39" s="133" t="s">
        <v>2291</v>
      </c>
      <c r="AQ39" s="133" t="s">
        <v>2291</v>
      </c>
      <c r="AR39" s="133" t="s">
        <v>2291</v>
      </c>
      <c r="AS39" s="133" t="s">
        <v>1802</v>
      </c>
      <c r="AT39" s="133" t="s">
        <v>1358</v>
      </c>
      <c r="AU39" s="133" t="s">
        <v>2542</v>
      </c>
      <c r="AV39" s="133">
        <v>2500</v>
      </c>
      <c r="AW39" s="133" t="s">
        <v>2513</v>
      </c>
      <c r="AX39" s="133" t="s">
        <v>2543</v>
      </c>
      <c r="AY39" s="133" t="s">
        <v>1349</v>
      </c>
      <c r="AZ39" s="133" t="s">
        <v>2361</v>
      </c>
      <c r="BA39" s="133" t="s">
        <v>2361</v>
      </c>
      <c r="BB39" s="133" t="s">
        <v>2289</v>
      </c>
      <c r="BC39" s="133" t="s">
        <v>2289</v>
      </c>
      <c r="BD39" s="133" t="s">
        <v>2289</v>
      </c>
      <c r="BE39" s="133" t="s">
        <v>2544</v>
      </c>
      <c r="BF39" s="133" t="s">
        <v>2300</v>
      </c>
      <c r="BG39" s="133" t="s">
        <v>2300</v>
      </c>
      <c r="BH39" s="133">
        <v>8</v>
      </c>
      <c r="BI39" s="133">
        <v>9</v>
      </c>
      <c r="BJ39" s="133">
        <v>9</v>
      </c>
      <c r="BK39" s="133" t="s">
        <v>1360</v>
      </c>
      <c r="BL39" s="133" t="s">
        <v>1360</v>
      </c>
      <c r="BM39" s="133" t="s">
        <v>1360</v>
      </c>
      <c r="BN39" s="133" t="s">
        <v>1349</v>
      </c>
      <c r="BO39" s="133" t="s">
        <v>2300</v>
      </c>
      <c r="BP39" s="133" t="s">
        <v>2300</v>
      </c>
      <c r="BQ39" s="133" t="s">
        <v>1349</v>
      </c>
      <c r="BR39" s="133" t="s">
        <v>1349</v>
      </c>
      <c r="BS39" s="133" t="s">
        <v>2517</v>
      </c>
      <c r="BT39" s="133" t="s">
        <v>1345</v>
      </c>
      <c r="BU39" s="133" t="s">
        <v>2518</v>
      </c>
      <c r="BV39" s="133" t="s">
        <v>1349</v>
      </c>
      <c r="BW39" s="133" t="s">
        <v>2300</v>
      </c>
      <c r="BX39" s="133" t="s">
        <v>1345</v>
      </c>
      <c r="BY39" s="133" t="s">
        <v>2302</v>
      </c>
      <c r="BZ39" s="133" t="s">
        <v>2545</v>
      </c>
      <c r="CA39" s="133" t="s">
        <v>2300</v>
      </c>
      <c r="CB39" s="133" t="s">
        <v>2289</v>
      </c>
      <c r="CC39" s="133" t="s">
        <v>2289</v>
      </c>
      <c r="CD39" s="133" t="s">
        <v>2289</v>
      </c>
      <c r="CE39" s="133">
        <v>700</v>
      </c>
      <c r="CF39" s="133">
        <v>820</v>
      </c>
      <c r="CG39" s="133">
        <v>1200</v>
      </c>
      <c r="CH39" s="132">
        <v>60</v>
      </c>
      <c r="CI39" s="133">
        <v>0</v>
      </c>
      <c r="CJ39" s="133">
        <v>200</v>
      </c>
      <c r="CK39" s="135">
        <v>0.7</v>
      </c>
      <c r="CL39" s="135">
        <v>0.6</v>
      </c>
      <c r="CM39" s="133" t="s">
        <v>2306</v>
      </c>
      <c r="CN39" s="133" t="s">
        <v>2305</v>
      </c>
      <c r="CO39" s="133" t="s">
        <v>2307</v>
      </c>
      <c r="CP39" s="133" t="s">
        <v>1565</v>
      </c>
      <c r="CQ39" s="133" t="s">
        <v>2308</v>
      </c>
      <c r="CR39" s="133">
        <v>3</v>
      </c>
      <c r="CS39" s="133" t="s">
        <v>1818</v>
      </c>
      <c r="CT39" s="133" t="s">
        <v>2546</v>
      </c>
      <c r="CU39" s="133" t="s">
        <v>1345</v>
      </c>
      <c r="CV39" s="133" t="s">
        <v>2407</v>
      </c>
      <c r="CW39" s="133" t="s">
        <v>1345</v>
      </c>
      <c r="CX39" s="133" t="s">
        <v>2289</v>
      </c>
      <c r="CY39" s="133" t="s">
        <v>2289</v>
      </c>
      <c r="CZ39" s="133" t="s">
        <v>2311</v>
      </c>
      <c r="DA39" s="133" t="s">
        <v>1358</v>
      </c>
      <c r="DB39" s="133" t="s">
        <v>1903</v>
      </c>
      <c r="DC39" s="133" t="s">
        <v>2547</v>
      </c>
      <c r="DD39" s="132" t="s">
        <v>2496</v>
      </c>
      <c r="DE39" s="133" t="s">
        <v>2548</v>
      </c>
      <c r="DF39" s="133" t="s">
        <v>2549</v>
      </c>
      <c r="DG39" s="133" t="s">
        <v>2550</v>
      </c>
      <c r="DH39" s="133" t="s">
        <v>2551</v>
      </c>
      <c r="DI39" s="133" t="s">
        <v>2552</v>
      </c>
      <c r="DJ39" s="133" t="s">
        <v>2553</v>
      </c>
      <c r="DK39" s="133" t="s">
        <v>2554</v>
      </c>
      <c r="DL39" s="133" t="s">
        <v>2552</v>
      </c>
      <c r="DM39" s="133" t="s">
        <v>2555</v>
      </c>
      <c r="DN39" s="133" t="s">
        <v>1345</v>
      </c>
      <c r="DO39" s="133" t="s">
        <v>2531</v>
      </c>
      <c r="DP39" s="133" t="s">
        <v>1349</v>
      </c>
      <c r="DQ39" s="133" t="s">
        <v>1358</v>
      </c>
      <c r="DR39" s="133" t="s">
        <v>1345</v>
      </c>
      <c r="DS39" s="133" t="s">
        <v>2556</v>
      </c>
      <c r="DT39" s="133">
        <v>500</v>
      </c>
      <c r="DU39" s="133" t="s">
        <v>2300</v>
      </c>
      <c r="DV39" s="133" t="s">
        <v>1345</v>
      </c>
      <c r="DW39" s="133" t="s">
        <v>2532</v>
      </c>
      <c r="DX39" s="133" t="s">
        <v>1345</v>
      </c>
      <c r="DY39" s="133" t="s">
        <v>1349</v>
      </c>
      <c r="DZ39" s="133" t="s">
        <v>2533</v>
      </c>
      <c r="EA39" s="133" t="s">
        <v>1345</v>
      </c>
      <c r="EB39" s="133" t="s">
        <v>1345</v>
      </c>
      <c r="EC39" s="133" t="s">
        <v>1345</v>
      </c>
      <c r="ED39" s="133" t="s">
        <v>2353</v>
      </c>
      <c r="EE39" s="132">
        <v>0.2</v>
      </c>
      <c r="EF39" s="133" t="s">
        <v>2370</v>
      </c>
      <c r="EG39" s="133" t="s">
        <v>1345</v>
      </c>
      <c r="EH39" s="133" t="s">
        <v>2325</v>
      </c>
      <c r="EI39" s="133" t="s">
        <v>2326</v>
      </c>
      <c r="EJ39" s="132" t="s">
        <v>2327</v>
      </c>
      <c r="EK39" s="133" t="s">
        <v>2419</v>
      </c>
      <c r="EL39" s="133" t="s">
        <v>1389</v>
      </c>
      <c r="EM39" s="133">
        <v>3</v>
      </c>
      <c r="EN39" s="133" t="s">
        <v>2388</v>
      </c>
      <c r="EO39" s="133">
        <v>4</v>
      </c>
      <c r="EP39" s="133" t="s">
        <v>2536</v>
      </c>
      <c r="EQ39" s="133">
        <v>4</v>
      </c>
      <c r="ER39" s="132" t="s">
        <v>2331</v>
      </c>
      <c r="ES39" s="133">
        <v>4</v>
      </c>
      <c r="ET39" s="132" t="s">
        <v>2538</v>
      </c>
      <c r="EU39" s="133">
        <v>2</v>
      </c>
      <c r="EV39" s="132" t="s">
        <v>2557</v>
      </c>
      <c r="EW39" s="133">
        <v>2</v>
      </c>
      <c r="EX39" s="132" t="s">
        <v>2481</v>
      </c>
      <c r="EY39" s="133">
        <v>1</v>
      </c>
      <c r="EZ39" s="132" t="s">
        <v>2424</v>
      </c>
      <c r="FA39" s="132"/>
    </row>
    <row r="40" spans="1:157" ht="25.5">
      <c r="A40" s="127">
        <v>531</v>
      </c>
      <c r="B40" s="127">
        <v>22</v>
      </c>
      <c r="C40" s="128" t="s">
        <v>1795</v>
      </c>
      <c r="D40" s="129">
        <v>43719</v>
      </c>
      <c r="E40" s="128" t="s">
        <v>452</v>
      </c>
      <c r="F40" s="128">
        <f>IF(E40 &lt;&gt; "", VLOOKUP(E40, '[9]Internal-logic'!G$1:I$364, 2, FALSE),"")</f>
        <v>319</v>
      </c>
      <c r="G40" s="128" t="str">
        <f>IF(E40 &lt;&gt; "", VLOOKUP(E40, '[9]Internal-logic'!G$1:I$364, 3, FALSE),"")</f>
        <v>Zambo</v>
      </c>
      <c r="H40" s="128" t="s">
        <v>1339</v>
      </c>
      <c r="I40" s="128" t="s">
        <v>1093</v>
      </c>
      <c r="J40" s="128" t="s">
        <v>451</v>
      </c>
      <c r="K40" s="128" t="s">
        <v>1540</v>
      </c>
      <c r="L40" s="128">
        <v>1</v>
      </c>
      <c r="M40" s="128" t="s">
        <v>1797</v>
      </c>
      <c r="N40" s="128" t="s">
        <v>1343</v>
      </c>
      <c r="O40" s="128" t="s">
        <v>1891</v>
      </c>
      <c r="P40" s="127" t="s">
        <v>1892</v>
      </c>
      <c r="Q40" s="128">
        <v>70272942</v>
      </c>
      <c r="R40" s="128" t="s">
        <v>1345</v>
      </c>
      <c r="S40" s="128">
        <v>6</v>
      </c>
      <c r="T40" s="128" t="s">
        <v>1346</v>
      </c>
      <c r="U40" s="128">
        <v>2012</v>
      </c>
      <c r="V40" s="127" t="s">
        <v>1893</v>
      </c>
      <c r="W40" s="128" t="s">
        <v>1894</v>
      </c>
      <c r="X40" s="128" t="s">
        <v>1345</v>
      </c>
      <c r="Y40" s="128">
        <v>2018</v>
      </c>
      <c r="Z40" s="128">
        <v>2018</v>
      </c>
      <c r="AA40" s="128">
        <v>15</v>
      </c>
      <c r="AB40" s="128" t="s">
        <v>1349</v>
      </c>
      <c r="AC40" s="128">
        <v>1</v>
      </c>
      <c r="AD40" s="128" t="s">
        <v>1345</v>
      </c>
      <c r="AE40" s="128" t="s">
        <v>1345</v>
      </c>
      <c r="AF40" s="128" t="s">
        <v>1345</v>
      </c>
      <c r="AG40" s="128" t="s">
        <v>1345</v>
      </c>
      <c r="AH40" s="128" t="s">
        <v>1856</v>
      </c>
      <c r="AI40" s="128">
        <v>2012</v>
      </c>
      <c r="AJ40" s="128" t="s">
        <v>1349</v>
      </c>
      <c r="AK40" s="128" t="s">
        <v>1895</v>
      </c>
      <c r="AL40" s="128" t="s">
        <v>1896</v>
      </c>
      <c r="AM40" s="128" t="s">
        <v>1351</v>
      </c>
      <c r="AN40" s="128" t="s">
        <v>1351</v>
      </c>
      <c r="AO40" s="128" t="s">
        <v>1351</v>
      </c>
      <c r="AP40" s="128" t="s">
        <v>1351</v>
      </c>
      <c r="AQ40" s="128" t="s">
        <v>1352</v>
      </c>
      <c r="AR40" s="128" t="s">
        <v>1352</v>
      </c>
      <c r="AS40" s="128" t="s">
        <v>1803</v>
      </c>
      <c r="AT40" s="128" t="s">
        <v>1804</v>
      </c>
      <c r="AU40" s="128" t="s">
        <v>1897</v>
      </c>
      <c r="AV40" s="128">
        <v>5000</v>
      </c>
      <c r="AW40" s="128" t="s">
        <v>1806</v>
      </c>
      <c r="AX40" s="128" t="s">
        <v>1898</v>
      </c>
      <c r="AY40" s="128" t="s">
        <v>1345</v>
      </c>
      <c r="BB40" s="127" t="s">
        <v>1358</v>
      </c>
      <c r="BC40" s="127" t="s">
        <v>1899</v>
      </c>
      <c r="BD40" s="127" t="s">
        <v>1899</v>
      </c>
      <c r="BE40" s="127" t="s">
        <v>1900</v>
      </c>
      <c r="BF40" s="127" t="s">
        <v>1900</v>
      </c>
      <c r="BG40" s="127" t="s">
        <v>1900</v>
      </c>
      <c r="BH40" s="127">
        <v>3</v>
      </c>
      <c r="BI40" s="127">
        <v>3</v>
      </c>
      <c r="BJ40" s="127">
        <v>5</v>
      </c>
      <c r="BK40" s="127" t="s">
        <v>1812</v>
      </c>
      <c r="BL40" s="127" t="s">
        <v>1812</v>
      </c>
      <c r="BM40" s="127" t="s">
        <v>1812</v>
      </c>
      <c r="BN40" s="128" t="s">
        <v>1349</v>
      </c>
      <c r="BQ40" s="128" t="s">
        <v>1345</v>
      </c>
      <c r="BR40" s="128" t="s">
        <v>1345</v>
      </c>
      <c r="BS40" s="128" t="s">
        <v>1358</v>
      </c>
      <c r="BT40" s="128" t="s">
        <v>1345</v>
      </c>
      <c r="BU40" s="128" t="s">
        <v>1901</v>
      </c>
      <c r="BV40" s="128" t="s">
        <v>1349</v>
      </c>
      <c r="BW40" s="128" t="s">
        <v>1902</v>
      </c>
      <c r="BX40" s="128" t="s">
        <v>1345</v>
      </c>
      <c r="BY40" s="128" t="s">
        <v>1362</v>
      </c>
      <c r="BZ40" s="128" t="s">
        <v>1813</v>
      </c>
      <c r="CA40" s="128" t="s">
        <v>1900</v>
      </c>
      <c r="CB40" s="128" t="s">
        <v>1903</v>
      </c>
      <c r="CC40" s="128" t="s">
        <v>1358</v>
      </c>
      <c r="CD40" s="128" t="s">
        <v>1358</v>
      </c>
      <c r="CE40" s="128" t="s">
        <v>1904</v>
      </c>
      <c r="CF40" s="128" t="s">
        <v>1905</v>
      </c>
      <c r="CG40" s="128">
        <v>500000</v>
      </c>
      <c r="CH40" s="128" t="s">
        <v>1904</v>
      </c>
      <c r="CI40" s="128">
        <v>7000</v>
      </c>
      <c r="CJ40" s="128">
        <v>5000</v>
      </c>
      <c r="CK40" s="128" t="s">
        <v>1358</v>
      </c>
      <c r="CL40" s="128" t="s">
        <v>1906</v>
      </c>
      <c r="CM40" s="128" t="s">
        <v>1358</v>
      </c>
      <c r="CN40" s="127" t="s">
        <v>1907</v>
      </c>
      <c r="CO40" s="128" t="s">
        <v>1868</v>
      </c>
      <c r="CP40" s="128" t="s">
        <v>1358</v>
      </c>
      <c r="CQ40" s="128" t="s">
        <v>1869</v>
      </c>
      <c r="CR40" s="128">
        <v>15</v>
      </c>
      <c r="CS40" s="128" t="s">
        <v>1818</v>
      </c>
      <c r="CT40" s="128" t="s">
        <v>1908</v>
      </c>
      <c r="CU40" s="128" t="s">
        <v>1349</v>
      </c>
      <c r="CV40" s="144" t="s">
        <v>1871</v>
      </c>
      <c r="CW40" s="128" t="s">
        <v>1345</v>
      </c>
      <c r="CX40" s="128" t="s">
        <v>1866</v>
      </c>
      <c r="CY40" s="128" t="s">
        <v>1358</v>
      </c>
      <c r="CZ40" s="128" t="s">
        <v>1821</v>
      </c>
      <c r="DA40" s="128" t="s">
        <v>1822</v>
      </c>
      <c r="DB40" s="128" t="s">
        <v>1815</v>
      </c>
      <c r="DC40" s="128" t="s">
        <v>1358</v>
      </c>
      <c r="DD40" s="128" t="s">
        <v>1909</v>
      </c>
      <c r="DE40" s="128" t="s">
        <v>1910</v>
      </c>
      <c r="DF40" s="127" t="s">
        <v>1911</v>
      </c>
      <c r="DG40" s="127" t="s">
        <v>1912</v>
      </c>
      <c r="DH40" s="128" t="s">
        <v>1876</v>
      </c>
      <c r="DI40" s="128" t="s">
        <v>1829</v>
      </c>
      <c r="DJ40" s="128" t="s">
        <v>1829</v>
      </c>
      <c r="DK40" s="128" t="s">
        <v>1829</v>
      </c>
      <c r="DL40" s="128" t="s">
        <v>1877</v>
      </c>
      <c r="DM40" s="128" t="s">
        <v>1878</v>
      </c>
      <c r="DN40" s="128" t="s">
        <v>1345</v>
      </c>
      <c r="DO40" s="128" t="s">
        <v>1913</v>
      </c>
      <c r="DP40" s="128" t="s">
        <v>1345</v>
      </c>
      <c r="DQ40" s="128" t="s">
        <v>1832</v>
      </c>
      <c r="DR40" s="128" t="s">
        <v>1349</v>
      </c>
      <c r="DS40" s="128"/>
      <c r="DV40" s="128" t="s">
        <v>1345</v>
      </c>
      <c r="DW40" s="127" t="s">
        <v>1914</v>
      </c>
      <c r="DX40" s="128" t="s">
        <v>1345</v>
      </c>
      <c r="DY40" s="128" t="s">
        <v>1349</v>
      </c>
      <c r="DZ40" s="128" t="s">
        <v>1834</v>
      </c>
      <c r="EA40" s="128" t="s">
        <v>1345</v>
      </c>
      <c r="EB40" s="128" t="s">
        <v>1345</v>
      </c>
      <c r="EC40" s="128" t="s">
        <v>1345</v>
      </c>
      <c r="ED40" s="128" t="s">
        <v>1881</v>
      </c>
      <c r="EE40" s="127">
        <v>0.5</v>
      </c>
      <c r="EF40" s="128" t="s">
        <v>1836</v>
      </c>
      <c r="EG40" s="128" t="s">
        <v>1345</v>
      </c>
      <c r="EH40" s="130" t="s">
        <v>1882</v>
      </c>
      <c r="EI40" s="128" t="s">
        <v>1883</v>
      </c>
      <c r="EJ40" s="128" t="s">
        <v>1884</v>
      </c>
      <c r="EK40" s="128" t="s">
        <v>1885</v>
      </c>
      <c r="EL40" s="128" t="s">
        <v>1389</v>
      </c>
      <c r="EM40" s="128">
        <v>5</v>
      </c>
      <c r="EN40" s="128" t="s">
        <v>1842</v>
      </c>
      <c r="EO40" s="128">
        <v>5</v>
      </c>
      <c r="EP40" s="128" t="s">
        <v>1843</v>
      </c>
      <c r="EQ40" s="128">
        <v>3</v>
      </c>
      <c r="ER40" s="127" t="s">
        <v>1844</v>
      </c>
      <c r="ES40" s="128">
        <v>3</v>
      </c>
      <c r="ET40" s="127" t="s">
        <v>1845</v>
      </c>
      <c r="EU40" s="128">
        <v>5</v>
      </c>
      <c r="EV40" s="127" t="s">
        <v>1846</v>
      </c>
      <c r="EW40" s="128">
        <v>3</v>
      </c>
      <c r="EX40" s="128" t="s">
        <v>1847</v>
      </c>
      <c r="EY40" s="128">
        <v>5</v>
      </c>
      <c r="EZ40" s="127" t="s">
        <v>1848</v>
      </c>
      <c r="FA40" s="132"/>
    </row>
    <row r="41" spans="1:157">
      <c r="A41" s="127">
        <v>532</v>
      </c>
      <c r="B41" s="127">
        <v>31</v>
      </c>
      <c r="C41" s="128" t="s">
        <v>1795</v>
      </c>
      <c r="D41" s="129">
        <v>43727</v>
      </c>
      <c r="E41" s="128" t="s">
        <v>2159</v>
      </c>
      <c r="F41" s="128" t="s">
        <v>1728</v>
      </c>
      <c r="G41" s="128" t="s">
        <v>264</v>
      </c>
      <c r="H41" s="128" t="s">
        <v>1690</v>
      </c>
      <c r="I41" s="128" t="s">
        <v>1081</v>
      </c>
      <c r="J41" s="128" t="s">
        <v>264</v>
      </c>
      <c r="K41" s="128" t="s">
        <v>264</v>
      </c>
      <c r="L41" s="128">
        <v>1</v>
      </c>
      <c r="M41" s="128" t="s">
        <v>2027</v>
      </c>
      <c r="N41" s="128" t="s">
        <v>1343</v>
      </c>
      <c r="O41" s="128" t="s">
        <v>767</v>
      </c>
      <c r="P41" s="128" t="s">
        <v>2160</v>
      </c>
      <c r="Q41" s="128"/>
      <c r="R41" s="128" t="s">
        <v>1345</v>
      </c>
      <c r="S41" s="128">
        <v>7</v>
      </c>
      <c r="T41" s="128" t="s">
        <v>1346</v>
      </c>
      <c r="U41" s="128">
        <v>2018</v>
      </c>
      <c r="V41" s="127" t="s">
        <v>2161</v>
      </c>
      <c r="W41" s="128" t="s">
        <v>2162</v>
      </c>
      <c r="X41" s="128" t="s">
        <v>1349</v>
      </c>
      <c r="Y41" s="128"/>
      <c r="Z41" s="128"/>
      <c r="AA41" s="128">
        <v>17</v>
      </c>
      <c r="AB41" s="128" t="s">
        <v>1349</v>
      </c>
      <c r="AC41" s="128">
        <v>0</v>
      </c>
      <c r="AD41" s="128" t="s">
        <v>1345</v>
      </c>
      <c r="AE41" s="128" t="s">
        <v>1349</v>
      </c>
      <c r="AF41" s="128" t="s">
        <v>1349</v>
      </c>
      <c r="AG41" s="128" t="s">
        <v>1349</v>
      </c>
      <c r="AH41" s="128" t="s">
        <v>1358</v>
      </c>
      <c r="AI41" s="128"/>
      <c r="AJ41" s="128" t="s">
        <v>1349</v>
      </c>
      <c r="AK41" s="128" t="s">
        <v>2120</v>
      </c>
      <c r="AT41" s="128" t="s">
        <v>1804</v>
      </c>
      <c r="AU41" s="127" t="s">
        <v>2163</v>
      </c>
      <c r="AW41" s="127" t="s">
        <v>2164</v>
      </c>
      <c r="AY41" s="128" t="s">
        <v>1349</v>
      </c>
      <c r="BB41" s="127" t="s">
        <v>1358</v>
      </c>
      <c r="BC41" s="127" t="s">
        <v>1358</v>
      </c>
      <c r="BD41" s="127" t="s">
        <v>1358</v>
      </c>
      <c r="BE41" s="127" t="s">
        <v>2165</v>
      </c>
      <c r="BH41" s="127" t="s">
        <v>2063</v>
      </c>
      <c r="BN41" s="128" t="s">
        <v>1349</v>
      </c>
      <c r="BQ41" s="128" t="s">
        <v>1345</v>
      </c>
      <c r="BR41" s="128" t="s">
        <v>1345</v>
      </c>
      <c r="BS41" s="128" t="s">
        <v>1358</v>
      </c>
      <c r="BT41" s="128" t="s">
        <v>1345</v>
      </c>
      <c r="BU41" s="128" t="s">
        <v>2166</v>
      </c>
      <c r="BV41" s="128"/>
      <c r="BW41" s="128" t="s">
        <v>1358</v>
      </c>
      <c r="BX41" s="128" t="s">
        <v>1345</v>
      </c>
      <c r="BY41" s="128" t="s">
        <v>2167</v>
      </c>
      <c r="BZ41" s="128" t="s">
        <v>2064</v>
      </c>
      <c r="CA41" s="127" t="s">
        <v>2065</v>
      </c>
      <c r="CB41" s="128" t="s">
        <v>1358</v>
      </c>
      <c r="CC41" s="128" t="s">
        <v>1358</v>
      </c>
      <c r="CD41" s="128" t="s">
        <v>1358</v>
      </c>
      <c r="CE41" s="128" t="s">
        <v>1904</v>
      </c>
      <c r="CF41" s="128">
        <v>48000</v>
      </c>
      <c r="CG41" s="128">
        <v>70000</v>
      </c>
      <c r="CH41" s="127" t="s">
        <v>1373</v>
      </c>
      <c r="CI41" s="127" t="s">
        <v>1489</v>
      </c>
      <c r="CJ41" s="127" t="s">
        <v>2066</v>
      </c>
      <c r="CK41" s="127">
        <v>0</v>
      </c>
      <c r="CL41" s="130">
        <v>0.05</v>
      </c>
      <c r="CN41" s="130">
        <v>0.95</v>
      </c>
      <c r="CO41" s="127" t="s">
        <v>2067</v>
      </c>
      <c r="CU41" s="128"/>
      <c r="CW41" s="128" t="s">
        <v>1345</v>
      </c>
      <c r="CX41" s="127">
        <v>0</v>
      </c>
      <c r="CY41" s="130">
        <v>1</v>
      </c>
      <c r="CZ41" s="127" t="s">
        <v>2068</v>
      </c>
      <c r="DA41" s="127" t="s">
        <v>2069</v>
      </c>
      <c r="DB41" s="127" t="s">
        <v>2168</v>
      </c>
      <c r="DL41" s="127" t="s">
        <v>2169</v>
      </c>
      <c r="DM41" s="127" t="s">
        <v>1942</v>
      </c>
      <c r="DN41" s="128" t="s">
        <v>1349</v>
      </c>
      <c r="DO41" s="127" t="s">
        <v>1358</v>
      </c>
      <c r="DP41" s="128" t="s">
        <v>1345</v>
      </c>
      <c r="DQ41" s="127" t="s">
        <v>2170</v>
      </c>
      <c r="DR41" s="128" t="s">
        <v>1345</v>
      </c>
      <c r="DS41" s="127" t="s">
        <v>2171</v>
      </c>
      <c r="DT41" s="128">
        <v>10000</v>
      </c>
      <c r="DV41" s="128" t="s">
        <v>1345</v>
      </c>
      <c r="DW41" s="127" t="s">
        <v>2172</v>
      </c>
      <c r="DX41" s="128" t="s">
        <v>1345</v>
      </c>
      <c r="DY41" s="128" t="s">
        <v>1349</v>
      </c>
      <c r="DZ41" s="128" t="s">
        <v>2173</v>
      </c>
      <c r="EA41" s="128" t="s">
        <v>1345</v>
      </c>
      <c r="EB41" s="128" t="s">
        <v>1345</v>
      </c>
      <c r="EC41" s="128" t="s">
        <v>1345</v>
      </c>
      <c r="ED41" s="128" t="s">
        <v>2174</v>
      </c>
      <c r="EF41" s="128" t="s">
        <v>1836</v>
      </c>
      <c r="EG41" s="128" t="s">
        <v>1345</v>
      </c>
      <c r="EH41" s="130">
        <v>1</v>
      </c>
      <c r="EI41" s="128" t="s">
        <v>2175</v>
      </c>
      <c r="EJ41" s="128" t="s">
        <v>2176</v>
      </c>
      <c r="EL41" s="128" t="s">
        <v>1389</v>
      </c>
      <c r="EM41" s="128">
        <v>3</v>
      </c>
      <c r="EN41" s="128" t="s">
        <v>2053</v>
      </c>
      <c r="EO41" s="128">
        <v>1</v>
      </c>
      <c r="EP41" s="128" t="s">
        <v>2131</v>
      </c>
      <c r="EQ41" s="128">
        <v>3</v>
      </c>
      <c r="ER41" s="128" t="s">
        <v>2177</v>
      </c>
      <c r="ES41" s="128">
        <v>3</v>
      </c>
      <c r="ET41" s="128" t="s">
        <v>2155</v>
      </c>
      <c r="EU41" s="128">
        <v>3</v>
      </c>
      <c r="EV41" s="128" t="s">
        <v>2178</v>
      </c>
      <c r="EW41" s="128">
        <v>3</v>
      </c>
      <c r="EX41" s="127" t="s">
        <v>2157</v>
      </c>
      <c r="EY41" s="128">
        <v>1</v>
      </c>
      <c r="EZ41" s="127" t="s">
        <v>2179</v>
      </c>
      <c r="FA41" s="132"/>
    </row>
    <row r="42" spans="1:157">
      <c r="A42" s="127">
        <v>533</v>
      </c>
      <c r="B42" s="127">
        <v>12</v>
      </c>
      <c r="C42" s="128" t="s">
        <v>1337</v>
      </c>
      <c r="D42" s="129">
        <v>43731</v>
      </c>
      <c r="E42" s="128" t="s">
        <v>1632</v>
      </c>
      <c r="F42" s="128" t="e">
        <f>IF(E42 &lt;&gt; "", VLOOKUP(E42, '[4]Internal-logic'!G$1:I$364, 2, FALSE),"")</f>
        <v>#N/A</v>
      </c>
      <c r="G42" s="128" t="e">
        <f>IF(E42 &lt;&gt; "", VLOOKUP(E42, '[4]Internal-logic'!G$1:I$364, 3, FALSE),"")</f>
        <v>#N/A</v>
      </c>
      <c r="H42" s="128" t="s">
        <v>1539</v>
      </c>
      <c r="I42" s="128" t="s">
        <v>1069</v>
      </c>
      <c r="J42" s="128" t="s">
        <v>62</v>
      </c>
      <c r="K42" s="128"/>
      <c r="L42" s="128">
        <v>0.02</v>
      </c>
      <c r="M42" s="128" t="s">
        <v>1349</v>
      </c>
      <c r="N42" s="127" t="s">
        <v>1541</v>
      </c>
      <c r="O42" s="127" t="s">
        <v>767</v>
      </c>
      <c r="P42" s="128" t="s">
        <v>851</v>
      </c>
      <c r="Q42" s="128" t="s">
        <v>1633</v>
      </c>
      <c r="R42" s="128" t="s">
        <v>1345</v>
      </c>
      <c r="S42" s="128">
        <v>3</v>
      </c>
      <c r="T42" s="128" t="s">
        <v>1544</v>
      </c>
      <c r="U42" s="128">
        <v>2000</v>
      </c>
      <c r="V42" s="128" t="s">
        <v>1627</v>
      </c>
      <c r="W42" s="128" t="s">
        <v>1546</v>
      </c>
      <c r="X42" s="128" t="s">
        <v>1349</v>
      </c>
      <c r="Y42" s="128"/>
      <c r="Z42" s="128"/>
      <c r="AA42" s="128">
        <v>10</v>
      </c>
      <c r="AB42" s="128" t="s">
        <v>1548</v>
      </c>
      <c r="AC42" s="128">
        <v>2</v>
      </c>
      <c r="AD42" s="128" t="s">
        <v>1345</v>
      </c>
      <c r="AE42" s="128" t="s">
        <v>1349</v>
      </c>
      <c r="AF42" s="128" t="s">
        <v>1349</v>
      </c>
      <c r="AG42" s="128" t="s">
        <v>1349</v>
      </c>
      <c r="AI42" s="128"/>
      <c r="AJ42" s="128" t="s">
        <v>1345</v>
      </c>
      <c r="AL42" s="128" t="s">
        <v>1634</v>
      </c>
      <c r="AM42" s="127" t="s">
        <v>1351</v>
      </c>
      <c r="AN42" s="127" t="s">
        <v>1351</v>
      </c>
      <c r="AO42" s="127" t="s">
        <v>1351</v>
      </c>
      <c r="AP42" s="127" t="s">
        <v>1351</v>
      </c>
      <c r="AQ42" s="127" t="s">
        <v>1351</v>
      </c>
      <c r="AS42" s="127" t="s">
        <v>1552</v>
      </c>
      <c r="AT42" s="128" t="s">
        <v>1635</v>
      </c>
      <c r="AU42" s="127" t="s">
        <v>1636</v>
      </c>
      <c r="AV42" s="127">
        <v>5000</v>
      </c>
      <c r="AW42" s="128" t="s">
        <v>1637</v>
      </c>
      <c r="AX42" s="128" t="s">
        <v>1555</v>
      </c>
      <c r="AY42" s="128" t="s">
        <v>1349</v>
      </c>
      <c r="AZ42" s="128" t="s">
        <v>1556</v>
      </c>
      <c r="BA42" s="128" t="s">
        <v>1556</v>
      </c>
      <c r="BB42" s="128" t="s">
        <v>1638</v>
      </c>
      <c r="BC42" s="128" t="s">
        <v>1638</v>
      </c>
      <c r="BD42" s="128" t="s">
        <v>1638</v>
      </c>
      <c r="BE42" s="128" t="s">
        <v>62</v>
      </c>
      <c r="BF42" s="128" t="s">
        <v>62</v>
      </c>
      <c r="BG42" s="128" t="s">
        <v>62</v>
      </c>
      <c r="BH42" s="128">
        <v>3</v>
      </c>
      <c r="BI42" s="128" t="s">
        <v>1556</v>
      </c>
      <c r="BJ42" s="128" t="s">
        <v>1556</v>
      </c>
      <c r="BK42" s="128" t="s">
        <v>1559</v>
      </c>
      <c r="BL42" s="128" t="s">
        <v>1556</v>
      </c>
      <c r="BM42" s="128" t="s">
        <v>1559</v>
      </c>
      <c r="BN42" s="128" t="s">
        <v>1349</v>
      </c>
      <c r="BO42" s="128" t="s">
        <v>1556</v>
      </c>
      <c r="BP42" s="128" t="s">
        <v>1556</v>
      </c>
      <c r="BQ42" s="128" t="s">
        <v>1345</v>
      </c>
      <c r="BR42" s="128" t="s">
        <v>1349</v>
      </c>
      <c r="BS42" s="128" t="s">
        <v>1349</v>
      </c>
      <c r="BT42" s="128" t="s">
        <v>1345</v>
      </c>
      <c r="BU42" s="128" t="s">
        <v>1556</v>
      </c>
      <c r="BV42" s="128" t="s">
        <v>1349</v>
      </c>
      <c r="BW42" s="128" t="s">
        <v>1556</v>
      </c>
      <c r="BX42" s="128" t="s">
        <v>1345</v>
      </c>
      <c r="BY42" s="128" t="s">
        <v>1561</v>
      </c>
      <c r="BZ42" s="128" t="s">
        <v>1562</v>
      </c>
      <c r="CA42" s="128" t="s">
        <v>62</v>
      </c>
      <c r="CB42" s="128" t="s">
        <v>1556</v>
      </c>
      <c r="CC42" s="128" t="s">
        <v>1556</v>
      </c>
      <c r="CD42" s="128" t="s">
        <v>1556</v>
      </c>
      <c r="CE42" s="128">
        <v>1000</v>
      </c>
      <c r="CF42" s="128">
        <v>2500</v>
      </c>
      <c r="CG42" s="128">
        <v>6000</v>
      </c>
      <c r="CH42" s="128">
        <v>0</v>
      </c>
      <c r="CI42" s="128">
        <v>0</v>
      </c>
      <c r="CJ42" s="128">
        <v>0</v>
      </c>
      <c r="CK42" s="130">
        <v>0.25</v>
      </c>
      <c r="CL42" s="130">
        <v>0.3</v>
      </c>
      <c r="CM42" s="130">
        <v>0.75</v>
      </c>
      <c r="CN42" s="130">
        <v>0.7</v>
      </c>
      <c r="CP42" s="127" t="s">
        <v>1565</v>
      </c>
      <c r="CQ42" s="127" t="s">
        <v>1556</v>
      </c>
      <c r="CR42" s="127" t="s">
        <v>1556</v>
      </c>
      <c r="CS42" s="127" t="s">
        <v>1556</v>
      </c>
      <c r="CT42" s="127" t="s">
        <v>1556</v>
      </c>
      <c r="CU42" s="127" t="s">
        <v>1556</v>
      </c>
      <c r="CV42" s="127" t="s">
        <v>1556</v>
      </c>
      <c r="CW42" s="128" t="s">
        <v>1383</v>
      </c>
      <c r="CX42" s="127">
        <v>0</v>
      </c>
      <c r="CY42" s="130">
        <v>1</v>
      </c>
      <c r="CZ42" s="127" t="s">
        <v>1639</v>
      </c>
      <c r="DA42" s="127" t="s">
        <v>1640</v>
      </c>
      <c r="DB42" s="127">
        <v>4</v>
      </c>
      <c r="DC42" s="127" t="s">
        <v>1641</v>
      </c>
      <c r="DD42" s="127" t="s">
        <v>1642</v>
      </c>
      <c r="DE42" s="127" t="s">
        <v>1643</v>
      </c>
      <c r="DF42" s="127" t="s">
        <v>1644</v>
      </c>
      <c r="DG42" s="127" t="s">
        <v>1645</v>
      </c>
      <c r="DH42" s="127" t="s">
        <v>1646</v>
      </c>
      <c r="DI42" s="127" t="s">
        <v>1556</v>
      </c>
      <c r="DJ42" s="127" t="s">
        <v>1556</v>
      </c>
      <c r="DK42" s="127" t="s">
        <v>1556</v>
      </c>
      <c r="DL42" s="127" t="s">
        <v>1646</v>
      </c>
      <c r="DM42" s="127" t="s">
        <v>1556</v>
      </c>
      <c r="DN42" s="128"/>
      <c r="DP42" s="128" t="s">
        <v>1383</v>
      </c>
      <c r="DQ42" s="127" t="s">
        <v>1647</v>
      </c>
      <c r="DR42" s="128" t="s">
        <v>1349</v>
      </c>
      <c r="DS42" s="127" t="s">
        <v>1556</v>
      </c>
      <c r="DT42" s="127" t="s">
        <v>1556</v>
      </c>
      <c r="DU42" s="127" t="s">
        <v>1556</v>
      </c>
      <c r="DV42" s="127" t="s">
        <v>1383</v>
      </c>
      <c r="DW42" s="130">
        <v>1</v>
      </c>
      <c r="DX42" s="127" t="s">
        <v>1383</v>
      </c>
      <c r="DY42" s="127" t="s">
        <v>1349</v>
      </c>
      <c r="DZ42" s="127" t="s">
        <v>1580</v>
      </c>
      <c r="EA42" s="127" t="s">
        <v>1383</v>
      </c>
      <c r="EB42" s="128" t="s">
        <v>1383</v>
      </c>
      <c r="EC42" s="127" t="s">
        <v>1383</v>
      </c>
      <c r="ED42" s="127" t="s">
        <v>1581</v>
      </c>
      <c r="EE42" s="127">
        <v>0</v>
      </c>
      <c r="EF42" s="128" t="s">
        <v>1606</v>
      </c>
      <c r="EG42" s="128" t="s">
        <v>1349</v>
      </c>
      <c r="EH42" s="127" t="s">
        <v>1556</v>
      </c>
      <c r="EI42" s="127" t="s">
        <v>1584</v>
      </c>
      <c r="EJ42" s="127" t="s">
        <v>1585</v>
      </c>
      <c r="EK42" s="127" t="s">
        <v>1556</v>
      </c>
      <c r="EL42" s="128" t="s">
        <v>1416</v>
      </c>
      <c r="EM42" s="128">
        <v>4</v>
      </c>
      <c r="EN42" s="128" t="s">
        <v>1622</v>
      </c>
      <c r="EO42" s="128">
        <v>1</v>
      </c>
      <c r="EP42" s="128" t="s">
        <v>1648</v>
      </c>
      <c r="EQ42" s="128">
        <v>1</v>
      </c>
      <c r="ER42" s="128" t="s">
        <v>1649</v>
      </c>
      <c r="ES42" s="128">
        <v>2</v>
      </c>
      <c r="ET42" s="128" t="s">
        <v>1650</v>
      </c>
      <c r="EU42" s="128">
        <v>4</v>
      </c>
      <c r="EV42" s="128" t="s">
        <v>1651</v>
      </c>
      <c r="EW42" s="128">
        <v>4</v>
      </c>
      <c r="EX42" s="128" t="s">
        <v>1591</v>
      </c>
      <c r="EY42" s="128">
        <v>1</v>
      </c>
    </row>
    <row r="43" spans="1:157">
      <c r="A43" s="127">
        <v>534</v>
      </c>
      <c r="B43" s="127">
        <v>8</v>
      </c>
      <c r="C43" s="128" t="s">
        <v>1337</v>
      </c>
      <c r="D43" s="129">
        <v>43719</v>
      </c>
      <c r="E43" s="128" t="s">
        <v>1538</v>
      </c>
      <c r="F43" s="128" t="e">
        <f>IF(E43 &lt;&gt; "", VLOOKUP(E43, '[4]Internal-logic'!G$1:I$364, 2, FALSE),"")</f>
        <v>#N/A</v>
      </c>
      <c r="G43" s="128" t="e">
        <f>IF(E43 &lt;&gt; "", VLOOKUP(E43, '[4]Internal-logic'!G$1:I$364, 3, FALSE),"")</f>
        <v>#N/A</v>
      </c>
      <c r="H43" s="128" t="s">
        <v>1539</v>
      </c>
      <c r="I43" s="128" t="s">
        <v>1069</v>
      </c>
      <c r="J43" s="128" t="s">
        <v>451</v>
      </c>
      <c r="K43" s="128" t="s">
        <v>1540</v>
      </c>
      <c r="L43" s="128">
        <v>0.1</v>
      </c>
      <c r="M43" s="128" t="s">
        <v>1349</v>
      </c>
      <c r="N43" s="127" t="s">
        <v>1541</v>
      </c>
      <c r="O43" s="127" t="s">
        <v>1005</v>
      </c>
      <c r="P43" s="127" t="s">
        <v>1542</v>
      </c>
      <c r="Q43" s="128" t="s">
        <v>1543</v>
      </c>
      <c r="R43" s="128" t="s">
        <v>1345</v>
      </c>
      <c r="S43" s="128">
        <v>6</v>
      </c>
      <c r="T43" s="128" t="s">
        <v>1544</v>
      </c>
      <c r="U43" s="128">
        <v>2007</v>
      </c>
      <c r="V43" s="128" t="s">
        <v>1545</v>
      </c>
      <c r="W43" s="128" t="s">
        <v>1546</v>
      </c>
      <c r="X43" s="128" t="s">
        <v>1345</v>
      </c>
      <c r="Y43" s="128">
        <v>2017</v>
      </c>
      <c r="Z43" s="128" t="s">
        <v>1547</v>
      </c>
      <c r="AA43" s="128">
        <v>29</v>
      </c>
      <c r="AB43" s="128" t="s">
        <v>1548</v>
      </c>
      <c r="AC43" s="128">
        <v>1</v>
      </c>
      <c r="AD43" s="128" t="s">
        <v>1345</v>
      </c>
      <c r="AE43" s="128" t="s">
        <v>1345</v>
      </c>
      <c r="AF43" s="128" t="s">
        <v>1349</v>
      </c>
      <c r="AG43" s="128" t="s">
        <v>1349</v>
      </c>
      <c r="AI43" s="128">
        <v>2018</v>
      </c>
      <c r="AJ43" s="128" t="s">
        <v>1349</v>
      </c>
      <c r="AK43" s="128" t="s">
        <v>1549</v>
      </c>
      <c r="AL43" s="127" t="s">
        <v>1550</v>
      </c>
      <c r="AM43" s="127" t="s">
        <v>1351</v>
      </c>
      <c r="AN43" s="127" t="s">
        <v>1351</v>
      </c>
      <c r="AO43" s="127" t="s">
        <v>1351</v>
      </c>
      <c r="AP43" s="127" t="s">
        <v>1351</v>
      </c>
      <c r="AQ43" s="127" t="s">
        <v>1551</v>
      </c>
      <c r="AR43" s="127" t="s">
        <v>1551</v>
      </c>
      <c r="AS43" s="127" t="s">
        <v>1552</v>
      </c>
      <c r="AT43" s="128" t="s">
        <v>1553</v>
      </c>
      <c r="AU43" s="127">
        <v>1000</v>
      </c>
      <c r="AV43" s="127">
        <v>500</v>
      </c>
      <c r="AW43" s="128" t="s">
        <v>1554</v>
      </c>
      <c r="AX43" s="128" t="s">
        <v>1555</v>
      </c>
      <c r="AY43" s="128" t="s">
        <v>1349</v>
      </c>
      <c r="AZ43" s="128" t="s">
        <v>1556</v>
      </c>
      <c r="BA43" s="128" t="s">
        <v>1556</v>
      </c>
      <c r="BB43" s="128" t="s">
        <v>1557</v>
      </c>
      <c r="BC43" s="128" t="s">
        <v>1557</v>
      </c>
      <c r="BD43" s="128" t="s">
        <v>1557</v>
      </c>
      <c r="BE43" s="128" t="s">
        <v>1558</v>
      </c>
      <c r="BF43" s="128" t="s">
        <v>1558</v>
      </c>
      <c r="BG43" s="128" t="s">
        <v>1558</v>
      </c>
      <c r="BH43" s="128">
        <v>0.5</v>
      </c>
      <c r="BI43" s="128" t="s">
        <v>1556</v>
      </c>
      <c r="BJ43" s="128">
        <v>3</v>
      </c>
      <c r="BK43" s="128" t="s">
        <v>1559</v>
      </c>
      <c r="BL43" s="128" t="s">
        <v>1556</v>
      </c>
      <c r="BM43" s="128" t="s">
        <v>1559</v>
      </c>
      <c r="BN43" s="128" t="s">
        <v>1349</v>
      </c>
      <c r="BO43" s="128" t="s">
        <v>1556</v>
      </c>
      <c r="BP43" s="128" t="s">
        <v>1556</v>
      </c>
      <c r="BQ43" s="128" t="s">
        <v>1345</v>
      </c>
      <c r="BR43" s="128" t="s">
        <v>1349</v>
      </c>
      <c r="BS43" s="128" t="s">
        <v>1349</v>
      </c>
      <c r="BT43" s="128" t="s">
        <v>1345</v>
      </c>
      <c r="BU43" s="128" t="s">
        <v>1560</v>
      </c>
      <c r="BV43" s="128" t="s">
        <v>1349</v>
      </c>
      <c r="BW43" s="128" t="s">
        <v>1556</v>
      </c>
      <c r="BX43" s="128" t="s">
        <v>1345</v>
      </c>
      <c r="BY43" s="128" t="s">
        <v>1561</v>
      </c>
      <c r="BZ43" s="128" t="s">
        <v>1562</v>
      </c>
      <c r="CA43" s="128" t="s">
        <v>1563</v>
      </c>
      <c r="CB43" s="128" t="s">
        <v>1556</v>
      </c>
      <c r="CC43" s="128" t="s">
        <v>1556</v>
      </c>
      <c r="CD43" s="128" t="s">
        <v>1556</v>
      </c>
      <c r="CE43" s="128">
        <v>2000</v>
      </c>
      <c r="CF43" s="128">
        <v>3000</v>
      </c>
      <c r="CG43" s="128">
        <v>6000</v>
      </c>
      <c r="CH43" s="128">
        <v>120</v>
      </c>
      <c r="CI43" s="128">
        <v>300</v>
      </c>
      <c r="CJ43" s="128">
        <v>1200</v>
      </c>
      <c r="CK43" s="141">
        <v>0.4</v>
      </c>
      <c r="CL43" s="141">
        <v>0.4</v>
      </c>
      <c r="CM43" s="130">
        <v>0.6</v>
      </c>
      <c r="CN43" s="130">
        <v>0.6</v>
      </c>
      <c r="CO43" s="127" t="s">
        <v>1564</v>
      </c>
      <c r="CP43" s="127" t="s">
        <v>1565</v>
      </c>
      <c r="CQ43" s="127" t="s">
        <v>1566</v>
      </c>
      <c r="CR43" s="127">
        <v>5</v>
      </c>
      <c r="CS43" s="127" t="s">
        <v>1360</v>
      </c>
      <c r="CT43" s="127" t="s">
        <v>1567</v>
      </c>
      <c r="CU43" s="127" t="s">
        <v>1383</v>
      </c>
      <c r="CV43" s="127" t="s">
        <v>1568</v>
      </c>
      <c r="CW43" s="127" t="s">
        <v>1349</v>
      </c>
      <c r="CX43" s="127" t="s">
        <v>1556</v>
      </c>
      <c r="CY43" s="127" t="s">
        <v>1556</v>
      </c>
      <c r="CZ43" s="127" t="s">
        <v>1569</v>
      </c>
      <c r="DA43" s="127" t="s">
        <v>1556</v>
      </c>
      <c r="DB43" s="127">
        <v>1</v>
      </c>
      <c r="DC43" s="127" t="s">
        <v>1570</v>
      </c>
      <c r="DD43" s="127" t="s">
        <v>1571</v>
      </c>
      <c r="DE43" s="127" t="s">
        <v>1572</v>
      </c>
      <c r="DF43" s="127" t="s">
        <v>1573</v>
      </c>
      <c r="DG43" s="127" t="s">
        <v>1574</v>
      </c>
      <c r="DH43" s="127" t="s">
        <v>1575</v>
      </c>
      <c r="DI43" s="127" t="s">
        <v>1575</v>
      </c>
      <c r="DJ43" s="127" t="s">
        <v>1576</v>
      </c>
      <c r="DK43" s="127" t="s">
        <v>1577</v>
      </c>
      <c r="DL43" s="127" t="s">
        <v>1578</v>
      </c>
      <c r="DM43" s="127" t="s">
        <v>1578</v>
      </c>
      <c r="DP43" s="127" t="s">
        <v>1349</v>
      </c>
      <c r="DQ43" s="127" t="s">
        <v>1579</v>
      </c>
      <c r="DR43" s="127" t="s">
        <v>1383</v>
      </c>
      <c r="DS43" s="127" t="s">
        <v>1578</v>
      </c>
      <c r="DT43" s="127">
        <v>4000</v>
      </c>
      <c r="DU43" s="127" t="s">
        <v>1556</v>
      </c>
      <c r="DV43" s="127" t="s">
        <v>1383</v>
      </c>
      <c r="DW43" s="130">
        <v>0.4</v>
      </c>
      <c r="DX43" s="127" t="s">
        <v>1383</v>
      </c>
      <c r="DY43" s="127" t="s">
        <v>1349</v>
      </c>
      <c r="DZ43" s="127" t="s">
        <v>1580</v>
      </c>
      <c r="EA43" s="127" t="s">
        <v>1383</v>
      </c>
      <c r="EB43" s="128" t="s">
        <v>1383</v>
      </c>
      <c r="EC43" s="127" t="s">
        <v>1383</v>
      </c>
      <c r="ED43" s="127" t="s">
        <v>1581</v>
      </c>
      <c r="EE43" s="127">
        <v>0.6</v>
      </c>
      <c r="EF43" s="128" t="s">
        <v>1582</v>
      </c>
      <c r="EG43" s="127" t="s">
        <v>1383</v>
      </c>
      <c r="EH43" s="127" t="s">
        <v>1583</v>
      </c>
      <c r="EI43" s="127" t="s">
        <v>1584</v>
      </c>
      <c r="EJ43" s="127" t="s">
        <v>1585</v>
      </c>
      <c r="EK43" s="127" t="s">
        <v>1556</v>
      </c>
      <c r="EL43" s="128" t="s">
        <v>1389</v>
      </c>
      <c r="EM43" s="127">
        <v>4</v>
      </c>
      <c r="EN43" s="128" t="s">
        <v>1586</v>
      </c>
      <c r="EO43" s="128">
        <v>5</v>
      </c>
      <c r="EP43" s="128" t="s">
        <v>1587</v>
      </c>
      <c r="EQ43" s="128">
        <v>2</v>
      </c>
      <c r="ER43" s="128" t="s">
        <v>1588</v>
      </c>
      <c r="ES43" s="128">
        <v>5</v>
      </c>
      <c r="ET43" s="128" t="s">
        <v>1589</v>
      </c>
      <c r="EU43" s="128">
        <v>5</v>
      </c>
      <c r="EV43" s="127" t="s">
        <v>1590</v>
      </c>
      <c r="EW43" s="128">
        <v>4</v>
      </c>
      <c r="EX43" s="128" t="s">
        <v>1591</v>
      </c>
      <c r="EY43" s="128">
        <v>5</v>
      </c>
      <c r="EZ43" s="128" t="s">
        <v>1592</v>
      </c>
    </row>
    <row r="44" spans="1:157">
      <c r="A44" s="127">
        <v>535</v>
      </c>
      <c r="B44" s="127">
        <v>9</v>
      </c>
      <c r="C44" s="128" t="s">
        <v>1337</v>
      </c>
      <c r="D44" s="129">
        <v>43721</v>
      </c>
      <c r="E44" s="128" t="s">
        <v>1593</v>
      </c>
      <c r="F44" s="128" t="e">
        <f>IF(E44 &lt;&gt; "", VLOOKUP(E44, '[4]Internal-logic'!G$1:I$364, 2, FALSE),"")</f>
        <v>#N/A</v>
      </c>
      <c r="G44" s="128" t="e">
        <f>IF(E44 &lt;&gt; "", VLOOKUP(E44, '[4]Internal-logic'!G$1:I$364, 3, FALSE),"")</f>
        <v>#N/A</v>
      </c>
      <c r="H44" s="128" t="s">
        <v>1539</v>
      </c>
      <c r="I44" s="128" t="s">
        <v>1069</v>
      </c>
      <c r="J44" s="128" t="s">
        <v>451</v>
      </c>
      <c r="K44" s="128" t="s">
        <v>1540</v>
      </c>
      <c r="L44" s="128">
        <v>0.05</v>
      </c>
      <c r="M44" s="128" t="s">
        <v>1349</v>
      </c>
      <c r="N44" s="127" t="s">
        <v>1541</v>
      </c>
      <c r="O44" s="127" t="s">
        <v>1005</v>
      </c>
      <c r="P44" s="128" t="s">
        <v>1594</v>
      </c>
      <c r="Q44" s="128" t="s">
        <v>1595</v>
      </c>
      <c r="R44" s="128" t="s">
        <v>1345</v>
      </c>
      <c r="S44" s="128">
        <v>6</v>
      </c>
      <c r="T44" s="128" t="s">
        <v>1544</v>
      </c>
      <c r="U44" s="128">
        <v>2007</v>
      </c>
      <c r="V44" s="128" t="s">
        <v>1545</v>
      </c>
      <c r="W44" s="128" t="s">
        <v>1546</v>
      </c>
      <c r="X44" s="128" t="s">
        <v>1345</v>
      </c>
      <c r="Y44" s="128">
        <v>2017</v>
      </c>
      <c r="Z44" s="128">
        <v>2018</v>
      </c>
      <c r="AA44" s="128">
        <v>22</v>
      </c>
      <c r="AB44" s="128" t="s">
        <v>1548</v>
      </c>
      <c r="AC44" s="128">
        <v>0</v>
      </c>
      <c r="AD44" s="128" t="s">
        <v>1345</v>
      </c>
      <c r="AE44" s="128" t="s">
        <v>1345</v>
      </c>
      <c r="AF44" s="128" t="s">
        <v>1349</v>
      </c>
      <c r="AG44" s="128" t="s">
        <v>1349</v>
      </c>
      <c r="AI44" s="128">
        <v>2018</v>
      </c>
      <c r="AJ44" s="128" t="s">
        <v>1345</v>
      </c>
      <c r="AK44" s="128" t="s">
        <v>1549</v>
      </c>
      <c r="AL44" s="128" t="s">
        <v>1550</v>
      </c>
      <c r="AM44" s="127" t="s">
        <v>1351</v>
      </c>
      <c r="AN44" s="127" t="s">
        <v>1351</v>
      </c>
      <c r="AO44" s="127" t="s">
        <v>1351</v>
      </c>
      <c r="AP44" s="127" t="s">
        <v>1351</v>
      </c>
      <c r="AQ44" s="127" t="s">
        <v>1551</v>
      </c>
      <c r="AR44" s="127" t="s">
        <v>1551</v>
      </c>
      <c r="AS44" s="127" t="s">
        <v>1552</v>
      </c>
      <c r="AT44" s="128" t="s">
        <v>1553</v>
      </c>
      <c r="AU44" s="127" t="s">
        <v>1596</v>
      </c>
      <c r="AV44" s="127">
        <v>500</v>
      </c>
      <c r="AW44" s="128" t="s">
        <v>1554</v>
      </c>
      <c r="AX44" s="128" t="s">
        <v>1555</v>
      </c>
      <c r="AY44" s="128" t="s">
        <v>1597</v>
      </c>
      <c r="AZ44" s="128" t="s">
        <v>1598</v>
      </c>
      <c r="BA44" s="128" t="s">
        <v>1599</v>
      </c>
      <c r="BB44" s="128" t="s">
        <v>1557</v>
      </c>
      <c r="BC44" s="128" t="s">
        <v>1557</v>
      </c>
      <c r="BD44" s="128" t="s">
        <v>1557</v>
      </c>
      <c r="BE44" s="128" t="s">
        <v>1600</v>
      </c>
      <c r="BF44" s="128" t="s">
        <v>1600</v>
      </c>
      <c r="BG44" s="128" t="s">
        <v>1600</v>
      </c>
      <c r="BH44" s="128">
        <v>15</v>
      </c>
      <c r="BI44" s="128" t="s">
        <v>1556</v>
      </c>
      <c r="BJ44" s="128">
        <v>16</v>
      </c>
      <c r="BK44" s="128" t="s">
        <v>1559</v>
      </c>
      <c r="BL44" s="128" t="s">
        <v>1556</v>
      </c>
      <c r="BM44" s="128" t="s">
        <v>1559</v>
      </c>
      <c r="BN44" s="128" t="s">
        <v>1349</v>
      </c>
      <c r="BO44" s="128" t="s">
        <v>1556</v>
      </c>
      <c r="BP44" s="128" t="s">
        <v>1556</v>
      </c>
      <c r="BQ44" s="128" t="s">
        <v>1345</v>
      </c>
      <c r="BR44" s="128" t="s">
        <v>1349</v>
      </c>
      <c r="BS44" s="128" t="s">
        <v>1349</v>
      </c>
      <c r="BT44" s="128" t="s">
        <v>1345</v>
      </c>
      <c r="BU44" s="128" t="s">
        <v>1601</v>
      </c>
      <c r="BV44" s="128" t="s">
        <v>1349</v>
      </c>
      <c r="BW44" s="128" t="s">
        <v>1556</v>
      </c>
      <c r="BX44" s="128" t="s">
        <v>1345</v>
      </c>
      <c r="BY44" s="128" t="s">
        <v>1561</v>
      </c>
      <c r="BZ44" s="128" t="s">
        <v>1562</v>
      </c>
      <c r="CA44" s="128" t="s">
        <v>1602</v>
      </c>
      <c r="CB44" s="128" t="s">
        <v>1556</v>
      </c>
      <c r="CC44" s="128" t="s">
        <v>1556</v>
      </c>
      <c r="CD44" s="128" t="s">
        <v>1556</v>
      </c>
      <c r="CE44" s="128">
        <v>1000</v>
      </c>
      <c r="CF44" s="128">
        <v>1600</v>
      </c>
      <c r="CG44" s="128">
        <v>2200</v>
      </c>
      <c r="CH44" s="128">
        <v>10</v>
      </c>
      <c r="CI44" s="128">
        <v>15.5</v>
      </c>
      <c r="CJ44" s="128">
        <v>35</v>
      </c>
      <c r="CK44" s="130">
        <v>1</v>
      </c>
      <c r="CL44" s="130">
        <v>0.4</v>
      </c>
      <c r="CM44" s="130">
        <v>0</v>
      </c>
      <c r="CN44" s="130">
        <v>0.6</v>
      </c>
      <c r="CO44" s="127" t="s">
        <v>1564</v>
      </c>
      <c r="CP44" s="127" t="s">
        <v>1565</v>
      </c>
      <c r="CQ44" s="127" t="s">
        <v>1566</v>
      </c>
      <c r="CR44" s="127">
        <v>5</v>
      </c>
      <c r="CS44" s="127" t="s">
        <v>1360</v>
      </c>
      <c r="CT44" s="127" t="s">
        <v>1603</v>
      </c>
      <c r="CU44" s="127" t="s">
        <v>1383</v>
      </c>
      <c r="CV44" s="127" t="s">
        <v>1604</v>
      </c>
      <c r="CW44" s="127" t="s">
        <v>1349</v>
      </c>
      <c r="CX44" s="127" t="s">
        <v>1556</v>
      </c>
      <c r="CY44" s="127" t="s">
        <v>1556</v>
      </c>
      <c r="CZ44" s="127" t="s">
        <v>1569</v>
      </c>
      <c r="DA44" s="127" t="s">
        <v>1556</v>
      </c>
      <c r="DB44" s="127">
        <v>1</v>
      </c>
      <c r="DC44" s="127" t="s">
        <v>1570</v>
      </c>
      <c r="DD44" s="127" t="s">
        <v>1571</v>
      </c>
      <c r="DE44" s="127" t="s">
        <v>1572</v>
      </c>
      <c r="DF44" s="127" t="s">
        <v>1573</v>
      </c>
      <c r="DG44" s="127" t="s">
        <v>1574</v>
      </c>
      <c r="DH44" s="127" t="s">
        <v>1575</v>
      </c>
      <c r="DI44" s="127" t="s">
        <v>1575</v>
      </c>
      <c r="DJ44" s="127" t="s">
        <v>1576</v>
      </c>
      <c r="DK44" s="127" t="s">
        <v>1576</v>
      </c>
      <c r="DL44" s="127" t="s">
        <v>1578</v>
      </c>
      <c r="DM44" s="127" t="s">
        <v>1578</v>
      </c>
      <c r="DP44" s="127" t="s">
        <v>1349</v>
      </c>
      <c r="DQ44" s="127" t="s">
        <v>1579</v>
      </c>
      <c r="DR44" s="127" t="s">
        <v>1383</v>
      </c>
      <c r="DS44" s="127" t="s">
        <v>1578</v>
      </c>
      <c r="DT44" s="127">
        <v>3000</v>
      </c>
      <c r="DU44" s="127" t="s">
        <v>1556</v>
      </c>
      <c r="DV44" s="127" t="s">
        <v>1383</v>
      </c>
      <c r="DW44" s="130">
        <v>0.4</v>
      </c>
      <c r="DX44" s="127" t="s">
        <v>1383</v>
      </c>
      <c r="DY44" s="127" t="s">
        <v>1349</v>
      </c>
      <c r="DZ44" s="127" t="s">
        <v>1580</v>
      </c>
      <c r="EA44" s="127" t="s">
        <v>1383</v>
      </c>
      <c r="EB44" s="128" t="s">
        <v>1383</v>
      </c>
      <c r="EC44" s="127" t="s">
        <v>1383</v>
      </c>
      <c r="ED44" s="127" t="s">
        <v>1605</v>
      </c>
      <c r="EE44" s="127">
        <v>0.6</v>
      </c>
      <c r="EF44" s="128" t="s">
        <v>1606</v>
      </c>
      <c r="EG44" s="127" t="s">
        <v>1383</v>
      </c>
      <c r="EH44" s="127" t="s">
        <v>1583</v>
      </c>
      <c r="EI44" s="127" t="s">
        <v>1584</v>
      </c>
      <c r="EJ44" s="127" t="s">
        <v>1585</v>
      </c>
      <c r="EK44" s="127" t="s">
        <v>1556</v>
      </c>
      <c r="EL44" s="128" t="s">
        <v>1389</v>
      </c>
      <c r="EM44" s="127">
        <v>4</v>
      </c>
      <c r="EN44" s="128" t="s">
        <v>1607</v>
      </c>
      <c r="EO44" s="128">
        <v>1</v>
      </c>
      <c r="EP44" s="128" t="s">
        <v>1608</v>
      </c>
      <c r="EQ44" s="128">
        <v>3</v>
      </c>
      <c r="ER44" s="128" t="s">
        <v>1588</v>
      </c>
      <c r="ES44" s="128">
        <v>5</v>
      </c>
      <c r="ET44" s="128" t="s">
        <v>1589</v>
      </c>
      <c r="EU44" s="128">
        <v>5</v>
      </c>
      <c r="EV44" s="127" t="s">
        <v>1590</v>
      </c>
      <c r="EW44" s="128">
        <v>4</v>
      </c>
      <c r="EX44" s="128" t="s">
        <v>1591</v>
      </c>
      <c r="EY44" s="128">
        <v>5</v>
      </c>
      <c r="EZ44" s="128" t="s">
        <v>1592</v>
      </c>
    </row>
    <row r="45" spans="1:157">
      <c r="A45" s="127">
        <v>536</v>
      </c>
      <c r="B45" s="132">
        <v>40</v>
      </c>
      <c r="C45" s="133" t="s">
        <v>2278</v>
      </c>
      <c r="D45" s="134">
        <v>43719</v>
      </c>
      <c r="E45" s="133" t="s">
        <v>462</v>
      </c>
      <c r="F45" s="133">
        <v>330</v>
      </c>
      <c r="G45" s="133" t="s">
        <v>451</v>
      </c>
      <c r="H45" s="133" t="s">
        <v>1690</v>
      </c>
      <c r="I45" s="133" t="s">
        <v>2279</v>
      </c>
      <c r="J45" s="133" t="s">
        <v>451</v>
      </c>
      <c r="K45" s="133" t="s">
        <v>1540</v>
      </c>
      <c r="L45" s="133">
        <v>7</v>
      </c>
      <c r="M45" s="133" t="s">
        <v>2371</v>
      </c>
      <c r="N45" s="133" t="s">
        <v>1541</v>
      </c>
      <c r="O45" s="133" t="s">
        <v>1005</v>
      </c>
      <c r="P45" s="133" t="s">
        <v>2372</v>
      </c>
      <c r="Q45" s="133" t="s">
        <v>2373</v>
      </c>
      <c r="R45" s="133" t="s">
        <v>1345</v>
      </c>
      <c r="S45" s="133">
        <v>5</v>
      </c>
      <c r="T45" s="133" t="s">
        <v>2285</v>
      </c>
      <c r="U45" s="133">
        <v>2004</v>
      </c>
      <c r="V45" s="133" t="s">
        <v>2374</v>
      </c>
      <c r="W45" s="133" t="s">
        <v>2359</v>
      </c>
      <c r="X45" s="133" t="s">
        <v>1345</v>
      </c>
      <c r="Y45" s="133">
        <v>2018</v>
      </c>
      <c r="Z45" s="133" t="s">
        <v>2288</v>
      </c>
      <c r="AA45" s="133">
        <v>44</v>
      </c>
      <c r="AB45" s="133" t="s">
        <v>1349</v>
      </c>
      <c r="AC45" s="133">
        <v>3</v>
      </c>
      <c r="AD45" s="133" t="s">
        <v>1345</v>
      </c>
      <c r="AE45" s="133" t="s">
        <v>1345</v>
      </c>
      <c r="AF45" s="133" t="s">
        <v>1349</v>
      </c>
      <c r="AG45" s="133" t="s">
        <v>1349</v>
      </c>
      <c r="AH45" s="133" t="s">
        <v>2375</v>
      </c>
      <c r="AI45" s="133">
        <v>2006</v>
      </c>
      <c r="AJ45" s="133" t="s">
        <v>1345</v>
      </c>
      <c r="AK45" s="133" t="s">
        <v>2290</v>
      </c>
      <c r="AL45" s="133" t="s">
        <v>1612</v>
      </c>
      <c r="AM45" s="133" t="s">
        <v>2291</v>
      </c>
      <c r="AN45" s="133" t="s">
        <v>2291</v>
      </c>
      <c r="AO45" s="133" t="s">
        <v>2291</v>
      </c>
      <c r="AP45" s="133" t="s">
        <v>2291</v>
      </c>
      <c r="AQ45" s="133" t="s">
        <v>2291</v>
      </c>
      <c r="AR45" s="133" t="s">
        <v>2291</v>
      </c>
      <c r="AS45" s="133" t="s">
        <v>1802</v>
      </c>
      <c r="AT45" s="133" t="s">
        <v>1358</v>
      </c>
      <c r="AU45" s="133" t="s">
        <v>2376</v>
      </c>
      <c r="AV45" s="133">
        <v>2000</v>
      </c>
      <c r="AW45" s="133" t="s">
        <v>2377</v>
      </c>
      <c r="AX45" s="133" t="s">
        <v>2378</v>
      </c>
      <c r="AY45" s="133" t="s">
        <v>1349</v>
      </c>
      <c r="AZ45" s="133" t="s">
        <v>2361</v>
      </c>
      <c r="BA45" s="133" t="s">
        <v>2296</v>
      </c>
      <c r="BB45" s="133" t="s">
        <v>2379</v>
      </c>
      <c r="BC45" s="133" t="s">
        <v>2380</v>
      </c>
      <c r="BD45" s="133" t="s">
        <v>2289</v>
      </c>
      <c r="BE45" s="133" t="s">
        <v>2381</v>
      </c>
      <c r="BF45" s="133" t="s">
        <v>1540</v>
      </c>
      <c r="BG45" s="133" t="s">
        <v>2300</v>
      </c>
      <c r="BH45" s="133">
        <v>11</v>
      </c>
      <c r="BI45" s="133">
        <v>9</v>
      </c>
      <c r="BJ45" s="133">
        <v>8</v>
      </c>
      <c r="BK45" s="133" t="s">
        <v>1360</v>
      </c>
      <c r="BL45" s="133" t="s">
        <v>1360</v>
      </c>
      <c r="BM45" s="133" t="s">
        <v>1360</v>
      </c>
      <c r="BN45" s="133" t="s">
        <v>1349</v>
      </c>
      <c r="BO45" s="133" t="s">
        <v>2300</v>
      </c>
      <c r="BP45" s="133" t="s">
        <v>2300</v>
      </c>
      <c r="BQ45" s="133" t="s">
        <v>1349</v>
      </c>
      <c r="BR45" s="133" t="s">
        <v>1349</v>
      </c>
      <c r="BS45" s="133" t="s">
        <v>1804</v>
      </c>
      <c r="BT45" s="133" t="s">
        <v>1345</v>
      </c>
      <c r="BU45" s="133" t="s">
        <v>2382</v>
      </c>
      <c r="BV45" s="133" t="s">
        <v>1349</v>
      </c>
      <c r="BW45" s="133" t="s">
        <v>2300</v>
      </c>
      <c r="BX45" s="133" t="s">
        <v>1345</v>
      </c>
      <c r="BY45" s="133" t="s">
        <v>2302</v>
      </c>
      <c r="BZ45" s="133" t="s">
        <v>2383</v>
      </c>
      <c r="CA45" s="133" t="s">
        <v>1167</v>
      </c>
      <c r="CB45" s="133" t="s">
        <v>2289</v>
      </c>
      <c r="CC45" s="133" t="s">
        <v>2289</v>
      </c>
      <c r="CD45" s="133" t="s">
        <v>2289</v>
      </c>
      <c r="CE45" s="133">
        <v>220</v>
      </c>
      <c r="CF45" s="133">
        <v>160</v>
      </c>
      <c r="CG45" s="133">
        <v>320</v>
      </c>
      <c r="CH45" s="133">
        <v>120</v>
      </c>
      <c r="CI45" s="133">
        <v>90</v>
      </c>
      <c r="CJ45" s="133">
        <v>160</v>
      </c>
      <c r="CK45" s="135">
        <v>0.8</v>
      </c>
      <c r="CL45" s="135">
        <v>0.7</v>
      </c>
      <c r="CM45" s="133" t="s">
        <v>2384</v>
      </c>
      <c r="CN45" s="133" t="s">
        <v>2306</v>
      </c>
      <c r="CO45" s="133" t="s">
        <v>2307</v>
      </c>
      <c r="CP45" s="133" t="s">
        <v>1565</v>
      </c>
      <c r="CQ45" s="133" t="s">
        <v>2308</v>
      </c>
      <c r="CR45" s="133">
        <v>4</v>
      </c>
      <c r="CS45" s="133" t="s">
        <v>1360</v>
      </c>
      <c r="CT45" s="133" t="s">
        <v>2385</v>
      </c>
      <c r="CU45" s="133" t="s">
        <v>1345</v>
      </c>
      <c r="CV45" s="133" t="s">
        <v>2386</v>
      </c>
      <c r="CW45" s="133" t="s">
        <v>1349</v>
      </c>
      <c r="CX45" s="133" t="s">
        <v>2289</v>
      </c>
      <c r="CY45" s="133" t="s">
        <v>2289</v>
      </c>
      <c r="CZ45" s="133" t="s">
        <v>2311</v>
      </c>
      <c r="DA45" s="133" t="s">
        <v>1358</v>
      </c>
      <c r="DB45" s="133" t="s">
        <v>1903</v>
      </c>
      <c r="DC45" s="133" t="s">
        <v>2312</v>
      </c>
      <c r="DD45" s="132" t="s">
        <v>2349</v>
      </c>
      <c r="DE45" s="133" t="s">
        <v>2350</v>
      </c>
      <c r="DF45" s="133" t="s">
        <v>2315</v>
      </c>
      <c r="DG45" s="133" t="s">
        <v>2316</v>
      </c>
      <c r="DH45" s="133" t="s">
        <v>2317</v>
      </c>
      <c r="DI45" s="133" t="s">
        <v>1556</v>
      </c>
      <c r="DJ45" s="133" t="s">
        <v>1556</v>
      </c>
      <c r="DK45" s="133" t="s">
        <v>1556</v>
      </c>
      <c r="DL45" s="133" t="s">
        <v>2318</v>
      </c>
      <c r="DM45" s="133" t="s">
        <v>2367</v>
      </c>
      <c r="DN45" s="133" t="s">
        <v>1345</v>
      </c>
      <c r="DO45" s="133" t="s">
        <v>2320</v>
      </c>
      <c r="DP45" s="133" t="s">
        <v>1349</v>
      </c>
      <c r="DQ45" s="133" t="s">
        <v>1358</v>
      </c>
      <c r="DR45" s="133" t="s">
        <v>1349</v>
      </c>
      <c r="DS45" s="133" t="s">
        <v>2300</v>
      </c>
      <c r="DT45" s="133" t="s">
        <v>2300</v>
      </c>
      <c r="DU45" s="133" t="s">
        <v>1358</v>
      </c>
      <c r="DV45" s="133" t="s">
        <v>1345</v>
      </c>
      <c r="DW45" s="133" t="s">
        <v>2387</v>
      </c>
      <c r="DX45" s="133" t="s">
        <v>1345</v>
      </c>
      <c r="DY45" s="133" t="s">
        <v>1349</v>
      </c>
      <c r="DZ45" s="133" t="s">
        <v>2352</v>
      </c>
      <c r="EA45" s="133" t="s">
        <v>1345</v>
      </c>
      <c r="EB45" s="133" t="s">
        <v>1345</v>
      </c>
      <c r="EC45" s="133" t="s">
        <v>1345</v>
      </c>
      <c r="ED45" s="133" t="s">
        <v>2353</v>
      </c>
      <c r="EE45" s="132">
        <v>0.4</v>
      </c>
      <c r="EF45" s="133" t="s">
        <v>2370</v>
      </c>
      <c r="EG45" s="133" t="s">
        <v>1345</v>
      </c>
      <c r="EH45" s="133" t="s">
        <v>2325</v>
      </c>
      <c r="EI45" s="133" t="s">
        <v>2326</v>
      </c>
      <c r="EJ45" s="132" t="s">
        <v>2327</v>
      </c>
      <c r="EK45" s="133" t="s">
        <v>2354</v>
      </c>
      <c r="EL45" s="133" t="s">
        <v>1389</v>
      </c>
      <c r="EM45" s="133">
        <v>3</v>
      </c>
      <c r="EN45" s="133" t="s">
        <v>2388</v>
      </c>
      <c r="EO45" s="133">
        <v>3</v>
      </c>
      <c r="EP45" s="133" t="s">
        <v>2389</v>
      </c>
      <c r="EQ45" s="133">
        <v>4</v>
      </c>
      <c r="ER45" s="132" t="s">
        <v>2331</v>
      </c>
      <c r="ES45" s="133">
        <v>5</v>
      </c>
      <c r="ET45" s="132" t="s">
        <v>2332</v>
      </c>
      <c r="EU45" s="133">
        <v>4</v>
      </c>
      <c r="EV45" s="132" t="s">
        <v>2333</v>
      </c>
      <c r="EW45" s="133">
        <v>4</v>
      </c>
      <c r="EX45" s="132" t="s">
        <v>2334</v>
      </c>
      <c r="EY45" s="133">
        <v>4</v>
      </c>
      <c r="EZ45" s="132" t="s">
        <v>2390</v>
      </c>
    </row>
    <row r="46" spans="1:157">
      <c r="A46" s="127">
        <v>537</v>
      </c>
      <c r="B46" s="132">
        <v>41</v>
      </c>
      <c r="C46" s="133" t="s">
        <v>2278</v>
      </c>
      <c r="D46" s="134">
        <v>43720</v>
      </c>
      <c r="E46" s="133" t="s">
        <v>2391</v>
      </c>
      <c r="F46" s="133" t="e">
        <v>#N/A</v>
      </c>
      <c r="G46" s="133" t="e">
        <v>#N/A</v>
      </c>
      <c r="H46" s="133" t="s">
        <v>1690</v>
      </c>
      <c r="I46" s="133" t="s">
        <v>2279</v>
      </c>
      <c r="J46" s="133" t="s">
        <v>451</v>
      </c>
      <c r="K46" s="133" t="s">
        <v>2392</v>
      </c>
      <c r="L46" s="133">
        <v>43</v>
      </c>
      <c r="M46" s="133" t="s">
        <v>2393</v>
      </c>
      <c r="N46" s="133" t="s">
        <v>1541</v>
      </c>
      <c r="O46" s="133" t="s">
        <v>1005</v>
      </c>
      <c r="P46" s="133" t="s">
        <v>2394</v>
      </c>
      <c r="Q46" s="133" t="s">
        <v>2395</v>
      </c>
      <c r="R46" s="133" t="s">
        <v>1345</v>
      </c>
      <c r="S46" s="133">
        <v>6</v>
      </c>
      <c r="T46" s="133" t="s">
        <v>2285</v>
      </c>
      <c r="U46" s="133">
        <v>2014</v>
      </c>
      <c r="V46" s="133" t="s">
        <v>2358</v>
      </c>
      <c r="W46" s="133" t="s">
        <v>1366</v>
      </c>
      <c r="X46" s="133" t="s">
        <v>1345</v>
      </c>
      <c r="Y46" s="133">
        <v>2019</v>
      </c>
      <c r="Z46" s="133" t="s">
        <v>2288</v>
      </c>
      <c r="AA46" s="133">
        <v>19</v>
      </c>
      <c r="AB46" s="133" t="s">
        <v>1345</v>
      </c>
      <c r="AC46" s="133">
        <v>2</v>
      </c>
      <c r="AD46" s="133" t="s">
        <v>1345</v>
      </c>
      <c r="AE46" s="133" t="s">
        <v>1345</v>
      </c>
      <c r="AF46" s="133" t="s">
        <v>1349</v>
      </c>
      <c r="AG46" s="133" t="s">
        <v>1349</v>
      </c>
      <c r="AH46" s="133" t="s">
        <v>2289</v>
      </c>
      <c r="AI46" s="133">
        <v>2015</v>
      </c>
      <c r="AJ46" s="133" t="s">
        <v>1345</v>
      </c>
      <c r="AK46" s="133" t="s">
        <v>2290</v>
      </c>
      <c r="AL46" s="133" t="s">
        <v>1612</v>
      </c>
      <c r="AM46" s="133" t="s">
        <v>2291</v>
      </c>
      <c r="AN46" s="133" t="s">
        <v>2291</v>
      </c>
      <c r="AO46" s="133" t="s">
        <v>1802</v>
      </c>
      <c r="AP46" s="133" t="s">
        <v>2291</v>
      </c>
      <c r="AQ46" s="133" t="s">
        <v>2291</v>
      </c>
      <c r="AR46" s="133" t="s">
        <v>2291</v>
      </c>
      <c r="AS46" s="133" t="s">
        <v>1802</v>
      </c>
      <c r="AT46" s="133" t="s">
        <v>1358</v>
      </c>
      <c r="AU46" s="133" t="s">
        <v>2396</v>
      </c>
      <c r="AV46" s="133">
        <v>7500</v>
      </c>
      <c r="AW46" s="133" t="s">
        <v>2397</v>
      </c>
      <c r="AX46" s="133" t="s">
        <v>2398</v>
      </c>
      <c r="AY46" s="133" t="s">
        <v>1349</v>
      </c>
      <c r="AZ46" s="133" t="s">
        <v>2399</v>
      </c>
      <c r="BA46" s="133" t="s">
        <v>2400</v>
      </c>
      <c r="BB46" s="133" t="s">
        <v>2289</v>
      </c>
      <c r="BC46" s="133" t="s">
        <v>2289</v>
      </c>
      <c r="BD46" s="133" t="s">
        <v>2289</v>
      </c>
      <c r="BE46" s="133" t="s">
        <v>2392</v>
      </c>
      <c r="BF46" s="133" t="s">
        <v>2300</v>
      </c>
      <c r="BG46" s="133" t="s">
        <v>2300</v>
      </c>
      <c r="BH46" s="133">
        <v>3</v>
      </c>
      <c r="BI46" s="133">
        <v>3</v>
      </c>
      <c r="BJ46" s="133">
        <v>3</v>
      </c>
      <c r="BK46" s="133" t="s">
        <v>1360</v>
      </c>
      <c r="BL46" s="133" t="s">
        <v>1360</v>
      </c>
      <c r="BM46" s="133" t="s">
        <v>1360</v>
      </c>
      <c r="BN46" s="133" t="s">
        <v>1349</v>
      </c>
      <c r="BO46" s="133" t="s">
        <v>2300</v>
      </c>
      <c r="BP46" s="133" t="s">
        <v>2300</v>
      </c>
      <c r="BQ46" s="133" t="s">
        <v>1345</v>
      </c>
      <c r="BR46" s="133" t="s">
        <v>1345</v>
      </c>
      <c r="BS46" s="133" t="s">
        <v>2401</v>
      </c>
      <c r="BT46" s="133" t="s">
        <v>1349</v>
      </c>
      <c r="BU46" s="133" t="s">
        <v>2402</v>
      </c>
      <c r="BV46" s="133" t="s">
        <v>1349</v>
      </c>
      <c r="BW46" s="133" t="s">
        <v>2300</v>
      </c>
      <c r="BX46" s="133" t="s">
        <v>1345</v>
      </c>
      <c r="BY46" s="133" t="s">
        <v>2302</v>
      </c>
      <c r="BZ46" s="133" t="s">
        <v>2403</v>
      </c>
      <c r="CA46" s="133" t="s">
        <v>2392</v>
      </c>
      <c r="CB46" s="133" t="s">
        <v>2289</v>
      </c>
      <c r="CC46" s="133" t="s">
        <v>2289</v>
      </c>
      <c r="CD46" s="133" t="s">
        <v>2289</v>
      </c>
      <c r="CE46" s="133">
        <v>800</v>
      </c>
      <c r="CF46" s="133">
        <v>1200</v>
      </c>
      <c r="CG46" s="133">
        <v>1800</v>
      </c>
      <c r="CH46" s="133">
        <v>120</v>
      </c>
      <c r="CI46" s="133">
        <v>200</v>
      </c>
      <c r="CJ46" s="133">
        <v>300</v>
      </c>
      <c r="CK46" s="135">
        <v>0.9</v>
      </c>
      <c r="CL46" s="136">
        <v>0.8</v>
      </c>
      <c r="CM46" s="133" t="s">
        <v>2404</v>
      </c>
      <c r="CN46" s="133" t="s">
        <v>2384</v>
      </c>
      <c r="CO46" s="133" t="s">
        <v>2307</v>
      </c>
      <c r="CP46" s="133" t="s">
        <v>1565</v>
      </c>
      <c r="CQ46" s="133" t="s">
        <v>2308</v>
      </c>
      <c r="CR46" s="133">
        <v>11</v>
      </c>
      <c r="CS46" s="133" t="s">
        <v>2405</v>
      </c>
      <c r="CT46" s="133" t="s">
        <v>2406</v>
      </c>
      <c r="CU46" s="133" t="s">
        <v>1345</v>
      </c>
      <c r="CV46" s="133" t="s">
        <v>2407</v>
      </c>
      <c r="CW46" s="133" t="s">
        <v>1349</v>
      </c>
      <c r="CX46" s="133" t="s">
        <v>2289</v>
      </c>
      <c r="CY46" s="133" t="s">
        <v>2289</v>
      </c>
      <c r="CZ46" s="133" t="s">
        <v>2311</v>
      </c>
      <c r="DA46" s="133" t="s">
        <v>1358</v>
      </c>
      <c r="DB46" s="133" t="s">
        <v>1903</v>
      </c>
      <c r="DC46" s="133" t="s">
        <v>2408</v>
      </c>
      <c r="DD46" s="132" t="s">
        <v>2409</v>
      </c>
      <c r="DE46" s="133" t="s">
        <v>2350</v>
      </c>
      <c r="DF46" s="133" t="s">
        <v>2410</v>
      </c>
      <c r="DG46" s="133" t="s">
        <v>2411</v>
      </c>
      <c r="DH46" s="133" t="s">
        <v>2412</v>
      </c>
      <c r="DI46" s="132"/>
      <c r="DJ46" s="133" t="s">
        <v>1556</v>
      </c>
      <c r="DK46" s="133" t="s">
        <v>1556</v>
      </c>
      <c r="DL46" s="133" t="s">
        <v>2413</v>
      </c>
      <c r="DM46" s="133" t="s">
        <v>2367</v>
      </c>
      <c r="DN46" s="133" t="s">
        <v>1345</v>
      </c>
      <c r="DO46" s="133" t="s">
        <v>2414</v>
      </c>
      <c r="DP46" s="133" t="s">
        <v>1345</v>
      </c>
      <c r="DQ46" s="133" t="s">
        <v>2415</v>
      </c>
      <c r="DR46" s="133" t="s">
        <v>1349</v>
      </c>
      <c r="DS46" s="133" t="s">
        <v>2300</v>
      </c>
      <c r="DT46" s="133" t="s">
        <v>2300</v>
      </c>
      <c r="DU46" s="133" t="s">
        <v>1358</v>
      </c>
      <c r="DV46" s="133" t="s">
        <v>1345</v>
      </c>
      <c r="DW46" s="133" t="s">
        <v>2416</v>
      </c>
      <c r="DX46" s="133" t="s">
        <v>1345</v>
      </c>
      <c r="DY46" s="133" t="s">
        <v>1349</v>
      </c>
      <c r="DZ46" s="133" t="s">
        <v>2417</v>
      </c>
      <c r="EA46" s="133" t="s">
        <v>1345</v>
      </c>
      <c r="EB46" s="133" t="s">
        <v>1345</v>
      </c>
      <c r="EC46" s="133" t="s">
        <v>1345</v>
      </c>
      <c r="ED46" s="133" t="s">
        <v>2418</v>
      </c>
      <c r="EE46" s="132">
        <v>0.2</v>
      </c>
      <c r="EF46" s="133" t="s">
        <v>2370</v>
      </c>
      <c r="EG46" s="133" t="s">
        <v>1349</v>
      </c>
      <c r="EH46" s="133" t="s">
        <v>2300</v>
      </c>
      <c r="EI46" s="133" t="s">
        <v>2326</v>
      </c>
      <c r="EJ46" s="132" t="s">
        <v>2327</v>
      </c>
      <c r="EK46" s="133" t="s">
        <v>2419</v>
      </c>
      <c r="EL46" s="133" t="s">
        <v>1389</v>
      </c>
      <c r="EM46" s="133">
        <v>4</v>
      </c>
      <c r="EN46" s="133" t="s">
        <v>2388</v>
      </c>
      <c r="EO46" s="133">
        <v>4</v>
      </c>
      <c r="EP46" s="133" t="s">
        <v>2420</v>
      </c>
      <c r="EQ46" s="133">
        <v>3</v>
      </c>
      <c r="ER46" s="132" t="s">
        <v>2356</v>
      </c>
      <c r="ES46" s="133">
        <v>4</v>
      </c>
      <c r="ET46" s="132" t="s">
        <v>2421</v>
      </c>
      <c r="EU46" s="133">
        <v>5</v>
      </c>
      <c r="EV46" s="132" t="s">
        <v>2422</v>
      </c>
      <c r="EW46" s="133">
        <v>1</v>
      </c>
      <c r="EX46" s="132" t="s">
        <v>2423</v>
      </c>
      <c r="EY46" s="133">
        <v>1</v>
      </c>
      <c r="EZ46" s="132" t="s">
        <v>2424</v>
      </c>
    </row>
    <row r="47" spans="1:157">
      <c r="A47" s="127">
        <v>538</v>
      </c>
      <c r="B47" s="132">
        <v>42</v>
      </c>
      <c r="C47" s="133" t="s">
        <v>2278</v>
      </c>
      <c r="D47" s="134">
        <v>43720</v>
      </c>
      <c r="E47" s="133" t="s">
        <v>2425</v>
      </c>
      <c r="F47" s="133" t="e">
        <v>#N/A</v>
      </c>
      <c r="G47" s="133" t="e">
        <v>#N/A</v>
      </c>
      <c r="H47" s="133" t="s">
        <v>1690</v>
      </c>
      <c r="I47" s="133" t="s">
        <v>2279</v>
      </c>
      <c r="J47" s="133" t="s">
        <v>451</v>
      </c>
      <c r="K47" s="133" t="s">
        <v>2392</v>
      </c>
      <c r="L47" s="133">
        <v>39</v>
      </c>
      <c r="M47" s="133" t="s">
        <v>2393</v>
      </c>
      <c r="N47" s="133" t="s">
        <v>1541</v>
      </c>
      <c r="O47" s="133" t="s">
        <v>1005</v>
      </c>
      <c r="P47" s="133" t="s">
        <v>2426</v>
      </c>
      <c r="Q47" s="133" t="s">
        <v>2427</v>
      </c>
      <c r="R47" s="133" t="s">
        <v>1345</v>
      </c>
      <c r="S47" s="133">
        <v>10</v>
      </c>
      <c r="T47" s="133" t="s">
        <v>2285</v>
      </c>
      <c r="U47" s="133">
        <v>2010</v>
      </c>
      <c r="V47" s="133" t="s">
        <v>2358</v>
      </c>
      <c r="W47" s="133" t="s">
        <v>2287</v>
      </c>
      <c r="X47" s="133" t="s">
        <v>1345</v>
      </c>
      <c r="Y47" s="133">
        <v>2019</v>
      </c>
      <c r="Z47" s="133" t="s">
        <v>2288</v>
      </c>
      <c r="AA47" s="133">
        <v>55</v>
      </c>
      <c r="AB47" s="133" t="s">
        <v>1349</v>
      </c>
      <c r="AC47" s="133">
        <v>3</v>
      </c>
      <c r="AD47" s="133" t="s">
        <v>1345</v>
      </c>
      <c r="AE47" s="133" t="s">
        <v>1345</v>
      </c>
      <c r="AF47" s="133" t="s">
        <v>1349</v>
      </c>
      <c r="AG47" s="133" t="s">
        <v>1349</v>
      </c>
      <c r="AH47" s="133" t="s">
        <v>2428</v>
      </c>
      <c r="AI47" s="133">
        <v>2010</v>
      </c>
      <c r="AJ47" s="133" t="s">
        <v>1345</v>
      </c>
      <c r="AK47" s="133" t="s">
        <v>2290</v>
      </c>
      <c r="AL47" s="133" t="s">
        <v>1612</v>
      </c>
      <c r="AM47" s="133" t="s">
        <v>2291</v>
      </c>
      <c r="AN47" s="133" t="s">
        <v>2291</v>
      </c>
      <c r="AO47" s="133" t="s">
        <v>1802</v>
      </c>
      <c r="AP47" s="133" t="s">
        <v>2291</v>
      </c>
      <c r="AQ47" s="133" t="s">
        <v>2291</v>
      </c>
      <c r="AR47" s="133" t="s">
        <v>2291</v>
      </c>
      <c r="AS47" s="133" t="s">
        <v>1802</v>
      </c>
      <c r="AT47" s="133" t="s">
        <v>1358</v>
      </c>
      <c r="AU47" s="133" t="s">
        <v>2429</v>
      </c>
      <c r="AV47" s="133">
        <v>3000</v>
      </c>
      <c r="AW47" s="133" t="s">
        <v>2397</v>
      </c>
      <c r="AX47" s="133" t="s">
        <v>2430</v>
      </c>
      <c r="AY47" s="133" t="s">
        <v>1349</v>
      </c>
      <c r="AZ47" s="133" t="s">
        <v>2431</v>
      </c>
      <c r="BA47" s="133" t="s">
        <v>2361</v>
      </c>
      <c r="BB47" s="133" t="s">
        <v>2289</v>
      </c>
      <c r="BC47" s="133" t="s">
        <v>2289</v>
      </c>
      <c r="BD47" s="133" t="s">
        <v>2289</v>
      </c>
      <c r="BE47" s="133" t="s">
        <v>2392</v>
      </c>
      <c r="BF47" s="133" t="s">
        <v>2300</v>
      </c>
      <c r="BG47" s="133" t="s">
        <v>2300</v>
      </c>
      <c r="BH47" s="133">
        <v>4</v>
      </c>
      <c r="BI47" s="133">
        <v>5</v>
      </c>
      <c r="BJ47" s="133">
        <v>5</v>
      </c>
      <c r="BK47" s="133" t="s">
        <v>1360</v>
      </c>
      <c r="BL47" s="133" t="s">
        <v>1360</v>
      </c>
      <c r="BM47" s="133" t="s">
        <v>1360</v>
      </c>
      <c r="BN47" s="133" t="s">
        <v>1349</v>
      </c>
      <c r="BO47" s="133" t="s">
        <v>2300</v>
      </c>
      <c r="BP47" s="133" t="s">
        <v>2300</v>
      </c>
      <c r="BQ47" s="133" t="s">
        <v>1345</v>
      </c>
      <c r="BR47" s="133" t="s">
        <v>1345</v>
      </c>
      <c r="BS47" s="133" t="s">
        <v>2401</v>
      </c>
      <c r="BT47" s="133" t="s">
        <v>1345</v>
      </c>
      <c r="BU47" s="133" t="s">
        <v>2402</v>
      </c>
      <c r="BV47" s="133" t="s">
        <v>1349</v>
      </c>
      <c r="BW47" s="133" t="s">
        <v>2300</v>
      </c>
      <c r="BX47" s="133" t="s">
        <v>1345</v>
      </c>
      <c r="BY47" s="133" t="s">
        <v>2302</v>
      </c>
      <c r="BZ47" s="133" t="s">
        <v>2403</v>
      </c>
      <c r="CA47" s="133" t="s">
        <v>2392</v>
      </c>
      <c r="CB47" s="133" t="s">
        <v>2289</v>
      </c>
      <c r="CC47" s="133" t="s">
        <v>2289</v>
      </c>
      <c r="CD47" s="133" t="s">
        <v>2289</v>
      </c>
      <c r="CE47" s="133">
        <v>0</v>
      </c>
      <c r="CF47" s="133">
        <v>0</v>
      </c>
      <c r="CG47" s="133">
        <v>0</v>
      </c>
      <c r="CH47" s="133">
        <v>800</v>
      </c>
      <c r="CI47" s="133">
        <v>900</v>
      </c>
      <c r="CJ47" s="133">
        <v>1200</v>
      </c>
      <c r="CK47" s="136">
        <v>0.5</v>
      </c>
      <c r="CL47" s="136">
        <v>0.75</v>
      </c>
      <c r="CM47" s="133" t="s">
        <v>2433</v>
      </c>
      <c r="CN47" s="133" t="s">
        <v>2434</v>
      </c>
      <c r="CO47" s="133" t="s">
        <v>2307</v>
      </c>
      <c r="CP47" s="133" t="s">
        <v>1565</v>
      </c>
      <c r="CQ47" s="133" t="s">
        <v>2308</v>
      </c>
      <c r="CR47" s="133">
        <v>10</v>
      </c>
      <c r="CS47" s="133" t="s">
        <v>2405</v>
      </c>
      <c r="CT47" s="133" t="s">
        <v>2406</v>
      </c>
      <c r="CU47" s="133" t="s">
        <v>1345</v>
      </c>
      <c r="CV47" s="133" t="s">
        <v>2407</v>
      </c>
      <c r="CW47" s="133" t="s">
        <v>1349</v>
      </c>
      <c r="CX47" s="133" t="s">
        <v>2289</v>
      </c>
      <c r="CY47" s="133" t="s">
        <v>2289</v>
      </c>
      <c r="CZ47" s="133" t="s">
        <v>2311</v>
      </c>
      <c r="DA47" s="133" t="s">
        <v>1358</v>
      </c>
      <c r="DB47" s="133" t="s">
        <v>1903</v>
      </c>
      <c r="DC47" s="133" t="s">
        <v>2408</v>
      </c>
      <c r="DD47" s="132" t="s">
        <v>2409</v>
      </c>
      <c r="DE47" s="133" t="s">
        <v>2350</v>
      </c>
      <c r="DF47" s="133" t="s">
        <v>2410</v>
      </c>
      <c r="DG47" s="133" t="s">
        <v>2411</v>
      </c>
      <c r="DH47" s="133" t="s">
        <v>1565</v>
      </c>
      <c r="DI47" s="133" t="s">
        <v>1556</v>
      </c>
      <c r="DJ47" s="133" t="s">
        <v>1556</v>
      </c>
      <c r="DK47" s="133" t="s">
        <v>1556</v>
      </c>
      <c r="DL47" s="133" t="s">
        <v>1366</v>
      </c>
      <c r="DM47" s="133" t="s">
        <v>2367</v>
      </c>
      <c r="DN47" s="133" t="s">
        <v>1345</v>
      </c>
      <c r="DO47" s="133" t="s">
        <v>2414</v>
      </c>
      <c r="DP47" s="133" t="s">
        <v>1345</v>
      </c>
      <c r="DQ47" s="133" t="s">
        <v>2435</v>
      </c>
      <c r="DR47" s="133" t="s">
        <v>1349</v>
      </c>
      <c r="DS47" s="133" t="s">
        <v>2300</v>
      </c>
      <c r="DT47" s="133" t="s">
        <v>2300</v>
      </c>
      <c r="DU47" s="133" t="s">
        <v>2432</v>
      </c>
      <c r="DV47" s="133" t="s">
        <v>1345</v>
      </c>
      <c r="DW47" s="133" t="s">
        <v>2436</v>
      </c>
      <c r="DX47" s="133" t="s">
        <v>1345</v>
      </c>
      <c r="DY47" s="133" t="s">
        <v>1349</v>
      </c>
      <c r="DZ47" s="133" t="s">
        <v>2437</v>
      </c>
      <c r="EA47" s="133" t="s">
        <v>1345</v>
      </c>
      <c r="EB47" s="133" t="s">
        <v>1345</v>
      </c>
      <c r="EC47" s="133" t="s">
        <v>1345</v>
      </c>
      <c r="ED47" s="133" t="s">
        <v>2438</v>
      </c>
      <c r="EE47" s="132">
        <v>0.65</v>
      </c>
      <c r="EF47" s="133" t="s">
        <v>2370</v>
      </c>
      <c r="EG47" s="133" t="s">
        <v>1349</v>
      </c>
      <c r="EH47" s="133" t="s">
        <v>2300</v>
      </c>
      <c r="EI47" s="133" t="s">
        <v>2326</v>
      </c>
      <c r="EJ47" s="132" t="s">
        <v>2327</v>
      </c>
      <c r="EK47" s="133" t="s">
        <v>2419</v>
      </c>
      <c r="EL47" s="133" t="s">
        <v>1389</v>
      </c>
      <c r="EM47" s="133">
        <v>4</v>
      </c>
      <c r="EN47" s="133" t="s">
        <v>2439</v>
      </c>
      <c r="EO47" s="133">
        <v>4</v>
      </c>
      <c r="EP47" s="133" t="s">
        <v>2420</v>
      </c>
      <c r="EQ47" s="133">
        <v>4</v>
      </c>
      <c r="ER47" s="132" t="s">
        <v>2331</v>
      </c>
      <c r="ES47" s="133">
        <v>4</v>
      </c>
      <c r="ET47" s="132" t="s">
        <v>2421</v>
      </c>
      <c r="EU47" s="133">
        <v>5</v>
      </c>
      <c r="EV47" s="132" t="s">
        <v>2422</v>
      </c>
      <c r="EW47" s="133">
        <v>1</v>
      </c>
      <c r="EX47" s="132" t="s">
        <v>2423</v>
      </c>
      <c r="EY47" s="133">
        <v>1</v>
      </c>
      <c r="EZ47" s="132" t="s">
        <v>2424</v>
      </c>
      <c r="FA47" s="132"/>
    </row>
    <row r="48" spans="1:157">
      <c r="A48" s="127">
        <v>539</v>
      </c>
      <c r="B48" s="132">
        <v>46</v>
      </c>
      <c r="C48" s="133" t="s">
        <v>2278</v>
      </c>
      <c r="D48" s="134">
        <v>43725</v>
      </c>
      <c r="E48" s="133" t="s">
        <v>2509</v>
      </c>
      <c r="F48" s="133" t="e">
        <v>#N/A</v>
      </c>
      <c r="G48" s="133" t="e">
        <v>#N/A</v>
      </c>
      <c r="H48" s="133" t="s">
        <v>1690</v>
      </c>
      <c r="I48" s="133" t="s">
        <v>1094</v>
      </c>
      <c r="J48" s="133" t="s">
        <v>138</v>
      </c>
      <c r="K48" s="133" t="s">
        <v>1096</v>
      </c>
      <c r="L48" s="133">
        <v>73</v>
      </c>
      <c r="M48" s="133" t="s">
        <v>2393</v>
      </c>
      <c r="N48" s="133" t="s">
        <v>1541</v>
      </c>
      <c r="O48" s="133" t="s">
        <v>656</v>
      </c>
      <c r="P48" s="133" t="s">
        <v>2510</v>
      </c>
      <c r="Q48" s="133" t="s">
        <v>2511</v>
      </c>
      <c r="R48" s="133" t="s">
        <v>1345</v>
      </c>
      <c r="S48" s="133">
        <v>6</v>
      </c>
      <c r="T48" s="133" t="s">
        <v>2285</v>
      </c>
      <c r="U48" s="133">
        <v>2012</v>
      </c>
      <c r="V48" s="133" t="s">
        <v>2512</v>
      </c>
      <c r="W48" s="133" t="s">
        <v>2359</v>
      </c>
      <c r="X48" s="133" t="s">
        <v>1345</v>
      </c>
      <c r="Y48" s="133">
        <v>2018</v>
      </c>
      <c r="Z48" s="133" t="s">
        <v>2288</v>
      </c>
      <c r="AA48" s="133">
        <v>30</v>
      </c>
      <c r="AB48" s="133" t="s">
        <v>1349</v>
      </c>
      <c r="AC48" s="133">
        <v>4</v>
      </c>
      <c r="AD48" s="133" t="s">
        <v>1345</v>
      </c>
      <c r="AE48" s="133" t="s">
        <v>1345</v>
      </c>
      <c r="AF48" s="133" t="s">
        <v>1349</v>
      </c>
      <c r="AG48" s="133" t="s">
        <v>1349</v>
      </c>
      <c r="AH48" s="133" t="s">
        <v>2428</v>
      </c>
      <c r="AI48" s="133">
        <v>2014</v>
      </c>
      <c r="AJ48" s="133" t="s">
        <v>1345</v>
      </c>
      <c r="AK48" s="133" t="s">
        <v>2290</v>
      </c>
      <c r="AL48" s="133" t="s">
        <v>1612</v>
      </c>
      <c r="AM48" s="133" t="s">
        <v>2291</v>
      </c>
      <c r="AN48" s="133" t="s">
        <v>2291</v>
      </c>
      <c r="AO48" s="133" t="s">
        <v>2291</v>
      </c>
      <c r="AP48" s="133" t="s">
        <v>2291</v>
      </c>
      <c r="AQ48" s="133" t="s">
        <v>2291</v>
      </c>
      <c r="AR48" s="133" t="s">
        <v>2291</v>
      </c>
      <c r="AS48" s="133" t="s">
        <v>1802</v>
      </c>
      <c r="AT48" s="133" t="s">
        <v>1358</v>
      </c>
      <c r="AU48" s="133" t="s">
        <v>2396</v>
      </c>
      <c r="AV48" s="132">
        <v>7500</v>
      </c>
      <c r="AW48" s="133" t="s">
        <v>2513</v>
      </c>
      <c r="AX48" s="133" t="s">
        <v>2514</v>
      </c>
      <c r="AY48" s="133" t="s">
        <v>1345</v>
      </c>
      <c r="AZ48" s="133" t="s">
        <v>2515</v>
      </c>
      <c r="BA48" s="133" t="s">
        <v>2361</v>
      </c>
      <c r="BB48" s="133" t="s">
        <v>2346</v>
      </c>
      <c r="BC48" s="133" t="s">
        <v>2289</v>
      </c>
      <c r="BD48" s="133" t="s">
        <v>2289</v>
      </c>
      <c r="BE48" s="133" t="s">
        <v>2516</v>
      </c>
      <c r="BF48" s="133" t="s">
        <v>2300</v>
      </c>
      <c r="BG48" s="133" t="s">
        <v>2300</v>
      </c>
      <c r="BH48" s="133">
        <v>6</v>
      </c>
      <c r="BI48" s="133">
        <v>6</v>
      </c>
      <c r="BJ48" s="133">
        <v>6</v>
      </c>
      <c r="BK48" s="133" t="s">
        <v>1360</v>
      </c>
      <c r="BL48" s="133" t="s">
        <v>1360</v>
      </c>
      <c r="BM48" s="133" t="s">
        <v>1360</v>
      </c>
      <c r="BN48" s="133" t="s">
        <v>1349</v>
      </c>
      <c r="BO48" s="133" t="s">
        <v>2300</v>
      </c>
      <c r="BP48" s="133" t="s">
        <v>2300</v>
      </c>
      <c r="BQ48" s="133" t="s">
        <v>1349</v>
      </c>
      <c r="BR48" s="133" t="s">
        <v>1349</v>
      </c>
      <c r="BS48" s="133" t="s">
        <v>2517</v>
      </c>
      <c r="BT48" s="133" t="s">
        <v>1349</v>
      </c>
      <c r="BU48" s="133" t="s">
        <v>2518</v>
      </c>
      <c r="BV48" s="133" t="s">
        <v>1349</v>
      </c>
      <c r="BW48" s="133" t="s">
        <v>2300</v>
      </c>
      <c r="BX48" s="133" t="s">
        <v>1345</v>
      </c>
      <c r="BY48" s="133" t="s">
        <v>2302</v>
      </c>
      <c r="BZ48" s="133" t="s">
        <v>2519</v>
      </c>
      <c r="CA48" s="132"/>
      <c r="CB48" s="133" t="s">
        <v>2289</v>
      </c>
      <c r="CC48" s="133" t="s">
        <v>2289</v>
      </c>
      <c r="CD48" s="133" t="s">
        <v>2289</v>
      </c>
      <c r="CE48" s="133">
        <v>2560</v>
      </c>
      <c r="CF48" s="133">
        <v>3360</v>
      </c>
      <c r="CG48" s="133">
        <v>4120</v>
      </c>
      <c r="CH48" s="133">
        <v>170</v>
      </c>
      <c r="CI48" s="133">
        <v>136</v>
      </c>
      <c r="CJ48" s="133">
        <v>238</v>
      </c>
      <c r="CK48" s="136">
        <v>0.4</v>
      </c>
      <c r="CL48" s="136">
        <v>0.5</v>
      </c>
      <c r="CM48" s="136">
        <v>0.6</v>
      </c>
      <c r="CN48" s="136">
        <v>0.5</v>
      </c>
      <c r="CO48" s="133" t="s">
        <v>1868</v>
      </c>
      <c r="CP48" s="133" t="s">
        <v>2520</v>
      </c>
      <c r="CQ48" s="133" t="s">
        <v>2521</v>
      </c>
      <c r="CR48" s="133" t="s">
        <v>2522</v>
      </c>
      <c r="CS48" s="133" t="s">
        <v>1818</v>
      </c>
      <c r="CT48" s="133" t="s">
        <v>2300</v>
      </c>
      <c r="CU48" s="133" t="s">
        <v>1345</v>
      </c>
      <c r="CV48" s="133" t="s">
        <v>2523</v>
      </c>
      <c r="CW48" s="133" t="s">
        <v>1349</v>
      </c>
      <c r="CX48" s="133" t="s">
        <v>2289</v>
      </c>
      <c r="CY48" s="133" t="s">
        <v>2289</v>
      </c>
      <c r="CZ48" s="133" t="s">
        <v>2311</v>
      </c>
      <c r="DA48" s="133" t="s">
        <v>1358</v>
      </c>
      <c r="DB48" s="133" t="s">
        <v>1903</v>
      </c>
      <c r="DC48" s="133" t="s">
        <v>2524</v>
      </c>
      <c r="DD48" s="132" t="s">
        <v>2472</v>
      </c>
      <c r="DE48" s="133" t="s">
        <v>2525</v>
      </c>
      <c r="DF48" s="133" t="s">
        <v>2526</v>
      </c>
      <c r="DG48" s="133" t="s">
        <v>2527</v>
      </c>
      <c r="DH48" s="133" t="s">
        <v>2528</v>
      </c>
      <c r="DI48" s="133" t="s">
        <v>2529</v>
      </c>
      <c r="DJ48" s="133" t="s">
        <v>1556</v>
      </c>
      <c r="DK48" s="133" t="s">
        <v>1556</v>
      </c>
      <c r="DL48" s="133" t="s">
        <v>2476</v>
      </c>
      <c r="DM48" s="133" t="s">
        <v>2530</v>
      </c>
      <c r="DN48" s="133" t="s">
        <v>1345</v>
      </c>
      <c r="DO48" s="133" t="s">
        <v>2531</v>
      </c>
      <c r="DP48" s="133" t="s">
        <v>1349</v>
      </c>
      <c r="DQ48" s="133" t="s">
        <v>1358</v>
      </c>
      <c r="DR48" s="133" t="s">
        <v>1349</v>
      </c>
      <c r="DS48" s="133" t="s">
        <v>2300</v>
      </c>
      <c r="DT48" s="133" t="s">
        <v>2300</v>
      </c>
      <c r="DU48" s="133" t="s">
        <v>2300</v>
      </c>
      <c r="DV48" s="133" t="s">
        <v>1345</v>
      </c>
      <c r="DW48" s="133" t="s">
        <v>2532</v>
      </c>
      <c r="DX48" s="133" t="s">
        <v>1345</v>
      </c>
      <c r="DY48" s="133" t="s">
        <v>1349</v>
      </c>
      <c r="DZ48" s="133" t="s">
        <v>2533</v>
      </c>
      <c r="EA48" s="133" t="s">
        <v>1345</v>
      </c>
      <c r="EB48" s="133" t="s">
        <v>1345</v>
      </c>
      <c r="EC48" s="133" t="s">
        <v>1345</v>
      </c>
      <c r="ED48" s="133" t="s">
        <v>2534</v>
      </c>
      <c r="EE48" s="132">
        <v>0.7</v>
      </c>
      <c r="EF48" s="133" t="s">
        <v>2370</v>
      </c>
      <c r="EG48" s="133" t="s">
        <v>1349</v>
      </c>
      <c r="EH48" s="133" t="s">
        <v>2300</v>
      </c>
      <c r="EI48" s="133" t="s">
        <v>2326</v>
      </c>
      <c r="EJ48" s="132" t="s">
        <v>2327</v>
      </c>
      <c r="EK48" s="133" t="s">
        <v>2419</v>
      </c>
      <c r="EL48" s="133" t="s">
        <v>1389</v>
      </c>
      <c r="EM48" s="133">
        <v>5</v>
      </c>
      <c r="EN48" s="133" t="s">
        <v>2535</v>
      </c>
      <c r="EO48" s="133">
        <v>3</v>
      </c>
      <c r="EP48" s="133" t="s">
        <v>2536</v>
      </c>
      <c r="EQ48" s="133">
        <v>4</v>
      </c>
      <c r="ER48" s="132" t="s">
        <v>2537</v>
      </c>
      <c r="ES48" s="133">
        <v>4</v>
      </c>
      <c r="ET48" s="132" t="s">
        <v>2538</v>
      </c>
      <c r="EU48" s="133">
        <v>5</v>
      </c>
      <c r="EV48" s="132" t="s">
        <v>2508</v>
      </c>
      <c r="EW48" s="133">
        <v>2</v>
      </c>
      <c r="EX48" s="132" t="s">
        <v>2481</v>
      </c>
      <c r="EY48" s="133">
        <v>1</v>
      </c>
      <c r="EZ48" s="132" t="s">
        <v>2424</v>
      </c>
      <c r="FA48" s="132"/>
    </row>
    <row r="49" spans="1:157">
      <c r="A49" s="127">
        <v>540</v>
      </c>
      <c r="B49" s="127">
        <v>11</v>
      </c>
      <c r="C49" s="128" t="s">
        <v>1337</v>
      </c>
      <c r="D49" s="129">
        <v>43724</v>
      </c>
      <c r="E49" s="128" t="s">
        <v>1624</v>
      </c>
      <c r="F49" s="128" t="e">
        <f>IF(E49 &lt;&gt; "", VLOOKUP(E49, '[4]Internal-logic'!G$1:I$364, 2, FALSE),"")</f>
        <v>#N/A</v>
      </c>
      <c r="G49" s="128" t="e">
        <f>IF(E49 &lt;&gt; "", VLOOKUP(E49, '[4]Internal-logic'!G$1:I$364, 3, FALSE),"")</f>
        <v>#N/A</v>
      </c>
      <c r="H49" s="128" t="s">
        <v>1539</v>
      </c>
      <c r="I49" s="128" t="s">
        <v>1093</v>
      </c>
      <c r="J49" s="128" t="s">
        <v>1625</v>
      </c>
      <c r="K49" s="128" t="s">
        <v>1341</v>
      </c>
      <c r="L49" s="128">
        <v>0.5</v>
      </c>
      <c r="M49" s="128" t="s">
        <v>1349</v>
      </c>
      <c r="N49" s="127" t="s">
        <v>1541</v>
      </c>
      <c r="O49" s="127" t="s">
        <v>656</v>
      </c>
      <c r="P49" s="128" t="s">
        <v>1626</v>
      </c>
      <c r="Q49" s="128"/>
      <c r="R49" s="128" t="s">
        <v>1345</v>
      </c>
      <c r="S49" s="128">
        <v>6</v>
      </c>
      <c r="T49" s="128" t="s">
        <v>1544</v>
      </c>
      <c r="U49" s="128">
        <v>2012</v>
      </c>
      <c r="V49" s="128" t="s">
        <v>1627</v>
      </c>
      <c r="W49" s="128" t="s">
        <v>1546</v>
      </c>
      <c r="X49" s="128" t="s">
        <v>1345</v>
      </c>
      <c r="Y49" s="128">
        <v>2019</v>
      </c>
      <c r="Z49" s="128" t="s">
        <v>1547</v>
      </c>
      <c r="AA49" s="128">
        <v>32</v>
      </c>
      <c r="AB49" s="128" t="s">
        <v>1548</v>
      </c>
      <c r="AC49" s="128">
        <v>0</v>
      </c>
      <c r="AD49" s="128" t="s">
        <v>1345</v>
      </c>
      <c r="AE49" s="128" t="s">
        <v>1345</v>
      </c>
      <c r="AF49" s="128" t="s">
        <v>1349</v>
      </c>
      <c r="AG49" s="128" t="s">
        <v>1349</v>
      </c>
      <c r="AI49" s="128">
        <v>2013</v>
      </c>
      <c r="AJ49" s="128" t="s">
        <v>1349</v>
      </c>
      <c r="AK49" s="128" t="s">
        <v>1549</v>
      </c>
      <c r="AL49" s="128" t="s">
        <v>1612</v>
      </c>
      <c r="AM49" s="127" t="s">
        <v>1351</v>
      </c>
      <c r="AN49" s="127" t="s">
        <v>1351</v>
      </c>
      <c r="AO49" s="127" t="s">
        <v>1351</v>
      </c>
      <c r="AP49" s="127" t="s">
        <v>1351</v>
      </c>
      <c r="AQ49" s="127" t="s">
        <v>1551</v>
      </c>
      <c r="AR49" s="127" t="s">
        <v>1551</v>
      </c>
      <c r="AS49" s="127" t="s">
        <v>1552</v>
      </c>
      <c r="AT49" s="128" t="s">
        <v>1553</v>
      </c>
      <c r="AU49" s="127" t="s">
        <v>1556</v>
      </c>
      <c r="AV49" s="127" t="s">
        <v>1556</v>
      </c>
      <c r="AW49" s="128" t="s">
        <v>1556</v>
      </c>
      <c r="AX49" s="128" t="s">
        <v>1555</v>
      </c>
      <c r="AY49" s="128" t="s">
        <v>1349</v>
      </c>
      <c r="AZ49" s="128" t="s">
        <v>1556</v>
      </c>
      <c r="BA49" s="128" t="s">
        <v>1556</v>
      </c>
      <c r="BB49" s="128" t="s">
        <v>1557</v>
      </c>
      <c r="BC49" s="128" t="s">
        <v>1557</v>
      </c>
      <c r="BD49" s="128" t="s">
        <v>1557</v>
      </c>
      <c r="BE49" s="128" t="s">
        <v>1628</v>
      </c>
      <c r="BF49" s="128" t="s">
        <v>1628</v>
      </c>
      <c r="BG49" s="128" t="s">
        <v>1628</v>
      </c>
      <c r="BH49" s="128">
        <v>0.5</v>
      </c>
      <c r="BI49" s="128" t="s">
        <v>1556</v>
      </c>
      <c r="BJ49" s="128">
        <v>10</v>
      </c>
      <c r="BK49" s="128" t="s">
        <v>1559</v>
      </c>
      <c r="BL49" s="128" t="s">
        <v>1556</v>
      </c>
      <c r="BM49" s="128" t="s">
        <v>1559</v>
      </c>
      <c r="BN49" s="128" t="s">
        <v>1349</v>
      </c>
      <c r="BO49" s="128" t="s">
        <v>1556</v>
      </c>
      <c r="BP49" s="128" t="s">
        <v>1556</v>
      </c>
      <c r="BQ49" s="128" t="s">
        <v>1345</v>
      </c>
      <c r="BR49" s="128" t="s">
        <v>1349</v>
      </c>
      <c r="BS49" s="128" t="s">
        <v>1349</v>
      </c>
      <c r="BT49" s="128" t="s">
        <v>1345</v>
      </c>
      <c r="BU49" s="128" t="s">
        <v>1560</v>
      </c>
      <c r="BV49" s="128" t="s">
        <v>1349</v>
      </c>
      <c r="BW49" s="128" t="s">
        <v>1556</v>
      </c>
      <c r="BX49" s="128" t="s">
        <v>1345</v>
      </c>
      <c r="BY49" s="128" t="s">
        <v>1561</v>
      </c>
      <c r="BZ49" s="128" t="s">
        <v>1562</v>
      </c>
      <c r="CA49" s="128" t="s">
        <v>1629</v>
      </c>
      <c r="CB49" s="128" t="s">
        <v>1556</v>
      </c>
      <c r="CC49" s="128" t="s">
        <v>1556</v>
      </c>
      <c r="CD49" s="128" t="s">
        <v>1556</v>
      </c>
      <c r="CE49" s="128">
        <v>0</v>
      </c>
      <c r="CF49" s="128">
        <v>500</v>
      </c>
      <c r="CG49" s="128">
        <v>6400</v>
      </c>
      <c r="CH49" s="128">
        <v>0</v>
      </c>
      <c r="CI49" s="128">
        <v>150</v>
      </c>
      <c r="CJ49" s="128">
        <v>600</v>
      </c>
      <c r="CK49" s="130">
        <v>0</v>
      </c>
      <c r="CL49" s="130">
        <v>0.7</v>
      </c>
      <c r="CM49" s="130">
        <v>0</v>
      </c>
      <c r="CN49" s="130">
        <v>0.3</v>
      </c>
      <c r="CO49" s="127" t="s">
        <v>1564</v>
      </c>
      <c r="CP49" s="127" t="s">
        <v>1565</v>
      </c>
      <c r="CQ49" s="127" t="s">
        <v>1566</v>
      </c>
      <c r="CR49" s="127">
        <v>8</v>
      </c>
      <c r="CS49" s="127" t="s">
        <v>1360</v>
      </c>
      <c r="CT49" s="127" t="s">
        <v>1567</v>
      </c>
      <c r="CU49" s="127" t="s">
        <v>1383</v>
      </c>
      <c r="CV49" s="127" t="s">
        <v>1568</v>
      </c>
      <c r="CW49" s="127" t="s">
        <v>1349</v>
      </c>
      <c r="CX49" s="127" t="s">
        <v>1556</v>
      </c>
      <c r="CY49" s="127" t="s">
        <v>1556</v>
      </c>
      <c r="CZ49" s="127" t="s">
        <v>1569</v>
      </c>
      <c r="DA49" s="127" t="s">
        <v>1556</v>
      </c>
      <c r="DB49" s="127">
        <v>1</v>
      </c>
      <c r="DC49" s="127" t="s">
        <v>1570</v>
      </c>
      <c r="DD49" s="127" t="s">
        <v>1571</v>
      </c>
      <c r="DE49" s="127" t="s">
        <v>1572</v>
      </c>
      <c r="DF49" s="127" t="s">
        <v>1573</v>
      </c>
      <c r="DG49" s="127" t="s">
        <v>1574</v>
      </c>
      <c r="DH49" s="127" t="s">
        <v>1575</v>
      </c>
      <c r="DI49" s="127" t="s">
        <v>1575</v>
      </c>
      <c r="DJ49" s="127" t="s">
        <v>1576</v>
      </c>
      <c r="DK49" s="127" t="s">
        <v>1576</v>
      </c>
      <c r="DL49" s="127" t="s">
        <v>1578</v>
      </c>
      <c r="DM49" s="127" t="s">
        <v>1578</v>
      </c>
      <c r="DN49" s="128"/>
      <c r="DP49" s="127" t="s">
        <v>1349</v>
      </c>
      <c r="DQ49" s="127" t="s">
        <v>1579</v>
      </c>
      <c r="DR49" s="127" t="s">
        <v>1383</v>
      </c>
      <c r="DS49" s="127" t="s">
        <v>1578</v>
      </c>
      <c r="DT49" s="127">
        <v>6000</v>
      </c>
      <c r="DU49" s="127" t="s">
        <v>1556</v>
      </c>
      <c r="DV49" s="127" t="s">
        <v>1383</v>
      </c>
      <c r="DW49" s="130">
        <v>0.4</v>
      </c>
      <c r="DX49" s="127" t="s">
        <v>1383</v>
      </c>
      <c r="DY49" s="127" t="s">
        <v>1349</v>
      </c>
      <c r="DZ49" s="127" t="s">
        <v>1580</v>
      </c>
      <c r="EA49" s="127" t="s">
        <v>1383</v>
      </c>
      <c r="EB49" s="128" t="s">
        <v>1383</v>
      </c>
      <c r="EC49" s="127" t="s">
        <v>1383</v>
      </c>
      <c r="ED49" s="127" t="s">
        <v>1630</v>
      </c>
      <c r="EE49" s="127">
        <v>0.6</v>
      </c>
      <c r="EF49" s="128" t="s">
        <v>1582</v>
      </c>
      <c r="EG49" s="127" t="s">
        <v>1383</v>
      </c>
      <c r="EH49" s="127" t="s">
        <v>1583</v>
      </c>
      <c r="EI49" s="127" t="s">
        <v>1584</v>
      </c>
      <c r="EJ49" s="127" t="s">
        <v>1585</v>
      </c>
      <c r="EK49" s="127" t="s">
        <v>1556</v>
      </c>
      <c r="EL49" s="128" t="s">
        <v>1389</v>
      </c>
      <c r="EM49" s="127">
        <v>4</v>
      </c>
      <c r="EN49" s="128" t="s">
        <v>1622</v>
      </c>
      <c r="EO49" s="128">
        <v>5</v>
      </c>
      <c r="EP49" s="128" t="s">
        <v>1631</v>
      </c>
      <c r="EQ49" s="128">
        <v>3</v>
      </c>
      <c r="ER49" s="128" t="s">
        <v>1588</v>
      </c>
      <c r="ES49" s="128">
        <v>5</v>
      </c>
      <c r="ET49" s="128" t="s">
        <v>1589</v>
      </c>
      <c r="EU49" s="128">
        <v>5</v>
      </c>
      <c r="EV49" s="127" t="s">
        <v>1590</v>
      </c>
      <c r="EW49" s="128">
        <v>2</v>
      </c>
      <c r="EX49" s="128" t="s">
        <v>1623</v>
      </c>
      <c r="EY49" s="128">
        <v>5</v>
      </c>
      <c r="EZ49" s="128" t="s">
        <v>1592</v>
      </c>
      <c r="FA49" s="132"/>
    </row>
    <row r="50" spans="1:157" ht="25.5">
      <c r="A50" s="127">
        <v>541</v>
      </c>
      <c r="B50" s="127">
        <v>24</v>
      </c>
      <c r="C50" s="128" t="s">
        <v>1795</v>
      </c>
      <c r="D50" s="129">
        <v>43721</v>
      </c>
      <c r="E50" s="128" t="s">
        <v>1956</v>
      </c>
      <c r="F50" s="128" t="s">
        <v>1728</v>
      </c>
      <c r="G50" s="128" t="s">
        <v>1625</v>
      </c>
      <c r="H50" s="128" t="s">
        <v>1690</v>
      </c>
      <c r="I50" s="128" t="s">
        <v>1093</v>
      </c>
      <c r="J50" s="128" t="s">
        <v>1957</v>
      </c>
      <c r="K50" s="128" t="s">
        <v>1958</v>
      </c>
      <c r="L50" s="128">
        <v>1</v>
      </c>
      <c r="M50" s="128" t="s">
        <v>1917</v>
      </c>
      <c r="N50" s="128" t="s">
        <v>1343</v>
      </c>
      <c r="O50" s="128" t="s">
        <v>656</v>
      </c>
      <c r="P50" s="128" t="s">
        <v>1959</v>
      </c>
      <c r="Q50" s="128">
        <v>66212562</v>
      </c>
      <c r="R50" s="128" t="s">
        <v>1345</v>
      </c>
      <c r="S50" s="128">
        <v>6</v>
      </c>
      <c r="T50" s="128" t="s">
        <v>1346</v>
      </c>
      <c r="U50" s="128">
        <v>2014</v>
      </c>
      <c r="V50" s="127" t="s">
        <v>1960</v>
      </c>
      <c r="W50" s="128" t="s">
        <v>1961</v>
      </c>
      <c r="X50" s="128" t="s">
        <v>1345</v>
      </c>
      <c r="Y50" s="128">
        <v>2018</v>
      </c>
      <c r="Z50" s="128"/>
      <c r="AA50" s="128">
        <v>16</v>
      </c>
      <c r="AB50" s="128" t="s">
        <v>1345</v>
      </c>
      <c r="AC50" s="128">
        <v>1</v>
      </c>
      <c r="AD50" s="128" t="s">
        <v>1345</v>
      </c>
      <c r="AE50" s="128" t="s">
        <v>1345</v>
      </c>
      <c r="AF50" s="128" t="s">
        <v>1345</v>
      </c>
      <c r="AG50" s="128" t="s">
        <v>1345</v>
      </c>
      <c r="AH50" s="128" t="s">
        <v>1358</v>
      </c>
      <c r="AI50" s="128">
        <v>2016</v>
      </c>
      <c r="AJ50" s="128" t="s">
        <v>1349</v>
      </c>
      <c r="AK50" s="128" t="s">
        <v>1895</v>
      </c>
      <c r="AL50" s="128" t="s">
        <v>1550</v>
      </c>
      <c r="AM50" s="128" t="s">
        <v>1550</v>
      </c>
      <c r="AN50" s="128" t="s">
        <v>1550</v>
      </c>
      <c r="AO50" s="128" t="s">
        <v>1550</v>
      </c>
      <c r="AP50" s="128" t="s">
        <v>1550</v>
      </c>
      <c r="AQ50" s="128" t="s">
        <v>1352</v>
      </c>
      <c r="AR50" s="128" t="s">
        <v>1352</v>
      </c>
      <c r="AS50" s="128" t="s">
        <v>1803</v>
      </c>
      <c r="AT50" s="128" t="s">
        <v>1804</v>
      </c>
      <c r="AU50" s="128" t="s">
        <v>1805</v>
      </c>
      <c r="AV50" s="128">
        <v>1000</v>
      </c>
      <c r="AW50" s="128" t="s">
        <v>1962</v>
      </c>
      <c r="AX50" s="128" t="s">
        <v>1963</v>
      </c>
      <c r="AY50" s="128" t="s">
        <v>1345</v>
      </c>
      <c r="AZ50" s="128" t="s">
        <v>1964</v>
      </c>
      <c r="BB50" s="128"/>
      <c r="BC50" s="128" t="s">
        <v>1965</v>
      </c>
      <c r="BD50" s="128" t="s">
        <v>1965</v>
      </c>
      <c r="BE50" s="128" t="s">
        <v>1966</v>
      </c>
      <c r="BH50" s="128">
        <v>2</v>
      </c>
      <c r="BK50" s="128" t="s">
        <v>1812</v>
      </c>
      <c r="BN50" s="128" t="s">
        <v>1349</v>
      </c>
      <c r="BQ50" s="128" t="s">
        <v>1345</v>
      </c>
      <c r="BR50" s="128" t="s">
        <v>1345</v>
      </c>
      <c r="BS50" s="128" t="s">
        <v>1358</v>
      </c>
      <c r="BT50" s="128" t="s">
        <v>1345</v>
      </c>
      <c r="BU50" s="128" t="s">
        <v>1967</v>
      </c>
      <c r="BV50" s="128" t="s">
        <v>1345</v>
      </c>
      <c r="BW50" s="128" t="s">
        <v>1968</v>
      </c>
      <c r="BX50" s="128" t="s">
        <v>1345</v>
      </c>
      <c r="BY50" s="128" t="s">
        <v>1362</v>
      </c>
      <c r="BZ50" s="128" t="s">
        <v>1969</v>
      </c>
      <c r="CA50" s="128" t="s">
        <v>1970</v>
      </c>
      <c r="CB50" s="128" t="s">
        <v>1358</v>
      </c>
      <c r="CC50" s="128" t="s">
        <v>1358</v>
      </c>
      <c r="CD50" s="128" t="s">
        <v>1903</v>
      </c>
      <c r="CE50" s="128">
        <v>0</v>
      </c>
      <c r="CF50" s="128">
        <v>0</v>
      </c>
      <c r="CG50" s="128">
        <v>0</v>
      </c>
      <c r="CH50" s="128">
        <v>51</v>
      </c>
      <c r="CI50" s="128">
        <v>0</v>
      </c>
      <c r="CJ50" s="128">
        <v>120</v>
      </c>
      <c r="CK50" s="130">
        <v>0.75</v>
      </c>
      <c r="CM50" s="130">
        <v>0.25</v>
      </c>
      <c r="CO50" s="127" t="s">
        <v>1816</v>
      </c>
      <c r="CP50" s="127" t="s">
        <v>1358</v>
      </c>
      <c r="CQ50" s="127" t="s">
        <v>1367</v>
      </c>
      <c r="CR50" s="127">
        <v>0.1</v>
      </c>
      <c r="CS50" s="127" t="s">
        <v>1360</v>
      </c>
      <c r="CU50" s="128" t="s">
        <v>1345</v>
      </c>
      <c r="CV50" s="144" t="s">
        <v>1971</v>
      </c>
      <c r="CW50" s="128" t="s">
        <v>1345</v>
      </c>
      <c r="CX50" s="127" t="s">
        <v>1866</v>
      </c>
      <c r="CY50" s="128" t="s">
        <v>1972</v>
      </c>
      <c r="CZ50" s="128" t="s">
        <v>1973</v>
      </c>
      <c r="DA50" s="128" t="s">
        <v>1974</v>
      </c>
      <c r="DB50" s="128" t="s">
        <v>1904</v>
      </c>
      <c r="DC50" s="128" t="s">
        <v>1975</v>
      </c>
      <c r="DD50" s="128" t="s">
        <v>1976</v>
      </c>
      <c r="DE50" s="128" t="s">
        <v>1825</v>
      </c>
      <c r="DF50" s="128">
        <v>750</v>
      </c>
      <c r="DG50" s="128" t="s">
        <v>1977</v>
      </c>
      <c r="DI50" s="128" t="s">
        <v>1978</v>
      </c>
      <c r="DJ50" s="128" t="s">
        <v>1978</v>
      </c>
      <c r="DK50" s="128" t="s">
        <v>1978</v>
      </c>
      <c r="DM50" s="128" t="s">
        <v>1979</v>
      </c>
      <c r="DN50" s="128" t="s">
        <v>1349</v>
      </c>
      <c r="DP50" s="128"/>
      <c r="DR50" s="128"/>
      <c r="DV50" s="128" t="s">
        <v>1345</v>
      </c>
      <c r="DW50" s="127" t="s">
        <v>1945</v>
      </c>
      <c r="DX50" s="128" t="s">
        <v>1345</v>
      </c>
      <c r="DY50" s="128" t="s">
        <v>1349</v>
      </c>
      <c r="DZ50" s="128" t="s">
        <v>1980</v>
      </c>
      <c r="EA50" s="128" t="s">
        <v>1345</v>
      </c>
      <c r="EB50" s="128" t="s">
        <v>1345</v>
      </c>
      <c r="EC50" s="128" t="s">
        <v>1345</v>
      </c>
      <c r="ED50" s="128" t="s">
        <v>1981</v>
      </c>
      <c r="EE50" s="127">
        <v>0.5</v>
      </c>
      <c r="EF50" s="128" t="s">
        <v>1836</v>
      </c>
      <c r="EG50" s="128" t="s">
        <v>1349</v>
      </c>
      <c r="EI50" s="128" t="s">
        <v>1982</v>
      </c>
      <c r="EJ50" s="128" t="s">
        <v>1983</v>
      </c>
      <c r="EK50" s="128" t="s">
        <v>1984</v>
      </c>
      <c r="EL50" s="128" t="s">
        <v>1389</v>
      </c>
      <c r="EM50" s="128">
        <v>3</v>
      </c>
      <c r="EN50" s="128" t="s">
        <v>1985</v>
      </c>
      <c r="EO50" s="128">
        <v>5</v>
      </c>
      <c r="EP50" s="128" t="s">
        <v>1986</v>
      </c>
      <c r="EQ50" s="128">
        <v>3</v>
      </c>
      <c r="ER50" s="127" t="s">
        <v>1987</v>
      </c>
      <c r="ES50" s="128">
        <v>3</v>
      </c>
      <c r="ET50" s="127" t="s">
        <v>1988</v>
      </c>
      <c r="EU50" s="128">
        <v>4</v>
      </c>
      <c r="EV50" s="127" t="s">
        <v>1989</v>
      </c>
      <c r="EW50" s="128">
        <v>3</v>
      </c>
      <c r="EX50" s="128" t="s">
        <v>1990</v>
      </c>
      <c r="EY50" s="128">
        <v>4</v>
      </c>
      <c r="EZ50" s="127" t="s">
        <v>1848</v>
      </c>
      <c r="FA50" s="132"/>
    </row>
    <row r="51" spans="1:157">
      <c r="A51" s="127">
        <v>542</v>
      </c>
      <c r="B51" s="127">
        <v>25</v>
      </c>
      <c r="C51" s="128" t="s">
        <v>1795</v>
      </c>
      <c r="D51" s="129">
        <v>43721</v>
      </c>
      <c r="E51" s="128" t="s">
        <v>1991</v>
      </c>
      <c r="F51" s="128" t="s">
        <v>1728</v>
      </c>
      <c r="G51" s="128" t="s">
        <v>1625</v>
      </c>
      <c r="H51" s="128" t="s">
        <v>1690</v>
      </c>
      <c r="I51" s="128" t="s">
        <v>1093</v>
      </c>
      <c r="J51" s="128" t="s">
        <v>1957</v>
      </c>
      <c r="K51" s="128" t="s">
        <v>1992</v>
      </c>
      <c r="L51" s="128">
        <v>1</v>
      </c>
      <c r="M51" s="128" t="s">
        <v>1917</v>
      </c>
      <c r="N51" s="128" t="s">
        <v>1343</v>
      </c>
      <c r="O51" s="128" t="s">
        <v>656</v>
      </c>
      <c r="P51" s="128" t="s">
        <v>1993</v>
      </c>
      <c r="Q51" s="128" t="s">
        <v>1994</v>
      </c>
      <c r="R51" s="128" t="s">
        <v>1345</v>
      </c>
      <c r="S51" s="128">
        <v>6</v>
      </c>
      <c r="T51" s="128" t="s">
        <v>1346</v>
      </c>
      <c r="U51" s="128">
        <v>2010</v>
      </c>
      <c r="V51" s="128" t="s">
        <v>1995</v>
      </c>
      <c r="W51" s="128" t="s">
        <v>1996</v>
      </c>
      <c r="X51" s="128" t="s">
        <v>1345</v>
      </c>
      <c r="Y51" s="128">
        <v>2019</v>
      </c>
      <c r="Z51" s="128"/>
      <c r="AA51" s="128">
        <v>58</v>
      </c>
      <c r="AB51" s="128" t="s">
        <v>1349</v>
      </c>
      <c r="AC51" s="128">
        <v>5</v>
      </c>
      <c r="AD51" s="128" t="s">
        <v>1345</v>
      </c>
      <c r="AE51" s="128" t="s">
        <v>1345</v>
      </c>
      <c r="AF51" s="128" t="s">
        <v>1345</v>
      </c>
      <c r="AG51" s="128" t="s">
        <v>1345</v>
      </c>
      <c r="AH51" s="128" t="s">
        <v>1358</v>
      </c>
      <c r="AI51" s="128">
        <v>2018</v>
      </c>
      <c r="AJ51" s="128" t="s">
        <v>1349</v>
      </c>
      <c r="AK51" s="128" t="s">
        <v>1895</v>
      </c>
      <c r="AL51" s="128" t="s">
        <v>1550</v>
      </c>
      <c r="AM51" s="128" t="s">
        <v>1550</v>
      </c>
      <c r="AN51" s="128" t="s">
        <v>1550</v>
      </c>
      <c r="AO51" s="128" t="s">
        <v>1550</v>
      </c>
      <c r="AP51" s="128" t="s">
        <v>1550</v>
      </c>
      <c r="AQ51" s="128" t="s">
        <v>1352</v>
      </c>
      <c r="AR51" s="128" t="s">
        <v>1352</v>
      </c>
      <c r="AS51" s="128" t="s">
        <v>1803</v>
      </c>
      <c r="AT51" s="128" t="s">
        <v>1804</v>
      </c>
      <c r="AV51" s="128">
        <v>500</v>
      </c>
      <c r="AW51" s="128" t="s">
        <v>1997</v>
      </c>
      <c r="AX51" s="128" t="s">
        <v>1998</v>
      </c>
      <c r="AY51" s="128" t="s">
        <v>1999</v>
      </c>
      <c r="BC51" s="128" t="s">
        <v>1965</v>
      </c>
      <c r="BD51" s="128" t="s">
        <v>1965</v>
      </c>
      <c r="BE51" s="127" t="s">
        <v>2000</v>
      </c>
      <c r="BH51" s="127" t="s">
        <v>2001</v>
      </c>
      <c r="BM51" s="127" t="s">
        <v>2002</v>
      </c>
      <c r="BN51" s="128" t="s">
        <v>1349</v>
      </c>
      <c r="BQ51" s="128" t="s">
        <v>1345</v>
      </c>
      <c r="BR51" s="128" t="s">
        <v>1345</v>
      </c>
      <c r="BS51" s="128" t="s">
        <v>1358</v>
      </c>
      <c r="BT51" s="128" t="s">
        <v>1345</v>
      </c>
      <c r="BU51" s="128" t="s">
        <v>2003</v>
      </c>
      <c r="BV51" s="128" t="s">
        <v>1345</v>
      </c>
      <c r="BW51" s="128" t="s">
        <v>1968</v>
      </c>
      <c r="BX51" s="128" t="s">
        <v>1345</v>
      </c>
      <c r="BY51" s="128" t="s">
        <v>1362</v>
      </c>
      <c r="BZ51" s="128" t="s">
        <v>2004</v>
      </c>
      <c r="CA51" s="128" t="s">
        <v>2005</v>
      </c>
      <c r="CB51" s="128" t="s">
        <v>1358</v>
      </c>
      <c r="CC51" s="128" t="s">
        <v>1358</v>
      </c>
      <c r="CD51" s="128" t="s">
        <v>1903</v>
      </c>
      <c r="CE51" s="128">
        <v>0</v>
      </c>
      <c r="CF51" s="128">
        <v>0</v>
      </c>
      <c r="CG51" s="128">
        <v>0</v>
      </c>
      <c r="CH51" s="128">
        <v>0</v>
      </c>
      <c r="CI51" s="128">
        <v>340</v>
      </c>
      <c r="CJ51" s="128">
        <v>750</v>
      </c>
      <c r="CL51" s="130">
        <v>0.8</v>
      </c>
      <c r="CN51" s="130">
        <v>0.2</v>
      </c>
      <c r="CO51" s="127" t="s">
        <v>2006</v>
      </c>
      <c r="CP51" s="127" t="s">
        <v>1358</v>
      </c>
      <c r="CQ51" s="127" t="s">
        <v>1367</v>
      </c>
      <c r="CR51" s="127">
        <v>0.5</v>
      </c>
      <c r="CS51" s="127" t="s">
        <v>2007</v>
      </c>
      <c r="CT51" s="127" t="s">
        <v>2008</v>
      </c>
      <c r="CU51" s="128" t="s">
        <v>1345</v>
      </c>
      <c r="CV51" s="144" t="s">
        <v>2009</v>
      </c>
      <c r="CW51" s="128" t="s">
        <v>1345</v>
      </c>
      <c r="CZ51" s="128" t="s">
        <v>1973</v>
      </c>
      <c r="DA51" s="128" t="s">
        <v>1822</v>
      </c>
      <c r="DC51" s="128" t="s">
        <v>2010</v>
      </c>
      <c r="DD51" s="128" t="s">
        <v>2011</v>
      </c>
      <c r="DE51" s="128" t="s">
        <v>2012</v>
      </c>
      <c r="DF51" s="128" t="s">
        <v>2013</v>
      </c>
      <c r="DH51" s="128" t="s">
        <v>2014</v>
      </c>
      <c r="DI51" s="128" t="s">
        <v>2015</v>
      </c>
      <c r="DJ51" s="128" t="s">
        <v>2015</v>
      </c>
      <c r="DK51" s="128" t="s">
        <v>2015</v>
      </c>
      <c r="DL51" s="128" t="s">
        <v>2016</v>
      </c>
      <c r="DN51" s="128" t="s">
        <v>1345</v>
      </c>
      <c r="DO51" s="128" t="s">
        <v>2017</v>
      </c>
      <c r="DP51" s="128" t="s">
        <v>1345</v>
      </c>
      <c r="DQ51" s="128" t="s">
        <v>2018</v>
      </c>
      <c r="DR51" s="128" t="s">
        <v>1345</v>
      </c>
      <c r="DS51" s="128" t="s">
        <v>1679</v>
      </c>
      <c r="DT51" s="128">
        <v>12000</v>
      </c>
      <c r="DV51" s="128" t="s">
        <v>1345</v>
      </c>
      <c r="DW51" s="128" t="s">
        <v>1866</v>
      </c>
      <c r="DX51" s="128" t="s">
        <v>1345</v>
      </c>
      <c r="DY51" s="128" t="s">
        <v>1349</v>
      </c>
      <c r="DZ51" s="128" t="s">
        <v>2019</v>
      </c>
      <c r="EA51" s="128"/>
      <c r="EB51" s="128" t="s">
        <v>1345</v>
      </c>
      <c r="EC51" s="128" t="s">
        <v>1345</v>
      </c>
      <c r="ED51" s="128" t="s">
        <v>2020</v>
      </c>
      <c r="EE51" s="127">
        <v>0.4</v>
      </c>
      <c r="EF51" s="128" t="s">
        <v>1836</v>
      </c>
      <c r="EG51" s="128" t="s">
        <v>1345</v>
      </c>
      <c r="EH51" s="130">
        <v>0.5</v>
      </c>
      <c r="EI51" s="128" t="s">
        <v>2021</v>
      </c>
      <c r="EJ51" s="128" t="s">
        <v>2022</v>
      </c>
      <c r="EL51" s="128" t="s">
        <v>1389</v>
      </c>
      <c r="EM51" s="128">
        <v>4</v>
      </c>
      <c r="EN51" s="128" t="s">
        <v>2023</v>
      </c>
      <c r="EO51" s="128">
        <v>5</v>
      </c>
      <c r="EP51" s="128" t="s">
        <v>1986</v>
      </c>
      <c r="EQ51" s="128">
        <v>3</v>
      </c>
      <c r="ER51" s="127" t="s">
        <v>1987</v>
      </c>
      <c r="ES51" s="128">
        <v>3</v>
      </c>
      <c r="ET51" s="127" t="s">
        <v>2024</v>
      </c>
      <c r="EU51" s="128">
        <v>2</v>
      </c>
      <c r="EV51" s="127" t="s">
        <v>2025</v>
      </c>
      <c r="EW51" s="128">
        <v>3</v>
      </c>
      <c r="EX51" s="128" t="s">
        <v>1990</v>
      </c>
      <c r="EY51" s="128">
        <v>4</v>
      </c>
      <c r="EZ51" s="127" t="s">
        <v>1848</v>
      </c>
      <c r="FA51" s="132"/>
    </row>
    <row r="52" spans="1:157">
      <c r="A52" s="127">
        <v>543</v>
      </c>
      <c r="B52" s="127">
        <v>14</v>
      </c>
      <c r="C52" s="128" t="s">
        <v>1337</v>
      </c>
      <c r="D52" s="129">
        <v>43720</v>
      </c>
      <c r="E52" s="128" t="s">
        <v>1658</v>
      </c>
      <c r="F52" s="128" t="e">
        <f>IF(E52 &lt;&gt; "", VLOOKUP(E52, '[4]Internal-logic'!G$1:I$364, 2, FALSE),"")</f>
        <v>#N/A</v>
      </c>
      <c r="G52" s="128" t="e">
        <f>IF(E52 &lt;&gt; "", VLOOKUP(E52, '[4]Internal-logic'!G$1:I$364, 3, FALSE),"")</f>
        <v>#N/A</v>
      </c>
      <c r="H52" s="128" t="s">
        <v>1539</v>
      </c>
      <c r="I52" s="128" t="s">
        <v>1093</v>
      </c>
      <c r="J52" s="128" t="s">
        <v>451</v>
      </c>
      <c r="K52" s="128" t="s">
        <v>1659</v>
      </c>
      <c r="L52" s="128">
        <v>25</v>
      </c>
      <c r="M52" s="128" t="s">
        <v>1383</v>
      </c>
      <c r="N52" s="127" t="s">
        <v>1541</v>
      </c>
      <c r="O52" s="127" t="s">
        <v>656</v>
      </c>
      <c r="P52" s="128" t="s">
        <v>1660</v>
      </c>
      <c r="Q52" s="128" t="s">
        <v>1661</v>
      </c>
      <c r="R52" s="128" t="s">
        <v>1345</v>
      </c>
      <c r="S52" s="128">
        <v>12</v>
      </c>
      <c r="T52" s="128" t="s">
        <v>1544</v>
      </c>
      <c r="U52" s="128">
        <v>2000</v>
      </c>
      <c r="V52" s="128" t="s">
        <v>1545</v>
      </c>
      <c r="W52" s="128" t="s">
        <v>1662</v>
      </c>
      <c r="X52" s="128" t="s">
        <v>1345</v>
      </c>
      <c r="Y52" s="128">
        <v>2019</v>
      </c>
      <c r="Z52" s="128" t="s">
        <v>1547</v>
      </c>
      <c r="AA52" s="128">
        <v>34</v>
      </c>
      <c r="AB52" s="128" t="s">
        <v>1548</v>
      </c>
      <c r="AC52" s="128">
        <v>0</v>
      </c>
      <c r="AD52" s="128" t="s">
        <v>1345</v>
      </c>
      <c r="AE52" s="128" t="s">
        <v>1345</v>
      </c>
      <c r="AF52" s="128" t="s">
        <v>1349</v>
      </c>
      <c r="AG52" s="128" t="s">
        <v>1349</v>
      </c>
      <c r="AI52" s="128">
        <v>2013</v>
      </c>
      <c r="AJ52" s="128" t="s">
        <v>1345</v>
      </c>
      <c r="AK52" s="128" t="s">
        <v>1663</v>
      </c>
      <c r="AL52" s="128" t="s">
        <v>1634</v>
      </c>
      <c r="AM52" s="127" t="s">
        <v>1551</v>
      </c>
      <c r="AN52" s="127" t="s">
        <v>1551</v>
      </c>
      <c r="AO52" s="127" t="s">
        <v>1551</v>
      </c>
      <c r="AP52" s="127" t="s">
        <v>1551</v>
      </c>
      <c r="AQ52" s="127" t="s">
        <v>1551</v>
      </c>
      <c r="AR52" s="127" t="s">
        <v>1551</v>
      </c>
      <c r="AS52" s="127" t="s">
        <v>1551</v>
      </c>
      <c r="AT52" s="128" t="s">
        <v>1635</v>
      </c>
      <c r="AU52" s="127" t="s">
        <v>1664</v>
      </c>
      <c r="AV52" s="127">
        <v>7500</v>
      </c>
      <c r="AW52" s="128" t="s">
        <v>1665</v>
      </c>
      <c r="AX52" s="128" t="s">
        <v>1666</v>
      </c>
      <c r="AY52" s="128" t="s">
        <v>1349</v>
      </c>
      <c r="AZ52" s="128" t="s">
        <v>1556</v>
      </c>
      <c r="BA52" s="128" t="s">
        <v>1556</v>
      </c>
      <c r="BB52" s="128" t="s">
        <v>1556</v>
      </c>
      <c r="BC52" s="128" t="s">
        <v>1667</v>
      </c>
      <c r="BD52" s="128" t="s">
        <v>1667</v>
      </c>
      <c r="BE52" s="128" t="s">
        <v>1668</v>
      </c>
      <c r="BF52" s="128" t="s">
        <v>1668</v>
      </c>
      <c r="BG52" s="128" t="s">
        <v>1668</v>
      </c>
      <c r="BH52" s="128">
        <v>10</v>
      </c>
      <c r="BI52" s="128" t="s">
        <v>1556</v>
      </c>
      <c r="BJ52" s="128" t="s">
        <v>1556</v>
      </c>
      <c r="BK52" s="128" t="s">
        <v>1669</v>
      </c>
      <c r="BL52" s="128" t="s">
        <v>1556</v>
      </c>
      <c r="BM52" s="128" t="s">
        <v>1559</v>
      </c>
      <c r="BN52" s="128" t="s">
        <v>1349</v>
      </c>
      <c r="BO52" s="128" t="s">
        <v>1556</v>
      </c>
      <c r="BP52" s="128" t="s">
        <v>1556</v>
      </c>
      <c r="BQ52" s="128" t="s">
        <v>1345</v>
      </c>
      <c r="BR52" s="128" t="s">
        <v>1349</v>
      </c>
      <c r="BS52" s="128" t="s">
        <v>1349</v>
      </c>
      <c r="BT52" s="128" t="s">
        <v>1345</v>
      </c>
      <c r="BU52" s="128" t="s">
        <v>1556</v>
      </c>
      <c r="BV52" s="128" t="s">
        <v>1349</v>
      </c>
      <c r="BW52" s="128" t="s">
        <v>1556</v>
      </c>
      <c r="BX52" s="128" t="s">
        <v>1345</v>
      </c>
      <c r="BY52" s="128" t="s">
        <v>1561</v>
      </c>
      <c r="BZ52" s="128" t="s">
        <v>1562</v>
      </c>
      <c r="CA52" s="128" t="s">
        <v>1670</v>
      </c>
      <c r="CB52" s="128" t="s">
        <v>1556</v>
      </c>
      <c r="CC52" s="128" t="s">
        <v>1556</v>
      </c>
      <c r="CD52" s="128" t="s">
        <v>1556</v>
      </c>
      <c r="CE52" s="128">
        <v>25000</v>
      </c>
      <c r="CF52" s="128">
        <v>18000</v>
      </c>
      <c r="CG52" s="128">
        <v>40000</v>
      </c>
      <c r="CH52" s="128">
        <v>120</v>
      </c>
      <c r="CI52" s="128">
        <v>120</v>
      </c>
      <c r="CJ52" s="128">
        <v>150</v>
      </c>
      <c r="CK52" s="130">
        <v>0.3</v>
      </c>
      <c r="CL52" s="130">
        <v>0.3</v>
      </c>
      <c r="CM52" s="130">
        <v>0.7</v>
      </c>
      <c r="CN52" s="130">
        <v>0.7</v>
      </c>
      <c r="CO52" s="127" t="s">
        <v>1564</v>
      </c>
      <c r="CP52" s="127" t="s">
        <v>1671</v>
      </c>
      <c r="CQ52" s="127" t="s">
        <v>1566</v>
      </c>
      <c r="CR52" s="127" t="s">
        <v>1556</v>
      </c>
      <c r="CS52" s="127" t="s">
        <v>1556</v>
      </c>
      <c r="CT52" s="127" t="s">
        <v>1556</v>
      </c>
      <c r="CU52" s="128" t="s">
        <v>1556</v>
      </c>
      <c r="CV52" s="127" t="s">
        <v>1556</v>
      </c>
      <c r="CW52" s="128" t="s">
        <v>1672</v>
      </c>
      <c r="CX52" s="127">
        <v>0</v>
      </c>
      <c r="CY52" s="130">
        <v>0.7</v>
      </c>
      <c r="CZ52" s="127" t="s">
        <v>1639</v>
      </c>
      <c r="DA52" s="127" t="s">
        <v>1640</v>
      </c>
      <c r="DB52" s="127">
        <v>2</v>
      </c>
      <c r="DC52" s="127" t="s">
        <v>1673</v>
      </c>
      <c r="DD52" s="127" t="s">
        <v>1674</v>
      </c>
      <c r="DE52" s="127" t="s">
        <v>1675</v>
      </c>
      <c r="DF52" s="127" t="s">
        <v>1676</v>
      </c>
      <c r="DG52" s="127" t="s">
        <v>1677</v>
      </c>
      <c r="DH52" s="127" t="s">
        <v>1678</v>
      </c>
      <c r="DI52" s="127" t="s">
        <v>1556</v>
      </c>
      <c r="DJ52" s="127" t="s">
        <v>1556</v>
      </c>
      <c r="DK52" s="127" t="s">
        <v>1556</v>
      </c>
      <c r="DL52" s="127" t="s">
        <v>1678</v>
      </c>
      <c r="DM52" s="127" t="s">
        <v>1556</v>
      </c>
      <c r="DN52" s="128"/>
      <c r="DP52" s="128" t="s">
        <v>1349</v>
      </c>
      <c r="DR52" s="128" t="s">
        <v>1345</v>
      </c>
      <c r="DS52" s="127" t="s">
        <v>1679</v>
      </c>
      <c r="DT52" s="128">
        <v>20000</v>
      </c>
      <c r="DU52" s="127" t="s">
        <v>1556</v>
      </c>
      <c r="DV52" s="128" t="s">
        <v>1342</v>
      </c>
      <c r="DW52" s="130">
        <v>0</v>
      </c>
      <c r="DX52" s="127" t="s">
        <v>1383</v>
      </c>
      <c r="DY52" s="127" t="s">
        <v>1349</v>
      </c>
      <c r="DZ52" s="127" t="s">
        <v>1580</v>
      </c>
      <c r="EA52" s="127" t="s">
        <v>1383</v>
      </c>
      <c r="EB52" s="128" t="s">
        <v>1383</v>
      </c>
      <c r="EC52" s="127" t="s">
        <v>1383</v>
      </c>
      <c r="ED52" s="127" t="s">
        <v>1630</v>
      </c>
      <c r="EE52" s="127">
        <v>0.4</v>
      </c>
      <c r="EF52" s="128" t="s">
        <v>1680</v>
      </c>
      <c r="EG52" s="128" t="s">
        <v>1345</v>
      </c>
      <c r="EH52" s="130">
        <v>0.5</v>
      </c>
      <c r="EI52" s="127" t="s">
        <v>1681</v>
      </c>
      <c r="EJ52" s="127" t="s">
        <v>1682</v>
      </c>
      <c r="EK52" s="127" t="s">
        <v>1683</v>
      </c>
      <c r="EL52" s="128" t="s">
        <v>1389</v>
      </c>
      <c r="EM52" s="128">
        <v>5</v>
      </c>
      <c r="EN52" s="128" t="s">
        <v>1684</v>
      </c>
      <c r="EO52" s="128">
        <v>1</v>
      </c>
      <c r="EP52" s="128" t="s">
        <v>1608</v>
      </c>
      <c r="EQ52" s="128">
        <v>3</v>
      </c>
      <c r="ER52" s="128" t="s">
        <v>1685</v>
      </c>
      <c r="ES52" s="128">
        <v>2</v>
      </c>
      <c r="ET52" s="128" t="s">
        <v>1686</v>
      </c>
      <c r="EU52" s="128">
        <v>2</v>
      </c>
      <c r="EV52" s="128" t="s">
        <v>1687</v>
      </c>
      <c r="EW52" s="128">
        <v>2</v>
      </c>
      <c r="EX52" s="128" t="s">
        <v>1623</v>
      </c>
      <c r="EY52" s="128">
        <v>2</v>
      </c>
      <c r="EZ52" s="128" t="s">
        <v>1688</v>
      </c>
      <c r="FA52" s="132"/>
    </row>
    <row r="53" spans="1:157" ht="25.5">
      <c r="A53" s="127">
        <v>544</v>
      </c>
      <c r="B53" s="127">
        <v>23</v>
      </c>
      <c r="C53" s="128" t="s">
        <v>1795</v>
      </c>
      <c r="D53" s="129">
        <v>43720</v>
      </c>
      <c r="E53" s="128" t="s">
        <v>1915</v>
      </c>
      <c r="F53" s="128" t="s">
        <v>1728</v>
      </c>
      <c r="G53" s="128" t="s">
        <v>451</v>
      </c>
      <c r="H53" s="128" t="s">
        <v>1339</v>
      </c>
      <c r="I53" s="128" t="s">
        <v>1093</v>
      </c>
      <c r="J53" s="128" t="s">
        <v>451</v>
      </c>
      <c r="K53" s="128" t="s">
        <v>1916</v>
      </c>
      <c r="L53" s="128">
        <v>10</v>
      </c>
      <c r="M53" s="128" t="s">
        <v>1917</v>
      </c>
      <c r="N53" s="128" t="s">
        <v>1180</v>
      </c>
      <c r="O53" s="128" t="s">
        <v>1918</v>
      </c>
      <c r="P53" s="128" t="s">
        <v>1919</v>
      </c>
      <c r="Q53" s="128">
        <v>7863383</v>
      </c>
      <c r="R53" s="128" t="s">
        <v>1345</v>
      </c>
      <c r="S53" s="128">
        <v>5</v>
      </c>
      <c r="T53" s="128" t="s">
        <v>1920</v>
      </c>
      <c r="U53" s="128">
        <v>2010</v>
      </c>
      <c r="V53" s="127" t="s">
        <v>1921</v>
      </c>
      <c r="W53" s="128" t="s">
        <v>1922</v>
      </c>
      <c r="X53" s="128" t="s">
        <v>1349</v>
      </c>
      <c r="Y53" s="128"/>
      <c r="Z53" s="128"/>
      <c r="AA53" s="128">
        <v>37</v>
      </c>
      <c r="AB53" s="128" t="s">
        <v>1349</v>
      </c>
      <c r="AC53" s="128">
        <v>1</v>
      </c>
      <c r="AD53" s="128" t="s">
        <v>1345</v>
      </c>
      <c r="AE53" s="128" t="s">
        <v>1345</v>
      </c>
      <c r="AF53" s="128" t="s">
        <v>1345</v>
      </c>
      <c r="AG53" s="128" t="s">
        <v>1345</v>
      </c>
      <c r="AH53" s="128" t="s">
        <v>1856</v>
      </c>
      <c r="AI53" s="128">
        <v>2017</v>
      </c>
      <c r="AJ53" s="128" t="s">
        <v>1349</v>
      </c>
      <c r="AK53" s="128" t="s">
        <v>1895</v>
      </c>
      <c r="AL53" s="128" t="s">
        <v>1550</v>
      </c>
      <c r="AM53" s="128" t="s">
        <v>1351</v>
      </c>
      <c r="AN53" s="128" t="s">
        <v>1351</v>
      </c>
      <c r="AO53" s="128" t="s">
        <v>1351</v>
      </c>
      <c r="AP53" s="128" t="s">
        <v>1351</v>
      </c>
      <c r="AQ53" s="128" t="s">
        <v>1352</v>
      </c>
      <c r="AR53" s="128" t="s">
        <v>1352</v>
      </c>
      <c r="AS53" s="128" t="s">
        <v>1803</v>
      </c>
      <c r="AT53" s="128" t="s">
        <v>1804</v>
      </c>
      <c r="AU53" s="128" t="s">
        <v>1923</v>
      </c>
      <c r="AV53" s="128" t="s">
        <v>1924</v>
      </c>
      <c r="AW53" s="128" t="s">
        <v>1925</v>
      </c>
      <c r="AX53" s="128" t="s">
        <v>1926</v>
      </c>
      <c r="AY53" s="128" t="s">
        <v>1345</v>
      </c>
      <c r="AZ53" s="128" t="s">
        <v>1927</v>
      </c>
      <c r="BA53" s="128" t="s">
        <v>1927</v>
      </c>
      <c r="BB53" s="128" t="s">
        <v>1358</v>
      </c>
      <c r="BC53" s="128" t="s">
        <v>1358</v>
      </c>
      <c r="BD53" s="128" t="s">
        <v>1358</v>
      </c>
      <c r="BE53" s="128" t="s">
        <v>1916</v>
      </c>
      <c r="BF53" s="128" t="s">
        <v>1928</v>
      </c>
      <c r="BH53" s="128">
        <v>3</v>
      </c>
      <c r="BI53" s="128">
        <v>3</v>
      </c>
      <c r="BJ53" s="128">
        <v>10</v>
      </c>
      <c r="BK53" s="128" t="s">
        <v>1812</v>
      </c>
      <c r="BL53" s="128" t="s">
        <v>1812</v>
      </c>
      <c r="BM53" s="128" t="s">
        <v>1812</v>
      </c>
      <c r="BN53" s="128" t="s">
        <v>1349</v>
      </c>
      <c r="BQ53" s="128" t="s">
        <v>1345</v>
      </c>
      <c r="BR53" s="128" t="s">
        <v>1349</v>
      </c>
      <c r="BS53" s="128" t="s">
        <v>1358</v>
      </c>
      <c r="BT53" s="128" t="s">
        <v>1345</v>
      </c>
      <c r="BU53" s="128" t="s">
        <v>1929</v>
      </c>
      <c r="BV53" s="128" t="s">
        <v>1349</v>
      </c>
      <c r="BW53" s="128" t="s">
        <v>1358</v>
      </c>
      <c r="BX53" s="128" t="s">
        <v>1345</v>
      </c>
      <c r="BY53" s="128" t="s">
        <v>1362</v>
      </c>
      <c r="BZ53" s="128" t="s">
        <v>1930</v>
      </c>
      <c r="CA53" s="128" t="s">
        <v>1916</v>
      </c>
      <c r="CB53" s="128" t="s">
        <v>1903</v>
      </c>
      <c r="CC53" s="128" t="s">
        <v>1903</v>
      </c>
      <c r="CD53" s="128" t="s">
        <v>1903</v>
      </c>
      <c r="CE53" s="128">
        <v>0</v>
      </c>
      <c r="CF53" s="128">
        <v>0</v>
      </c>
      <c r="CG53" s="128">
        <v>0</v>
      </c>
      <c r="CH53" s="128" t="s">
        <v>1866</v>
      </c>
      <c r="CI53" s="128" t="s">
        <v>1866</v>
      </c>
      <c r="CJ53" s="128" t="s">
        <v>1931</v>
      </c>
      <c r="CK53" s="130">
        <v>0.8</v>
      </c>
      <c r="CL53" s="130">
        <v>0.6</v>
      </c>
      <c r="CM53" s="130">
        <v>0.2</v>
      </c>
      <c r="CN53" s="130">
        <v>0.4</v>
      </c>
      <c r="CO53" s="127" t="s">
        <v>1868</v>
      </c>
      <c r="CP53" s="127" t="s">
        <v>1932</v>
      </c>
      <c r="CQ53" s="127" t="s">
        <v>1869</v>
      </c>
      <c r="CR53" s="127">
        <v>2.5</v>
      </c>
      <c r="CS53" s="127" t="s">
        <v>1368</v>
      </c>
      <c r="CT53" s="127" t="s">
        <v>1933</v>
      </c>
      <c r="CU53" s="128" t="s">
        <v>1349</v>
      </c>
      <c r="CV53" s="144" t="s">
        <v>1934</v>
      </c>
      <c r="CW53" s="128" t="s">
        <v>1345</v>
      </c>
      <c r="CX53" s="127" t="s">
        <v>1866</v>
      </c>
      <c r="CY53" s="128" t="s">
        <v>1358</v>
      </c>
      <c r="CZ53" s="128" t="s">
        <v>1821</v>
      </c>
      <c r="DA53" s="128" t="s">
        <v>1822</v>
      </c>
      <c r="DB53" s="128" t="s">
        <v>1935</v>
      </c>
      <c r="DC53" s="128" t="s">
        <v>1936</v>
      </c>
      <c r="DD53" s="128" t="s">
        <v>1937</v>
      </c>
      <c r="DE53" s="128" t="s">
        <v>1938</v>
      </c>
      <c r="DF53" s="128" t="s">
        <v>1939</v>
      </c>
      <c r="DG53" s="128" t="s">
        <v>1373</v>
      </c>
      <c r="DH53" s="128" t="s">
        <v>1940</v>
      </c>
      <c r="DI53" s="127" t="s">
        <v>1941</v>
      </c>
      <c r="DJ53" s="128" t="s">
        <v>1829</v>
      </c>
      <c r="DK53" s="128" t="s">
        <v>1829</v>
      </c>
      <c r="DL53" s="127" t="s">
        <v>1942</v>
      </c>
      <c r="DM53" s="127" t="s">
        <v>1943</v>
      </c>
      <c r="DN53" s="128" t="s">
        <v>1349</v>
      </c>
      <c r="DP53" s="128" t="s">
        <v>1345</v>
      </c>
      <c r="DQ53" s="127" t="s">
        <v>1944</v>
      </c>
      <c r="DR53" s="128" t="s">
        <v>1349</v>
      </c>
      <c r="DV53" s="128" t="s">
        <v>1345</v>
      </c>
      <c r="DW53" s="127" t="s">
        <v>1945</v>
      </c>
      <c r="DX53" s="128" t="s">
        <v>1345</v>
      </c>
      <c r="DY53" s="128" t="s">
        <v>1349</v>
      </c>
      <c r="DZ53" s="128" t="s">
        <v>1946</v>
      </c>
      <c r="EA53" s="128" t="s">
        <v>1345</v>
      </c>
      <c r="EB53" s="128" t="s">
        <v>1345</v>
      </c>
      <c r="EC53" s="128" t="s">
        <v>1345</v>
      </c>
      <c r="ED53" s="128" t="s">
        <v>1947</v>
      </c>
      <c r="EE53" s="127">
        <v>0.5</v>
      </c>
      <c r="EF53" s="128" t="s">
        <v>1948</v>
      </c>
      <c r="EG53" s="128" t="s">
        <v>1349</v>
      </c>
      <c r="EI53" s="128" t="s">
        <v>1949</v>
      </c>
      <c r="EJ53" s="128" t="s">
        <v>1839</v>
      </c>
      <c r="EK53" s="128" t="s">
        <v>1950</v>
      </c>
      <c r="EL53" s="128" t="s">
        <v>1389</v>
      </c>
      <c r="EM53" s="128">
        <v>3</v>
      </c>
      <c r="EN53" s="128" t="s">
        <v>1951</v>
      </c>
      <c r="EO53" s="128">
        <v>5</v>
      </c>
      <c r="EP53" s="128" t="s">
        <v>1952</v>
      </c>
      <c r="EQ53" s="128">
        <v>3</v>
      </c>
      <c r="ER53" s="127" t="s">
        <v>1844</v>
      </c>
      <c r="ES53" s="128">
        <v>3</v>
      </c>
      <c r="ET53" s="127" t="s">
        <v>1845</v>
      </c>
      <c r="EU53" s="128">
        <v>5</v>
      </c>
      <c r="EV53" s="127" t="s">
        <v>1953</v>
      </c>
      <c r="EW53" s="128">
        <v>1</v>
      </c>
      <c r="EX53" s="127" t="s">
        <v>1954</v>
      </c>
      <c r="EY53" s="128">
        <v>1</v>
      </c>
      <c r="EZ53" s="127" t="s">
        <v>1955</v>
      </c>
      <c r="FA53" s="132"/>
    </row>
    <row r="54" spans="1:157">
      <c r="A54" s="127">
        <v>545</v>
      </c>
      <c r="B54" s="132">
        <v>50</v>
      </c>
      <c r="C54" s="133" t="s">
        <v>2278</v>
      </c>
      <c r="D54" s="134">
        <v>43728</v>
      </c>
      <c r="E54" s="133" t="s">
        <v>2591</v>
      </c>
      <c r="F54" s="133" t="e">
        <v>#N/A</v>
      </c>
      <c r="G54" s="133" t="e">
        <v>#N/A</v>
      </c>
      <c r="H54" s="133" t="s">
        <v>1690</v>
      </c>
      <c r="I54" s="133" t="s">
        <v>1081</v>
      </c>
      <c r="J54" s="133" t="s">
        <v>167</v>
      </c>
      <c r="K54" s="133" t="s">
        <v>2539</v>
      </c>
      <c r="L54" s="133">
        <v>45</v>
      </c>
      <c r="M54" s="133" t="s">
        <v>2393</v>
      </c>
      <c r="N54" s="133" t="s">
        <v>1541</v>
      </c>
      <c r="O54" s="133" t="s">
        <v>683</v>
      </c>
      <c r="P54" s="133" t="s">
        <v>746</v>
      </c>
      <c r="Q54" s="133" t="s">
        <v>2592</v>
      </c>
      <c r="R54" s="133" t="s">
        <v>1345</v>
      </c>
      <c r="S54" s="133">
        <v>6</v>
      </c>
      <c r="T54" s="133" t="s">
        <v>2285</v>
      </c>
      <c r="U54" s="133">
        <v>2010</v>
      </c>
      <c r="V54" s="133" t="s">
        <v>2358</v>
      </c>
      <c r="W54" s="133">
        <v>2017</v>
      </c>
      <c r="X54" s="133" t="s">
        <v>1345</v>
      </c>
      <c r="Y54" s="133">
        <v>2018</v>
      </c>
      <c r="Z54" s="133" t="s">
        <v>2288</v>
      </c>
      <c r="AA54" s="133">
        <v>20</v>
      </c>
      <c r="AB54" s="133" t="s">
        <v>1349</v>
      </c>
      <c r="AC54" s="133">
        <v>3</v>
      </c>
      <c r="AD54" s="133" t="s">
        <v>1345</v>
      </c>
      <c r="AE54" s="133" t="s">
        <v>1345</v>
      </c>
      <c r="AF54" s="133" t="s">
        <v>1349</v>
      </c>
      <c r="AG54" s="133" t="s">
        <v>1349</v>
      </c>
      <c r="AH54" s="133" t="s">
        <v>2289</v>
      </c>
      <c r="AI54" s="133">
        <v>2016</v>
      </c>
      <c r="AJ54" s="133" t="s">
        <v>1345</v>
      </c>
      <c r="AK54" s="133" t="s">
        <v>2341</v>
      </c>
      <c r="AL54" s="133" t="s">
        <v>1612</v>
      </c>
      <c r="AM54" s="133" t="s">
        <v>2291</v>
      </c>
      <c r="AN54" s="133" t="s">
        <v>2291</v>
      </c>
      <c r="AO54" s="133" t="s">
        <v>1550</v>
      </c>
      <c r="AP54" s="133" t="s">
        <v>2291</v>
      </c>
      <c r="AQ54" s="133" t="s">
        <v>2291</v>
      </c>
      <c r="AR54" s="133" t="s">
        <v>2291</v>
      </c>
      <c r="AS54" s="133" t="s">
        <v>1802</v>
      </c>
      <c r="AT54" s="133" t="s">
        <v>1358</v>
      </c>
      <c r="AU54" s="133" t="s">
        <v>2593</v>
      </c>
      <c r="AV54" s="133">
        <v>1000</v>
      </c>
      <c r="AW54" s="133" t="s">
        <v>2513</v>
      </c>
      <c r="AX54" s="133" t="s">
        <v>2563</v>
      </c>
      <c r="AY54" s="133" t="s">
        <v>1349</v>
      </c>
      <c r="AZ54" s="133" t="s">
        <v>2361</v>
      </c>
      <c r="BA54" s="133" t="s">
        <v>2361</v>
      </c>
      <c r="BB54" s="133" t="s">
        <v>2289</v>
      </c>
      <c r="BC54" s="133" t="s">
        <v>2289</v>
      </c>
      <c r="BD54" s="133" t="s">
        <v>2289</v>
      </c>
      <c r="BE54" s="133" t="s">
        <v>167</v>
      </c>
      <c r="BF54" s="133" t="s">
        <v>2300</v>
      </c>
      <c r="BG54" s="133" t="s">
        <v>2300</v>
      </c>
      <c r="BH54" s="133">
        <v>4</v>
      </c>
      <c r="BI54" s="133">
        <v>6</v>
      </c>
      <c r="BJ54" s="133">
        <v>6</v>
      </c>
      <c r="BK54" s="133" t="s">
        <v>2594</v>
      </c>
      <c r="BL54" s="133" t="s">
        <v>2594</v>
      </c>
      <c r="BM54" s="133" t="s">
        <v>2594</v>
      </c>
      <c r="BN54" s="133" t="s">
        <v>1349</v>
      </c>
      <c r="BO54" s="133" t="s">
        <v>2300</v>
      </c>
      <c r="BP54" s="133" t="s">
        <v>2300</v>
      </c>
      <c r="BQ54" s="133" t="s">
        <v>1345</v>
      </c>
      <c r="BR54" s="133" t="s">
        <v>1345</v>
      </c>
      <c r="BS54" s="133" t="s">
        <v>1804</v>
      </c>
      <c r="BT54" s="133" t="s">
        <v>1345</v>
      </c>
      <c r="BU54" s="133" t="s">
        <v>2567</v>
      </c>
      <c r="BV54" s="133" t="s">
        <v>1349</v>
      </c>
      <c r="BW54" s="133" t="s">
        <v>2300</v>
      </c>
      <c r="BX54" s="133" t="s">
        <v>1345</v>
      </c>
      <c r="BY54" s="133" t="s">
        <v>2302</v>
      </c>
      <c r="BZ54" s="133" t="s">
        <v>2545</v>
      </c>
      <c r="CA54" s="133" t="s">
        <v>2595</v>
      </c>
      <c r="CB54" s="133" t="s">
        <v>2289</v>
      </c>
      <c r="CC54" s="133" t="s">
        <v>2289</v>
      </c>
      <c r="CD54" s="133" t="s">
        <v>2289</v>
      </c>
      <c r="CE54" s="133">
        <v>1320</v>
      </c>
      <c r="CF54" s="133">
        <v>920</v>
      </c>
      <c r="CG54" s="133">
        <v>1500</v>
      </c>
      <c r="CH54" s="133">
        <v>220</v>
      </c>
      <c r="CI54" s="133">
        <v>140</v>
      </c>
      <c r="CJ54" s="133">
        <v>260</v>
      </c>
      <c r="CK54" s="136">
        <v>0.8</v>
      </c>
      <c r="CL54" s="136">
        <v>0.8</v>
      </c>
      <c r="CM54" s="136">
        <v>0.2</v>
      </c>
      <c r="CN54" s="136">
        <v>0.2</v>
      </c>
      <c r="CO54" s="133" t="s">
        <v>2307</v>
      </c>
      <c r="CP54" s="133" t="s">
        <v>1565</v>
      </c>
      <c r="CQ54" s="133" t="s">
        <v>2308</v>
      </c>
      <c r="CR54" s="133">
        <v>2</v>
      </c>
      <c r="CS54" s="133" t="s">
        <v>2405</v>
      </c>
      <c r="CT54" s="133" t="s">
        <v>2569</v>
      </c>
      <c r="CU54" s="133" t="s">
        <v>1345</v>
      </c>
      <c r="CV54" s="133" t="s">
        <v>2407</v>
      </c>
      <c r="CW54" s="133" t="s">
        <v>1349</v>
      </c>
      <c r="CX54" s="133" t="s">
        <v>2289</v>
      </c>
      <c r="CY54" s="133" t="s">
        <v>2289</v>
      </c>
      <c r="CZ54" s="133" t="s">
        <v>2311</v>
      </c>
      <c r="DA54" s="133" t="s">
        <v>1358</v>
      </c>
      <c r="DB54" s="133" t="s">
        <v>1903</v>
      </c>
      <c r="DC54" s="133" t="s">
        <v>2571</v>
      </c>
      <c r="DD54" s="132" t="s">
        <v>2572</v>
      </c>
      <c r="DE54" s="133" t="s">
        <v>2573</v>
      </c>
      <c r="DF54" s="133" t="s">
        <v>2574</v>
      </c>
      <c r="DG54" s="133" t="s">
        <v>2575</v>
      </c>
      <c r="DH54" s="133" t="s">
        <v>2596</v>
      </c>
      <c r="DI54" s="133" t="s">
        <v>1556</v>
      </c>
      <c r="DJ54" s="133" t="s">
        <v>1556</v>
      </c>
      <c r="DK54" s="133" t="s">
        <v>1556</v>
      </c>
      <c r="DL54" s="133" t="s">
        <v>2590</v>
      </c>
      <c r="DM54" s="133" t="s">
        <v>2578</v>
      </c>
      <c r="DN54" s="133" t="s">
        <v>1345</v>
      </c>
      <c r="DO54" s="133" t="s">
        <v>2579</v>
      </c>
      <c r="DP54" s="133" t="s">
        <v>1349</v>
      </c>
      <c r="DQ54" s="133" t="s">
        <v>1358</v>
      </c>
      <c r="DR54" s="133" t="s">
        <v>1349</v>
      </c>
      <c r="DS54" s="133" t="s">
        <v>2300</v>
      </c>
      <c r="DT54" s="133" t="s">
        <v>2300</v>
      </c>
      <c r="DU54" s="133" t="s">
        <v>2300</v>
      </c>
      <c r="DV54" s="133" t="s">
        <v>1345</v>
      </c>
      <c r="DW54" s="133" t="s">
        <v>2580</v>
      </c>
      <c r="DX54" s="133" t="s">
        <v>1345</v>
      </c>
      <c r="DY54" s="133" t="s">
        <v>1349</v>
      </c>
      <c r="DZ54" s="133" t="s">
        <v>2533</v>
      </c>
      <c r="EA54" s="133" t="s">
        <v>1345</v>
      </c>
      <c r="EB54" s="133" t="s">
        <v>1345</v>
      </c>
      <c r="EC54" s="133" t="s">
        <v>1345</v>
      </c>
      <c r="ED54" s="133" t="s">
        <v>2353</v>
      </c>
      <c r="EE54" s="132">
        <v>0.4</v>
      </c>
      <c r="EF54" s="133" t="s">
        <v>2370</v>
      </c>
      <c r="EG54" s="133" t="s">
        <v>1349</v>
      </c>
      <c r="EH54" s="133" t="s">
        <v>2300</v>
      </c>
      <c r="EI54" s="133" t="s">
        <v>2326</v>
      </c>
      <c r="EJ54" s="132" t="s">
        <v>2327</v>
      </c>
      <c r="EK54" s="133" t="s">
        <v>2419</v>
      </c>
      <c r="EL54" s="133" t="s">
        <v>1389</v>
      </c>
      <c r="EM54" s="133">
        <v>4</v>
      </c>
      <c r="EN54" s="133" t="s">
        <v>2329</v>
      </c>
      <c r="EO54" s="133">
        <v>3</v>
      </c>
      <c r="EP54" s="133" t="s">
        <v>2597</v>
      </c>
      <c r="EQ54" s="133">
        <v>4</v>
      </c>
      <c r="ER54" s="132" t="s">
        <v>2331</v>
      </c>
      <c r="ES54" s="133">
        <v>4</v>
      </c>
      <c r="ET54" s="132" t="s">
        <v>2598</v>
      </c>
      <c r="EU54" s="133">
        <v>4</v>
      </c>
      <c r="EV54" s="132" t="s">
        <v>2508</v>
      </c>
      <c r="EW54" s="133">
        <v>2</v>
      </c>
      <c r="EX54" s="132" t="s">
        <v>2423</v>
      </c>
      <c r="EY54" s="133">
        <v>1</v>
      </c>
      <c r="EZ54" s="132" t="s">
        <v>2424</v>
      </c>
    </row>
    <row r="55" spans="1:157">
      <c r="C55" s="128"/>
      <c r="D55" s="128"/>
      <c r="E55" s="128"/>
      <c r="F55" s="128" t="str">
        <f>IF(E55 &lt;&gt; "", VLOOKUP(E55, '[2]Internal-logic'!G$1:I$364, 2, FALSE),"")</f>
        <v/>
      </c>
      <c r="G55" s="128" t="str">
        <f>IF(E55 &lt;&gt; "", VLOOKUP(E55, '[2]Internal-logic'!G$1:I$364, 3, FALSE),"")</f>
        <v/>
      </c>
      <c r="H55" s="128"/>
      <c r="I55" s="128"/>
      <c r="J55" s="128"/>
      <c r="K55" s="128"/>
      <c r="Q55" s="128"/>
      <c r="R55" s="128"/>
      <c r="S55" s="128"/>
      <c r="U55" s="128"/>
      <c r="X55" s="128"/>
      <c r="Y55" s="128"/>
      <c r="Z55" s="128"/>
      <c r="AA55" s="128"/>
      <c r="AB55" s="128"/>
      <c r="AC55" s="128"/>
      <c r="AD55" s="128"/>
      <c r="AE55" s="128"/>
      <c r="AF55" s="128"/>
      <c r="AG55" s="128"/>
      <c r="AI55" s="128"/>
      <c r="AJ55" s="128"/>
      <c r="AY55" s="128"/>
      <c r="BN55" s="128"/>
      <c r="BQ55" s="128"/>
      <c r="BR55" s="128"/>
      <c r="BT55" s="128"/>
      <c r="BV55" s="128"/>
      <c r="BX55" s="128"/>
      <c r="CU55" s="128"/>
      <c r="CW55" s="128"/>
      <c r="DN55" s="128"/>
      <c r="DP55" s="128"/>
      <c r="DR55" s="128"/>
      <c r="DV55" s="128"/>
      <c r="DX55" s="128"/>
      <c r="DY55" s="128"/>
      <c r="EA55" s="128"/>
      <c r="EB55" s="128"/>
      <c r="EC55" s="128"/>
      <c r="EG55" s="128"/>
      <c r="EL55" s="128"/>
      <c r="EM55" s="128"/>
      <c r="EO55" s="128"/>
      <c r="EQ55" s="128"/>
      <c r="ES55" s="128"/>
      <c r="EU55" s="128"/>
      <c r="EW55" s="128"/>
      <c r="EY55" s="128"/>
    </row>
    <row r="56" spans="1:157">
      <c r="C56" s="128"/>
      <c r="D56" s="128"/>
      <c r="E56" s="128"/>
      <c r="F56" s="128" t="str">
        <f>IF(E56 &lt;&gt; "", VLOOKUP(E56, '[2]Internal-logic'!G$1:I$364, 2, FALSE),"")</f>
        <v/>
      </c>
      <c r="G56" s="128" t="str">
        <f>IF(E56 &lt;&gt; "", VLOOKUP(E56, '[2]Internal-logic'!G$1:I$364, 3, FALSE),"")</f>
        <v/>
      </c>
      <c r="H56" s="128"/>
      <c r="I56" s="128"/>
      <c r="J56" s="128"/>
      <c r="K56" s="128"/>
      <c r="Q56" s="128"/>
      <c r="R56" s="128"/>
      <c r="S56" s="128"/>
      <c r="U56" s="128"/>
      <c r="X56" s="128"/>
      <c r="Y56" s="128"/>
      <c r="Z56" s="128"/>
      <c r="AA56" s="128"/>
      <c r="AB56" s="128"/>
      <c r="AC56" s="128"/>
      <c r="AD56" s="128"/>
      <c r="AE56" s="128"/>
      <c r="AF56" s="128"/>
      <c r="AG56" s="128"/>
      <c r="AI56" s="128"/>
      <c r="AJ56" s="128"/>
      <c r="AY56" s="128"/>
      <c r="BN56" s="128"/>
      <c r="BQ56" s="128"/>
      <c r="BR56" s="128"/>
      <c r="BT56" s="128"/>
      <c r="BV56" s="128"/>
      <c r="BX56" s="128"/>
      <c r="CU56" s="128"/>
      <c r="CW56" s="128"/>
      <c r="DN56" s="128"/>
      <c r="DP56" s="128"/>
      <c r="DR56" s="128"/>
      <c r="DV56" s="128"/>
      <c r="DX56" s="128"/>
      <c r="DY56" s="128"/>
      <c r="EA56" s="128"/>
      <c r="EB56" s="128"/>
      <c r="EC56" s="128"/>
      <c r="EG56" s="128"/>
      <c r="EL56" s="128"/>
      <c r="EM56" s="128"/>
      <c r="EO56" s="128"/>
      <c r="EQ56" s="128"/>
      <c r="ES56" s="128"/>
      <c r="EU56" s="128"/>
      <c r="EW56" s="128"/>
      <c r="EY56" s="128"/>
    </row>
    <row r="57" spans="1:157">
      <c r="C57" s="128"/>
      <c r="D57" s="128"/>
      <c r="E57" s="128"/>
      <c r="F57" s="128" t="str">
        <f>IF(E57 &lt;&gt; "", VLOOKUP(E57, '[2]Internal-logic'!G$1:I$364, 2, FALSE),"")</f>
        <v/>
      </c>
      <c r="G57" s="128" t="str">
        <f>IF(E57 &lt;&gt; "", VLOOKUP(E57, '[2]Internal-logic'!G$1:I$364, 3, FALSE),"")</f>
        <v/>
      </c>
      <c r="H57" s="128"/>
      <c r="I57" s="128"/>
      <c r="J57" s="128"/>
      <c r="K57" s="128"/>
      <c r="Q57" s="128"/>
      <c r="R57" s="128"/>
      <c r="S57" s="128"/>
      <c r="U57" s="128"/>
      <c r="X57" s="128"/>
      <c r="Y57" s="128"/>
      <c r="Z57" s="128"/>
      <c r="AA57" s="128"/>
      <c r="AB57" s="128"/>
      <c r="AC57" s="128"/>
      <c r="AD57" s="128"/>
      <c r="AE57" s="128"/>
      <c r="AF57" s="128"/>
      <c r="AG57" s="128"/>
      <c r="AI57" s="128"/>
      <c r="AJ57" s="128"/>
      <c r="AY57" s="128"/>
      <c r="BN57" s="128"/>
      <c r="BQ57" s="128"/>
      <c r="BR57" s="128"/>
      <c r="BT57" s="128"/>
      <c r="BV57" s="128"/>
      <c r="BX57" s="128"/>
      <c r="CU57" s="128"/>
      <c r="CW57" s="128"/>
      <c r="DN57" s="128"/>
      <c r="DP57" s="128"/>
      <c r="DR57" s="128"/>
      <c r="DV57" s="128"/>
      <c r="DX57" s="128"/>
      <c r="DY57" s="128"/>
      <c r="EA57" s="128"/>
      <c r="EB57" s="128"/>
      <c r="EC57" s="128"/>
      <c r="EG57" s="128"/>
      <c r="EL57" s="128"/>
      <c r="EM57" s="128"/>
      <c r="EO57" s="128"/>
      <c r="EQ57" s="128"/>
      <c r="ES57" s="128"/>
      <c r="EU57" s="128"/>
      <c r="EW57" s="128"/>
      <c r="EY57" s="128"/>
    </row>
    <row r="58" spans="1:157">
      <c r="C58" s="128"/>
      <c r="D58" s="128"/>
      <c r="E58" s="128"/>
      <c r="F58" s="128" t="str">
        <f>IF(E58 &lt;&gt; "", VLOOKUP(E58, '[2]Internal-logic'!G$1:I$364, 2, FALSE),"")</f>
        <v/>
      </c>
      <c r="G58" s="128" t="str">
        <f>IF(E58 &lt;&gt; "", VLOOKUP(E58, '[2]Internal-logic'!G$1:I$364, 3, FALSE),"")</f>
        <v/>
      </c>
      <c r="H58" s="128"/>
      <c r="I58" s="128"/>
      <c r="J58" s="128"/>
      <c r="K58" s="128"/>
      <c r="Q58" s="128"/>
      <c r="R58" s="128"/>
      <c r="S58" s="128"/>
      <c r="U58" s="128"/>
      <c r="X58" s="128"/>
      <c r="Y58" s="128"/>
      <c r="Z58" s="128"/>
      <c r="AA58" s="128"/>
      <c r="AB58" s="128"/>
      <c r="AC58" s="128"/>
      <c r="AD58" s="128"/>
      <c r="AE58" s="128"/>
      <c r="AF58" s="128"/>
      <c r="AG58" s="128"/>
      <c r="AI58" s="128"/>
      <c r="AJ58" s="128"/>
      <c r="AY58" s="128"/>
      <c r="BN58" s="128"/>
      <c r="BQ58" s="128"/>
      <c r="BR58" s="128"/>
      <c r="BT58" s="128"/>
      <c r="BV58" s="128"/>
      <c r="BX58" s="128"/>
      <c r="CU58" s="128"/>
      <c r="CW58" s="128"/>
      <c r="DN58" s="128"/>
      <c r="DP58" s="128"/>
      <c r="DR58" s="128"/>
      <c r="DV58" s="128"/>
      <c r="DX58" s="128"/>
      <c r="DY58" s="128"/>
      <c r="EA58" s="128"/>
      <c r="EB58" s="128"/>
      <c r="EC58" s="128"/>
      <c r="EG58" s="128"/>
      <c r="EL58" s="128"/>
      <c r="EM58" s="128"/>
      <c r="EO58" s="128"/>
      <c r="EQ58" s="128"/>
      <c r="ES58" s="128"/>
      <c r="EU58" s="128"/>
      <c r="EW58" s="128"/>
      <c r="EY58" s="128"/>
    </row>
    <row r="59" spans="1:157">
      <c r="C59" s="128"/>
      <c r="D59" s="128"/>
      <c r="E59" s="128"/>
      <c r="F59" s="128" t="str">
        <f>IF(E59 &lt;&gt; "", VLOOKUP(E59, '[2]Internal-logic'!G$1:I$364, 2, FALSE),"")</f>
        <v/>
      </c>
      <c r="G59" s="128" t="str">
        <f>IF(E59 &lt;&gt; "", VLOOKUP(E59, '[2]Internal-logic'!G$1:I$364, 3, FALSE),"")</f>
        <v/>
      </c>
      <c r="H59" s="128"/>
      <c r="I59" s="128"/>
      <c r="J59" s="128"/>
      <c r="K59" s="128"/>
      <c r="Q59" s="128"/>
      <c r="R59" s="128"/>
      <c r="S59" s="128"/>
      <c r="U59" s="128"/>
      <c r="X59" s="128"/>
      <c r="Y59" s="128"/>
      <c r="Z59" s="128"/>
      <c r="AA59" s="128"/>
      <c r="AB59" s="128"/>
      <c r="AC59" s="128"/>
      <c r="AD59" s="128"/>
      <c r="AE59" s="128"/>
      <c r="AF59" s="128"/>
      <c r="AG59" s="128"/>
      <c r="AI59" s="128"/>
      <c r="AJ59" s="128"/>
      <c r="AY59" s="128"/>
      <c r="BN59" s="128"/>
      <c r="BQ59" s="128"/>
      <c r="BR59" s="128"/>
      <c r="BT59" s="128"/>
      <c r="BV59" s="128"/>
      <c r="BX59" s="128"/>
      <c r="CU59" s="128"/>
      <c r="CW59" s="128"/>
      <c r="DN59" s="128"/>
      <c r="DP59" s="128"/>
      <c r="DR59" s="128"/>
      <c r="DV59" s="128"/>
      <c r="DX59" s="128"/>
      <c r="DY59" s="128"/>
      <c r="EA59" s="128"/>
      <c r="EB59" s="128"/>
      <c r="EC59" s="128"/>
      <c r="EG59" s="128"/>
      <c r="EL59" s="128"/>
      <c r="EM59" s="128"/>
      <c r="EO59" s="128"/>
      <c r="EQ59" s="128"/>
      <c r="ES59" s="128"/>
      <c r="EU59" s="128"/>
      <c r="EW59" s="128"/>
      <c r="EY59" s="128"/>
    </row>
    <row r="60" spans="1:157">
      <c r="C60" s="128"/>
      <c r="D60" s="128"/>
      <c r="E60" s="128"/>
      <c r="F60" s="128" t="str">
        <f>IF(E60 &lt;&gt; "", VLOOKUP(E60, '[2]Internal-logic'!G$1:I$364, 2, FALSE),"")</f>
        <v/>
      </c>
      <c r="G60" s="128" t="str">
        <f>IF(E60 &lt;&gt; "", VLOOKUP(E60, '[2]Internal-logic'!G$1:I$364, 3, FALSE),"")</f>
        <v/>
      </c>
      <c r="H60" s="128"/>
      <c r="I60" s="128"/>
      <c r="J60" s="128"/>
      <c r="K60" s="128"/>
      <c r="Q60" s="128"/>
      <c r="R60" s="128"/>
      <c r="S60" s="128"/>
      <c r="U60" s="128"/>
      <c r="X60" s="128"/>
      <c r="Y60" s="128"/>
      <c r="Z60" s="128"/>
      <c r="AA60" s="128"/>
      <c r="AB60" s="128"/>
      <c r="AC60" s="128"/>
      <c r="AD60" s="128"/>
      <c r="AE60" s="128"/>
      <c r="AF60" s="128"/>
      <c r="AG60" s="128"/>
      <c r="AI60" s="128"/>
      <c r="AJ60" s="128"/>
      <c r="AY60" s="128"/>
      <c r="BN60" s="128"/>
      <c r="BQ60" s="128"/>
      <c r="BR60" s="128"/>
      <c r="BT60" s="128"/>
      <c r="BV60" s="128"/>
      <c r="BX60" s="128"/>
      <c r="CU60" s="128"/>
      <c r="CW60" s="128"/>
      <c r="DN60" s="128"/>
      <c r="DP60" s="128"/>
      <c r="DR60" s="128"/>
      <c r="DV60" s="128"/>
      <c r="DX60" s="128"/>
      <c r="DY60" s="128"/>
      <c r="EA60" s="128"/>
      <c r="EB60" s="128"/>
      <c r="EC60" s="128"/>
      <c r="EG60" s="128"/>
      <c r="EL60" s="128"/>
      <c r="EM60" s="128"/>
      <c r="EO60" s="128"/>
      <c r="EQ60" s="128"/>
      <c r="ES60" s="128"/>
      <c r="EU60" s="128"/>
      <c r="EW60" s="128"/>
      <c r="EY60" s="128"/>
    </row>
    <row r="61" spans="1:157">
      <c r="C61" s="128"/>
      <c r="D61" s="128"/>
      <c r="E61" s="128"/>
      <c r="F61" s="128" t="str">
        <f>IF(E61 &lt;&gt; "", VLOOKUP(E61, '[2]Internal-logic'!G$1:I$364, 2, FALSE),"")</f>
        <v/>
      </c>
      <c r="G61" s="128" t="str">
        <f>IF(E61 &lt;&gt; "", VLOOKUP(E61, '[2]Internal-logic'!G$1:I$364, 3, FALSE),"")</f>
        <v/>
      </c>
      <c r="H61" s="128"/>
      <c r="I61" s="128"/>
      <c r="J61" s="128"/>
      <c r="K61" s="128"/>
      <c r="Q61" s="128"/>
      <c r="R61" s="128"/>
      <c r="S61" s="128"/>
      <c r="U61" s="128"/>
      <c r="X61" s="128"/>
      <c r="Y61" s="128"/>
      <c r="Z61" s="128"/>
      <c r="AA61" s="128"/>
      <c r="AB61" s="128"/>
      <c r="AC61" s="128"/>
      <c r="AD61" s="128"/>
      <c r="AE61" s="128"/>
      <c r="AF61" s="128"/>
      <c r="AG61" s="128"/>
      <c r="AI61" s="128"/>
      <c r="AJ61" s="128"/>
      <c r="AY61" s="128"/>
      <c r="BN61" s="128"/>
      <c r="BQ61" s="128"/>
      <c r="BR61" s="128"/>
      <c r="BT61" s="128"/>
      <c r="BV61" s="128"/>
      <c r="BX61" s="128"/>
      <c r="CU61" s="128"/>
      <c r="CW61" s="128"/>
      <c r="DN61" s="128"/>
      <c r="DP61" s="128"/>
      <c r="DR61" s="128"/>
      <c r="DV61" s="128"/>
      <c r="DX61" s="128"/>
      <c r="DY61" s="128"/>
      <c r="EA61" s="128"/>
      <c r="EB61" s="128"/>
      <c r="EC61" s="128"/>
      <c r="EG61" s="128"/>
      <c r="EL61" s="128"/>
      <c r="EM61" s="128"/>
      <c r="EO61" s="128"/>
      <c r="EQ61" s="128"/>
      <c r="ES61" s="128"/>
      <c r="EU61" s="128"/>
      <c r="EW61" s="128"/>
      <c r="EY61" s="128"/>
    </row>
    <row r="62" spans="1:157">
      <c r="C62" s="128"/>
      <c r="D62" s="128"/>
      <c r="E62" s="128"/>
      <c r="F62" s="128" t="str">
        <f>IF(E62 &lt;&gt; "", VLOOKUP(E62, '[2]Internal-logic'!G$1:I$364, 2, FALSE),"")</f>
        <v/>
      </c>
      <c r="G62" s="128" t="str">
        <f>IF(E62 &lt;&gt; "", VLOOKUP(E62, '[2]Internal-logic'!G$1:I$364, 3, FALSE),"")</f>
        <v/>
      </c>
      <c r="H62" s="128"/>
      <c r="I62" s="128"/>
      <c r="J62" s="128"/>
      <c r="K62" s="128"/>
      <c r="Q62" s="128"/>
      <c r="R62" s="128"/>
      <c r="S62" s="128"/>
      <c r="U62" s="128"/>
      <c r="X62" s="128"/>
      <c r="Y62" s="128"/>
      <c r="Z62" s="128"/>
      <c r="AA62" s="128"/>
      <c r="AB62" s="128"/>
      <c r="AC62" s="128"/>
      <c r="AD62" s="128"/>
      <c r="AE62" s="128"/>
      <c r="AF62" s="128"/>
      <c r="AG62" s="128"/>
      <c r="AI62" s="128"/>
      <c r="AJ62" s="128"/>
      <c r="AY62" s="128"/>
      <c r="BN62" s="128"/>
      <c r="BQ62" s="128"/>
      <c r="BR62" s="128"/>
      <c r="BT62" s="128"/>
      <c r="BV62" s="128"/>
      <c r="BX62" s="128"/>
      <c r="CU62" s="128"/>
      <c r="CW62" s="128"/>
      <c r="DN62" s="128"/>
      <c r="DP62" s="128"/>
      <c r="DR62" s="128"/>
      <c r="DV62" s="128"/>
      <c r="DX62" s="128"/>
      <c r="DY62" s="128"/>
      <c r="EA62" s="128"/>
      <c r="EB62" s="128"/>
      <c r="EC62" s="128"/>
      <c r="EG62" s="128"/>
      <c r="EL62" s="128"/>
      <c r="EM62" s="128"/>
      <c r="EO62" s="128"/>
      <c r="EQ62" s="128"/>
      <c r="ES62" s="128"/>
      <c r="EU62" s="128"/>
      <c r="EW62" s="128"/>
      <c r="EY62" s="128"/>
    </row>
    <row r="63" spans="1:157">
      <c r="C63" s="128"/>
      <c r="D63" s="128"/>
      <c r="E63" s="128"/>
      <c r="F63" s="128" t="str">
        <f>IF(E63 &lt;&gt; "", VLOOKUP(E63, '[2]Internal-logic'!G$1:I$364, 2, FALSE),"")</f>
        <v/>
      </c>
      <c r="G63" s="128" t="str">
        <f>IF(E63 &lt;&gt; "", VLOOKUP(E63, '[2]Internal-logic'!G$1:I$364, 3, FALSE),"")</f>
        <v/>
      </c>
      <c r="H63" s="128"/>
      <c r="I63" s="128"/>
      <c r="J63" s="128"/>
      <c r="K63" s="128"/>
      <c r="Q63" s="128"/>
      <c r="R63" s="128"/>
      <c r="S63" s="128"/>
      <c r="U63" s="128"/>
      <c r="X63" s="128"/>
      <c r="Y63" s="128"/>
      <c r="Z63" s="128"/>
      <c r="AA63" s="128"/>
      <c r="AB63" s="128"/>
      <c r="AC63" s="128"/>
      <c r="AD63" s="128"/>
      <c r="AE63" s="128"/>
      <c r="AF63" s="128"/>
      <c r="AG63" s="128"/>
      <c r="AI63" s="128"/>
      <c r="AJ63" s="128"/>
      <c r="AY63" s="128"/>
      <c r="BN63" s="128"/>
      <c r="BQ63" s="128"/>
      <c r="BR63" s="128"/>
      <c r="BT63" s="128"/>
      <c r="BV63" s="128"/>
      <c r="BX63" s="128"/>
      <c r="CU63" s="128"/>
      <c r="CW63" s="128"/>
      <c r="DN63" s="128"/>
      <c r="DP63" s="128"/>
      <c r="DR63" s="128"/>
      <c r="DV63" s="128"/>
      <c r="DX63" s="128"/>
      <c r="DY63" s="128"/>
      <c r="EA63" s="128"/>
      <c r="EB63" s="128"/>
      <c r="EC63" s="128"/>
      <c r="EG63" s="128"/>
      <c r="EL63" s="128"/>
      <c r="EM63" s="128"/>
      <c r="EO63" s="128"/>
      <c r="EQ63" s="128"/>
      <c r="ES63" s="128"/>
      <c r="EU63" s="128"/>
      <c r="EW63" s="128"/>
      <c r="EY63" s="128"/>
    </row>
    <row r="64" spans="1:157">
      <c r="C64" s="128"/>
      <c r="D64" s="128"/>
      <c r="E64" s="128"/>
      <c r="F64" s="128" t="str">
        <f>IF(E64 &lt;&gt; "", VLOOKUP(E64, '[2]Internal-logic'!G$1:I$364, 2, FALSE),"")</f>
        <v/>
      </c>
      <c r="G64" s="128" t="str">
        <f>IF(E64 &lt;&gt; "", VLOOKUP(E64, '[2]Internal-logic'!G$1:I$364, 3, FALSE),"")</f>
        <v/>
      </c>
      <c r="H64" s="128"/>
      <c r="I64" s="128"/>
      <c r="J64" s="128"/>
      <c r="K64" s="128"/>
      <c r="Q64" s="128"/>
      <c r="R64" s="128"/>
      <c r="S64" s="128"/>
      <c r="U64" s="128"/>
      <c r="X64" s="128"/>
      <c r="Y64" s="128"/>
      <c r="Z64" s="128"/>
      <c r="AA64" s="128"/>
      <c r="AB64" s="128"/>
      <c r="AC64" s="128"/>
      <c r="AD64" s="128"/>
      <c r="AE64" s="128"/>
      <c r="AF64" s="128"/>
      <c r="AG64" s="128"/>
      <c r="AI64" s="128"/>
      <c r="AJ64" s="128"/>
      <c r="AY64" s="128"/>
      <c r="BN64" s="128"/>
      <c r="BQ64" s="128"/>
      <c r="BR64" s="128"/>
      <c r="BT64" s="128"/>
      <c r="BV64" s="128"/>
      <c r="BX64" s="128"/>
      <c r="CU64" s="128"/>
      <c r="CW64" s="128"/>
      <c r="DN64" s="128"/>
      <c r="DP64" s="128"/>
      <c r="DR64" s="128"/>
      <c r="DV64" s="128"/>
      <c r="DX64" s="128"/>
      <c r="DY64" s="128"/>
      <c r="EA64" s="128"/>
      <c r="EB64" s="128"/>
      <c r="EC64" s="128"/>
      <c r="EG64" s="128"/>
      <c r="EL64" s="128"/>
      <c r="EM64" s="128"/>
      <c r="EO64" s="128"/>
      <c r="EQ64" s="128"/>
      <c r="ES64" s="128"/>
      <c r="EU64" s="128"/>
      <c r="EW64" s="128"/>
      <c r="EY64" s="128"/>
    </row>
    <row r="65" spans="3:155">
      <c r="C65" s="128"/>
      <c r="D65" s="128"/>
      <c r="E65" s="128"/>
      <c r="F65" s="128" t="str">
        <f>IF(E65 &lt;&gt; "", VLOOKUP(E65, '[2]Internal-logic'!G$1:I$364, 2, FALSE),"")</f>
        <v/>
      </c>
      <c r="G65" s="128" t="str">
        <f>IF(E65 &lt;&gt; "", VLOOKUP(E65, '[2]Internal-logic'!G$1:I$364, 3, FALSE),"")</f>
        <v/>
      </c>
      <c r="H65" s="128"/>
      <c r="I65" s="128"/>
      <c r="J65" s="128"/>
      <c r="K65" s="128"/>
      <c r="Q65" s="128"/>
      <c r="R65" s="128"/>
      <c r="S65" s="128"/>
      <c r="U65" s="128"/>
      <c r="X65" s="128"/>
      <c r="Y65" s="128"/>
      <c r="Z65" s="128"/>
      <c r="AA65" s="128"/>
      <c r="AB65" s="128"/>
      <c r="AC65" s="128"/>
      <c r="AD65" s="128"/>
      <c r="AE65" s="128"/>
      <c r="AF65" s="128"/>
      <c r="AG65" s="128"/>
      <c r="AI65" s="128"/>
      <c r="AJ65" s="128"/>
      <c r="AY65" s="128"/>
      <c r="BN65" s="128"/>
      <c r="BQ65" s="128"/>
      <c r="BR65" s="128"/>
      <c r="BT65" s="128"/>
      <c r="BV65" s="128"/>
      <c r="BX65" s="128"/>
      <c r="CU65" s="128"/>
      <c r="CW65" s="128"/>
      <c r="DN65" s="128"/>
      <c r="DP65" s="128"/>
      <c r="DR65" s="128"/>
      <c r="DV65" s="128"/>
      <c r="DX65" s="128"/>
      <c r="DY65" s="128"/>
      <c r="EA65" s="128"/>
      <c r="EB65" s="128"/>
      <c r="EC65" s="128"/>
      <c r="EG65" s="128"/>
      <c r="EL65" s="128"/>
      <c r="EM65" s="128"/>
      <c r="EO65" s="128"/>
      <c r="EQ65" s="128"/>
      <c r="ES65" s="128"/>
      <c r="EU65" s="128"/>
      <c r="EW65" s="128"/>
      <c r="EY65" s="128"/>
    </row>
    <row r="66" spans="3:155">
      <c r="C66" s="128"/>
      <c r="D66" s="128"/>
      <c r="E66" s="128"/>
      <c r="F66" s="128" t="str">
        <f>IF(E66 &lt;&gt; "", VLOOKUP(E66, '[2]Internal-logic'!G$1:I$364, 2, FALSE),"")</f>
        <v/>
      </c>
      <c r="G66" s="128" t="str">
        <f>IF(E66 &lt;&gt; "", VLOOKUP(E66, '[2]Internal-logic'!G$1:I$364, 3, FALSE),"")</f>
        <v/>
      </c>
      <c r="H66" s="128"/>
      <c r="I66" s="128"/>
      <c r="J66" s="128"/>
      <c r="K66" s="128"/>
      <c r="Q66" s="128"/>
      <c r="R66" s="128"/>
      <c r="S66" s="128"/>
      <c r="U66" s="128"/>
      <c r="X66" s="128"/>
      <c r="Y66" s="128"/>
      <c r="Z66" s="128"/>
      <c r="AA66" s="128"/>
      <c r="AB66" s="128"/>
      <c r="AC66" s="128"/>
      <c r="AD66" s="128"/>
      <c r="AE66" s="128"/>
      <c r="AF66" s="128"/>
      <c r="AG66" s="128"/>
      <c r="AI66" s="128"/>
      <c r="AJ66" s="128"/>
      <c r="AY66" s="128"/>
      <c r="BN66" s="128"/>
      <c r="BQ66" s="128"/>
      <c r="BR66" s="128"/>
      <c r="BT66" s="128"/>
      <c r="BV66" s="128"/>
      <c r="BX66" s="128"/>
      <c r="CU66" s="128"/>
      <c r="CW66" s="128"/>
      <c r="DN66" s="128"/>
      <c r="DP66" s="128"/>
      <c r="DR66" s="128"/>
      <c r="DV66" s="128"/>
      <c r="DX66" s="128"/>
      <c r="DY66" s="128"/>
      <c r="EA66" s="128"/>
      <c r="EB66" s="128"/>
      <c r="EC66" s="128"/>
      <c r="EG66" s="128"/>
      <c r="EL66" s="128"/>
      <c r="EM66" s="128"/>
      <c r="EO66" s="128"/>
      <c r="EQ66" s="128"/>
      <c r="ES66" s="128"/>
      <c r="EU66" s="128"/>
      <c r="EW66" s="128"/>
      <c r="EY66" s="128"/>
    </row>
    <row r="67" spans="3:155">
      <c r="C67" s="128"/>
      <c r="D67" s="128"/>
      <c r="E67" s="128"/>
      <c r="F67" s="128" t="str">
        <f>IF(E67 &lt;&gt; "", VLOOKUP(E67, '[2]Internal-logic'!G$1:I$364, 2, FALSE),"")</f>
        <v/>
      </c>
      <c r="G67" s="128" t="str">
        <f>IF(E67 &lt;&gt; "", VLOOKUP(E67, '[2]Internal-logic'!G$1:I$364, 3, FALSE),"")</f>
        <v/>
      </c>
      <c r="H67" s="128"/>
      <c r="I67" s="128"/>
      <c r="J67" s="128"/>
      <c r="K67" s="128"/>
      <c r="Q67" s="128"/>
      <c r="R67" s="128"/>
      <c r="S67" s="128"/>
      <c r="U67" s="128"/>
      <c r="X67" s="128"/>
      <c r="Y67" s="128"/>
      <c r="Z67" s="128"/>
      <c r="AA67" s="128"/>
      <c r="AB67" s="128"/>
      <c r="AC67" s="128"/>
      <c r="AD67" s="128"/>
      <c r="AE67" s="128"/>
      <c r="AF67" s="128"/>
      <c r="AG67" s="128"/>
      <c r="AI67" s="128"/>
      <c r="AJ67" s="128"/>
      <c r="AY67" s="128"/>
      <c r="BN67" s="128"/>
      <c r="BQ67" s="128"/>
      <c r="BR67" s="128"/>
      <c r="BT67" s="128"/>
      <c r="BV67" s="128"/>
      <c r="BX67" s="128"/>
      <c r="CU67" s="128"/>
      <c r="CW67" s="128"/>
      <c r="DN67" s="128"/>
      <c r="DP67" s="128"/>
      <c r="DR67" s="128"/>
      <c r="DV67" s="128"/>
      <c r="DX67" s="128"/>
      <c r="DY67" s="128"/>
      <c r="EA67" s="128"/>
      <c r="EB67" s="128"/>
      <c r="EC67" s="128"/>
      <c r="EG67" s="128"/>
      <c r="EL67" s="128"/>
      <c r="EM67" s="128"/>
      <c r="EO67" s="128"/>
      <c r="EQ67" s="128"/>
      <c r="ES67" s="128"/>
      <c r="EU67" s="128"/>
      <c r="EW67" s="128"/>
      <c r="EY67" s="128"/>
    </row>
    <row r="68" spans="3:155">
      <c r="C68" s="128"/>
      <c r="D68" s="128"/>
      <c r="E68" s="128"/>
      <c r="F68" s="128" t="str">
        <f>IF(E68 &lt;&gt; "", VLOOKUP(E68, '[2]Internal-logic'!G$1:I$364, 2, FALSE),"")</f>
        <v/>
      </c>
      <c r="G68" s="128" t="str">
        <f>IF(E68 &lt;&gt; "", VLOOKUP(E68, '[2]Internal-logic'!G$1:I$364, 3, FALSE),"")</f>
        <v/>
      </c>
      <c r="H68" s="128"/>
      <c r="I68" s="128"/>
      <c r="J68" s="128"/>
      <c r="K68" s="128"/>
      <c r="Q68" s="128"/>
      <c r="R68" s="128"/>
      <c r="S68" s="128"/>
      <c r="U68" s="128"/>
      <c r="X68" s="128"/>
      <c r="Y68" s="128"/>
      <c r="Z68" s="128"/>
      <c r="AA68" s="128"/>
      <c r="AB68" s="128"/>
      <c r="AC68" s="128"/>
      <c r="AD68" s="128"/>
      <c r="AE68" s="128"/>
      <c r="AF68" s="128"/>
      <c r="AG68" s="128"/>
      <c r="AI68" s="128"/>
      <c r="AJ68" s="128"/>
      <c r="AY68" s="128"/>
      <c r="BN68" s="128"/>
      <c r="BQ68" s="128"/>
      <c r="BR68" s="128"/>
      <c r="BT68" s="128"/>
      <c r="BV68" s="128"/>
      <c r="BX68" s="128"/>
      <c r="CU68" s="128"/>
      <c r="CW68" s="128"/>
      <c r="DN68" s="128"/>
      <c r="DP68" s="128"/>
      <c r="DR68" s="128"/>
      <c r="DV68" s="128"/>
      <c r="DX68" s="128"/>
      <c r="DY68" s="128"/>
      <c r="EA68" s="128"/>
      <c r="EB68" s="128"/>
      <c r="EC68" s="128"/>
      <c r="EG68" s="128"/>
      <c r="EL68" s="128"/>
      <c r="EM68" s="128"/>
      <c r="EO68" s="128"/>
      <c r="EQ68" s="128"/>
      <c r="ES68" s="128"/>
      <c r="EU68" s="128"/>
      <c r="EW68" s="128"/>
      <c r="EY68" s="128"/>
    </row>
    <row r="69" spans="3:155">
      <c r="C69" s="128"/>
      <c r="D69" s="128"/>
      <c r="E69" s="128"/>
      <c r="F69" s="128" t="str">
        <f>IF(E69 &lt;&gt; "", VLOOKUP(E69, '[2]Internal-logic'!G$1:I$364, 2, FALSE),"")</f>
        <v/>
      </c>
      <c r="G69" s="128" t="str">
        <f>IF(E69 &lt;&gt; "", VLOOKUP(E69, '[2]Internal-logic'!G$1:I$364, 3, FALSE),"")</f>
        <v/>
      </c>
      <c r="H69" s="128"/>
      <c r="I69" s="128"/>
      <c r="J69" s="128"/>
      <c r="K69" s="128"/>
      <c r="Q69" s="128"/>
      <c r="R69" s="128"/>
      <c r="S69" s="128"/>
      <c r="U69" s="128"/>
      <c r="X69" s="128"/>
      <c r="Y69" s="128"/>
      <c r="Z69" s="128"/>
      <c r="AA69" s="128"/>
      <c r="AB69" s="128"/>
      <c r="AC69" s="128"/>
      <c r="AD69" s="128"/>
      <c r="AE69" s="128"/>
      <c r="AF69" s="128"/>
      <c r="AG69" s="128"/>
      <c r="AI69" s="128"/>
      <c r="AJ69" s="128"/>
      <c r="AY69" s="128"/>
      <c r="BN69" s="128"/>
      <c r="BQ69" s="128"/>
      <c r="BR69" s="128"/>
      <c r="BT69" s="128"/>
      <c r="BV69" s="128"/>
      <c r="BX69" s="128"/>
      <c r="CU69" s="128"/>
      <c r="CW69" s="128"/>
      <c r="DN69" s="128"/>
      <c r="DP69" s="128"/>
      <c r="DR69" s="128"/>
      <c r="DV69" s="128"/>
      <c r="DX69" s="128"/>
      <c r="DY69" s="128"/>
      <c r="EA69" s="128"/>
      <c r="EB69" s="128"/>
      <c r="EC69" s="128"/>
      <c r="EG69" s="128"/>
      <c r="EL69" s="128"/>
      <c r="EM69" s="128"/>
      <c r="EO69" s="128"/>
      <c r="EQ69" s="128"/>
      <c r="ES69" s="128"/>
      <c r="EU69" s="128"/>
      <c r="EW69" s="128"/>
      <c r="EY69" s="128"/>
    </row>
    <row r="70" spans="3:155">
      <c r="C70" s="128"/>
      <c r="D70" s="128"/>
      <c r="E70" s="128"/>
      <c r="F70" s="128" t="str">
        <f>IF(E70 &lt;&gt; "", VLOOKUP(E70, '[2]Internal-logic'!G$1:I$364, 2, FALSE),"")</f>
        <v/>
      </c>
      <c r="G70" s="128" t="str">
        <f>IF(E70 &lt;&gt; "", VLOOKUP(E70, '[2]Internal-logic'!G$1:I$364, 3, FALSE),"")</f>
        <v/>
      </c>
      <c r="H70" s="128"/>
      <c r="I70" s="128"/>
      <c r="J70" s="128"/>
      <c r="K70" s="128"/>
      <c r="Q70" s="128"/>
      <c r="R70" s="128"/>
      <c r="S70" s="128"/>
      <c r="U70" s="128"/>
      <c r="X70" s="128"/>
      <c r="Y70" s="128"/>
      <c r="Z70" s="128"/>
      <c r="AA70" s="128"/>
      <c r="AB70" s="128"/>
      <c r="AC70" s="128"/>
      <c r="AD70" s="128"/>
      <c r="AE70" s="128"/>
      <c r="AF70" s="128"/>
      <c r="AG70" s="128"/>
      <c r="AI70" s="128"/>
      <c r="AJ70" s="128"/>
      <c r="AY70" s="128"/>
      <c r="BN70" s="128"/>
      <c r="BQ70" s="128"/>
      <c r="BR70" s="128"/>
      <c r="BT70" s="128"/>
      <c r="BV70" s="128"/>
      <c r="BX70" s="128"/>
      <c r="CU70" s="128"/>
      <c r="CW70" s="128"/>
      <c r="DN70" s="128"/>
      <c r="DP70" s="128"/>
      <c r="DR70" s="128"/>
      <c r="DV70" s="128"/>
      <c r="DX70" s="128"/>
      <c r="DY70" s="128"/>
      <c r="EA70" s="128"/>
      <c r="EB70" s="128"/>
      <c r="EC70" s="128"/>
      <c r="EG70" s="128"/>
      <c r="EL70" s="128"/>
      <c r="EM70" s="128"/>
      <c r="EO70" s="128"/>
      <c r="EQ70" s="128"/>
      <c r="ES70" s="128"/>
      <c r="EU70" s="128"/>
      <c r="EW70" s="128"/>
      <c r="EY70" s="128"/>
    </row>
    <row r="71" spans="3:155">
      <c r="C71" s="128"/>
      <c r="D71" s="128"/>
      <c r="E71" s="128"/>
      <c r="F71" s="128" t="str">
        <f>IF(E71 &lt;&gt; "", VLOOKUP(E71, '[2]Internal-logic'!G$1:I$364, 2, FALSE),"")</f>
        <v/>
      </c>
      <c r="G71" s="128" t="str">
        <f>IF(E71 &lt;&gt; "", VLOOKUP(E71, '[2]Internal-logic'!G$1:I$364, 3, FALSE),"")</f>
        <v/>
      </c>
      <c r="H71" s="128"/>
      <c r="I71" s="128"/>
      <c r="J71" s="128"/>
      <c r="K71" s="128"/>
      <c r="Q71" s="128"/>
      <c r="R71" s="128"/>
      <c r="S71" s="128"/>
      <c r="U71" s="128"/>
      <c r="X71" s="128"/>
      <c r="Y71" s="128"/>
      <c r="Z71" s="128"/>
      <c r="AA71" s="128"/>
      <c r="AB71" s="128"/>
      <c r="AC71" s="128"/>
      <c r="AD71" s="128"/>
      <c r="AE71" s="128"/>
      <c r="AF71" s="128"/>
      <c r="AG71" s="128"/>
      <c r="AI71" s="128"/>
      <c r="AJ71" s="128"/>
      <c r="AY71" s="128"/>
      <c r="BN71" s="128"/>
      <c r="BQ71" s="128"/>
      <c r="BR71" s="128"/>
      <c r="BT71" s="128"/>
      <c r="BV71" s="128"/>
      <c r="BX71" s="128"/>
      <c r="CU71" s="128"/>
      <c r="CW71" s="128"/>
      <c r="DN71" s="128"/>
      <c r="DP71" s="128"/>
      <c r="DR71" s="128"/>
      <c r="DV71" s="128"/>
      <c r="DX71" s="128"/>
      <c r="DY71" s="128"/>
      <c r="EA71" s="128"/>
      <c r="EB71" s="128"/>
      <c r="EC71" s="128"/>
      <c r="EG71" s="128"/>
      <c r="EL71" s="128"/>
      <c r="EM71" s="128"/>
      <c r="EO71" s="128"/>
      <c r="EQ71" s="128"/>
      <c r="ES71" s="128"/>
      <c r="EU71" s="128"/>
      <c r="EW71" s="128"/>
      <c r="EY71" s="128"/>
    </row>
    <row r="72" spans="3:155">
      <c r="C72" s="128"/>
      <c r="D72" s="128"/>
      <c r="E72" s="128"/>
      <c r="F72" s="128" t="str">
        <f>IF(E72 &lt;&gt; "", VLOOKUP(E72, '[2]Internal-logic'!G$1:I$364, 2, FALSE),"")</f>
        <v/>
      </c>
      <c r="G72" s="128" t="str">
        <f>IF(E72 &lt;&gt; "", VLOOKUP(E72, '[2]Internal-logic'!G$1:I$364, 3, FALSE),"")</f>
        <v/>
      </c>
      <c r="H72" s="128"/>
      <c r="I72" s="128"/>
      <c r="J72" s="128"/>
      <c r="K72" s="128"/>
      <c r="Q72" s="128"/>
      <c r="R72" s="128"/>
      <c r="S72" s="128"/>
      <c r="U72" s="128"/>
      <c r="X72" s="128"/>
      <c r="Y72" s="128"/>
      <c r="Z72" s="128"/>
      <c r="AA72" s="128"/>
      <c r="AB72" s="128"/>
      <c r="AC72" s="128"/>
      <c r="AD72" s="128"/>
      <c r="AE72" s="128"/>
      <c r="AF72" s="128"/>
      <c r="AG72" s="128"/>
      <c r="AI72" s="128"/>
      <c r="AJ72" s="128"/>
      <c r="AY72" s="128"/>
      <c r="BN72" s="128"/>
      <c r="BQ72" s="128"/>
      <c r="BR72" s="128"/>
      <c r="BT72" s="128"/>
      <c r="BV72" s="128"/>
      <c r="BX72" s="128"/>
      <c r="CU72" s="128"/>
      <c r="CW72" s="128"/>
      <c r="DN72" s="128"/>
      <c r="DP72" s="128"/>
      <c r="DR72" s="128"/>
      <c r="DV72" s="128"/>
      <c r="DX72" s="128"/>
      <c r="DY72" s="128"/>
      <c r="EA72" s="128"/>
      <c r="EB72" s="128"/>
      <c r="EC72" s="128"/>
      <c r="EG72" s="128"/>
      <c r="EL72" s="128"/>
      <c r="EM72" s="128"/>
      <c r="EO72" s="128"/>
      <c r="EQ72" s="128"/>
      <c r="ES72" s="128"/>
      <c r="EU72" s="128"/>
      <c r="EW72" s="128"/>
      <c r="EY72" s="128"/>
    </row>
    <row r="73" spans="3:155">
      <c r="C73" s="128"/>
      <c r="D73" s="128"/>
      <c r="E73" s="128"/>
      <c r="F73" s="128" t="str">
        <f>IF(E73 &lt;&gt; "", VLOOKUP(E73, '[2]Internal-logic'!G$1:I$364, 2, FALSE),"")</f>
        <v/>
      </c>
      <c r="G73" s="128" t="str">
        <f>IF(E73 &lt;&gt; "", VLOOKUP(E73, '[2]Internal-logic'!G$1:I$364, 3, FALSE),"")</f>
        <v/>
      </c>
      <c r="H73" s="128"/>
      <c r="I73" s="128"/>
      <c r="J73" s="128"/>
      <c r="K73" s="128"/>
      <c r="Q73" s="128"/>
      <c r="R73" s="128"/>
      <c r="S73" s="128"/>
      <c r="U73" s="128"/>
      <c r="X73" s="128"/>
      <c r="Y73" s="128"/>
      <c r="Z73" s="128"/>
      <c r="AA73" s="128"/>
      <c r="AB73" s="128"/>
      <c r="AC73" s="128"/>
      <c r="AD73" s="128"/>
      <c r="AE73" s="128"/>
      <c r="AF73" s="128"/>
      <c r="AG73" s="128"/>
      <c r="AI73" s="128"/>
      <c r="AJ73" s="128"/>
      <c r="AY73" s="128"/>
      <c r="BN73" s="128"/>
      <c r="BQ73" s="128"/>
      <c r="BR73" s="128"/>
      <c r="BT73" s="128"/>
      <c r="BV73" s="128"/>
      <c r="BX73" s="128"/>
      <c r="CU73" s="128"/>
      <c r="CW73" s="128"/>
      <c r="DN73" s="128"/>
      <c r="DP73" s="128"/>
      <c r="DR73" s="128"/>
      <c r="DV73" s="128"/>
      <c r="DX73" s="128"/>
      <c r="DY73" s="128"/>
      <c r="EA73" s="128"/>
      <c r="EB73" s="128"/>
      <c r="EC73" s="128"/>
      <c r="EG73" s="128"/>
      <c r="EL73" s="128"/>
      <c r="EM73" s="128"/>
      <c r="EO73" s="128"/>
      <c r="EQ73" s="128"/>
      <c r="ES73" s="128"/>
      <c r="EU73" s="128"/>
      <c r="EW73" s="128"/>
      <c r="EY73" s="128"/>
    </row>
    <row r="74" spans="3:155">
      <c r="C74" s="128"/>
      <c r="D74" s="128"/>
      <c r="E74" s="128"/>
      <c r="F74" s="128" t="str">
        <f>IF(E74 &lt;&gt; "", VLOOKUP(E74, '[2]Internal-logic'!G$1:I$364, 2, FALSE),"")</f>
        <v/>
      </c>
      <c r="G74" s="128" t="str">
        <f>IF(E74 &lt;&gt; "", VLOOKUP(E74, '[2]Internal-logic'!G$1:I$364, 3, FALSE),"")</f>
        <v/>
      </c>
      <c r="H74" s="128"/>
      <c r="I74" s="128"/>
      <c r="J74" s="128"/>
      <c r="K74" s="128"/>
      <c r="Q74" s="128"/>
      <c r="R74" s="128"/>
      <c r="S74" s="128"/>
      <c r="U74" s="128"/>
      <c r="X74" s="128"/>
      <c r="Y74" s="128"/>
      <c r="Z74" s="128"/>
      <c r="AA74" s="128"/>
      <c r="AB74" s="128"/>
      <c r="AC74" s="128"/>
      <c r="AD74" s="128"/>
      <c r="AE74" s="128"/>
      <c r="AF74" s="128"/>
      <c r="AG74" s="128"/>
      <c r="AI74" s="128"/>
      <c r="AJ74" s="128"/>
      <c r="AY74" s="128"/>
      <c r="BN74" s="128"/>
      <c r="BQ74" s="128"/>
      <c r="BR74" s="128"/>
      <c r="BT74" s="128"/>
      <c r="BV74" s="128"/>
      <c r="BX74" s="128"/>
      <c r="CU74" s="128"/>
      <c r="CW74" s="128"/>
      <c r="DN74" s="128"/>
      <c r="DP74" s="128"/>
      <c r="DR74" s="128"/>
      <c r="DV74" s="128"/>
      <c r="DX74" s="128"/>
      <c r="DY74" s="128"/>
      <c r="EA74" s="128"/>
      <c r="EB74" s="128"/>
      <c r="EC74" s="128"/>
      <c r="EG74" s="128"/>
      <c r="EL74" s="128"/>
      <c r="EM74" s="128"/>
      <c r="EO74" s="128"/>
      <c r="EQ74" s="128"/>
      <c r="ES74" s="128"/>
      <c r="EU74" s="128"/>
      <c r="EW74" s="128"/>
      <c r="EY74" s="128"/>
    </row>
    <row r="75" spans="3:155">
      <c r="C75" s="128"/>
      <c r="D75" s="128"/>
      <c r="E75" s="128"/>
      <c r="F75" s="128" t="str">
        <f>IF(E75 &lt;&gt; "", VLOOKUP(E75, '[2]Internal-logic'!G$1:I$364, 2, FALSE),"")</f>
        <v/>
      </c>
      <c r="G75" s="128" t="str">
        <f>IF(E75 &lt;&gt; "", VLOOKUP(E75, '[2]Internal-logic'!G$1:I$364, 3, FALSE),"")</f>
        <v/>
      </c>
      <c r="H75" s="128"/>
      <c r="I75" s="128"/>
      <c r="J75" s="128"/>
      <c r="K75" s="128"/>
      <c r="Q75" s="128"/>
      <c r="R75" s="128"/>
      <c r="S75" s="128"/>
      <c r="U75" s="128"/>
      <c r="X75" s="128"/>
      <c r="Y75" s="128"/>
      <c r="Z75" s="128"/>
      <c r="AA75" s="128"/>
      <c r="AB75" s="128"/>
      <c r="AC75" s="128"/>
      <c r="AD75" s="128"/>
      <c r="AE75" s="128"/>
      <c r="AF75" s="128"/>
      <c r="AG75" s="128"/>
      <c r="AI75" s="128"/>
      <c r="AJ75" s="128"/>
      <c r="AY75" s="128"/>
      <c r="BN75" s="128"/>
      <c r="BQ75" s="128"/>
      <c r="BR75" s="128"/>
      <c r="BT75" s="128"/>
      <c r="BV75" s="128"/>
      <c r="BX75" s="128"/>
      <c r="CU75" s="128"/>
      <c r="CW75" s="128"/>
      <c r="DN75" s="128"/>
      <c r="DP75" s="128"/>
      <c r="DR75" s="128"/>
      <c r="DV75" s="128"/>
      <c r="DX75" s="128"/>
      <c r="DY75" s="128"/>
      <c r="EA75" s="128"/>
      <c r="EB75" s="128"/>
      <c r="EC75" s="128"/>
      <c r="EG75" s="128"/>
      <c r="EL75" s="128"/>
      <c r="EM75" s="128"/>
      <c r="EO75" s="128"/>
      <c r="EQ75" s="128"/>
      <c r="ES75" s="128"/>
      <c r="EU75" s="128"/>
      <c r="EW75" s="128"/>
      <c r="EY75" s="128"/>
    </row>
    <row r="76" spans="3:155">
      <c r="C76" s="128"/>
      <c r="D76" s="128"/>
      <c r="E76" s="128"/>
      <c r="F76" s="128" t="str">
        <f>IF(E76 &lt;&gt; "", VLOOKUP(E76, '[2]Internal-logic'!G$1:I$364, 2, FALSE),"")</f>
        <v/>
      </c>
      <c r="G76" s="128" t="str">
        <f>IF(E76 &lt;&gt; "", VLOOKUP(E76, '[2]Internal-logic'!G$1:I$364, 3, FALSE),"")</f>
        <v/>
      </c>
      <c r="H76" s="128"/>
      <c r="I76" s="128"/>
      <c r="J76" s="128"/>
      <c r="K76" s="128"/>
      <c r="Q76" s="128"/>
      <c r="R76" s="128"/>
      <c r="S76" s="128"/>
      <c r="U76" s="128"/>
      <c r="X76" s="128"/>
      <c r="Y76" s="128"/>
      <c r="Z76" s="128"/>
      <c r="AA76" s="128"/>
      <c r="AB76" s="128"/>
      <c r="AC76" s="128"/>
      <c r="AD76" s="128"/>
      <c r="AE76" s="128"/>
      <c r="AF76" s="128"/>
      <c r="AG76" s="128"/>
      <c r="AI76" s="128"/>
      <c r="AJ76" s="128"/>
      <c r="AY76" s="128"/>
      <c r="BN76" s="128"/>
      <c r="BQ76" s="128"/>
      <c r="BR76" s="128"/>
      <c r="BT76" s="128"/>
      <c r="BV76" s="128"/>
      <c r="BX76" s="128"/>
      <c r="CU76" s="128"/>
      <c r="CW76" s="128"/>
      <c r="DN76" s="128"/>
      <c r="DP76" s="128"/>
      <c r="DR76" s="128"/>
      <c r="DV76" s="128"/>
      <c r="DX76" s="128"/>
      <c r="DY76" s="128"/>
      <c r="EA76" s="128"/>
      <c r="EB76" s="128"/>
      <c r="EC76" s="128"/>
      <c r="EG76" s="128"/>
      <c r="EL76" s="128"/>
      <c r="EM76" s="128"/>
      <c r="EO76" s="128"/>
      <c r="EQ76" s="128"/>
      <c r="ES76" s="128"/>
      <c r="EU76" s="128"/>
      <c r="EW76" s="128"/>
      <c r="EY76" s="128"/>
    </row>
    <row r="77" spans="3:155">
      <c r="C77" s="128"/>
      <c r="D77" s="128"/>
      <c r="E77" s="128"/>
      <c r="F77" s="128" t="str">
        <f>IF(E77 &lt;&gt; "", VLOOKUP(E77, '[2]Internal-logic'!G$1:I$364, 2, FALSE),"")</f>
        <v/>
      </c>
      <c r="G77" s="128" t="str">
        <f>IF(E77 &lt;&gt; "", VLOOKUP(E77, '[2]Internal-logic'!G$1:I$364, 3, FALSE),"")</f>
        <v/>
      </c>
      <c r="H77" s="128"/>
      <c r="I77" s="128"/>
      <c r="J77" s="128"/>
      <c r="K77" s="128"/>
      <c r="Q77" s="128"/>
      <c r="R77" s="128"/>
      <c r="S77" s="128"/>
      <c r="U77" s="128"/>
      <c r="X77" s="128"/>
      <c r="Y77" s="128"/>
      <c r="Z77" s="128"/>
      <c r="AA77" s="128"/>
      <c r="AB77" s="128"/>
      <c r="AC77" s="128"/>
      <c r="AD77" s="128"/>
      <c r="AE77" s="128"/>
      <c r="AF77" s="128"/>
      <c r="AG77" s="128"/>
      <c r="AI77" s="128"/>
      <c r="AJ77" s="128"/>
      <c r="AY77" s="128"/>
      <c r="BN77" s="128"/>
      <c r="BQ77" s="128"/>
      <c r="BR77" s="128"/>
      <c r="BT77" s="128"/>
      <c r="BV77" s="128"/>
      <c r="BX77" s="128"/>
      <c r="CU77" s="128"/>
      <c r="CW77" s="128"/>
      <c r="DN77" s="128"/>
      <c r="DP77" s="128"/>
      <c r="DR77" s="128"/>
      <c r="DV77" s="128"/>
      <c r="DX77" s="128"/>
      <c r="DY77" s="128"/>
      <c r="EA77" s="128"/>
      <c r="EB77" s="128"/>
      <c r="EC77" s="128"/>
      <c r="EG77" s="128"/>
      <c r="EL77" s="128"/>
      <c r="EM77" s="128"/>
      <c r="EO77" s="128"/>
      <c r="EQ77" s="128"/>
      <c r="ES77" s="128"/>
      <c r="EU77" s="128"/>
      <c r="EW77" s="128"/>
      <c r="EY77" s="128"/>
    </row>
    <row r="78" spans="3:155">
      <c r="C78" s="128"/>
      <c r="D78" s="128"/>
      <c r="E78" s="128"/>
      <c r="F78" s="128" t="str">
        <f>IF(E78 &lt;&gt; "", VLOOKUP(E78, '[2]Internal-logic'!G$1:I$364, 2, FALSE),"")</f>
        <v/>
      </c>
      <c r="G78" s="128" t="str">
        <f>IF(E78 &lt;&gt; "", VLOOKUP(E78, '[2]Internal-logic'!G$1:I$364, 3, FALSE),"")</f>
        <v/>
      </c>
      <c r="H78" s="128"/>
      <c r="I78" s="128"/>
      <c r="J78" s="128"/>
      <c r="K78" s="128"/>
      <c r="Q78" s="128"/>
      <c r="R78" s="128"/>
      <c r="S78" s="128"/>
      <c r="U78" s="128"/>
      <c r="X78" s="128"/>
      <c r="Y78" s="128"/>
      <c r="Z78" s="128"/>
      <c r="AA78" s="128"/>
      <c r="AB78" s="128"/>
      <c r="AC78" s="128"/>
      <c r="AD78" s="128"/>
      <c r="AE78" s="128"/>
      <c r="AF78" s="128"/>
      <c r="AG78" s="128"/>
      <c r="AI78" s="128"/>
      <c r="AJ78" s="128"/>
      <c r="AY78" s="128"/>
      <c r="BN78" s="128"/>
      <c r="BQ78" s="128"/>
      <c r="BR78" s="128"/>
      <c r="BT78" s="128"/>
      <c r="BV78" s="128"/>
      <c r="BX78" s="128"/>
      <c r="CU78" s="128"/>
      <c r="CW78" s="128"/>
      <c r="DN78" s="128"/>
      <c r="DP78" s="128"/>
      <c r="DR78" s="128"/>
      <c r="DV78" s="128"/>
      <c r="DX78" s="128"/>
      <c r="DY78" s="128"/>
      <c r="EA78" s="128"/>
      <c r="EB78" s="128"/>
      <c r="EC78" s="128"/>
      <c r="EG78" s="128"/>
      <c r="EL78" s="128"/>
      <c r="EM78" s="128"/>
      <c r="EO78" s="128"/>
      <c r="EQ78" s="128"/>
      <c r="ES78" s="128"/>
      <c r="EU78" s="128"/>
      <c r="EW78" s="128"/>
      <c r="EY78" s="128"/>
    </row>
    <row r="79" spans="3:155">
      <c r="C79" s="128"/>
      <c r="D79" s="128"/>
      <c r="E79" s="128"/>
      <c r="F79" s="128" t="str">
        <f>IF(E79 &lt;&gt; "", VLOOKUP(E79, '[2]Internal-logic'!G$1:I$364, 2, FALSE),"")</f>
        <v/>
      </c>
      <c r="G79" s="128" t="str">
        <f>IF(E79 &lt;&gt; "", VLOOKUP(E79, '[2]Internal-logic'!G$1:I$364, 3, FALSE),"")</f>
        <v/>
      </c>
      <c r="H79" s="128"/>
      <c r="I79" s="128"/>
      <c r="J79" s="128"/>
      <c r="K79" s="128"/>
      <c r="Q79" s="128"/>
      <c r="R79" s="128"/>
      <c r="S79" s="128"/>
      <c r="U79" s="128"/>
      <c r="X79" s="128"/>
      <c r="Y79" s="128"/>
      <c r="Z79" s="128"/>
      <c r="AA79" s="128"/>
      <c r="AB79" s="128"/>
      <c r="AC79" s="128"/>
      <c r="AD79" s="128"/>
      <c r="AE79" s="128"/>
      <c r="AF79" s="128"/>
      <c r="AG79" s="128"/>
      <c r="AI79" s="128"/>
      <c r="AJ79" s="128"/>
      <c r="AY79" s="128"/>
      <c r="BN79" s="128"/>
      <c r="BQ79" s="128"/>
      <c r="BR79" s="128"/>
      <c r="BT79" s="128"/>
      <c r="BV79" s="128"/>
      <c r="BX79" s="128"/>
      <c r="CU79" s="128"/>
      <c r="CW79" s="128"/>
      <c r="DN79" s="128"/>
      <c r="DP79" s="128"/>
      <c r="DR79" s="128"/>
      <c r="DV79" s="128"/>
      <c r="DX79" s="128"/>
      <c r="DY79" s="128"/>
      <c r="EA79" s="128"/>
      <c r="EB79" s="128"/>
      <c r="EC79" s="128"/>
      <c r="EG79" s="128"/>
      <c r="EL79" s="128"/>
      <c r="EM79" s="128"/>
      <c r="EO79" s="128"/>
      <c r="EQ79" s="128"/>
      <c r="ES79" s="128"/>
      <c r="EU79" s="128"/>
      <c r="EW79" s="128"/>
      <c r="EY79" s="128"/>
    </row>
    <row r="80" spans="3:155">
      <c r="C80" s="128"/>
      <c r="D80" s="128"/>
      <c r="E80" s="128"/>
      <c r="F80" s="128" t="str">
        <f>IF(E80 &lt;&gt; "", VLOOKUP(E80, '[2]Internal-logic'!G$1:I$364, 2, FALSE),"")</f>
        <v/>
      </c>
      <c r="G80" s="128" t="str">
        <f>IF(E80 &lt;&gt; "", VLOOKUP(E80, '[2]Internal-logic'!G$1:I$364, 3, FALSE),"")</f>
        <v/>
      </c>
      <c r="H80" s="128"/>
      <c r="I80" s="128"/>
      <c r="J80" s="128"/>
      <c r="K80" s="128"/>
      <c r="Q80" s="128"/>
      <c r="R80" s="128"/>
      <c r="S80" s="128"/>
      <c r="U80" s="128"/>
      <c r="X80" s="128"/>
      <c r="Y80" s="128"/>
      <c r="Z80" s="128"/>
      <c r="AA80" s="128"/>
      <c r="AB80" s="128"/>
      <c r="AC80" s="128"/>
      <c r="AD80" s="128"/>
      <c r="AE80" s="128"/>
      <c r="AF80" s="128"/>
      <c r="AG80" s="128"/>
      <c r="AI80" s="128"/>
      <c r="AJ80" s="128"/>
      <c r="AY80" s="128"/>
      <c r="BN80" s="128"/>
      <c r="BQ80" s="128"/>
      <c r="BR80" s="128"/>
      <c r="BT80" s="128"/>
      <c r="BV80" s="128"/>
      <c r="BX80" s="128"/>
      <c r="CU80" s="128"/>
      <c r="CW80" s="128"/>
      <c r="DN80" s="128"/>
      <c r="DP80" s="128"/>
      <c r="DR80" s="128"/>
      <c r="DV80" s="128"/>
      <c r="DX80" s="128"/>
      <c r="DY80" s="128"/>
      <c r="EA80" s="128"/>
      <c r="EB80" s="128"/>
      <c r="EC80" s="128"/>
      <c r="EG80" s="128"/>
      <c r="EL80" s="128"/>
      <c r="EM80" s="128"/>
      <c r="EO80" s="128"/>
      <c r="EQ80" s="128"/>
      <c r="ES80" s="128"/>
      <c r="EU80" s="128"/>
      <c r="EW80" s="128"/>
      <c r="EY80" s="128"/>
    </row>
    <row r="81" spans="3:155">
      <c r="C81" s="128"/>
      <c r="D81" s="128"/>
      <c r="E81" s="128"/>
      <c r="F81" s="128" t="str">
        <f>IF(E81 &lt;&gt; "", VLOOKUP(E81, '[2]Internal-logic'!G$1:I$364, 2, FALSE),"")</f>
        <v/>
      </c>
      <c r="G81" s="128" t="str">
        <f>IF(E81 &lt;&gt; "", VLOOKUP(E81, '[2]Internal-logic'!G$1:I$364, 3, FALSE),"")</f>
        <v/>
      </c>
      <c r="H81" s="128"/>
      <c r="I81" s="128"/>
      <c r="J81" s="128"/>
      <c r="K81" s="128"/>
      <c r="Q81" s="128"/>
      <c r="R81" s="128"/>
      <c r="S81" s="128"/>
      <c r="U81" s="128"/>
      <c r="X81" s="128"/>
      <c r="Y81" s="128"/>
      <c r="Z81" s="128"/>
      <c r="AA81" s="128"/>
      <c r="AB81" s="128"/>
      <c r="AC81" s="128"/>
      <c r="AD81" s="128"/>
      <c r="AE81" s="128"/>
      <c r="AF81" s="128"/>
      <c r="AG81" s="128"/>
      <c r="AI81" s="128"/>
      <c r="AJ81" s="128"/>
      <c r="AY81" s="128"/>
      <c r="BN81" s="128"/>
      <c r="BQ81" s="128"/>
      <c r="BR81" s="128"/>
      <c r="BT81" s="128"/>
      <c r="BV81" s="128"/>
      <c r="BX81" s="128"/>
      <c r="CU81" s="128"/>
      <c r="CW81" s="128"/>
      <c r="DN81" s="128"/>
      <c r="DP81" s="128"/>
      <c r="DR81" s="128"/>
      <c r="DV81" s="128"/>
      <c r="DX81" s="128"/>
      <c r="DY81" s="128"/>
      <c r="EA81" s="128"/>
      <c r="EB81" s="128"/>
      <c r="EC81" s="128"/>
      <c r="EG81" s="128"/>
      <c r="EL81" s="128"/>
      <c r="EM81" s="128"/>
      <c r="EO81" s="128"/>
      <c r="EQ81" s="128"/>
      <c r="ES81" s="128"/>
      <c r="EU81" s="128"/>
      <c r="EW81" s="128"/>
      <c r="EY81" s="128"/>
    </row>
    <row r="82" spans="3:155">
      <c r="C82" s="128"/>
      <c r="D82" s="128"/>
      <c r="E82" s="128"/>
      <c r="F82" s="128" t="str">
        <f>IF(E82 &lt;&gt; "", VLOOKUP(E82, '[2]Internal-logic'!G$1:I$364, 2, FALSE),"")</f>
        <v/>
      </c>
      <c r="G82" s="128" t="str">
        <f>IF(E82 &lt;&gt; "", VLOOKUP(E82, '[2]Internal-logic'!G$1:I$364, 3, FALSE),"")</f>
        <v/>
      </c>
      <c r="H82" s="128"/>
      <c r="I82" s="128"/>
      <c r="J82" s="128"/>
      <c r="K82" s="128"/>
      <c r="Q82" s="128"/>
      <c r="R82" s="128"/>
      <c r="S82" s="128"/>
      <c r="U82" s="128"/>
      <c r="X82" s="128"/>
      <c r="Y82" s="128"/>
      <c r="Z82" s="128"/>
      <c r="AA82" s="128"/>
      <c r="AB82" s="128"/>
      <c r="AC82" s="128"/>
      <c r="AD82" s="128"/>
      <c r="AE82" s="128"/>
      <c r="AF82" s="128"/>
      <c r="AG82" s="128"/>
      <c r="AI82" s="128"/>
      <c r="AJ82" s="128"/>
      <c r="AY82" s="128"/>
      <c r="BN82" s="128"/>
      <c r="BQ82" s="128"/>
      <c r="BR82" s="128"/>
      <c r="BT82" s="128"/>
      <c r="BV82" s="128"/>
      <c r="BX82" s="128"/>
      <c r="CU82" s="128"/>
      <c r="CW82" s="128"/>
      <c r="DN82" s="128"/>
      <c r="DP82" s="128"/>
      <c r="DR82" s="128"/>
      <c r="DV82" s="128"/>
      <c r="DX82" s="128"/>
      <c r="DY82" s="128"/>
      <c r="EA82" s="128"/>
      <c r="EB82" s="128"/>
      <c r="EC82" s="128"/>
      <c r="EG82" s="128"/>
      <c r="EL82" s="128"/>
      <c r="EM82" s="128"/>
      <c r="EO82" s="128"/>
      <c r="EQ82" s="128"/>
      <c r="ES82" s="128"/>
      <c r="EU82" s="128"/>
      <c r="EW82" s="128"/>
      <c r="EY82" s="128"/>
    </row>
    <row r="83" spans="3:155">
      <c r="C83" s="128"/>
      <c r="D83" s="128"/>
      <c r="E83" s="128"/>
      <c r="F83" s="128" t="str">
        <f>IF(E83 &lt;&gt; "", VLOOKUP(E83, '[2]Internal-logic'!G$1:I$364, 2, FALSE),"")</f>
        <v/>
      </c>
      <c r="G83" s="128" t="str">
        <f>IF(E83 &lt;&gt; "", VLOOKUP(E83, '[2]Internal-logic'!G$1:I$364, 3, FALSE),"")</f>
        <v/>
      </c>
      <c r="H83" s="128"/>
      <c r="I83" s="128"/>
      <c r="J83" s="128"/>
      <c r="K83" s="128"/>
      <c r="Q83" s="128"/>
      <c r="R83" s="128"/>
      <c r="S83" s="128"/>
      <c r="U83" s="128"/>
      <c r="X83" s="128"/>
      <c r="Y83" s="128"/>
      <c r="Z83" s="128"/>
      <c r="AA83" s="128"/>
      <c r="AB83" s="128"/>
      <c r="AC83" s="128"/>
      <c r="AD83" s="128"/>
      <c r="AE83" s="128"/>
      <c r="AF83" s="128"/>
      <c r="AG83" s="128"/>
      <c r="AI83" s="128"/>
      <c r="AJ83" s="128"/>
      <c r="AY83" s="128"/>
      <c r="BN83" s="128"/>
      <c r="BQ83" s="128"/>
      <c r="BR83" s="128"/>
      <c r="BT83" s="128"/>
      <c r="BV83" s="128"/>
      <c r="BX83" s="128"/>
      <c r="CU83" s="128"/>
      <c r="CW83" s="128"/>
      <c r="DN83" s="128"/>
      <c r="DP83" s="128"/>
      <c r="DR83" s="128"/>
      <c r="DV83" s="128"/>
      <c r="DX83" s="128"/>
      <c r="DY83" s="128"/>
      <c r="EA83" s="128"/>
      <c r="EB83" s="128"/>
      <c r="EC83" s="128"/>
      <c r="EG83" s="128"/>
      <c r="EL83" s="128"/>
      <c r="EM83" s="128"/>
      <c r="EO83" s="128"/>
      <c r="EQ83" s="128"/>
      <c r="ES83" s="128"/>
      <c r="EU83" s="128"/>
      <c r="EW83" s="128"/>
      <c r="EY83" s="128"/>
    </row>
    <row r="84" spans="3:155">
      <c r="C84" s="128"/>
      <c r="D84" s="128"/>
      <c r="E84" s="128"/>
      <c r="F84" s="128" t="str">
        <f>IF(E84 &lt;&gt; "", VLOOKUP(E84, '[2]Internal-logic'!G$1:I$364, 2, FALSE),"")</f>
        <v/>
      </c>
      <c r="G84" s="128" t="str">
        <f>IF(E84 &lt;&gt; "", VLOOKUP(E84, '[2]Internal-logic'!G$1:I$364, 3, FALSE),"")</f>
        <v/>
      </c>
      <c r="H84" s="128"/>
      <c r="I84" s="128"/>
      <c r="J84" s="128"/>
      <c r="K84" s="128"/>
      <c r="Q84" s="128"/>
      <c r="R84" s="128"/>
      <c r="S84" s="128"/>
      <c r="U84" s="128"/>
      <c r="X84" s="128"/>
      <c r="Y84" s="128"/>
      <c r="Z84" s="128"/>
      <c r="AA84" s="128"/>
      <c r="AB84" s="128"/>
      <c r="AC84" s="128"/>
      <c r="AD84" s="128"/>
      <c r="AE84" s="128"/>
      <c r="AF84" s="128"/>
      <c r="AG84" s="128"/>
      <c r="AI84" s="128"/>
      <c r="AJ84" s="128"/>
      <c r="AY84" s="128"/>
      <c r="BN84" s="128"/>
      <c r="BQ84" s="128"/>
      <c r="BR84" s="128"/>
      <c r="BT84" s="128"/>
      <c r="BV84" s="128"/>
      <c r="BX84" s="128"/>
      <c r="CU84" s="128"/>
      <c r="CW84" s="128"/>
      <c r="DN84" s="128"/>
      <c r="DP84" s="128"/>
      <c r="DR84" s="128"/>
      <c r="DV84" s="128"/>
      <c r="DX84" s="128"/>
      <c r="DY84" s="128"/>
      <c r="EA84" s="128"/>
      <c r="EB84" s="128"/>
      <c r="EC84" s="128"/>
      <c r="EG84" s="128"/>
      <c r="EL84" s="128"/>
      <c r="EM84" s="128"/>
      <c r="EO84" s="128"/>
      <c r="EQ84" s="128"/>
      <c r="ES84" s="128"/>
      <c r="EU84" s="128"/>
      <c r="EW84" s="128"/>
      <c r="EY84" s="128"/>
    </row>
    <row r="85" spans="3:155">
      <c r="C85" s="128"/>
      <c r="D85" s="128"/>
      <c r="E85" s="128"/>
      <c r="F85" s="128" t="str">
        <f>IF(E85 &lt;&gt; "", VLOOKUP(E85, '[2]Internal-logic'!G$1:I$364, 2, FALSE),"")</f>
        <v/>
      </c>
      <c r="G85" s="128" t="str">
        <f>IF(E85 &lt;&gt; "", VLOOKUP(E85, '[2]Internal-logic'!G$1:I$364, 3, FALSE),"")</f>
        <v/>
      </c>
      <c r="H85" s="128"/>
      <c r="I85" s="128"/>
      <c r="J85" s="128"/>
      <c r="K85" s="128"/>
      <c r="Q85" s="128"/>
      <c r="R85" s="128"/>
      <c r="S85" s="128"/>
      <c r="U85" s="128"/>
      <c r="X85" s="128"/>
      <c r="Y85" s="128"/>
      <c r="Z85" s="128"/>
      <c r="AA85" s="128"/>
      <c r="AB85" s="128"/>
      <c r="AC85" s="128"/>
      <c r="AD85" s="128"/>
      <c r="AE85" s="128"/>
      <c r="AF85" s="128"/>
      <c r="AG85" s="128"/>
      <c r="AI85" s="128"/>
      <c r="AJ85" s="128"/>
      <c r="AY85" s="128"/>
      <c r="BN85" s="128"/>
      <c r="BQ85" s="128"/>
      <c r="BR85" s="128"/>
      <c r="BT85" s="128"/>
      <c r="BV85" s="128"/>
      <c r="BX85" s="128"/>
      <c r="CU85" s="128"/>
      <c r="CW85" s="128"/>
      <c r="DN85" s="128"/>
      <c r="DP85" s="128"/>
      <c r="DR85" s="128"/>
      <c r="DV85" s="128"/>
      <c r="DX85" s="128"/>
      <c r="DY85" s="128"/>
      <c r="EA85" s="128"/>
      <c r="EB85" s="128"/>
      <c r="EC85" s="128"/>
      <c r="EG85" s="128"/>
      <c r="EL85" s="128"/>
      <c r="EM85" s="128"/>
      <c r="EO85" s="128"/>
      <c r="EQ85" s="128"/>
      <c r="ES85" s="128"/>
      <c r="EU85" s="128"/>
      <c r="EW85" s="128"/>
      <c r="EY85" s="128"/>
    </row>
    <row r="86" spans="3:155">
      <c r="C86" s="128"/>
      <c r="D86" s="128"/>
      <c r="E86" s="128"/>
      <c r="F86" s="128" t="str">
        <f>IF(E86 &lt;&gt; "", VLOOKUP(E86, '[2]Internal-logic'!G$1:I$364, 2, FALSE),"")</f>
        <v/>
      </c>
      <c r="G86" s="128" t="str">
        <f>IF(E86 &lt;&gt; "", VLOOKUP(E86, '[2]Internal-logic'!G$1:I$364, 3, FALSE),"")</f>
        <v/>
      </c>
      <c r="H86" s="128"/>
      <c r="I86" s="128"/>
      <c r="J86" s="128"/>
      <c r="K86" s="128"/>
      <c r="Q86" s="128"/>
      <c r="R86" s="128"/>
      <c r="S86" s="128"/>
      <c r="U86" s="128"/>
      <c r="X86" s="128"/>
      <c r="Y86" s="128"/>
      <c r="Z86" s="128"/>
      <c r="AA86" s="128"/>
      <c r="AB86" s="128"/>
      <c r="AC86" s="128"/>
      <c r="AD86" s="128"/>
      <c r="AE86" s="128"/>
      <c r="AF86" s="128"/>
      <c r="AG86" s="128"/>
      <c r="AI86" s="128"/>
      <c r="AJ86" s="128"/>
      <c r="AY86" s="128"/>
      <c r="BN86" s="128"/>
      <c r="BQ86" s="128"/>
      <c r="BR86" s="128"/>
      <c r="BT86" s="128"/>
      <c r="BV86" s="128"/>
      <c r="BX86" s="128"/>
      <c r="CU86" s="128"/>
      <c r="CW86" s="128"/>
      <c r="DN86" s="128"/>
      <c r="DP86" s="128"/>
      <c r="DR86" s="128"/>
      <c r="DV86" s="128"/>
      <c r="DX86" s="128"/>
      <c r="DY86" s="128"/>
      <c r="EA86" s="128"/>
      <c r="EB86" s="128"/>
      <c r="EC86" s="128"/>
      <c r="EG86" s="128"/>
      <c r="EL86" s="128"/>
      <c r="EM86" s="128"/>
      <c r="EO86" s="128"/>
      <c r="EQ86" s="128"/>
      <c r="ES86" s="128"/>
      <c r="EU86" s="128"/>
      <c r="EW86" s="128"/>
      <c r="EY86" s="128"/>
    </row>
    <row r="87" spans="3:155">
      <c r="C87" s="128"/>
      <c r="D87" s="128"/>
      <c r="E87" s="128"/>
      <c r="F87" s="128" t="str">
        <f>IF(E87 &lt;&gt; "", VLOOKUP(E87, '[2]Internal-logic'!G$1:I$364, 2, FALSE),"")</f>
        <v/>
      </c>
      <c r="G87" s="128" t="str">
        <f>IF(E87 &lt;&gt; "", VLOOKUP(E87, '[2]Internal-logic'!G$1:I$364, 3, FALSE),"")</f>
        <v/>
      </c>
      <c r="H87" s="128"/>
      <c r="I87" s="128"/>
      <c r="J87" s="128"/>
      <c r="K87" s="128"/>
      <c r="Q87" s="128"/>
      <c r="R87" s="128"/>
      <c r="S87" s="128"/>
      <c r="U87" s="128"/>
      <c r="X87" s="128"/>
      <c r="Y87" s="128"/>
      <c r="Z87" s="128"/>
      <c r="AA87" s="128"/>
      <c r="AB87" s="128"/>
      <c r="AC87" s="128"/>
      <c r="AD87" s="128"/>
      <c r="AE87" s="128"/>
      <c r="AF87" s="128"/>
      <c r="AG87" s="128"/>
      <c r="AI87" s="128"/>
      <c r="AJ87" s="128"/>
      <c r="AY87" s="128"/>
      <c r="BN87" s="128"/>
      <c r="BQ87" s="128"/>
      <c r="BR87" s="128"/>
      <c r="BT87" s="128"/>
      <c r="BV87" s="128"/>
      <c r="BX87" s="128"/>
      <c r="CU87" s="128"/>
      <c r="CW87" s="128"/>
      <c r="DN87" s="128"/>
      <c r="DP87" s="128"/>
      <c r="DR87" s="128"/>
      <c r="DV87" s="128"/>
      <c r="DX87" s="128"/>
      <c r="DY87" s="128"/>
      <c r="EA87" s="128"/>
      <c r="EB87" s="128"/>
      <c r="EC87" s="128"/>
      <c r="EG87" s="128"/>
      <c r="EL87" s="128"/>
      <c r="EM87" s="128"/>
      <c r="EO87" s="128"/>
      <c r="EQ87" s="128"/>
      <c r="ES87" s="128"/>
      <c r="EU87" s="128"/>
      <c r="EW87" s="128"/>
      <c r="EY87" s="128"/>
    </row>
    <row r="88" spans="3:155">
      <c r="C88" s="128"/>
      <c r="D88" s="128"/>
      <c r="E88" s="128"/>
      <c r="F88" s="128" t="str">
        <f>IF(E88 &lt;&gt; "", VLOOKUP(E88, '[2]Internal-logic'!G$1:I$364, 2, FALSE),"")</f>
        <v/>
      </c>
      <c r="G88" s="128" t="str">
        <f>IF(E88 &lt;&gt; "", VLOOKUP(E88, '[2]Internal-logic'!G$1:I$364, 3, FALSE),"")</f>
        <v/>
      </c>
      <c r="H88" s="128"/>
      <c r="I88" s="128"/>
      <c r="J88" s="128"/>
      <c r="K88" s="128"/>
      <c r="Q88" s="128"/>
      <c r="R88" s="128"/>
      <c r="S88" s="128"/>
      <c r="U88" s="128"/>
      <c r="X88" s="128"/>
      <c r="Y88" s="128"/>
      <c r="Z88" s="128"/>
      <c r="AA88" s="128"/>
      <c r="AB88" s="128"/>
      <c r="AC88" s="128"/>
      <c r="AD88" s="128"/>
      <c r="AE88" s="128"/>
      <c r="AF88" s="128"/>
      <c r="AG88" s="128"/>
      <c r="AI88" s="128"/>
      <c r="AJ88" s="128"/>
      <c r="AY88" s="128"/>
      <c r="BN88" s="128"/>
      <c r="BQ88" s="128"/>
      <c r="BR88" s="128"/>
      <c r="BT88" s="128"/>
      <c r="BV88" s="128"/>
      <c r="BX88" s="128"/>
      <c r="CU88" s="128"/>
      <c r="CW88" s="128"/>
      <c r="DN88" s="128"/>
      <c r="DP88" s="128"/>
      <c r="DR88" s="128"/>
      <c r="DV88" s="128"/>
      <c r="DX88" s="128"/>
      <c r="DY88" s="128"/>
      <c r="EA88" s="128"/>
      <c r="EB88" s="128"/>
      <c r="EC88" s="128"/>
      <c r="EG88" s="128"/>
      <c r="EL88" s="128"/>
      <c r="EM88" s="128"/>
      <c r="EO88" s="128"/>
      <c r="EQ88" s="128"/>
      <c r="ES88" s="128"/>
      <c r="EU88" s="128"/>
      <c r="EW88" s="128"/>
      <c r="EY88" s="128"/>
    </row>
    <row r="89" spans="3:155">
      <c r="C89" s="128"/>
      <c r="D89" s="128"/>
      <c r="E89" s="128"/>
      <c r="F89" s="128" t="str">
        <f>IF(E89 &lt;&gt; "", VLOOKUP(E89, '[2]Internal-logic'!G$1:I$364, 2, FALSE),"")</f>
        <v/>
      </c>
      <c r="G89" s="128" t="str">
        <f>IF(E89 &lt;&gt; "", VLOOKUP(E89, '[2]Internal-logic'!G$1:I$364, 3, FALSE),"")</f>
        <v/>
      </c>
      <c r="H89" s="128"/>
      <c r="I89" s="128"/>
      <c r="J89" s="128"/>
      <c r="K89" s="128"/>
      <c r="Q89" s="128"/>
      <c r="R89" s="128"/>
      <c r="S89" s="128"/>
      <c r="U89" s="128"/>
      <c r="X89" s="128"/>
      <c r="Y89" s="128"/>
      <c r="Z89" s="128"/>
      <c r="AA89" s="128"/>
      <c r="AB89" s="128"/>
      <c r="AC89" s="128"/>
      <c r="AD89" s="128"/>
      <c r="AE89" s="128"/>
      <c r="AF89" s="128"/>
      <c r="AG89" s="128"/>
      <c r="AI89" s="128"/>
      <c r="AJ89" s="128"/>
      <c r="AY89" s="128"/>
      <c r="BN89" s="128"/>
      <c r="BQ89" s="128"/>
      <c r="BR89" s="128"/>
      <c r="BT89" s="128"/>
      <c r="BV89" s="128"/>
      <c r="BX89" s="128"/>
      <c r="CU89" s="128"/>
      <c r="CW89" s="128"/>
      <c r="DN89" s="128"/>
      <c r="DP89" s="128"/>
      <c r="DR89" s="128"/>
      <c r="DV89" s="128"/>
      <c r="DX89" s="128"/>
      <c r="DY89" s="128"/>
      <c r="EA89" s="128"/>
      <c r="EB89" s="128"/>
      <c r="EC89" s="128"/>
      <c r="EG89" s="128"/>
      <c r="EL89" s="128"/>
      <c r="EM89" s="128"/>
      <c r="EO89" s="128"/>
      <c r="EQ89" s="128"/>
      <c r="ES89" s="128"/>
      <c r="EU89" s="128"/>
      <c r="EW89" s="128"/>
      <c r="EY89" s="128"/>
    </row>
    <row r="90" spans="3:155">
      <c r="C90" s="128"/>
      <c r="D90" s="128"/>
      <c r="E90" s="128"/>
      <c r="F90" s="128" t="str">
        <f>IF(E90 &lt;&gt; "", VLOOKUP(E90, '[2]Internal-logic'!G$1:I$364, 2, FALSE),"")</f>
        <v/>
      </c>
      <c r="G90" s="128" t="str">
        <f>IF(E90 &lt;&gt; "", VLOOKUP(E90, '[2]Internal-logic'!G$1:I$364, 3, FALSE),"")</f>
        <v/>
      </c>
      <c r="H90" s="128"/>
      <c r="I90" s="128"/>
      <c r="J90" s="128"/>
      <c r="K90" s="128"/>
      <c r="Q90" s="128"/>
      <c r="R90" s="128"/>
      <c r="S90" s="128"/>
      <c r="U90" s="128"/>
      <c r="X90" s="128"/>
      <c r="Y90" s="128"/>
      <c r="Z90" s="128"/>
      <c r="AA90" s="128"/>
      <c r="AB90" s="128"/>
      <c r="AC90" s="128"/>
      <c r="AD90" s="128"/>
      <c r="AE90" s="128"/>
      <c r="AF90" s="128"/>
      <c r="AG90" s="128"/>
      <c r="AI90" s="128"/>
      <c r="AJ90" s="128"/>
      <c r="AY90" s="128"/>
      <c r="BN90" s="128"/>
      <c r="BQ90" s="128"/>
      <c r="BR90" s="128"/>
      <c r="BT90" s="128"/>
      <c r="BV90" s="128"/>
      <c r="BX90" s="128"/>
      <c r="CU90" s="128"/>
      <c r="CW90" s="128"/>
      <c r="DN90" s="128"/>
      <c r="DP90" s="128"/>
      <c r="DR90" s="128"/>
      <c r="DV90" s="128"/>
      <c r="DX90" s="128"/>
      <c r="DY90" s="128"/>
      <c r="EA90" s="128"/>
      <c r="EB90" s="128"/>
      <c r="EC90" s="128"/>
      <c r="EG90" s="128"/>
      <c r="EL90" s="128"/>
      <c r="EM90" s="128"/>
      <c r="EO90" s="128"/>
      <c r="EQ90" s="128"/>
      <c r="ES90" s="128"/>
      <c r="EU90" s="128"/>
      <c r="EW90" s="128"/>
      <c r="EY90" s="128"/>
    </row>
    <row r="91" spans="3:155">
      <c r="C91" s="128"/>
      <c r="D91" s="128"/>
      <c r="E91" s="128"/>
      <c r="F91" s="128" t="str">
        <f>IF(E91 &lt;&gt; "", VLOOKUP(E91, '[2]Internal-logic'!G$1:I$364, 2, FALSE),"")</f>
        <v/>
      </c>
      <c r="G91" s="128" t="str">
        <f>IF(E91 &lt;&gt; "", VLOOKUP(E91, '[2]Internal-logic'!G$1:I$364, 3, FALSE),"")</f>
        <v/>
      </c>
      <c r="H91" s="128"/>
      <c r="I91" s="128"/>
      <c r="J91" s="128"/>
      <c r="K91" s="128"/>
      <c r="Q91" s="128"/>
      <c r="R91" s="128"/>
      <c r="S91" s="128"/>
      <c r="U91" s="128"/>
      <c r="X91" s="128"/>
      <c r="Y91" s="128"/>
      <c r="Z91" s="128"/>
      <c r="AA91" s="128"/>
      <c r="AB91" s="128"/>
      <c r="AC91" s="128"/>
      <c r="AD91" s="128"/>
      <c r="AE91" s="128"/>
      <c r="AF91" s="128"/>
      <c r="AG91" s="128"/>
      <c r="AI91" s="128"/>
      <c r="AJ91" s="128"/>
      <c r="AY91" s="128"/>
      <c r="BN91" s="128"/>
      <c r="BQ91" s="128"/>
      <c r="BR91" s="128"/>
      <c r="BT91" s="128"/>
      <c r="BV91" s="128"/>
      <c r="BX91" s="128"/>
      <c r="CU91" s="128"/>
      <c r="CW91" s="128"/>
      <c r="DN91" s="128"/>
      <c r="DP91" s="128"/>
      <c r="DR91" s="128"/>
      <c r="DV91" s="128"/>
      <c r="DX91" s="128"/>
      <c r="DY91" s="128"/>
      <c r="EA91" s="128"/>
      <c r="EB91" s="128"/>
      <c r="EC91" s="128"/>
      <c r="EG91" s="128"/>
      <c r="EL91" s="128"/>
      <c r="EM91" s="128"/>
      <c r="EO91" s="128"/>
      <c r="EQ91" s="128"/>
      <c r="ES91" s="128"/>
      <c r="EU91" s="128"/>
      <c r="EW91" s="128"/>
      <c r="EY91" s="128"/>
    </row>
    <row r="92" spans="3:155">
      <c r="C92" s="128"/>
      <c r="D92" s="128"/>
      <c r="E92" s="128"/>
      <c r="F92" s="128" t="str">
        <f>IF(E92 &lt;&gt; "", VLOOKUP(E92, '[2]Internal-logic'!G$1:I$364, 2, FALSE),"")</f>
        <v/>
      </c>
      <c r="G92" s="128" t="str">
        <f>IF(E92 &lt;&gt; "", VLOOKUP(E92, '[2]Internal-logic'!G$1:I$364, 3, FALSE),"")</f>
        <v/>
      </c>
      <c r="H92" s="128"/>
      <c r="I92" s="128"/>
      <c r="J92" s="128"/>
      <c r="K92" s="128"/>
      <c r="Q92" s="128"/>
      <c r="R92" s="128"/>
      <c r="S92" s="128"/>
      <c r="U92" s="128"/>
      <c r="X92" s="128"/>
      <c r="Y92" s="128"/>
      <c r="Z92" s="128"/>
      <c r="AA92" s="128"/>
      <c r="AB92" s="128"/>
      <c r="AC92" s="128"/>
      <c r="AD92" s="128"/>
      <c r="AE92" s="128"/>
      <c r="AF92" s="128"/>
      <c r="AG92" s="128"/>
      <c r="AI92" s="128"/>
      <c r="AJ92" s="128"/>
      <c r="AY92" s="128"/>
      <c r="BN92" s="128"/>
      <c r="BQ92" s="128"/>
      <c r="BR92" s="128"/>
      <c r="BT92" s="128"/>
      <c r="BV92" s="128"/>
      <c r="BX92" s="128"/>
      <c r="CU92" s="128"/>
      <c r="CW92" s="128"/>
      <c r="DN92" s="128"/>
      <c r="DP92" s="128"/>
      <c r="DR92" s="128"/>
      <c r="DV92" s="128"/>
      <c r="DX92" s="128"/>
      <c r="DY92" s="128"/>
      <c r="EA92" s="128"/>
      <c r="EB92" s="128"/>
      <c r="EC92" s="128"/>
      <c r="EG92" s="128"/>
      <c r="EL92" s="128"/>
      <c r="EM92" s="128"/>
      <c r="EO92" s="128"/>
      <c r="EQ92" s="128"/>
      <c r="ES92" s="128"/>
      <c r="EU92" s="128"/>
      <c r="EW92" s="128"/>
      <c r="EY92" s="128"/>
    </row>
    <row r="93" spans="3:155">
      <c r="C93" s="128"/>
      <c r="D93" s="128"/>
      <c r="E93" s="128"/>
      <c r="F93" s="128" t="str">
        <f>IF(E93 &lt;&gt; "", VLOOKUP(E93, '[2]Internal-logic'!G$1:I$364, 2, FALSE),"")</f>
        <v/>
      </c>
      <c r="G93" s="128" t="str">
        <f>IF(E93 &lt;&gt; "", VLOOKUP(E93, '[2]Internal-logic'!G$1:I$364, 3, FALSE),"")</f>
        <v/>
      </c>
      <c r="H93" s="128"/>
      <c r="I93" s="128"/>
      <c r="J93" s="128"/>
      <c r="K93" s="128"/>
      <c r="Q93" s="128"/>
      <c r="R93" s="128"/>
      <c r="S93" s="128"/>
      <c r="U93" s="128"/>
      <c r="X93" s="128"/>
      <c r="Y93" s="128"/>
      <c r="Z93" s="128"/>
      <c r="AA93" s="128"/>
      <c r="AB93" s="128"/>
      <c r="AC93" s="128"/>
      <c r="AD93" s="128"/>
      <c r="AE93" s="128"/>
      <c r="AF93" s="128"/>
      <c r="AG93" s="128"/>
      <c r="AI93" s="128"/>
      <c r="AJ93" s="128"/>
      <c r="AY93" s="128"/>
      <c r="BN93" s="128"/>
      <c r="BQ93" s="128"/>
      <c r="BR93" s="128"/>
      <c r="BT93" s="128"/>
      <c r="BV93" s="128"/>
      <c r="BX93" s="128"/>
      <c r="CU93" s="128"/>
      <c r="CW93" s="128"/>
      <c r="DN93" s="128"/>
      <c r="DP93" s="128"/>
      <c r="DR93" s="128"/>
      <c r="DV93" s="128"/>
      <c r="DX93" s="128"/>
      <c r="DY93" s="128"/>
      <c r="EA93" s="128"/>
      <c r="EB93" s="128"/>
      <c r="EC93" s="128"/>
      <c r="EG93" s="128"/>
      <c r="EL93" s="128"/>
      <c r="EM93" s="128"/>
      <c r="EO93" s="128"/>
      <c r="EQ93" s="128"/>
      <c r="ES93" s="128"/>
      <c r="EU93" s="128"/>
      <c r="EW93" s="128"/>
      <c r="EY93" s="128"/>
    </row>
    <row r="94" spans="3:155">
      <c r="C94" s="128"/>
      <c r="D94" s="128"/>
      <c r="E94" s="128"/>
      <c r="F94" s="128" t="str">
        <f>IF(E94 &lt;&gt; "", VLOOKUP(E94, '[2]Internal-logic'!G$1:I$364, 2, FALSE),"")</f>
        <v/>
      </c>
      <c r="G94" s="128" t="str">
        <f>IF(E94 &lt;&gt; "", VLOOKUP(E94, '[2]Internal-logic'!G$1:I$364, 3, FALSE),"")</f>
        <v/>
      </c>
      <c r="H94" s="128"/>
      <c r="I94" s="128"/>
      <c r="J94" s="128"/>
      <c r="K94" s="128"/>
      <c r="Q94" s="128"/>
      <c r="R94" s="128"/>
      <c r="S94" s="128"/>
      <c r="U94" s="128"/>
      <c r="X94" s="128"/>
      <c r="Y94" s="128"/>
      <c r="Z94" s="128"/>
      <c r="AA94" s="128"/>
      <c r="AB94" s="128"/>
      <c r="AC94" s="128"/>
      <c r="AD94" s="128"/>
      <c r="AE94" s="128"/>
      <c r="AF94" s="128"/>
      <c r="AG94" s="128"/>
      <c r="AI94" s="128"/>
      <c r="AJ94" s="128"/>
      <c r="AY94" s="128"/>
      <c r="BN94" s="128"/>
      <c r="BQ94" s="128"/>
      <c r="BR94" s="128"/>
      <c r="BT94" s="128"/>
      <c r="BV94" s="128"/>
      <c r="BX94" s="128"/>
      <c r="CU94" s="128"/>
      <c r="CW94" s="128"/>
      <c r="DN94" s="128"/>
      <c r="DP94" s="128"/>
      <c r="DR94" s="128"/>
      <c r="DV94" s="128"/>
      <c r="DX94" s="128"/>
      <c r="DY94" s="128"/>
      <c r="EA94" s="128"/>
      <c r="EB94" s="128"/>
      <c r="EC94" s="128"/>
      <c r="EG94" s="128"/>
      <c r="EL94" s="128"/>
      <c r="EM94" s="128"/>
      <c r="EO94" s="128"/>
      <c r="EQ94" s="128"/>
      <c r="ES94" s="128"/>
      <c r="EU94" s="128"/>
      <c r="EW94" s="128"/>
      <c r="EY94" s="128"/>
    </row>
    <row r="95" spans="3:155">
      <c r="C95" s="128"/>
      <c r="D95" s="128"/>
      <c r="E95" s="128"/>
      <c r="F95" s="128" t="str">
        <f>IF(E95 &lt;&gt; "", VLOOKUP(E95, '[2]Internal-logic'!G$1:I$364, 2, FALSE),"")</f>
        <v/>
      </c>
      <c r="G95" s="128" t="str">
        <f>IF(E95 &lt;&gt; "", VLOOKUP(E95, '[2]Internal-logic'!G$1:I$364, 3, FALSE),"")</f>
        <v/>
      </c>
      <c r="H95" s="128"/>
      <c r="I95" s="128"/>
      <c r="J95" s="128"/>
      <c r="K95" s="128"/>
      <c r="Q95" s="128"/>
      <c r="R95" s="128"/>
      <c r="S95" s="128"/>
      <c r="U95" s="128"/>
      <c r="X95" s="128"/>
      <c r="Y95" s="128"/>
      <c r="Z95" s="128"/>
      <c r="AA95" s="128"/>
      <c r="AB95" s="128"/>
      <c r="AC95" s="128"/>
      <c r="AD95" s="128"/>
      <c r="AE95" s="128"/>
      <c r="AF95" s="128"/>
      <c r="AG95" s="128"/>
      <c r="AI95" s="128"/>
      <c r="AJ95" s="128"/>
      <c r="AY95" s="128"/>
      <c r="BN95" s="128"/>
      <c r="BQ95" s="128"/>
      <c r="BR95" s="128"/>
      <c r="BT95" s="128"/>
      <c r="BV95" s="128"/>
      <c r="BX95" s="128"/>
      <c r="CU95" s="128"/>
      <c r="CW95" s="128"/>
      <c r="DN95" s="128"/>
      <c r="DP95" s="128"/>
      <c r="DR95" s="128"/>
      <c r="DV95" s="128"/>
      <c r="DX95" s="128"/>
      <c r="DY95" s="128"/>
      <c r="EA95" s="128"/>
      <c r="EB95" s="128"/>
      <c r="EC95" s="128"/>
      <c r="EG95" s="128"/>
      <c r="EL95" s="128"/>
      <c r="EM95" s="128"/>
      <c r="EO95" s="128"/>
      <c r="EQ95" s="128"/>
      <c r="ES95" s="128"/>
      <c r="EU95" s="128"/>
      <c r="EW95" s="128"/>
      <c r="EY95" s="128"/>
    </row>
    <row r="96" spans="3:155">
      <c r="C96" s="128"/>
      <c r="D96" s="128"/>
      <c r="E96" s="128"/>
      <c r="F96" s="128" t="str">
        <f>IF(E96 &lt;&gt; "", VLOOKUP(E96, '[2]Internal-logic'!G$1:I$364, 2, FALSE),"")</f>
        <v/>
      </c>
      <c r="G96" s="128" t="str">
        <f>IF(E96 &lt;&gt; "", VLOOKUP(E96, '[2]Internal-logic'!G$1:I$364, 3, FALSE),"")</f>
        <v/>
      </c>
      <c r="H96" s="128"/>
      <c r="I96" s="128"/>
      <c r="J96" s="128"/>
      <c r="K96" s="128"/>
      <c r="Q96" s="128"/>
      <c r="R96" s="128"/>
      <c r="S96" s="128"/>
      <c r="U96" s="128"/>
      <c r="X96" s="128"/>
      <c r="Y96" s="128"/>
      <c r="Z96" s="128"/>
      <c r="AA96" s="128"/>
      <c r="AB96" s="128"/>
      <c r="AC96" s="128"/>
      <c r="AD96" s="128"/>
      <c r="AE96" s="128"/>
      <c r="AF96" s="128"/>
      <c r="AG96" s="128"/>
      <c r="AI96" s="128"/>
      <c r="AJ96" s="128"/>
      <c r="AY96" s="128"/>
      <c r="BN96" s="128"/>
      <c r="BQ96" s="128"/>
      <c r="BR96" s="128"/>
      <c r="BT96" s="128"/>
      <c r="BV96" s="128"/>
      <c r="BX96" s="128"/>
      <c r="CU96" s="128"/>
      <c r="CW96" s="128"/>
      <c r="DN96" s="128"/>
      <c r="DP96" s="128"/>
      <c r="DR96" s="128"/>
      <c r="DV96" s="128"/>
      <c r="DX96" s="128"/>
      <c r="DY96" s="128"/>
      <c r="EA96" s="128"/>
      <c r="EB96" s="128"/>
      <c r="EC96" s="128"/>
      <c r="EG96" s="128"/>
      <c r="EL96" s="128"/>
      <c r="EM96" s="128"/>
      <c r="EO96" s="128"/>
      <c r="EQ96" s="128"/>
      <c r="ES96" s="128"/>
      <c r="EU96" s="128"/>
      <c r="EW96" s="128"/>
      <c r="EY96" s="128"/>
    </row>
    <row r="97" spans="3:155">
      <c r="C97" s="128"/>
      <c r="D97" s="128"/>
      <c r="E97" s="128"/>
      <c r="F97" s="128" t="str">
        <f>IF(E97 &lt;&gt; "", VLOOKUP(E97, '[2]Internal-logic'!G$1:I$364, 2, FALSE),"")</f>
        <v/>
      </c>
      <c r="G97" s="128" t="str">
        <f>IF(E97 &lt;&gt; "", VLOOKUP(E97, '[2]Internal-logic'!G$1:I$364, 3, FALSE),"")</f>
        <v/>
      </c>
      <c r="H97" s="128"/>
      <c r="I97" s="128"/>
      <c r="J97" s="128"/>
      <c r="K97" s="128"/>
      <c r="Q97" s="128"/>
      <c r="R97" s="128"/>
      <c r="S97" s="128"/>
      <c r="U97" s="128"/>
      <c r="X97" s="128"/>
      <c r="Y97" s="128"/>
      <c r="Z97" s="128"/>
      <c r="AA97" s="128"/>
      <c r="AB97" s="128"/>
      <c r="AC97" s="128"/>
      <c r="AD97" s="128"/>
      <c r="AE97" s="128"/>
      <c r="AF97" s="128"/>
      <c r="AG97" s="128"/>
      <c r="AI97" s="128"/>
      <c r="AJ97" s="128"/>
      <c r="AY97" s="128"/>
      <c r="BN97" s="128"/>
      <c r="BQ97" s="128"/>
      <c r="BR97" s="128"/>
      <c r="BT97" s="128"/>
      <c r="BV97" s="128"/>
      <c r="BX97" s="128"/>
      <c r="CU97" s="128"/>
      <c r="CW97" s="128"/>
      <c r="DN97" s="128"/>
      <c r="DP97" s="128"/>
      <c r="DR97" s="128"/>
      <c r="DV97" s="128"/>
      <c r="DX97" s="128"/>
      <c r="DY97" s="128"/>
      <c r="EA97" s="128"/>
      <c r="EB97" s="128"/>
      <c r="EC97" s="128"/>
      <c r="EG97" s="128"/>
      <c r="EL97" s="128"/>
      <c r="EM97" s="128"/>
      <c r="EO97" s="128"/>
      <c r="EQ97" s="128"/>
      <c r="ES97" s="128"/>
      <c r="EU97" s="128"/>
      <c r="EW97" s="128"/>
      <c r="EY97" s="128"/>
    </row>
    <row r="98" spans="3:155">
      <c r="C98" s="128"/>
      <c r="D98" s="128"/>
      <c r="E98" s="128"/>
      <c r="F98" s="128" t="str">
        <f>IF(E98 &lt;&gt; "", VLOOKUP(E98, '[2]Internal-logic'!G$1:I$364, 2, FALSE),"")</f>
        <v/>
      </c>
      <c r="G98" s="128" t="str">
        <f>IF(E98 &lt;&gt; "", VLOOKUP(E98, '[2]Internal-logic'!G$1:I$364, 3, FALSE),"")</f>
        <v/>
      </c>
      <c r="H98" s="128"/>
      <c r="I98" s="128"/>
      <c r="J98" s="128"/>
      <c r="K98" s="128"/>
      <c r="Q98" s="128"/>
      <c r="R98" s="128"/>
      <c r="S98" s="128"/>
      <c r="U98" s="128"/>
      <c r="X98" s="128"/>
      <c r="Y98" s="128"/>
      <c r="Z98" s="128"/>
      <c r="AA98" s="128"/>
      <c r="AB98" s="128"/>
      <c r="AC98" s="128"/>
      <c r="AD98" s="128"/>
      <c r="AE98" s="128"/>
      <c r="AF98" s="128"/>
      <c r="AG98" s="128"/>
      <c r="AI98" s="128"/>
      <c r="AJ98" s="128"/>
      <c r="AY98" s="128"/>
      <c r="BN98" s="128"/>
      <c r="BQ98" s="128"/>
      <c r="BR98" s="128"/>
      <c r="BT98" s="128"/>
      <c r="BV98" s="128"/>
      <c r="BX98" s="128"/>
      <c r="CU98" s="128"/>
      <c r="CW98" s="128"/>
      <c r="DN98" s="128"/>
      <c r="DP98" s="128"/>
      <c r="DR98" s="128"/>
      <c r="DV98" s="128"/>
      <c r="DX98" s="128"/>
      <c r="DY98" s="128"/>
      <c r="EA98" s="128"/>
      <c r="EB98" s="128"/>
      <c r="EC98" s="128"/>
      <c r="EG98" s="128"/>
      <c r="EL98" s="128"/>
      <c r="EM98" s="128"/>
      <c r="EO98" s="128"/>
      <c r="EQ98" s="128"/>
      <c r="ES98" s="128"/>
      <c r="EU98" s="128"/>
      <c r="EW98" s="128"/>
      <c r="EY98" s="128"/>
    </row>
    <row r="99" spans="3:155">
      <c r="C99" s="128"/>
      <c r="D99" s="128"/>
      <c r="E99" s="128"/>
      <c r="F99" s="128" t="str">
        <f>IF(E99 &lt;&gt; "", VLOOKUP(E99, '[2]Internal-logic'!G$1:I$364, 2, FALSE),"")</f>
        <v/>
      </c>
      <c r="G99" s="128" t="str">
        <f>IF(E99 &lt;&gt; "", VLOOKUP(E99, '[2]Internal-logic'!G$1:I$364, 3, FALSE),"")</f>
        <v/>
      </c>
      <c r="H99" s="128"/>
      <c r="I99" s="128"/>
      <c r="J99" s="128"/>
      <c r="K99" s="128"/>
      <c r="Q99" s="128"/>
      <c r="R99" s="128"/>
      <c r="S99" s="128"/>
      <c r="U99" s="128"/>
      <c r="X99" s="128"/>
      <c r="Y99" s="128"/>
      <c r="Z99" s="128"/>
      <c r="AA99" s="128"/>
      <c r="AB99" s="128"/>
      <c r="AC99" s="128"/>
      <c r="AD99" s="128"/>
      <c r="AE99" s="128"/>
      <c r="AF99" s="128"/>
      <c r="AG99" s="128"/>
      <c r="AI99" s="128"/>
      <c r="AJ99" s="128"/>
      <c r="AY99" s="128"/>
      <c r="BN99" s="128"/>
      <c r="BQ99" s="128"/>
      <c r="BR99" s="128"/>
      <c r="BT99" s="128"/>
      <c r="BV99" s="128"/>
      <c r="BX99" s="128"/>
      <c r="CU99" s="128"/>
      <c r="CW99" s="128"/>
      <c r="DN99" s="128"/>
      <c r="DP99" s="128"/>
      <c r="DR99" s="128"/>
      <c r="DV99" s="128"/>
      <c r="DX99" s="128"/>
      <c r="DY99" s="128"/>
      <c r="EA99" s="128"/>
      <c r="EB99" s="128"/>
      <c r="EC99" s="128"/>
      <c r="EG99" s="128"/>
      <c r="EL99" s="128"/>
      <c r="EM99" s="128"/>
      <c r="EO99" s="128"/>
      <c r="EQ99" s="128"/>
      <c r="ES99" s="128"/>
      <c r="EU99" s="128"/>
      <c r="EW99" s="128"/>
      <c r="EY99" s="128"/>
    </row>
    <row r="100" spans="3:155">
      <c r="C100" s="128"/>
      <c r="D100" s="128"/>
      <c r="E100" s="128"/>
      <c r="F100" s="128" t="str">
        <f>IF(E100 &lt;&gt; "", VLOOKUP(E100, '[2]Internal-logic'!G$1:I$364, 2, FALSE),"")</f>
        <v/>
      </c>
      <c r="G100" s="128" t="str">
        <f>IF(E100 &lt;&gt; "", VLOOKUP(E100, '[2]Internal-logic'!G$1:I$364, 3, FALSE),"")</f>
        <v/>
      </c>
      <c r="H100" s="128"/>
      <c r="I100" s="128"/>
      <c r="J100" s="128"/>
      <c r="K100" s="128"/>
      <c r="Q100" s="128"/>
      <c r="R100" s="128"/>
      <c r="S100" s="128"/>
      <c r="U100" s="128"/>
      <c r="X100" s="128"/>
      <c r="Y100" s="128"/>
      <c r="Z100" s="128"/>
      <c r="AA100" s="128"/>
      <c r="AB100" s="128"/>
      <c r="AC100" s="128"/>
      <c r="AD100" s="128"/>
      <c r="AE100" s="128"/>
      <c r="AF100" s="128"/>
      <c r="AG100" s="128"/>
      <c r="AI100" s="128"/>
      <c r="AJ100" s="128"/>
      <c r="AY100" s="128"/>
      <c r="BN100" s="128"/>
      <c r="BQ100" s="128"/>
      <c r="BR100" s="128"/>
      <c r="BT100" s="128"/>
      <c r="BV100" s="128"/>
      <c r="BX100" s="128"/>
      <c r="CU100" s="128"/>
      <c r="CW100" s="128"/>
      <c r="DN100" s="128"/>
      <c r="DP100" s="128"/>
      <c r="DR100" s="128"/>
      <c r="DV100" s="128"/>
      <c r="DX100" s="128"/>
      <c r="DY100" s="128"/>
      <c r="EA100" s="128"/>
      <c r="EB100" s="128"/>
      <c r="EC100" s="128"/>
      <c r="EG100" s="128"/>
      <c r="EL100" s="128"/>
      <c r="EM100" s="128"/>
      <c r="EO100" s="128"/>
      <c r="EQ100" s="128"/>
      <c r="ES100" s="128"/>
      <c r="EU100" s="128"/>
      <c r="EW100" s="128"/>
      <c r="EY100" s="128"/>
    </row>
    <row r="101" spans="3:155">
      <c r="C101" s="128"/>
      <c r="D101" s="128"/>
      <c r="E101" s="128"/>
      <c r="F101" s="128" t="str">
        <f>IF(E101 &lt;&gt; "", VLOOKUP(E101, '[2]Internal-logic'!G$1:I$364, 2, FALSE),"")</f>
        <v/>
      </c>
      <c r="G101" s="128" t="str">
        <f>IF(E101 &lt;&gt; "", VLOOKUP(E101, '[2]Internal-logic'!G$1:I$364, 3, FALSE),"")</f>
        <v/>
      </c>
      <c r="H101" s="128"/>
      <c r="I101" s="128"/>
      <c r="J101" s="128"/>
      <c r="K101" s="128"/>
      <c r="Q101" s="128"/>
      <c r="R101" s="128"/>
      <c r="S101" s="128"/>
      <c r="U101" s="128"/>
      <c r="X101" s="128"/>
      <c r="Y101" s="128"/>
      <c r="Z101" s="128"/>
      <c r="AA101" s="128"/>
      <c r="AB101" s="128"/>
      <c r="AC101" s="128"/>
      <c r="AD101" s="128"/>
      <c r="AE101" s="128"/>
      <c r="AF101" s="128"/>
      <c r="AG101" s="128"/>
      <c r="AI101" s="128"/>
      <c r="AJ101" s="128"/>
      <c r="AY101" s="128"/>
      <c r="BN101" s="128"/>
      <c r="BQ101" s="128"/>
      <c r="BR101" s="128"/>
      <c r="BT101" s="128"/>
      <c r="BV101" s="128"/>
      <c r="BX101" s="128"/>
      <c r="CU101" s="128"/>
      <c r="CW101" s="128"/>
      <c r="DN101" s="128"/>
      <c r="DP101" s="128"/>
      <c r="DR101" s="128"/>
      <c r="DV101" s="128"/>
      <c r="DX101" s="128"/>
      <c r="DY101" s="128"/>
      <c r="EA101" s="128"/>
      <c r="EB101" s="128"/>
      <c r="EC101" s="128"/>
      <c r="EG101" s="128"/>
      <c r="EL101" s="128"/>
      <c r="EM101" s="128"/>
      <c r="EO101" s="128"/>
      <c r="EQ101" s="128"/>
      <c r="ES101" s="128"/>
      <c r="EU101" s="128"/>
      <c r="EW101" s="128"/>
      <c r="EY101" s="128"/>
    </row>
    <row r="102" spans="3:155">
      <c r="C102" s="128"/>
      <c r="D102" s="128"/>
      <c r="E102" s="128"/>
      <c r="F102" s="128" t="str">
        <f>IF(E102 &lt;&gt; "", VLOOKUP(E102, '[2]Internal-logic'!G$1:I$364, 2, FALSE),"")</f>
        <v/>
      </c>
      <c r="G102" s="128" t="str">
        <f>IF(E102 &lt;&gt; "", VLOOKUP(E102, '[2]Internal-logic'!G$1:I$364, 3, FALSE),"")</f>
        <v/>
      </c>
      <c r="H102" s="128"/>
      <c r="I102" s="128"/>
      <c r="J102" s="128"/>
      <c r="K102" s="128"/>
      <c r="Q102" s="128"/>
      <c r="R102" s="128"/>
      <c r="S102" s="128"/>
      <c r="U102" s="128"/>
      <c r="X102" s="128"/>
      <c r="Y102" s="128"/>
      <c r="Z102" s="128"/>
      <c r="AA102" s="128"/>
      <c r="AB102" s="128"/>
      <c r="AC102" s="128"/>
      <c r="AD102" s="128"/>
      <c r="AE102" s="128"/>
      <c r="AF102" s="128"/>
      <c r="AG102" s="128"/>
      <c r="AI102" s="128"/>
      <c r="AJ102" s="128"/>
      <c r="AY102" s="128"/>
      <c r="BN102" s="128"/>
      <c r="BQ102" s="128"/>
      <c r="BR102" s="128"/>
      <c r="BT102" s="128"/>
      <c r="BV102" s="128"/>
      <c r="BX102" s="128"/>
      <c r="CU102" s="128"/>
      <c r="CW102" s="128"/>
      <c r="DN102" s="128"/>
      <c r="DP102" s="128"/>
      <c r="DR102" s="128"/>
      <c r="DV102" s="128"/>
      <c r="DX102" s="128"/>
      <c r="DY102" s="128"/>
      <c r="EA102" s="128"/>
      <c r="EB102" s="128"/>
      <c r="EC102" s="128"/>
      <c r="EG102" s="128"/>
      <c r="EL102" s="128"/>
      <c r="EM102" s="128"/>
      <c r="EO102" s="128"/>
      <c r="EQ102" s="128"/>
      <c r="ES102" s="128"/>
      <c r="EU102" s="128"/>
      <c r="EW102" s="128"/>
      <c r="EY102" s="128"/>
    </row>
    <row r="103" spans="3:155">
      <c r="C103" s="128"/>
      <c r="D103" s="128"/>
      <c r="E103" s="128"/>
      <c r="F103" s="128" t="str">
        <f>IF(E103 &lt;&gt; "", VLOOKUP(E103, '[2]Internal-logic'!G$1:I$364, 2, FALSE),"")</f>
        <v/>
      </c>
      <c r="G103" s="128" t="str">
        <f>IF(E103 &lt;&gt; "", VLOOKUP(E103, '[2]Internal-logic'!G$1:I$364, 3, FALSE),"")</f>
        <v/>
      </c>
      <c r="H103" s="128"/>
      <c r="I103" s="128"/>
      <c r="J103" s="128"/>
      <c r="K103" s="128"/>
      <c r="Q103" s="128"/>
      <c r="R103" s="128"/>
      <c r="S103" s="128"/>
      <c r="U103" s="128"/>
      <c r="X103" s="128"/>
      <c r="Y103" s="128"/>
      <c r="Z103" s="128"/>
      <c r="AA103" s="128"/>
      <c r="AB103" s="128"/>
      <c r="AC103" s="128"/>
      <c r="AD103" s="128"/>
      <c r="AE103" s="128"/>
      <c r="AF103" s="128"/>
      <c r="AG103" s="128"/>
      <c r="AI103" s="128"/>
      <c r="AJ103" s="128"/>
      <c r="AY103" s="128"/>
      <c r="BN103" s="128"/>
      <c r="BQ103" s="128"/>
      <c r="BR103" s="128"/>
      <c r="BT103" s="128"/>
      <c r="BV103" s="128"/>
      <c r="BX103" s="128"/>
      <c r="CU103" s="128"/>
      <c r="CW103" s="128"/>
      <c r="DN103" s="128"/>
      <c r="DP103" s="128"/>
      <c r="DR103" s="128"/>
      <c r="DV103" s="128"/>
      <c r="DX103" s="128"/>
      <c r="DY103" s="128"/>
      <c r="EA103" s="128"/>
      <c r="EB103" s="128"/>
      <c r="EC103" s="128"/>
      <c r="EG103" s="128"/>
      <c r="EL103" s="128"/>
      <c r="EM103" s="128"/>
      <c r="EO103" s="128"/>
      <c r="EQ103" s="128"/>
      <c r="ES103" s="128"/>
      <c r="EU103" s="128"/>
      <c r="EW103" s="128"/>
      <c r="EY103" s="128"/>
    </row>
    <row r="104" spans="3:155">
      <c r="C104" s="128"/>
      <c r="D104" s="128"/>
      <c r="E104" s="128"/>
      <c r="F104" s="128" t="str">
        <f>IF(E104 &lt;&gt; "", VLOOKUP(E104, '[2]Internal-logic'!G$1:I$364, 2, FALSE),"")</f>
        <v/>
      </c>
      <c r="G104" s="128" t="str">
        <f>IF(E104 &lt;&gt; "", VLOOKUP(E104, '[2]Internal-logic'!G$1:I$364, 3, FALSE),"")</f>
        <v/>
      </c>
      <c r="H104" s="128"/>
      <c r="I104" s="128"/>
      <c r="J104" s="128"/>
      <c r="K104" s="128"/>
      <c r="Q104" s="128"/>
      <c r="R104" s="128"/>
      <c r="S104" s="128"/>
      <c r="U104" s="128"/>
      <c r="X104" s="128"/>
      <c r="Y104" s="128"/>
      <c r="Z104" s="128"/>
      <c r="AA104" s="128"/>
      <c r="AB104" s="128"/>
      <c r="AC104" s="128"/>
      <c r="AD104" s="128"/>
      <c r="AE104" s="128"/>
      <c r="AF104" s="128"/>
      <c r="AG104" s="128"/>
      <c r="AI104" s="128"/>
      <c r="AJ104" s="128"/>
      <c r="AY104" s="128"/>
      <c r="BN104" s="128"/>
      <c r="BQ104" s="128"/>
      <c r="BR104" s="128"/>
      <c r="BT104" s="128"/>
      <c r="BV104" s="128"/>
      <c r="BX104" s="128"/>
      <c r="CU104" s="128"/>
      <c r="CW104" s="128"/>
      <c r="DN104" s="128"/>
      <c r="DP104" s="128"/>
      <c r="DR104" s="128"/>
      <c r="DV104" s="128"/>
      <c r="DX104" s="128"/>
      <c r="DY104" s="128"/>
      <c r="EA104" s="128"/>
      <c r="EB104" s="128"/>
      <c r="EC104" s="128"/>
      <c r="EG104" s="128"/>
      <c r="EL104" s="128"/>
      <c r="EM104" s="128"/>
      <c r="EO104" s="128"/>
      <c r="EQ104" s="128"/>
      <c r="ES104" s="128"/>
      <c r="EU104" s="128"/>
      <c r="EW104" s="128"/>
      <c r="EY104" s="128"/>
    </row>
    <row r="105" spans="3:155">
      <c r="C105" s="128"/>
      <c r="D105" s="128"/>
      <c r="E105" s="128"/>
      <c r="F105" s="128" t="str">
        <f>IF(E105 &lt;&gt; "", VLOOKUP(E105, '[2]Internal-logic'!G$1:I$364, 2, FALSE),"")</f>
        <v/>
      </c>
      <c r="G105" s="128" t="str">
        <f>IF(E105 &lt;&gt; "", VLOOKUP(E105, '[2]Internal-logic'!G$1:I$364, 3, FALSE),"")</f>
        <v/>
      </c>
      <c r="H105" s="128"/>
      <c r="I105" s="128"/>
      <c r="J105" s="128"/>
      <c r="K105" s="128"/>
      <c r="Q105" s="128"/>
      <c r="R105" s="128"/>
      <c r="S105" s="128"/>
      <c r="U105" s="128"/>
      <c r="X105" s="128"/>
      <c r="Y105" s="128"/>
      <c r="Z105" s="128"/>
      <c r="AA105" s="128"/>
      <c r="AB105" s="128"/>
      <c r="AC105" s="128"/>
      <c r="AD105" s="128"/>
      <c r="AE105" s="128"/>
      <c r="AF105" s="128"/>
      <c r="AG105" s="128"/>
      <c r="AI105" s="128"/>
      <c r="AJ105" s="128"/>
      <c r="AY105" s="128"/>
      <c r="BN105" s="128"/>
      <c r="BQ105" s="128"/>
      <c r="BR105" s="128"/>
      <c r="BT105" s="128"/>
      <c r="BV105" s="128"/>
      <c r="BX105" s="128"/>
      <c r="CU105" s="128"/>
      <c r="CW105" s="128"/>
      <c r="DN105" s="128"/>
      <c r="DP105" s="128"/>
      <c r="DR105" s="128"/>
      <c r="DV105" s="128"/>
      <c r="DX105" s="128"/>
      <c r="DY105" s="128"/>
      <c r="EA105" s="128"/>
      <c r="EB105" s="128"/>
      <c r="EC105" s="128"/>
      <c r="EG105" s="128"/>
      <c r="EL105" s="128"/>
      <c r="EM105" s="128"/>
      <c r="EO105" s="128"/>
      <c r="EQ105" s="128"/>
      <c r="ES105" s="128"/>
      <c r="EU105" s="128"/>
      <c r="EW105" s="128"/>
      <c r="EY105" s="128"/>
    </row>
    <row r="106" spans="3:155">
      <c r="C106" s="128"/>
      <c r="D106" s="128"/>
      <c r="E106" s="128"/>
      <c r="F106" s="128" t="str">
        <f>IF(E106 &lt;&gt; "", VLOOKUP(E106, '[2]Internal-logic'!G$1:I$364, 2, FALSE),"")</f>
        <v/>
      </c>
      <c r="G106" s="128" t="str">
        <f>IF(E106 &lt;&gt; "", VLOOKUP(E106, '[2]Internal-logic'!G$1:I$364, 3, FALSE),"")</f>
        <v/>
      </c>
      <c r="H106" s="128"/>
      <c r="I106" s="128"/>
      <c r="J106" s="128"/>
      <c r="K106" s="128"/>
      <c r="Q106" s="128"/>
      <c r="R106" s="128"/>
      <c r="S106" s="128"/>
      <c r="U106" s="128"/>
      <c r="X106" s="128"/>
      <c r="Y106" s="128"/>
      <c r="Z106" s="128"/>
      <c r="AA106" s="128"/>
      <c r="AB106" s="128"/>
      <c r="AC106" s="128"/>
      <c r="AD106" s="128"/>
      <c r="AE106" s="128"/>
      <c r="AF106" s="128"/>
      <c r="AG106" s="128"/>
      <c r="AI106" s="128"/>
      <c r="AJ106" s="128"/>
      <c r="AY106" s="128"/>
      <c r="BN106" s="128"/>
      <c r="BQ106" s="128"/>
      <c r="BR106" s="128"/>
      <c r="BT106" s="128"/>
      <c r="BV106" s="128"/>
      <c r="BX106" s="128"/>
      <c r="CU106" s="128"/>
      <c r="CW106" s="128"/>
      <c r="DN106" s="128"/>
      <c r="DP106" s="128"/>
      <c r="DR106" s="128"/>
      <c r="DV106" s="128"/>
      <c r="DX106" s="128"/>
      <c r="DY106" s="128"/>
      <c r="EA106" s="128"/>
      <c r="EB106" s="128"/>
      <c r="EC106" s="128"/>
      <c r="EG106" s="128"/>
      <c r="EL106" s="128"/>
      <c r="EM106" s="128"/>
      <c r="EO106" s="128"/>
      <c r="EQ106" s="128"/>
      <c r="ES106" s="128"/>
      <c r="EU106" s="128"/>
      <c r="EW106" s="128"/>
      <c r="EY106" s="128"/>
    </row>
    <row r="107" spans="3:155">
      <c r="C107" s="128"/>
      <c r="D107" s="128"/>
      <c r="E107" s="128"/>
      <c r="F107" s="128" t="str">
        <f>IF(E107 &lt;&gt; "", VLOOKUP(E107, '[2]Internal-logic'!G$1:I$364, 2, FALSE),"")</f>
        <v/>
      </c>
      <c r="G107" s="128" t="str">
        <f>IF(E107 &lt;&gt; "", VLOOKUP(E107, '[2]Internal-logic'!G$1:I$364, 3, FALSE),"")</f>
        <v/>
      </c>
      <c r="H107" s="128"/>
      <c r="I107" s="128"/>
      <c r="J107" s="128"/>
      <c r="K107" s="128"/>
      <c r="Q107" s="128"/>
      <c r="R107" s="128"/>
      <c r="S107" s="128"/>
      <c r="U107" s="128"/>
      <c r="X107" s="128"/>
      <c r="Y107" s="128"/>
      <c r="Z107" s="128"/>
      <c r="AA107" s="128"/>
      <c r="AB107" s="128"/>
      <c r="AC107" s="128"/>
      <c r="AD107" s="128"/>
      <c r="AE107" s="128"/>
      <c r="AF107" s="128"/>
      <c r="AG107" s="128"/>
      <c r="AI107" s="128"/>
      <c r="AJ107" s="128"/>
      <c r="AY107" s="128"/>
      <c r="BN107" s="128"/>
      <c r="BQ107" s="128"/>
      <c r="BR107" s="128"/>
      <c r="BT107" s="128"/>
      <c r="BV107" s="128"/>
      <c r="BX107" s="128"/>
      <c r="CU107" s="128"/>
      <c r="CW107" s="128"/>
      <c r="DN107" s="128"/>
      <c r="DP107" s="128"/>
      <c r="DR107" s="128"/>
      <c r="DV107" s="128"/>
      <c r="DX107" s="128"/>
      <c r="DY107" s="128"/>
      <c r="EA107" s="128"/>
      <c r="EB107" s="128"/>
      <c r="EC107" s="128"/>
      <c r="EG107" s="128"/>
      <c r="EL107" s="128"/>
      <c r="EM107" s="128"/>
      <c r="EO107" s="128"/>
      <c r="EQ107" s="128"/>
      <c r="ES107" s="128"/>
      <c r="EU107" s="128"/>
      <c r="EW107" s="128"/>
      <c r="EY107" s="128"/>
    </row>
    <row r="108" spans="3:155">
      <c r="C108" s="128"/>
      <c r="D108" s="128"/>
      <c r="E108" s="128"/>
      <c r="F108" s="128" t="str">
        <f>IF(E108 &lt;&gt; "", VLOOKUP(E108, '[2]Internal-logic'!G$1:I$364, 2, FALSE),"")</f>
        <v/>
      </c>
      <c r="G108" s="128" t="str">
        <f>IF(E108 &lt;&gt; "", VLOOKUP(E108, '[2]Internal-logic'!G$1:I$364, 3, FALSE),"")</f>
        <v/>
      </c>
      <c r="H108" s="128"/>
      <c r="I108" s="128"/>
      <c r="J108" s="128"/>
      <c r="K108" s="128"/>
      <c r="Q108" s="128"/>
      <c r="R108" s="128"/>
      <c r="S108" s="128"/>
      <c r="U108" s="128"/>
      <c r="X108" s="128"/>
      <c r="Y108" s="128"/>
      <c r="Z108" s="128"/>
      <c r="AA108" s="128"/>
      <c r="AB108" s="128"/>
      <c r="AC108" s="128"/>
      <c r="AD108" s="128"/>
      <c r="AE108" s="128"/>
      <c r="AF108" s="128"/>
      <c r="AG108" s="128"/>
      <c r="AI108" s="128"/>
      <c r="AJ108" s="128"/>
      <c r="AY108" s="128"/>
      <c r="BN108" s="128"/>
      <c r="BQ108" s="128"/>
      <c r="BR108" s="128"/>
      <c r="BT108" s="128"/>
      <c r="BV108" s="128"/>
      <c r="BX108" s="128"/>
      <c r="CU108" s="128"/>
      <c r="CW108" s="128"/>
      <c r="DN108" s="128"/>
      <c r="DP108" s="128"/>
      <c r="DR108" s="128"/>
      <c r="DV108" s="128"/>
      <c r="DX108" s="128"/>
      <c r="DY108" s="128"/>
      <c r="EA108" s="128"/>
      <c r="EB108" s="128"/>
      <c r="EC108" s="128"/>
      <c r="EG108" s="128"/>
      <c r="EL108" s="128"/>
      <c r="EM108" s="128"/>
      <c r="EO108" s="128"/>
      <c r="EQ108" s="128"/>
      <c r="ES108" s="128"/>
      <c r="EU108" s="128"/>
      <c r="EW108" s="128"/>
      <c r="EY108" s="128"/>
    </row>
    <row r="109" spans="3:155">
      <c r="C109" s="128"/>
      <c r="D109" s="128"/>
      <c r="E109" s="128"/>
      <c r="F109" s="128" t="str">
        <f>IF(E109 &lt;&gt; "", VLOOKUP(E109, '[2]Internal-logic'!G$1:I$364, 2, FALSE),"")</f>
        <v/>
      </c>
      <c r="G109" s="128" t="str">
        <f>IF(E109 &lt;&gt; "", VLOOKUP(E109, '[2]Internal-logic'!G$1:I$364, 3, FALSE),"")</f>
        <v/>
      </c>
      <c r="H109" s="128"/>
      <c r="I109" s="128"/>
      <c r="J109" s="128"/>
      <c r="K109" s="128"/>
      <c r="Q109" s="128"/>
      <c r="R109" s="128"/>
      <c r="S109" s="128"/>
      <c r="U109" s="128"/>
      <c r="X109" s="128"/>
      <c r="Y109" s="128"/>
      <c r="Z109" s="128"/>
      <c r="AA109" s="128"/>
      <c r="AB109" s="128"/>
      <c r="AC109" s="128"/>
      <c r="AD109" s="128"/>
      <c r="AE109" s="128"/>
      <c r="AF109" s="128"/>
      <c r="AG109" s="128"/>
      <c r="AI109" s="128"/>
      <c r="AJ109" s="128"/>
      <c r="AY109" s="128"/>
      <c r="BN109" s="128"/>
      <c r="BQ109" s="128"/>
      <c r="BR109" s="128"/>
      <c r="BT109" s="128"/>
      <c r="BV109" s="128"/>
      <c r="BX109" s="128"/>
      <c r="CU109" s="128"/>
      <c r="CW109" s="128"/>
      <c r="DN109" s="128"/>
      <c r="DP109" s="128"/>
      <c r="DR109" s="128"/>
      <c r="DV109" s="128"/>
      <c r="DX109" s="128"/>
      <c r="DY109" s="128"/>
      <c r="EA109" s="128"/>
      <c r="EB109" s="128"/>
      <c r="EC109" s="128"/>
      <c r="EG109" s="128"/>
      <c r="EL109" s="128"/>
      <c r="EM109" s="128"/>
      <c r="EO109" s="128"/>
      <c r="EQ109" s="128"/>
      <c r="ES109" s="128"/>
      <c r="EU109" s="128"/>
      <c r="EW109" s="128"/>
      <c r="EY109" s="128"/>
    </row>
    <row r="110" spans="3:155">
      <c r="C110" s="128"/>
      <c r="D110" s="128"/>
      <c r="E110" s="128"/>
      <c r="F110" s="128" t="str">
        <f>IF(E110 &lt;&gt; "", VLOOKUP(E110, '[2]Internal-logic'!G$1:I$364, 2, FALSE),"")</f>
        <v/>
      </c>
      <c r="G110" s="128" t="str">
        <f>IF(E110 &lt;&gt; "", VLOOKUP(E110, '[2]Internal-logic'!G$1:I$364, 3, FALSE),"")</f>
        <v/>
      </c>
      <c r="H110" s="128"/>
      <c r="I110" s="128"/>
      <c r="J110" s="128"/>
      <c r="K110" s="128"/>
      <c r="Q110" s="128"/>
      <c r="R110" s="128"/>
      <c r="S110" s="128"/>
      <c r="U110" s="128"/>
      <c r="X110" s="128"/>
      <c r="Y110" s="128"/>
      <c r="Z110" s="128"/>
      <c r="AA110" s="128"/>
      <c r="AB110" s="128"/>
      <c r="AC110" s="128"/>
      <c r="AD110" s="128"/>
      <c r="AE110" s="128"/>
      <c r="AF110" s="128"/>
      <c r="AG110" s="128"/>
      <c r="AI110" s="128"/>
      <c r="AJ110" s="128"/>
      <c r="AY110" s="128"/>
      <c r="BN110" s="128"/>
      <c r="BQ110" s="128"/>
      <c r="BR110" s="128"/>
      <c r="BT110" s="128"/>
      <c r="BV110" s="128"/>
      <c r="BX110" s="128"/>
      <c r="CU110" s="128"/>
      <c r="CW110" s="128"/>
      <c r="DN110" s="128"/>
      <c r="DP110" s="128"/>
      <c r="DR110" s="128"/>
      <c r="DV110" s="128"/>
      <c r="DX110" s="128"/>
      <c r="DY110" s="128"/>
      <c r="EA110" s="128"/>
      <c r="EB110" s="128"/>
      <c r="EC110" s="128"/>
      <c r="EG110" s="128"/>
      <c r="EL110" s="128"/>
      <c r="EM110" s="128"/>
      <c r="EO110" s="128"/>
      <c r="EQ110" s="128"/>
      <c r="ES110" s="128"/>
      <c r="EU110" s="128"/>
      <c r="EW110" s="128"/>
      <c r="EY110" s="128"/>
    </row>
    <row r="111" spans="3:155">
      <c r="C111" s="128"/>
      <c r="D111" s="128"/>
      <c r="E111" s="128"/>
      <c r="F111" s="128" t="str">
        <f>IF(E111 &lt;&gt; "", VLOOKUP(E111, '[2]Internal-logic'!G$1:I$364, 2, FALSE),"")</f>
        <v/>
      </c>
      <c r="G111" s="128" t="str">
        <f>IF(E111 &lt;&gt; "", VLOOKUP(E111, '[2]Internal-logic'!G$1:I$364, 3, FALSE),"")</f>
        <v/>
      </c>
      <c r="H111" s="128"/>
      <c r="I111" s="128"/>
      <c r="J111" s="128"/>
      <c r="K111" s="128"/>
      <c r="Q111" s="128"/>
      <c r="R111" s="128"/>
      <c r="S111" s="128"/>
      <c r="U111" s="128"/>
      <c r="X111" s="128"/>
      <c r="Y111" s="128"/>
      <c r="Z111" s="128"/>
      <c r="AA111" s="128"/>
      <c r="AB111" s="128"/>
      <c r="AC111" s="128"/>
      <c r="AD111" s="128"/>
      <c r="AE111" s="128"/>
      <c r="AF111" s="128"/>
      <c r="AG111" s="128"/>
      <c r="AI111" s="128"/>
      <c r="AJ111" s="128"/>
      <c r="AY111" s="128"/>
      <c r="BN111" s="128"/>
      <c r="BQ111" s="128"/>
      <c r="BR111" s="128"/>
      <c r="BT111" s="128"/>
      <c r="BV111" s="128"/>
      <c r="BX111" s="128"/>
      <c r="CU111" s="128"/>
      <c r="CW111" s="128"/>
      <c r="DN111" s="128"/>
      <c r="DP111" s="128"/>
      <c r="DR111" s="128"/>
      <c r="DV111" s="128"/>
      <c r="DX111" s="128"/>
      <c r="DY111" s="128"/>
      <c r="EA111" s="128"/>
      <c r="EB111" s="128"/>
      <c r="EC111" s="128"/>
      <c r="EG111" s="128"/>
      <c r="EL111" s="128"/>
      <c r="EM111" s="128"/>
      <c r="EO111" s="128"/>
      <c r="EQ111" s="128"/>
      <c r="ES111" s="128"/>
      <c r="EU111" s="128"/>
      <c r="EW111" s="128"/>
      <c r="EY111" s="128"/>
    </row>
    <row r="112" spans="3:155">
      <c r="C112" s="128"/>
      <c r="D112" s="128"/>
      <c r="E112" s="128"/>
      <c r="F112" s="128" t="str">
        <f>IF(E112 &lt;&gt; "", VLOOKUP(E112, '[2]Internal-logic'!G$1:I$364, 2, FALSE),"")</f>
        <v/>
      </c>
      <c r="G112" s="128" t="str">
        <f>IF(E112 &lt;&gt; "", VLOOKUP(E112, '[2]Internal-logic'!G$1:I$364, 3, FALSE),"")</f>
        <v/>
      </c>
      <c r="H112" s="128"/>
      <c r="I112" s="128"/>
      <c r="J112" s="128"/>
      <c r="K112" s="128"/>
      <c r="Q112" s="128"/>
      <c r="R112" s="128"/>
      <c r="S112" s="128"/>
      <c r="U112" s="128"/>
      <c r="X112" s="128"/>
      <c r="Y112" s="128"/>
      <c r="Z112" s="128"/>
      <c r="AA112" s="128"/>
      <c r="AB112" s="128"/>
      <c r="AC112" s="128"/>
      <c r="AD112" s="128"/>
      <c r="AE112" s="128"/>
      <c r="AF112" s="128"/>
      <c r="AG112" s="128"/>
      <c r="AI112" s="128"/>
      <c r="AJ112" s="128"/>
      <c r="AY112" s="128"/>
      <c r="BN112" s="128"/>
      <c r="BQ112" s="128"/>
      <c r="BR112" s="128"/>
      <c r="BT112" s="128"/>
      <c r="BV112" s="128"/>
      <c r="BX112" s="128"/>
      <c r="CU112" s="128"/>
      <c r="CW112" s="128"/>
      <c r="DN112" s="128"/>
      <c r="DP112" s="128"/>
      <c r="DR112" s="128"/>
      <c r="DV112" s="128"/>
      <c r="DX112" s="128"/>
      <c r="DY112" s="128"/>
      <c r="EA112" s="128"/>
      <c r="EB112" s="128"/>
      <c r="EC112" s="128"/>
      <c r="EG112" s="128"/>
      <c r="EL112" s="128"/>
      <c r="EM112" s="128"/>
      <c r="EO112" s="128"/>
      <c r="EQ112" s="128"/>
      <c r="ES112" s="128"/>
      <c r="EU112" s="128"/>
      <c r="EW112" s="128"/>
      <c r="EY112" s="128"/>
    </row>
    <row r="113" spans="3:155">
      <c r="C113" s="128"/>
      <c r="D113" s="128"/>
      <c r="E113" s="128"/>
      <c r="F113" s="128" t="str">
        <f>IF(E113 &lt;&gt; "", VLOOKUP(E113, '[2]Internal-logic'!G$1:I$364, 2, FALSE),"")</f>
        <v/>
      </c>
      <c r="G113" s="128" t="str">
        <f>IF(E113 &lt;&gt; "", VLOOKUP(E113, '[2]Internal-logic'!G$1:I$364, 3, FALSE),"")</f>
        <v/>
      </c>
      <c r="H113" s="128"/>
      <c r="I113" s="128"/>
      <c r="J113" s="128"/>
      <c r="K113" s="128"/>
      <c r="Q113" s="128"/>
      <c r="R113" s="128"/>
      <c r="S113" s="128"/>
      <c r="U113" s="128"/>
      <c r="X113" s="128"/>
      <c r="Y113" s="128"/>
      <c r="Z113" s="128"/>
      <c r="AA113" s="128"/>
      <c r="AB113" s="128"/>
      <c r="AC113" s="128"/>
      <c r="AD113" s="128"/>
      <c r="AE113" s="128"/>
      <c r="AF113" s="128"/>
      <c r="AG113" s="128"/>
      <c r="AI113" s="128"/>
      <c r="AJ113" s="128"/>
      <c r="AY113" s="128"/>
      <c r="BN113" s="128"/>
      <c r="BQ113" s="128"/>
      <c r="BR113" s="128"/>
      <c r="BT113" s="128"/>
      <c r="BV113" s="128"/>
      <c r="BX113" s="128"/>
      <c r="CU113" s="128"/>
      <c r="CW113" s="128"/>
      <c r="DN113" s="128"/>
      <c r="DP113" s="128"/>
      <c r="DR113" s="128"/>
      <c r="DV113" s="128"/>
      <c r="DX113" s="128"/>
      <c r="DY113" s="128"/>
      <c r="EA113" s="128"/>
      <c r="EB113" s="128"/>
      <c r="EC113" s="128"/>
      <c r="EG113" s="128"/>
      <c r="EL113" s="128"/>
      <c r="EM113" s="128"/>
      <c r="EO113" s="128"/>
      <c r="EQ113" s="128"/>
      <c r="ES113" s="128"/>
      <c r="EU113" s="128"/>
      <c r="EW113" s="128"/>
      <c r="EY113" s="128"/>
    </row>
    <row r="114" spans="3:155">
      <c r="C114" s="128"/>
      <c r="D114" s="128"/>
      <c r="E114" s="128"/>
      <c r="F114" s="128" t="str">
        <f>IF(E114 &lt;&gt; "", VLOOKUP(E114, '[2]Internal-logic'!G$1:I$364, 2, FALSE),"")</f>
        <v/>
      </c>
      <c r="G114" s="128" t="str">
        <f>IF(E114 &lt;&gt; "", VLOOKUP(E114, '[2]Internal-logic'!G$1:I$364, 3, FALSE),"")</f>
        <v/>
      </c>
      <c r="H114" s="128"/>
      <c r="I114" s="128"/>
      <c r="J114" s="128"/>
      <c r="K114" s="128"/>
      <c r="Q114" s="128"/>
      <c r="R114" s="128"/>
      <c r="S114" s="128"/>
      <c r="U114" s="128"/>
      <c r="X114" s="128"/>
      <c r="Y114" s="128"/>
      <c r="Z114" s="128"/>
      <c r="AA114" s="128"/>
      <c r="AB114" s="128"/>
      <c r="AC114" s="128"/>
      <c r="AD114" s="128"/>
      <c r="AE114" s="128"/>
      <c r="AF114" s="128"/>
      <c r="AG114" s="128"/>
      <c r="AI114" s="128"/>
      <c r="AJ114" s="128"/>
      <c r="AY114" s="128"/>
      <c r="BN114" s="128"/>
      <c r="BQ114" s="128"/>
      <c r="BR114" s="128"/>
      <c r="BT114" s="128"/>
      <c r="BV114" s="128"/>
      <c r="BX114" s="128"/>
      <c r="CU114" s="128"/>
      <c r="CW114" s="128"/>
      <c r="DN114" s="128"/>
      <c r="DP114" s="128"/>
      <c r="DR114" s="128"/>
      <c r="DV114" s="128"/>
      <c r="DX114" s="128"/>
      <c r="DY114" s="128"/>
      <c r="EA114" s="128"/>
      <c r="EB114" s="128"/>
      <c r="EC114" s="128"/>
      <c r="EG114" s="128"/>
      <c r="EL114" s="128"/>
      <c r="EM114" s="128"/>
      <c r="EO114" s="128"/>
      <c r="EQ114" s="128"/>
      <c r="ES114" s="128"/>
      <c r="EU114" s="128"/>
      <c r="EW114" s="128"/>
      <c r="EY114" s="128"/>
    </row>
    <row r="115" spans="3:155">
      <c r="C115" s="128"/>
      <c r="D115" s="128"/>
      <c r="E115" s="128"/>
      <c r="F115" s="128" t="str">
        <f>IF(E115 &lt;&gt; "", VLOOKUP(E115, '[2]Internal-logic'!G$1:I$364, 2, FALSE),"")</f>
        <v/>
      </c>
      <c r="G115" s="128" t="str">
        <f>IF(E115 &lt;&gt; "", VLOOKUP(E115, '[2]Internal-logic'!G$1:I$364, 3, FALSE),"")</f>
        <v/>
      </c>
      <c r="H115" s="128"/>
      <c r="I115" s="128"/>
      <c r="J115" s="128"/>
      <c r="K115" s="128"/>
      <c r="Q115" s="128"/>
      <c r="R115" s="128"/>
      <c r="S115" s="128"/>
      <c r="U115" s="128"/>
      <c r="X115" s="128"/>
      <c r="Y115" s="128"/>
      <c r="Z115" s="128"/>
      <c r="AA115" s="128"/>
      <c r="AB115" s="128"/>
      <c r="AC115" s="128"/>
      <c r="AD115" s="128"/>
      <c r="AE115" s="128"/>
      <c r="AF115" s="128"/>
      <c r="AG115" s="128"/>
      <c r="AI115" s="128"/>
      <c r="AJ115" s="128"/>
      <c r="AY115" s="128"/>
      <c r="BN115" s="128"/>
      <c r="BQ115" s="128"/>
      <c r="BR115" s="128"/>
      <c r="BT115" s="128"/>
      <c r="BV115" s="128"/>
      <c r="BX115" s="128"/>
      <c r="CU115" s="128"/>
      <c r="CW115" s="128"/>
      <c r="DN115" s="128"/>
      <c r="DP115" s="128"/>
      <c r="DR115" s="128"/>
      <c r="DV115" s="128"/>
      <c r="DX115" s="128"/>
      <c r="DY115" s="128"/>
      <c r="EA115" s="128"/>
      <c r="EB115" s="128"/>
      <c r="EC115" s="128"/>
      <c r="EG115" s="128"/>
      <c r="EL115" s="128"/>
      <c r="EM115" s="128"/>
      <c r="EO115" s="128"/>
      <c r="EQ115" s="128"/>
      <c r="ES115" s="128"/>
      <c r="EU115" s="128"/>
      <c r="EW115" s="128"/>
      <c r="EY115" s="128"/>
    </row>
    <row r="116" spans="3:155">
      <c r="C116" s="128"/>
      <c r="D116" s="128"/>
      <c r="E116" s="128"/>
      <c r="F116" s="128" t="str">
        <f>IF(E116 &lt;&gt; "", VLOOKUP(E116, '[2]Internal-logic'!G$1:I$364, 2, FALSE),"")</f>
        <v/>
      </c>
      <c r="G116" s="128" t="str">
        <f>IF(E116 &lt;&gt; "", VLOOKUP(E116, '[2]Internal-logic'!G$1:I$364, 3, FALSE),"")</f>
        <v/>
      </c>
      <c r="H116" s="128"/>
      <c r="I116" s="128"/>
      <c r="J116" s="128"/>
      <c r="K116" s="128"/>
      <c r="Q116" s="128"/>
      <c r="R116" s="128"/>
      <c r="S116" s="128"/>
      <c r="U116" s="128"/>
      <c r="X116" s="128"/>
      <c r="Y116" s="128"/>
      <c r="Z116" s="128"/>
      <c r="AA116" s="128"/>
      <c r="AB116" s="128"/>
      <c r="AC116" s="128"/>
      <c r="AD116" s="128"/>
      <c r="AE116" s="128"/>
      <c r="AF116" s="128"/>
      <c r="AG116" s="128"/>
      <c r="AI116" s="128"/>
      <c r="AJ116" s="128"/>
      <c r="AY116" s="128"/>
      <c r="BN116" s="128"/>
      <c r="BQ116" s="128"/>
      <c r="BR116" s="128"/>
      <c r="BT116" s="128"/>
      <c r="BV116" s="128"/>
      <c r="BX116" s="128"/>
      <c r="CU116" s="128"/>
      <c r="CW116" s="128"/>
      <c r="DN116" s="128"/>
      <c r="DP116" s="128"/>
      <c r="DR116" s="128"/>
      <c r="DV116" s="128"/>
      <c r="DX116" s="128"/>
      <c r="DY116" s="128"/>
      <c r="EA116" s="128"/>
      <c r="EB116" s="128"/>
      <c r="EC116" s="128"/>
      <c r="EG116" s="128"/>
      <c r="EL116" s="128"/>
      <c r="EM116" s="128"/>
      <c r="EO116" s="128"/>
      <c r="EQ116" s="128"/>
      <c r="ES116" s="128"/>
      <c r="EU116" s="128"/>
      <c r="EW116" s="128"/>
      <c r="EY116" s="128"/>
    </row>
    <row r="117" spans="3:155">
      <c r="C117" s="128"/>
      <c r="D117" s="128"/>
      <c r="E117" s="128"/>
      <c r="F117" s="128" t="str">
        <f>IF(E117 &lt;&gt; "", VLOOKUP(E117, '[2]Internal-logic'!G$1:I$364, 2, FALSE),"")</f>
        <v/>
      </c>
      <c r="G117" s="128" t="str">
        <f>IF(E117 &lt;&gt; "", VLOOKUP(E117, '[2]Internal-logic'!G$1:I$364, 3, FALSE),"")</f>
        <v/>
      </c>
      <c r="H117" s="128"/>
      <c r="I117" s="128"/>
      <c r="J117" s="128"/>
      <c r="K117" s="128"/>
      <c r="Q117" s="128"/>
      <c r="R117" s="128"/>
      <c r="S117" s="128"/>
      <c r="U117" s="128"/>
      <c r="X117" s="128"/>
      <c r="Y117" s="128"/>
      <c r="Z117" s="128"/>
      <c r="AA117" s="128"/>
      <c r="AB117" s="128"/>
      <c r="AC117" s="128"/>
      <c r="AD117" s="128"/>
      <c r="AE117" s="128"/>
      <c r="AF117" s="128"/>
      <c r="AG117" s="128"/>
      <c r="AI117" s="128"/>
      <c r="AJ117" s="128"/>
      <c r="AY117" s="128"/>
      <c r="BN117" s="128"/>
      <c r="BQ117" s="128"/>
      <c r="BR117" s="128"/>
      <c r="BT117" s="128"/>
      <c r="BV117" s="128"/>
      <c r="BX117" s="128"/>
      <c r="CU117" s="128"/>
      <c r="CW117" s="128"/>
      <c r="DN117" s="128"/>
      <c r="DP117" s="128"/>
      <c r="DR117" s="128"/>
      <c r="DV117" s="128"/>
      <c r="DX117" s="128"/>
      <c r="DY117" s="128"/>
      <c r="EA117" s="128"/>
      <c r="EB117" s="128"/>
      <c r="EC117" s="128"/>
      <c r="EG117" s="128"/>
      <c r="EL117" s="128"/>
      <c r="EM117" s="128"/>
      <c r="EO117" s="128"/>
      <c r="EQ117" s="128"/>
      <c r="ES117" s="128"/>
      <c r="EU117" s="128"/>
      <c r="EW117" s="128"/>
      <c r="EY117" s="128"/>
    </row>
    <row r="118" spans="3:155">
      <c r="C118" s="128"/>
      <c r="D118" s="128"/>
      <c r="E118" s="128"/>
      <c r="F118" s="128" t="str">
        <f>IF(E118 &lt;&gt; "", VLOOKUP(E118, '[2]Internal-logic'!G$1:I$364, 2, FALSE),"")</f>
        <v/>
      </c>
      <c r="G118" s="128" t="str">
        <f>IF(E118 &lt;&gt; "", VLOOKUP(E118, '[2]Internal-logic'!G$1:I$364, 3, FALSE),"")</f>
        <v/>
      </c>
      <c r="H118" s="128"/>
      <c r="I118" s="128"/>
      <c r="J118" s="128"/>
      <c r="K118" s="128"/>
      <c r="Q118" s="128"/>
      <c r="R118" s="128"/>
      <c r="S118" s="128"/>
      <c r="U118" s="128"/>
      <c r="X118" s="128"/>
      <c r="Y118" s="128"/>
      <c r="Z118" s="128"/>
      <c r="AA118" s="128"/>
      <c r="AB118" s="128"/>
      <c r="AC118" s="128"/>
      <c r="AD118" s="128"/>
      <c r="AE118" s="128"/>
      <c r="AF118" s="128"/>
      <c r="AG118" s="128"/>
      <c r="AI118" s="128"/>
      <c r="AJ118" s="128"/>
      <c r="AY118" s="128"/>
      <c r="BN118" s="128"/>
      <c r="BQ118" s="128"/>
      <c r="BR118" s="128"/>
      <c r="BT118" s="128"/>
      <c r="BV118" s="128"/>
      <c r="BX118" s="128"/>
      <c r="CU118" s="128"/>
      <c r="CW118" s="128"/>
      <c r="DN118" s="128"/>
      <c r="DP118" s="128"/>
      <c r="DR118" s="128"/>
      <c r="DV118" s="128"/>
      <c r="DX118" s="128"/>
      <c r="DY118" s="128"/>
      <c r="EA118" s="128"/>
      <c r="EB118" s="128"/>
      <c r="EC118" s="128"/>
      <c r="EG118" s="128"/>
      <c r="EL118" s="128"/>
      <c r="EM118" s="128"/>
      <c r="EO118" s="128"/>
      <c r="EQ118" s="128"/>
      <c r="ES118" s="128"/>
      <c r="EU118" s="128"/>
      <c r="EW118" s="128"/>
      <c r="EY118" s="128"/>
    </row>
    <row r="119" spans="3:155">
      <c r="C119" s="128"/>
      <c r="D119" s="128"/>
      <c r="E119" s="128"/>
      <c r="F119" s="128" t="str">
        <f>IF(E119 &lt;&gt; "", VLOOKUP(E119, '[2]Internal-logic'!G$1:I$364, 2, FALSE),"")</f>
        <v/>
      </c>
      <c r="G119" s="128" t="str">
        <f>IF(E119 &lt;&gt; "", VLOOKUP(E119, '[2]Internal-logic'!G$1:I$364, 3, FALSE),"")</f>
        <v/>
      </c>
      <c r="H119" s="128"/>
      <c r="I119" s="128"/>
      <c r="J119" s="128"/>
      <c r="K119" s="128"/>
      <c r="Q119" s="128"/>
      <c r="R119" s="128"/>
      <c r="S119" s="128"/>
      <c r="U119" s="128"/>
      <c r="X119" s="128"/>
      <c r="Y119" s="128"/>
      <c r="Z119" s="128"/>
      <c r="AA119" s="128"/>
      <c r="AB119" s="128"/>
      <c r="AC119" s="128"/>
      <c r="AD119" s="128"/>
      <c r="AE119" s="128"/>
      <c r="AF119" s="128"/>
      <c r="AG119" s="128"/>
      <c r="AI119" s="128"/>
      <c r="AJ119" s="128"/>
      <c r="AY119" s="128"/>
      <c r="BN119" s="128"/>
      <c r="BQ119" s="128"/>
      <c r="BR119" s="128"/>
      <c r="BT119" s="128"/>
      <c r="BV119" s="128"/>
      <c r="BX119" s="128"/>
      <c r="CU119" s="128"/>
      <c r="CW119" s="128"/>
      <c r="DN119" s="128"/>
      <c r="DP119" s="128"/>
      <c r="DR119" s="128"/>
      <c r="DV119" s="128"/>
      <c r="DX119" s="128"/>
      <c r="DY119" s="128"/>
      <c r="EA119" s="128"/>
      <c r="EB119" s="128"/>
      <c r="EC119" s="128"/>
      <c r="EG119" s="128"/>
      <c r="EL119" s="128"/>
      <c r="EM119" s="128"/>
      <c r="EO119" s="128"/>
      <c r="EQ119" s="128"/>
      <c r="ES119" s="128"/>
      <c r="EU119" s="128"/>
      <c r="EW119" s="128"/>
      <c r="EY119" s="128"/>
    </row>
    <row r="120" spans="3:155">
      <c r="C120" s="128"/>
      <c r="D120" s="128"/>
      <c r="E120" s="128"/>
      <c r="F120" s="128" t="str">
        <f>IF(E120 &lt;&gt; "", VLOOKUP(E120, '[2]Internal-logic'!G$1:I$364, 2, FALSE),"")</f>
        <v/>
      </c>
      <c r="G120" s="128" t="str">
        <f>IF(E120 &lt;&gt; "", VLOOKUP(E120, '[2]Internal-logic'!G$1:I$364, 3, FALSE),"")</f>
        <v/>
      </c>
      <c r="H120" s="128"/>
      <c r="I120" s="128"/>
      <c r="J120" s="128"/>
      <c r="K120" s="128"/>
      <c r="Q120" s="128"/>
      <c r="R120" s="128"/>
      <c r="S120" s="128"/>
      <c r="U120" s="128"/>
      <c r="X120" s="128"/>
      <c r="Y120" s="128"/>
      <c r="Z120" s="128"/>
      <c r="AA120" s="128"/>
      <c r="AB120" s="128"/>
      <c r="AC120" s="128"/>
      <c r="AD120" s="128"/>
      <c r="AE120" s="128"/>
      <c r="AF120" s="128"/>
      <c r="AG120" s="128"/>
      <c r="AI120" s="128"/>
      <c r="AJ120" s="128"/>
      <c r="AY120" s="128"/>
      <c r="BN120" s="128"/>
      <c r="BQ120" s="128"/>
      <c r="BR120" s="128"/>
      <c r="BT120" s="128"/>
      <c r="BV120" s="128"/>
      <c r="BX120" s="128"/>
      <c r="CU120" s="128"/>
      <c r="CW120" s="128"/>
      <c r="DN120" s="128"/>
      <c r="DP120" s="128"/>
      <c r="DR120" s="128"/>
      <c r="DV120" s="128"/>
      <c r="DX120" s="128"/>
      <c r="DY120" s="128"/>
      <c r="EA120" s="128"/>
      <c r="EB120" s="128"/>
      <c r="EC120" s="128"/>
      <c r="EG120" s="128"/>
      <c r="EL120" s="128"/>
      <c r="EM120" s="128"/>
      <c r="EO120" s="128"/>
      <c r="EQ120" s="128"/>
      <c r="ES120" s="128"/>
      <c r="EU120" s="128"/>
      <c r="EW120" s="128"/>
      <c r="EY120" s="128"/>
    </row>
    <row r="121" spans="3:155">
      <c r="C121" s="128"/>
      <c r="D121" s="128"/>
      <c r="E121" s="128"/>
      <c r="F121" s="128" t="str">
        <f>IF(E121 &lt;&gt; "", VLOOKUP(E121, '[2]Internal-logic'!G$1:I$364, 2, FALSE),"")</f>
        <v/>
      </c>
      <c r="G121" s="128" t="str">
        <f>IF(E121 &lt;&gt; "", VLOOKUP(E121, '[2]Internal-logic'!G$1:I$364, 3, FALSE),"")</f>
        <v/>
      </c>
      <c r="H121" s="128"/>
      <c r="I121" s="128"/>
      <c r="J121" s="128"/>
      <c r="K121" s="128"/>
      <c r="Q121" s="128"/>
      <c r="R121" s="128"/>
      <c r="S121" s="128"/>
      <c r="U121" s="128"/>
      <c r="X121" s="128"/>
      <c r="Y121" s="128"/>
      <c r="Z121" s="128"/>
      <c r="AA121" s="128"/>
      <c r="AB121" s="128"/>
      <c r="AC121" s="128"/>
      <c r="AD121" s="128"/>
      <c r="AE121" s="128"/>
      <c r="AF121" s="128"/>
      <c r="AG121" s="128"/>
      <c r="AI121" s="128"/>
      <c r="AJ121" s="128"/>
      <c r="AY121" s="128"/>
      <c r="BN121" s="128"/>
      <c r="BQ121" s="128"/>
      <c r="BR121" s="128"/>
      <c r="BT121" s="128"/>
      <c r="BV121" s="128"/>
      <c r="BX121" s="128"/>
      <c r="CU121" s="128"/>
      <c r="CW121" s="128"/>
      <c r="DN121" s="128"/>
      <c r="DP121" s="128"/>
      <c r="DR121" s="128"/>
      <c r="DV121" s="128"/>
      <c r="DX121" s="128"/>
      <c r="DY121" s="128"/>
      <c r="EA121" s="128"/>
      <c r="EB121" s="128"/>
      <c r="EC121" s="128"/>
      <c r="EG121" s="128"/>
      <c r="EL121" s="128"/>
      <c r="EM121" s="128"/>
      <c r="EO121" s="128"/>
      <c r="EQ121" s="128"/>
      <c r="ES121" s="128"/>
      <c r="EU121" s="128"/>
      <c r="EW121" s="128"/>
      <c r="EY121" s="128"/>
    </row>
    <row r="122" spans="3:155">
      <c r="C122" s="128"/>
      <c r="D122" s="128"/>
      <c r="E122" s="128"/>
      <c r="F122" s="128" t="str">
        <f>IF(E122 &lt;&gt; "", VLOOKUP(E122, '[2]Internal-logic'!G$1:I$364, 2, FALSE),"")</f>
        <v/>
      </c>
      <c r="G122" s="128" t="str">
        <f>IF(E122 &lt;&gt; "", VLOOKUP(E122, '[2]Internal-logic'!G$1:I$364, 3, FALSE),"")</f>
        <v/>
      </c>
      <c r="H122" s="128"/>
      <c r="I122" s="128"/>
      <c r="J122" s="128"/>
      <c r="K122" s="128"/>
      <c r="Q122" s="128"/>
      <c r="R122" s="128"/>
      <c r="S122" s="128"/>
      <c r="U122" s="128"/>
      <c r="X122" s="128"/>
      <c r="Y122" s="128"/>
      <c r="Z122" s="128"/>
      <c r="AA122" s="128"/>
      <c r="AB122" s="128"/>
      <c r="AC122" s="128"/>
      <c r="AD122" s="128"/>
      <c r="AE122" s="128"/>
      <c r="AF122" s="128"/>
      <c r="AG122" s="128"/>
      <c r="AI122" s="128"/>
      <c r="AJ122" s="128"/>
      <c r="AY122" s="128"/>
      <c r="BN122" s="128"/>
      <c r="BQ122" s="128"/>
      <c r="BR122" s="128"/>
      <c r="BT122" s="128"/>
      <c r="BV122" s="128"/>
      <c r="BX122" s="128"/>
      <c r="CU122" s="128"/>
      <c r="CW122" s="128"/>
      <c r="DN122" s="128"/>
      <c r="DP122" s="128"/>
      <c r="DR122" s="128"/>
      <c r="DV122" s="128"/>
      <c r="DX122" s="128"/>
      <c r="DY122" s="128"/>
      <c r="EA122" s="128"/>
      <c r="EB122" s="128"/>
      <c r="EC122" s="128"/>
      <c r="EG122" s="128"/>
      <c r="EL122" s="128"/>
      <c r="EM122" s="128"/>
      <c r="EO122" s="128"/>
      <c r="EQ122" s="128"/>
      <c r="ES122" s="128"/>
      <c r="EU122" s="128"/>
      <c r="EW122" s="128"/>
      <c r="EY122" s="128"/>
    </row>
    <row r="123" spans="3:155">
      <c r="C123" s="128"/>
      <c r="D123" s="128"/>
      <c r="E123" s="128"/>
      <c r="F123" s="128" t="str">
        <f>IF(E123 &lt;&gt; "", VLOOKUP(E123, '[2]Internal-logic'!G$1:I$364, 2, FALSE),"")</f>
        <v/>
      </c>
      <c r="G123" s="128" t="str">
        <f>IF(E123 &lt;&gt; "", VLOOKUP(E123, '[2]Internal-logic'!G$1:I$364, 3, FALSE),"")</f>
        <v/>
      </c>
      <c r="H123" s="128"/>
      <c r="I123" s="128"/>
      <c r="J123" s="128"/>
      <c r="K123" s="128"/>
      <c r="Q123" s="128"/>
      <c r="R123" s="128"/>
      <c r="S123" s="128"/>
      <c r="U123" s="128"/>
      <c r="X123" s="128"/>
      <c r="Y123" s="128"/>
      <c r="Z123" s="128"/>
      <c r="AA123" s="128"/>
      <c r="AB123" s="128"/>
      <c r="AC123" s="128"/>
      <c r="AD123" s="128"/>
      <c r="AE123" s="128"/>
      <c r="AF123" s="128"/>
      <c r="AG123" s="128"/>
      <c r="AI123" s="128"/>
      <c r="AJ123" s="128"/>
      <c r="AY123" s="128"/>
      <c r="BN123" s="128"/>
      <c r="BQ123" s="128"/>
      <c r="BR123" s="128"/>
      <c r="BT123" s="128"/>
      <c r="BV123" s="128"/>
      <c r="BX123" s="128"/>
      <c r="CU123" s="128"/>
      <c r="CW123" s="128"/>
      <c r="DN123" s="128"/>
      <c r="DP123" s="128"/>
      <c r="DR123" s="128"/>
      <c r="DV123" s="128"/>
      <c r="DX123" s="128"/>
      <c r="DY123" s="128"/>
      <c r="EA123" s="128"/>
      <c r="EB123" s="128"/>
      <c r="EC123" s="128"/>
      <c r="EG123" s="128"/>
      <c r="EL123" s="128"/>
      <c r="EM123" s="128"/>
      <c r="EO123" s="128"/>
      <c r="EQ123" s="128"/>
      <c r="ES123" s="128"/>
      <c r="EU123" s="128"/>
      <c r="EW123" s="128"/>
      <c r="EY123" s="128"/>
    </row>
    <row r="124" spans="3:155">
      <c r="C124" s="128"/>
      <c r="D124" s="128"/>
      <c r="E124" s="128"/>
      <c r="F124" s="128" t="str">
        <f>IF(E124 &lt;&gt; "", VLOOKUP(E124, '[2]Internal-logic'!G$1:I$364, 2, FALSE),"")</f>
        <v/>
      </c>
      <c r="G124" s="128" t="str">
        <f>IF(E124 &lt;&gt; "", VLOOKUP(E124, '[2]Internal-logic'!G$1:I$364, 3, FALSE),"")</f>
        <v/>
      </c>
      <c r="H124" s="128"/>
      <c r="I124" s="128"/>
      <c r="J124" s="128"/>
      <c r="K124" s="128"/>
      <c r="Q124" s="128"/>
      <c r="R124" s="128"/>
      <c r="S124" s="128"/>
      <c r="U124" s="128"/>
      <c r="X124" s="128"/>
      <c r="Y124" s="128"/>
      <c r="Z124" s="128"/>
      <c r="AA124" s="128"/>
      <c r="AB124" s="128"/>
      <c r="AC124" s="128"/>
      <c r="AD124" s="128"/>
      <c r="AE124" s="128"/>
      <c r="AF124" s="128"/>
      <c r="AG124" s="128"/>
      <c r="AI124" s="128"/>
      <c r="AJ124" s="128"/>
      <c r="AY124" s="128"/>
      <c r="BN124" s="128"/>
      <c r="BQ124" s="128"/>
      <c r="BR124" s="128"/>
      <c r="BT124" s="128"/>
      <c r="BV124" s="128"/>
      <c r="BX124" s="128"/>
      <c r="CU124" s="128"/>
      <c r="CW124" s="128"/>
      <c r="DN124" s="128"/>
      <c r="DP124" s="128"/>
      <c r="DR124" s="128"/>
      <c r="DV124" s="128"/>
      <c r="DX124" s="128"/>
      <c r="DY124" s="128"/>
      <c r="EA124" s="128"/>
      <c r="EB124" s="128"/>
      <c r="EC124" s="128"/>
      <c r="EG124" s="128"/>
      <c r="EL124" s="128"/>
      <c r="EM124" s="128"/>
      <c r="EO124" s="128"/>
      <c r="EQ124" s="128"/>
      <c r="ES124" s="128"/>
      <c r="EU124" s="128"/>
      <c r="EW124" s="128"/>
      <c r="EY124" s="128"/>
    </row>
    <row r="125" spans="3:155">
      <c r="C125" s="128"/>
      <c r="D125" s="128"/>
      <c r="E125" s="128"/>
      <c r="F125" s="128" t="str">
        <f>IF(E125 &lt;&gt; "", VLOOKUP(E125, '[2]Internal-logic'!G$1:I$364, 2, FALSE),"")</f>
        <v/>
      </c>
      <c r="G125" s="128" t="str">
        <f>IF(E125 &lt;&gt; "", VLOOKUP(E125, '[2]Internal-logic'!G$1:I$364, 3, FALSE),"")</f>
        <v/>
      </c>
      <c r="H125" s="128"/>
      <c r="I125" s="128"/>
      <c r="J125" s="128"/>
      <c r="K125" s="128"/>
      <c r="Q125" s="128"/>
      <c r="R125" s="128"/>
      <c r="S125" s="128"/>
      <c r="U125" s="128"/>
      <c r="X125" s="128"/>
      <c r="Y125" s="128"/>
      <c r="Z125" s="128"/>
      <c r="AA125" s="128"/>
      <c r="AB125" s="128"/>
      <c r="AC125" s="128"/>
      <c r="AD125" s="128"/>
      <c r="AE125" s="128"/>
      <c r="AF125" s="128"/>
      <c r="AG125" s="128"/>
      <c r="AI125" s="128"/>
      <c r="AJ125" s="128"/>
      <c r="AY125" s="128"/>
      <c r="BN125" s="128"/>
      <c r="BQ125" s="128"/>
      <c r="BR125" s="128"/>
      <c r="BT125" s="128"/>
      <c r="BV125" s="128"/>
      <c r="BX125" s="128"/>
      <c r="CU125" s="128"/>
      <c r="CW125" s="128"/>
      <c r="DN125" s="128"/>
      <c r="DP125" s="128"/>
      <c r="DR125" s="128"/>
      <c r="DV125" s="128"/>
      <c r="DX125" s="128"/>
      <c r="DY125" s="128"/>
      <c r="EA125" s="128"/>
      <c r="EB125" s="128"/>
      <c r="EC125" s="128"/>
      <c r="EG125" s="128"/>
      <c r="EL125" s="128"/>
      <c r="EM125" s="128"/>
      <c r="EO125" s="128"/>
      <c r="EQ125" s="128"/>
      <c r="ES125" s="128"/>
      <c r="EU125" s="128"/>
      <c r="EW125" s="128"/>
      <c r="EY125" s="128"/>
    </row>
    <row r="126" spans="3:155">
      <c r="C126" s="128"/>
      <c r="D126" s="128"/>
      <c r="E126" s="128"/>
      <c r="F126" s="128" t="str">
        <f>IF(E126 &lt;&gt; "", VLOOKUP(E126, '[2]Internal-logic'!G$1:I$364, 2, FALSE),"")</f>
        <v/>
      </c>
      <c r="G126" s="128" t="str">
        <f>IF(E126 &lt;&gt; "", VLOOKUP(E126, '[2]Internal-logic'!G$1:I$364, 3, FALSE),"")</f>
        <v/>
      </c>
      <c r="H126" s="128"/>
      <c r="I126" s="128"/>
      <c r="J126" s="128"/>
      <c r="K126" s="128"/>
      <c r="Q126" s="128"/>
      <c r="R126" s="128"/>
      <c r="S126" s="128"/>
      <c r="U126" s="128"/>
      <c r="X126" s="128"/>
      <c r="Y126" s="128"/>
      <c r="Z126" s="128"/>
      <c r="AA126" s="128"/>
      <c r="AB126" s="128"/>
      <c r="AC126" s="128"/>
      <c r="AD126" s="128"/>
      <c r="AE126" s="128"/>
      <c r="AF126" s="128"/>
      <c r="AG126" s="128"/>
      <c r="AI126" s="128"/>
      <c r="AJ126" s="128"/>
      <c r="AY126" s="128"/>
      <c r="BN126" s="128"/>
      <c r="BQ126" s="128"/>
      <c r="BR126" s="128"/>
      <c r="BT126" s="128"/>
      <c r="BV126" s="128"/>
      <c r="BX126" s="128"/>
      <c r="CU126" s="128"/>
      <c r="CW126" s="128"/>
      <c r="DN126" s="128"/>
      <c r="DP126" s="128"/>
      <c r="DR126" s="128"/>
      <c r="DV126" s="128"/>
      <c r="DX126" s="128"/>
      <c r="DY126" s="128"/>
      <c r="EA126" s="128"/>
      <c r="EB126" s="128"/>
      <c r="EC126" s="128"/>
      <c r="EG126" s="128"/>
      <c r="EL126" s="128"/>
      <c r="EM126" s="128"/>
      <c r="EO126" s="128"/>
      <c r="EQ126" s="128"/>
      <c r="ES126" s="128"/>
      <c r="EU126" s="128"/>
      <c r="EW126" s="128"/>
      <c r="EY126" s="128"/>
    </row>
    <row r="127" spans="3:155">
      <c r="C127" s="128"/>
      <c r="D127" s="128"/>
      <c r="E127" s="128"/>
      <c r="F127" s="128" t="str">
        <f>IF(E127 &lt;&gt; "", VLOOKUP(E127, '[2]Internal-logic'!G$1:I$364, 2, FALSE),"")</f>
        <v/>
      </c>
      <c r="G127" s="128" t="str">
        <f>IF(E127 &lt;&gt; "", VLOOKUP(E127, '[2]Internal-logic'!G$1:I$364, 3, FALSE),"")</f>
        <v/>
      </c>
      <c r="H127" s="128"/>
      <c r="I127" s="128"/>
      <c r="J127" s="128"/>
      <c r="K127" s="128"/>
      <c r="Q127" s="128"/>
      <c r="R127" s="128"/>
      <c r="S127" s="128"/>
      <c r="U127" s="128"/>
      <c r="X127" s="128"/>
      <c r="Y127" s="128"/>
      <c r="Z127" s="128"/>
      <c r="AA127" s="128"/>
      <c r="AB127" s="128"/>
      <c r="AC127" s="128"/>
      <c r="AD127" s="128"/>
      <c r="AE127" s="128"/>
      <c r="AF127" s="128"/>
      <c r="AG127" s="128"/>
      <c r="AI127" s="128"/>
      <c r="AJ127" s="128"/>
      <c r="AY127" s="128"/>
      <c r="BN127" s="128"/>
      <c r="BQ127" s="128"/>
      <c r="BR127" s="128"/>
      <c r="BT127" s="128"/>
      <c r="BV127" s="128"/>
      <c r="BX127" s="128"/>
      <c r="CU127" s="128"/>
      <c r="CW127" s="128"/>
      <c r="DN127" s="128"/>
      <c r="DP127" s="128"/>
      <c r="DR127" s="128"/>
      <c r="DV127" s="128"/>
      <c r="DX127" s="128"/>
      <c r="DY127" s="128"/>
      <c r="EA127" s="128"/>
      <c r="EB127" s="128"/>
      <c r="EC127" s="128"/>
      <c r="EG127" s="128"/>
      <c r="EL127" s="128"/>
      <c r="EM127" s="128"/>
      <c r="EO127" s="128"/>
      <c r="EQ127" s="128"/>
      <c r="ES127" s="128"/>
      <c r="EU127" s="128"/>
      <c r="EW127" s="128"/>
      <c r="EY127" s="128"/>
    </row>
    <row r="128" spans="3:155">
      <c r="C128" s="128"/>
      <c r="D128" s="128"/>
      <c r="E128" s="128"/>
      <c r="F128" s="128" t="str">
        <f>IF(E128 &lt;&gt; "", VLOOKUP(E128, '[2]Internal-logic'!G$1:I$364, 2, FALSE),"")</f>
        <v/>
      </c>
      <c r="G128" s="128" t="str">
        <f>IF(E128 &lt;&gt; "", VLOOKUP(E128, '[2]Internal-logic'!G$1:I$364, 3, FALSE),"")</f>
        <v/>
      </c>
      <c r="H128" s="128"/>
      <c r="I128" s="128"/>
      <c r="J128" s="128"/>
      <c r="K128" s="128"/>
      <c r="Q128" s="128"/>
      <c r="R128" s="128"/>
      <c r="S128" s="128"/>
      <c r="U128" s="128"/>
      <c r="X128" s="128"/>
      <c r="Y128" s="128"/>
      <c r="Z128" s="128"/>
      <c r="AA128" s="128"/>
      <c r="AB128" s="128"/>
      <c r="AC128" s="128"/>
      <c r="AD128" s="128"/>
      <c r="AE128" s="128"/>
      <c r="AF128" s="128"/>
      <c r="AG128" s="128"/>
      <c r="AI128" s="128"/>
      <c r="AJ128" s="128"/>
      <c r="AY128" s="128"/>
      <c r="BN128" s="128"/>
      <c r="BQ128" s="128"/>
      <c r="BR128" s="128"/>
      <c r="BT128" s="128"/>
      <c r="BV128" s="128"/>
      <c r="BX128" s="128"/>
      <c r="CU128" s="128"/>
      <c r="CW128" s="128"/>
      <c r="DN128" s="128"/>
      <c r="DP128" s="128"/>
      <c r="DR128" s="128"/>
      <c r="DV128" s="128"/>
      <c r="DX128" s="128"/>
      <c r="DY128" s="128"/>
      <c r="EA128" s="128"/>
      <c r="EB128" s="128"/>
      <c r="EC128" s="128"/>
      <c r="EG128" s="128"/>
      <c r="EL128" s="128"/>
      <c r="EM128" s="128"/>
      <c r="EO128" s="128"/>
      <c r="EQ128" s="128"/>
      <c r="ES128" s="128"/>
      <c r="EU128" s="128"/>
      <c r="EW128" s="128"/>
      <c r="EY128" s="128"/>
    </row>
    <row r="129" spans="3:155">
      <c r="C129" s="128"/>
      <c r="D129" s="128"/>
      <c r="E129" s="128"/>
      <c r="F129" s="128" t="str">
        <f>IF(E129 &lt;&gt; "", VLOOKUP(E129, '[2]Internal-logic'!G$1:I$364, 2, FALSE),"")</f>
        <v/>
      </c>
      <c r="G129" s="128" t="str">
        <f>IF(E129 &lt;&gt; "", VLOOKUP(E129, '[2]Internal-logic'!G$1:I$364, 3, FALSE),"")</f>
        <v/>
      </c>
      <c r="H129" s="128"/>
      <c r="I129" s="128"/>
      <c r="J129" s="128"/>
      <c r="K129" s="128"/>
      <c r="Q129" s="128"/>
      <c r="R129" s="128"/>
      <c r="S129" s="128"/>
      <c r="U129" s="128"/>
      <c r="X129" s="128"/>
      <c r="Y129" s="128"/>
      <c r="Z129" s="128"/>
      <c r="AA129" s="128"/>
      <c r="AB129" s="128"/>
      <c r="AC129" s="128"/>
      <c r="AD129" s="128"/>
      <c r="AE129" s="128"/>
      <c r="AF129" s="128"/>
      <c r="AG129" s="128"/>
      <c r="AI129" s="128"/>
      <c r="AJ129" s="128"/>
      <c r="AY129" s="128"/>
      <c r="BN129" s="128"/>
      <c r="BQ129" s="128"/>
      <c r="BR129" s="128"/>
      <c r="BT129" s="128"/>
      <c r="BV129" s="128"/>
      <c r="BX129" s="128"/>
      <c r="CU129" s="128"/>
      <c r="CW129" s="128"/>
      <c r="DN129" s="128"/>
      <c r="DP129" s="128"/>
      <c r="DR129" s="128"/>
      <c r="DV129" s="128"/>
      <c r="DX129" s="128"/>
      <c r="DY129" s="128"/>
      <c r="EA129" s="128"/>
      <c r="EB129" s="128"/>
      <c r="EC129" s="128"/>
      <c r="EG129" s="128"/>
      <c r="EL129" s="128"/>
      <c r="EM129" s="128"/>
      <c r="EO129" s="128"/>
      <c r="EQ129" s="128"/>
      <c r="ES129" s="128"/>
      <c r="EU129" s="128"/>
      <c r="EW129" s="128"/>
      <c r="EY129" s="128"/>
    </row>
    <row r="130" spans="3:155">
      <c r="C130" s="128"/>
      <c r="D130" s="128"/>
      <c r="E130" s="128"/>
      <c r="F130" s="128" t="str">
        <f>IF(E130 &lt;&gt; "", VLOOKUP(E130, '[2]Internal-logic'!G$1:I$364, 2, FALSE),"")</f>
        <v/>
      </c>
      <c r="G130" s="128" t="str">
        <f>IF(E130 &lt;&gt; "", VLOOKUP(E130, '[2]Internal-logic'!G$1:I$364, 3, FALSE),"")</f>
        <v/>
      </c>
      <c r="H130" s="128"/>
      <c r="I130" s="128"/>
      <c r="J130" s="128"/>
      <c r="K130" s="128"/>
      <c r="Q130" s="128"/>
      <c r="R130" s="128"/>
      <c r="S130" s="128"/>
      <c r="U130" s="128"/>
      <c r="X130" s="128"/>
      <c r="Y130" s="128"/>
      <c r="Z130" s="128"/>
      <c r="AA130" s="128"/>
      <c r="AB130" s="128"/>
      <c r="AC130" s="128"/>
      <c r="AD130" s="128"/>
      <c r="AE130" s="128"/>
      <c r="AF130" s="128"/>
      <c r="AG130" s="128"/>
      <c r="AI130" s="128"/>
      <c r="AJ130" s="128"/>
      <c r="AY130" s="128"/>
      <c r="BN130" s="128"/>
      <c r="BQ130" s="128"/>
      <c r="BR130" s="128"/>
      <c r="BT130" s="128"/>
      <c r="BV130" s="128"/>
      <c r="BX130" s="128"/>
      <c r="CU130" s="128"/>
      <c r="CW130" s="128"/>
      <c r="DN130" s="128"/>
      <c r="DP130" s="128"/>
      <c r="DR130" s="128"/>
      <c r="DV130" s="128"/>
      <c r="DX130" s="128"/>
      <c r="DY130" s="128"/>
      <c r="EA130" s="128"/>
      <c r="EB130" s="128"/>
      <c r="EC130" s="128"/>
      <c r="EG130" s="128"/>
      <c r="EL130" s="128"/>
      <c r="EM130" s="128"/>
      <c r="EO130" s="128"/>
      <c r="EQ130" s="128"/>
      <c r="ES130" s="128"/>
      <c r="EU130" s="128"/>
      <c r="EW130" s="128"/>
      <c r="EY130" s="128"/>
    </row>
    <row r="131" spans="3:155">
      <c r="C131" s="128"/>
      <c r="D131" s="128"/>
      <c r="E131" s="128"/>
      <c r="F131" s="128" t="str">
        <f>IF(E131 &lt;&gt; "", VLOOKUP(E131, '[2]Internal-logic'!G$1:I$364, 2, FALSE),"")</f>
        <v/>
      </c>
      <c r="G131" s="128" t="str">
        <f>IF(E131 &lt;&gt; "", VLOOKUP(E131, '[2]Internal-logic'!G$1:I$364, 3, FALSE),"")</f>
        <v/>
      </c>
      <c r="H131" s="128"/>
      <c r="I131" s="128"/>
      <c r="J131" s="128"/>
      <c r="K131" s="128"/>
      <c r="Q131" s="128"/>
      <c r="R131" s="128"/>
      <c r="S131" s="128"/>
      <c r="U131" s="128"/>
      <c r="X131" s="128"/>
      <c r="Y131" s="128"/>
      <c r="Z131" s="128"/>
      <c r="AA131" s="128"/>
      <c r="AB131" s="128"/>
      <c r="AC131" s="128"/>
      <c r="AD131" s="128"/>
      <c r="AE131" s="128"/>
      <c r="AF131" s="128"/>
      <c r="AG131" s="128"/>
      <c r="AI131" s="128"/>
      <c r="AJ131" s="128"/>
      <c r="AY131" s="128"/>
      <c r="BN131" s="128"/>
      <c r="BQ131" s="128"/>
      <c r="BR131" s="128"/>
      <c r="BT131" s="128"/>
      <c r="BV131" s="128"/>
      <c r="BX131" s="128"/>
      <c r="CU131" s="128"/>
      <c r="CW131" s="128"/>
      <c r="DN131" s="128"/>
      <c r="DP131" s="128"/>
      <c r="DR131" s="128"/>
      <c r="DV131" s="128"/>
      <c r="DX131" s="128"/>
      <c r="DY131" s="128"/>
      <c r="EA131" s="128"/>
      <c r="EB131" s="128"/>
      <c r="EC131" s="128"/>
      <c r="EG131" s="128"/>
      <c r="EL131" s="128"/>
      <c r="EM131" s="128"/>
      <c r="EO131" s="128"/>
      <c r="EQ131" s="128"/>
      <c r="ES131" s="128"/>
      <c r="EU131" s="128"/>
      <c r="EW131" s="128"/>
      <c r="EY131" s="128"/>
    </row>
    <row r="132" spans="3:155">
      <c r="C132" s="128"/>
      <c r="D132" s="128"/>
      <c r="E132" s="128"/>
      <c r="F132" s="128" t="str">
        <f>IF(E132 &lt;&gt; "", VLOOKUP(E132, '[2]Internal-logic'!G$1:I$364, 2, FALSE),"")</f>
        <v/>
      </c>
      <c r="G132" s="128" t="str">
        <f>IF(E132 &lt;&gt; "", VLOOKUP(E132, '[2]Internal-logic'!G$1:I$364, 3, FALSE),"")</f>
        <v/>
      </c>
      <c r="H132" s="128"/>
      <c r="I132" s="128"/>
      <c r="J132" s="128"/>
      <c r="K132" s="128"/>
      <c r="Q132" s="128"/>
      <c r="R132" s="128"/>
      <c r="S132" s="128"/>
      <c r="U132" s="128"/>
      <c r="X132" s="128"/>
      <c r="Y132" s="128"/>
      <c r="Z132" s="128"/>
      <c r="AA132" s="128"/>
      <c r="AB132" s="128"/>
      <c r="AC132" s="128"/>
      <c r="AD132" s="128"/>
      <c r="AE132" s="128"/>
      <c r="AF132" s="128"/>
      <c r="AG132" s="128"/>
      <c r="AI132" s="128"/>
      <c r="AJ132" s="128"/>
      <c r="AY132" s="128"/>
      <c r="BN132" s="128"/>
      <c r="BQ132" s="128"/>
      <c r="BR132" s="128"/>
      <c r="BT132" s="128"/>
      <c r="BV132" s="128"/>
      <c r="BX132" s="128"/>
      <c r="CU132" s="128"/>
      <c r="CW132" s="128"/>
      <c r="DN132" s="128"/>
      <c r="DP132" s="128"/>
      <c r="DR132" s="128"/>
      <c r="DV132" s="128"/>
      <c r="DX132" s="128"/>
      <c r="DY132" s="128"/>
      <c r="EA132" s="128"/>
      <c r="EB132" s="128"/>
      <c r="EC132" s="128"/>
      <c r="EG132" s="128"/>
      <c r="EL132" s="128"/>
      <c r="EM132" s="128"/>
      <c r="EO132" s="128"/>
      <c r="EQ132" s="128"/>
      <c r="ES132" s="128"/>
      <c r="EU132" s="128"/>
      <c r="EW132" s="128"/>
      <c r="EY132" s="128"/>
    </row>
    <row r="133" spans="3:155">
      <c r="C133" s="128"/>
      <c r="D133" s="128"/>
      <c r="E133" s="128"/>
      <c r="F133" s="128" t="str">
        <f>IF(E133 &lt;&gt; "", VLOOKUP(E133, '[2]Internal-logic'!G$1:I$364, 2, FALSE),"")</f>
        <v/>
      </c>
      <c r="G133" s="128" t="str">
        <f>IF(E133 &lt;&gt; "", VLOOKUP(E133, '[2]Internal-logic'!G$1:I$364, 3, FALSE),"")</f>
        <v/>
      </c>
      <c r="H133" s="128"/>
      <c r="I133" s="128"/>
      <c r="J133" s="128"/>
      <c r="K133" s="128"/>
      <c r="Q133" s="128"/>
      <c r="R133" s="128"/>
      <c r="S133" s="128"/>
      <c r="U133" s="128"/>
      <c r="X133" s="128"/>
      <c r="Y133" s="128"/>
      <c r="Z133" s="128"/>
      <c r="AA133" s="128"/>
      <c r="AB133" s="128"/>
      <c r="AC133" s="128"/>
      <c r="AD133" s="128"/>
      <c r="AE133" s="128"/>
      <c r="AF133" s="128"/>
      <c r="AG133" s="128"/>
      <c r="AI133" s="128"/>
      <c r="AJ133" s="128"/>
      <c r="AY133" s="128"/>
      <c r="BN133" s="128"/>
      <c r="BQ133" s="128"/>
      <c r="BR133" s="128"/>
      <c r="BT133" s="128"/>
      <c r="BV133" s="128"/>
      <c r="BX133" s="128"/>
      <c r="CU133" s="128"/>
      <c r="CW133" s="128"/>
      <c r="DN133" s="128"/>
      <c r="DP133" s="128"/>
      <c r="DR133" s="128"/>
      <c r="DV133" s="128"/>
      <c r="DX133" s="128"/>
      <c r="DY133" s="128"/>
      <c r="EA133" s="128"/>
      <c r="EB133" s="128"/>
      <c r="EC133" s="128"/>
      <c r="EG133" s="128"/>
      <c r="EL133" s="128"/>
      <c r="EM133" s="128"/>
      <c r="EO133" s="128"/>
      <c r="EQ133" s="128"/>
      <c r="ES133" s="128"/>
      <c r="EU133" s="128"/>
      <c r="EW133" s="128"/>
      <c r="EY133" s="128"/>
    </row>
    <row r="134" spans="3:155">
      <c r="C134" s="128"/>
      <c r="D134" s="128"/>
      <c r="E134" s="128"/>
      <c r="F134" s="128" t="str">
        <f>IF(E134 &lt;&gt; "", VLOOKUP(E134, '[2]Internal-logic'!G$1:I$364, 2, FALSE),"")</f>
        <v/>
      </c>
      <c r="G134" s="128" t="str">
        <f>IF(E134 &lt;&gt; "", VLOOKUP(E134, '[2]Internal-logic'!G$1:I$364, 3, FALSE),"")</f>
        <v/>
      </c>
      <c r="H134" s="128"/>
      <c r="I134" s="128"/>
      <c r="J134" s="128"/>
      <c r="K134" s="128"/>
      <c r="Q134" s="128"/>
      <c r="R134" s="128"/>
      <c r="S134" s="128"/>
      <c r="U134" s="128"/>
      <c r="X134" s="128"/>
      <c r="Y134" s="128"/>
      <c r="Z134" s="128"/>
      <c r="AA134" s="128"/>
      <c r="AB134" s="128"/>
      <c r="AC134" s="128"/>
      <c r="AD134" s="128"/>
      <c r="AE134" s="128"/>
      <c r="AF134" s="128"/>
      <c r="AG134" s="128"/>
      <c r="AI134" s="128"/>
      <c r="AJ134" s="128"/>
      <c r="AY134" s="128"/>
      <c r="BN134" s="128"/>
      <c r="BQ134" s="128"/>
      <c r="BR134" s="128"/>
      <c r="BT134" s="128"/>
      <c r="BV134" s="128"/>
      <c r="BX134" s="128"/>
      <c r="CU134" s="128"/>
      <c r="CW134" s="128"/>
      <c r="DN134" s="128"/>
      <c r="DP134" s="128"/>
      <c r="DR134" s="128"/>
      <c r="DV134" s="128"/>
      <c r="DX134" s="128"/>
      <c r="DY134" s="128"/>
      <c r="EA134" s="128"/>
      <c r="EB134" s="128"/>
      <c r="EC134" s="128"/>
      <c r="EG134" s="128"/>
      <c r="EL134" s="128"/>
      <c r="EM134" s="128"/>
      <c r="EO134" s="128"/>
      <c r="EQ134" s="128"/>
      <c r="ES134" s="128"/>
      <c r="EU134" s="128"/>
      <c r="EW134" s="128"/>
      <c r="EY134" s="128"/>
    </row>
    <row r="135" spans="3:155">
      <c r="C135" s="128"/>
      <c r="D135" s="128"/>
      <c r="E135" s="128"/>
      <c r="F135" s="128" t="str">
        <f>IF(E135 &lt;&gt; "", VLOOKUP(E135, '[2]Internal-logic'!G$1:I$364, 2, FALSE),"")</f>
        <v/>
      </c>
      <c r="G135" s="128" t="str">
        <f>IF(E135 &lt;&gt; "", VLOOKUP(E135, '[2]Internal-logic'!G$1:I$364, 3, FALSE),"")</f>
        <v/>
      </c>
      <c r="H135" s="128"/>
      <c r="I135" s="128"/>
      <c r="J135" s="128"/>
      <c r="K135" s="128"/>
      <c r="Q135" s="128"/>
      <c r="R135" s="128"/>
      <c r="S135" s="128"/>
      <c r="U135" s="128"/>
      <c r="X135" s="128"/>
      <c r="Y135" s="128"/>
      <c r="Z135" s="128"/>
      <c r="AA135" s="128"/>
      <c r="AB135" s="128"/>
      <c r="AC135" s="128"/>
      <c r="AD135" s="128"/>
      <c r="AE135" s="128"/>
      <c r="AF135" s="128"/>
      <c r="AG135" s="128"/>
      <c r="AI135" s="128"/>
      <c r="AJ135" s="128"/>
      <c r="AY135" s="128"/>
      <c r="BN135" s="128"/>
      <c r="BQ135" s="128"/>
      <c r="BR135" s="128"/>
      <c r="BT135" s="128"/>
      <c r="BV135" s="128"/>
      <c r="BX135" s="128"/>
      <c r="CU135" s="128"/>
      <c r="CW135" s="128"/>
      <c r="DN135" s="128"/>
      <c r="DP135" s="128"/>
      <c r="DR135" s="128"/>
      <c r="DV135" s="128"/>
      <c r="DX135" s="128"/>
      <c r="DY135" s="128"/>
      <c r="EA135" s="128"/>
      <c r="EB135" s="128"/>
      <c r="EC135" s="128"/>
      <c r="EG135" s="128"/>
      <c r="EL135" s="128"/>
      <c r="EM135" s="128"/>
      <c r="EO135" s="128"/>
      <c r="EQ135" s="128"/>
      <c r="ES135" s="128"/>
      <c r="EU135" s="128"/>
      <c r="EW135" s="128"/>
      <c r="EY135" s="128"/>
    </row>
    <row r="136" spans="3:155">
      <c r="C136" s="128"/>
      <c r="D136" s="128"/>
      <c r="E136" s="128"/>
      <c r="F136" s="128" t="str">
        <f>IF(E136 &lt;&gt; "", VLOOKUP(E136, '[2]Internal-logic'!G$1:I$364, 2, FALSE),"")</f>
        <v/>
      </c>
      <c r="G136" s="128" t="str">
        <f>IF(E136 &lt;&gt; "", VLOOKUP(E136, '[2]Internal-logic'!G$1:I$364, 3, FALSE),"")</f>
        <v/>
      </c>
      <c r="H136" s="128"/>
      <c r="I136" s="128"/>
      <c r="J136" s="128"/>
      <c r="K136" s="128"/>
      <c r="Q136" s="128"/>
      <c r="R136" s="128"/>
      <c r="S136" s="128"/>
      <c r="U136" s="128"/>
      <c r="X136" s="128"/>
      <c r="Y136" s="128"/>
      <c r="Z136" s="128"/>
      <c r="AA136" s="128"/>
      <c r="AB136" s="128"/>
      <c r="AC136" s="128"/>
      <c r="AD136" s="128"/>
      <c r="AE136" s="128"/>
      <c r="AF136" s="128"/>
      <c r="AG136" s="128"/>
      <c r="AI136" s="128"/>
      <c r="AJ136" s="128"/>
      <c r="AY136" s="128"/>
      <c r="BN136" s="128"/>
      <c r="BQ136" s="128"/>
      <c r="BR136" s="128"/>
      <c r="BT136" s="128"/>
      <c r="BV136" s="128"/>
      <c r="BX136" s="128"/>
      <c r="CU136" s="128"/>
      <c r="CW136" s="128"/>
      <c r="DN136" s="128"/>
      <c r="DP136" s="128"/>
      <c r="DR136" s="128"/>
      <c r="DV136" s="128"/>
      <c r="DX136" s="128"/>
      <c r="DY136" s="128"/>
      <c r="EA136" s="128"/>
      <c r="EB136" s="128"/>
      <c r="EC136" s="128"/>
      <c r="EG136" s="128"/>
      <c r="EL136" s="128"/>
      <c r="EM136" s="128"/>
      <c r="EO136" s="128"/>
      <c r="EQ136" s="128"/>
      <c r="ES136" s="128"/>
      <c r="EU136" s="128"/>
      <c r="EW136" s="128"/>
      <c r="EY136" s="128"/>
    </row>
    <row r="137" spans="3:155">
      <c r="C137" s="128"/>
      <c r="D137" s="128"/>
      <c r="E137" s="128"/>
      <c r="F137" s="128" t="str">
        <f>IF(E137 &lt;&gt; "", VLOOKUP(E137, '[2]Internal-logic'!G$1:I$364, 2, FALSE),"")</f>
        <v/>
      </c>
      <c r="G137" s="128" t="str">
        <f>IF(E137 &lt;&gt; "", VLOOKUP(E137, '[2]Internal-logic'!G$1:I$364, 3, FALSE),"")</f>
        <v/>
      </c>
      <c r="H137" s="128"/>
      <c r="I137" s="128"/>
      <c r="J137" s="128"/>
      <c r="K137" s="128"/>
      <c r="Q137" s="128"/>
      <c r="R137" s="128"/>
      <c r="S137" s="128"/>
      <c r="U137" s="128"/>
      <c r="X137" s="128"/>
      <c r="Y137" s="128"/>
      <c r="Z137" s="128"/>
      <c r="AA137" s="128"/>
      <c r="AB137" s="128"/>
      <c r="AC137" s="128"/>
      <c r="AD137" s="128"/>
      <c r="AE137" s="128"/>
      <c r="AF137" s="128"/>
      <c r="AG137" s="128"/>
      <c r="AI137" s="128"/>
      <c r="AJ137" s="128"/>
      <c r="AY137" s="128"/>
      <c r="BN137" s="128"/>
      <c r="BQ137" s="128"/>
      <c r="BR137" s="128"/>
      <c r="BT137" s="128"/>
      <c r="BV137" s="128"/>
      <c r="BX137" s="128"/>
      <c r="CU137" s="128"/>
      <c r="CW137" s="128"/>
      <c r="DN137" s="128"/>
      <c r="DP137" s="128"/>
      <c r="DR137" s="128"/>
      <c r="DV137" s="128"/>
      <c r="DX137" s="128"/>
      <c r="DY137" s="128"/>
      <c r="EA137" s="128"/>
      <c r="EB137" s="128"/>
      <c r="EC137" s="128"/>
      <c r="EG137" s="128"/>
      <c r="EL137" s="128"/>
      <c r="EM137" s="128"/>
      <c r="EO137" s="128"/>
      <c r="EQ137" s="128"/>
      <c r="ES137" s="128"/>
      <c r="EU137" s="128"/>
      <c r="EW137" s="128"/>
      <c r="EY137" s="128"/>
    </row>
    <row r="138" spans="3:155">
      <c r="C138" s="128"/>
      <c r="D138" s="128"/>
      <c r="E138" s="128"/>
      <c r="F138" s="128" t="str">
        <f>IF(E138 &lt;&gt; "", VLOOKUP(E138, '[2]Internal-logic'!G$1:I$364, 2, FALSE),"")</f>
        <v/>
      </c>
      <c r="G138" s="128" t="str">
        <f>IF(E138 &lt;&gt; "", VLOOKUP(E138, '[2]Internal-logic'!G$1:I$364, 3, FALSE),"")</f>
        <v/>
      </c>
      <c r="H138" s="128"/>
      <c r="I138" s="128"/>
      <c r="J138" s="128"/>
      <c r="K138" s="128"/>
      <c r="Q138" s="128"/>
      <c r="R138" s="128"/>
      <c r="S138" s="128"/>
      <c r="U138" s="128"/>
      <c r="X138" s="128"/>
      <c r="Y138" s="128"/>
      <c r="Z138" s="128"/>
      <c r="AA138" s="128"/>
      <c r="AB138" s="128"/>
      <c r="AC138" s="128"/>
      <c r="AD138" s="128"/>
      <c r="AE138" s="128"/>
      <c r="AF138" s="128"/>
      <c r="AG138" s="128"/>
      <c r="AI138" s="128"/>
      <c r="AJ138" s="128"/>
      <c r="AY138" s="128"/>
      <c r="BN138" s="128"/>
      <c r="BQ138" s="128"/>
      <c r="BR138" s="128"/>
      <c r="BT138" s="128"/>
      <c r="BV138" s="128"/>
      <c r="BX138" s="128"/>
      <c r="CU138" s="128"/>
      <c r="CW138" s="128"/>
      <c r="DN138" s="128"/>
      <c r="DP138" s="128"/>
      <c r="DR138" s="128"/>
      <c r="DV138" s="128"/>
      <c r="DX138" s="128"/>
      <c r="DY138" s="128"/>
      <c r="EA138" s="128"/>
      <c r="EB138" s="128"/>
      <c r="EC138" s="128"/>
      <c r="EG138" s="128"/>
      <c r="EL138" s="128"/>
      <c r="EM138" s="128"/>
      <c r="EO138" s="128"/>
      <c r="EQ138" s="128"/>
      <c r="ES138" s="128"/>
      <c r="EU138" s="128"/>
      <c r="EW138" s="128"/>
      <c r="EY138" s="128"/>
    </row>
    <row r="139" spans="3:155">
      <c r="C139" s="128"/>
      <c r="D139" s="128"/>
      <c r="E139" s="128"/>
      <c r="F139" s="128" t="str">
        <f>IF(E139 &lt;&gt; "", VLOOKUP(E139, '[2]Internal-logic'!G$1:I$364, 2, FALSE),"")</f>
        <v/>
      </c>
      <c r="G139" s="128" t="str">
        <f>IF(E139 &lt;&gt; "", VLOOKUP(E139, '[2]Internal-logic'!G$1:I$364, 3, FALSE),"")</f>
        <v/>
      </c>
      <c r="H139" s="128"/>
      <c r="I139" s="128"/>
      <c r="J139" s="128"/>
      <c r="K139" s="128"/>
      <c r="Q139" s="128"/>
      <c r="R139" s="128"/>
      <c r="S139" s="128"/>
      <c r="U139" s="128"/>
      <c r="X139" s="128"/>
      <c r="Y139" s="128"/>
      <c r="Z139" s="128"/>
      <c r="AA139" s="128"/>
      <c r="AB139" s="128"/>
      <c r="AC139" s="128"/>
      <c r="AD139" s="128"/>
      <c r="AE139" s="128"/>
      <c r="AF139" s="128"/>
      <c r="AG139" s="128"/>
      <c r="AI139" s="128"/>
      <c r="AJ139" s="128"/>
      <c r="AY139" s="128"/>
      <c r="BN139" s="128"/>
      <c r="BQ139" s="128"/>
      <c r="BR139" s="128"/>
      <c r="BT139" s="128"/>
      <c r="BV139" s="128"/>
      <c r="BX139" s="128"/>
      <c r="CU139" s="128"/>
      <c r="CW139" s="128"/>
      <c r="DN139" s="128"/>
      <c r="DP139" s="128"/>
      <c r="DR139" s="128"/>
      <c r="DV139" s="128"/>
      <c r="DX139" s="128"/>
      <c r="DY139" s="128"/>
      <c r="EA139" s="128"/>
      <c r="EB139" s="128"/>
      <c r="EC139" s="128"/>
      <c r="EG139" s="128"/>
      <c r="EL139" s="128"/>
      <c r="EM139" s="128"/>
      <c r="EO139" s="128"/>
      <c r="EQ139" s="128"/>
      <c r="ES139" s="128"/>
      <c r="EU139" s="128"/>
      <c r="EW139" s="128"/>
      <c r="EY139" s="128"/>
    </row>
    <row r="140" spans="3:155">
      <c r="C140" s="128"/>
      <c r="D140" s="128"/>
      <c r="E140" s="128"/>
      <c r="F140" s="128" t="str">
        <f>IF(E140 &lt;&gt; "", VLOOKUP(E140, '[2]Internal-logic'!G$1:I$364, 2, FALSE),"")</f>
        <v/>
      </c>
      <c r="G140" s="128" t="str">
        <f>IF(E140 &lt;&gt; "", VLOOKUP(E140, '[2]Internal-logic'!G$1:I$364, 3, FALSE),"")</f>
        <v/>
      </c>
      <c r="H140" s="128"/>
      <c r="I140" s="128"/>
      <c r="J140" s="128"/>
      <c r="K140" s="128"/>
      <c r="Q140" s="128"/>
      <c r="R140" s="128"/>
      <c r="S140" s="128"/>
      <c r="U140" s="128"/>
      <c r="X140" s="128"/>
      <c r="Y140" s="128"/>
      <c r="Z140" s="128"/>
      <c r="AA140" s="128"/>
      <c r="AB140" s="128"/>
      <c r="AC140" s="128"/>
      <c r="AD140" s="128"/>
      <c r="AE140" s="128"/>
      <c r="AF140" s="128"/>
      <c r="AG140" s="128"/>
      <c r="AI140" s="128"/>
      <c r="AJ140" s="128"/>
      <c r="AY140" s="128"/>
      <c r="BN140" s="128"/>
      <c r="BQ140" s="128"/>
      <c r="BR140" s="128"/>
      <c r="BT140" s="128"/>
      <c r="BV140" s="128"/>
      <c r="BX140" s="128"/>
      <c r="CU140" s="128"/>
      <c r="CW140" s="128"/>
      <c r="DN140" s="128"/>
      <c r="DP140" s="128"/>
      <c r="DR140" s="128"/>
      <c r="DV140" s="128"/>
      <c r="DX140" s="128"/>
      <c r="DY140" s="128"/>
      <c r="EA140" s="128"/>
      <c r="EB140" s="128"/>
      <c r="EC140" s="128"/>
      <c r="EG140" s="128"/>
      <c r="EL140" s="128"/>
      <c r="EM140" s="128"/>
      <c r="EO140" s="128"/>
      <c r="EQ140" s="128"/>
      <c r="ES140" s="128"/>
      <c r="EU140" s="128"/>
      <c r="EW140" s="128"/>
      <c r="EY140" s="128"/>
    </row>
    <row r="141" spans="3:155">
      <c r="C141" s="128"/>
      <c r="D141" s="128"/>
      <c r="E141" s="128"/>
      <c r="F141" s="128" t="str">
        <f>IF(E141 &lt;&gt; "", VLOOKUP(E141, '[2]Internal-logic'!G$1:I$364, 2, FALSE),"")</f>
        <v/>
      </c>
      <c r="G141" s="128" t="str">
        <f>IF(E141 &lt;&gt; "", VLOOKUP(E141, '[2]Internal-logic'!G$1:I$364, 3, FALSE),"")</f>
        <v/>
      </c>
      <c r="H141" s="128"/>
      <c r="I141" s="128"/>
      <c r="J141" s="128"/>
      <c r="K141" s="128"/>
      <c r="Q141" s="128"/>
      <c r="R141" s="128"/>
      <c r="S141" s="128"/>
      <c r="U141" s="128"/>
      <c r="X141" s="128"/>
      <c r="Y141" s="128"/>
      <c r="Z141" s="128"/>
      <c r="AA141" s="128"/>
      <c r="AB141" s="128"/>
      <c r="AC141" s="128"/>
      <c r="AD141" s="128"/>
      <c r="AE141" s="128"/>
      <c r="AF141" s="128"/>
      <c r="AG141" s="128"/>
      <c r="AI141" s="128"/>
      <c r="AJ141" s="128"/>
      <c r="AY141" s="128"/>
      <c r="BN141" s="128"/>
      <c r="BQ141" s="128"/>
      <c r="BR141" s="128"/>
      <c r="BT141" s="128"/>
      <c r="BV141" s="128"/>
      <c r="BX141" s="128"/>
      <c r="CU141" s="128"/>
      <c r="CW141" s="128"/>
      <c r="DN141" s="128"/>
      <c r="DP141" s="128"/>
      <c r="DR141" s="128"/>
      <c r="DV141" s="128"/>
      <c r="DX141" s="128"/>
      <c r="DY141" s="128"/>
      <c r="EA141" s="128"/>
      <c r="EB141" s="128"/>
      <c r="EC141" s="128"/>
      <c r="EG141" s="128"/>
      <c r="EL141" s="128"/>
      <c r="EM141" s="128"/>
      <c r="EO141" s="128"/>
      <c r="EQ141" s="128"/>
      <c r="ES141" s="128"/>
      <c r="EU141" s="128"/>
      <c r="EW141" s="128"/>
      <c r="EY141" s="128"/>
    </row>
    <row r="142" spans="3:155">
      <c r="C142" s="128"/>
      <c r="D142" s="128"/>
      <c r="E142" s="128"/>
      <c r="F142" s="128" t="str">
        <f>IF(E142 &lt;&gt; "", VLOOKUP(E142, '[2]Internal-logic'!G$1:I$364, 2, FALSE),"")</f>
        <v/>
      </c>
      <c r="G142" s="128" t="str">
        <f>IF(E142 &lt;&gt; "", VLOOKUP(E142, '[2]Internal-logic'!G$1:I$364, 3, FALSE),"")</f>
        <v/>
      </c>
      <c r="H142" s="128"/>
      <c r="I142" s="128"/>
      <c r="J142" s="128"/>
      <c r="K142" s="128"/>
      <c r="Q142" s="128"/>
      <c r="R142" s="128"/>
      <c r="S142" s="128"/>
      <c r="U142" s="128"/>
      <c r="X142" s="128"/>
      <c r="Y142" s="128"/>
      <c r="Z142" s="128"/>
      <c r="AA142" s="128"/>
      <c r="AB142" s="128"/>
      <c r="AC142" s="128"/>
      <c r="AD142" s="128"/>
      <c r="AE142" s="128"/>
      <c r="AF142" s="128"/>
      <c r="AG142" s="128"/>
      <c r="AI142" s="128"/>
      <c r="AJ142" s="128"/>
      <c r="AY142" s="128"/>
      <c r="BN142" s="128"/>
      <c r="BQ142" s="128"/>
      <c r="BR142" s="128"/>
      <c r="BT142" s="128"/>
      <c r="BV142" s="128"/>
      <c r="BX142" s="128"/>
      <c r="CU142" s="128"/>
      <c r="CW142" s="128"/>
      <c r="DN142" s="128"/>
      <c r="DP142" s="128"/>
      <c r="DR142" s="128"/>
      <c r="DV142" s="128"/>
      <c r="DX142" s="128"/>
      <c r="DY142" s="128"/>
      <c r="EA142" s="128"/>
      <c r="EB142" s="128"/>
      <c r="EC142" s="128"/>
      <c r="EG142" s="128"/>
      <c r="EL142" s="128"/>
      <c r="EM142" s="128"/>
      <c r="EO142" s="128"/>
      <c r="EQ142" s="128"/>
      <c r="ES142" s="128"/>
      <c r="EU142" s="128"/>
      <c r="EW142" s="128"/>
      <c r="EY142" s="128"/>
    </row>
    <row r="143" spans="3:155">
      <c r="C143" s="128"/>
      <c r="D143" s="128"/>
      <c r="E143" s="128"/>
      <c r="F143" s="128" t="str">
        <f>IF(E143 &lt;&gt; "", VLOOKUP(E143, '[2]Internal-logic'!G$1:I$364, 2, FALSE),"")</f>
        <v/>
      </c>
      <c r="G143" s="128" t="str">
        <f>IF(E143 &lt;&gt; "", VLOOKUP(E143, '[2]Internal-logic'!G$1:I$364, 3, FALSE),"")</f>
        <v/>
      </c>
      <c r="H143" s="128"/>
      <c r="I143" s="128"/>
      <c r="J143" s="128"/>
      <c r="K143" s="128"/>
      <c r="Q143" s="128"/>
      <c r="R143" s="128"/>
      <c r="S143" s="128"/>
      <c r="U143" s="128"/>
      <c r="X143" s="128"/>
      <c r="Y143" s="128"/>
      <c r="Z143" s="128"/>
      <c r="AA143" s="128"/>
      <c r="AB143" s="128"/>
      <c r="AC143" s="128"/>
      <c r="AD143" s="128"/>
      <c r="AE143" s="128"/>
      <c r="AF143" s="128"/>
      <c r="AG143" s="128"/>
      <c r="AI143" s="128"/>
      <c r="AJ143" s="128"/>
      <c r="AY143" s="128"/>
      <c r="BN143" s="128"/>
      <c r="BQ143" s="128"/>
      <c r="BR143" s="128"/>
      <c r="BT143" s="128"/>
      <c r="BV143" s="128"/>
      <c r="BX143" s="128"/>
      <c r="CU143" s="128"/>
      <c r="CW143" s="128"/>
      <c r="DN143" s="128"/>
      <c r="DP143" s="128"/>
      <c r="DR143" s="128"/>
      <c r="DV143" s="128"/>
      <c r="DX143" s="128"/>
      <c r="DY143" s="128"/>
      <c r="EA143" s="128"/>
      <c r="EB143" s="128"/>
      <c r="EC143" s="128"/>
      <c r="EG143" s="128"/>
      <c r="EL143" s="128"/>
      <c r="EM143" s="128"/>
      <c r="EO143" s="128"/>
      <c r="EQ143" s="128"/>
      <c r="ES143" s="128"/>
      <c r="EU143" s="128"/>
      <c r="EW143" s="128"/>
      <c r="EY143" s="128"/>
    </row>
    <row r="144" spans="3:155">
      <c r="C144" s="128"/>
      <c r="D144" s="128"/>
      <c r="E144" s="128"/>
      <c r="F144" s="128" t="str">
        <f>IF(E144 &lt;&gt; "", VLOOKUP(E144, '[2]Internal-logic'!G$1:I$364, 2, FALSE),"")</f>
        <v/>
      </c>
      <c r="G144" s="128" t="str">
        <f>IF(E144 &lt;&gt; "", VLOOKUP(E144, '[2]Internal-logic'!G$1:I$364, 3, FALSE),"")</f>
        <v/>
      </c>
      <c r="H144" s="128"/>
      <c r="I144" s="128"/>
      <c r="J144" s="128"/>
      <c r="K144" s="128"/>
      <c r="Q144" s="128"/>
      <c r="R144" s="128"/>
      <c r="S144" s="128"/>
      <c r="U144" s="128"/>
      <c r="X144" s="128"/>
      <c r="Y144" s="128"/>
      <c r="Z144" s="128"/>
      <c r="AA144" s="128"/>
      <c r="AB144" s="128"/>
      <c r="AC144" s="128"/>
      <c r="AD144" s="128"/>
      <c r="AE144" s="128"/>
      <c r="AF144" s="128"/>
      <c r="AG144" s="128"/>
      <c r="AI144" s="128"/>
      <c r="AJ144" s="128"/>
      <c r="AY144" s="128"/>
      <c r="BN144" s="128"/>
      <c r="BQ144" s="128"/>
      <c r="BR144" s="128"/>
      <c r="BT144" s="128"/>
      <c r="BV144" s="128"/>
      <c r="BX144" s="128"/>
      <c r="CU144" s="128"/>
      <c r="CW144" s="128"/>
      <c r="DN144" s="128"/>
      <c r="DP144" s="128"/>
      <c r="DR144" s="128"/>
      <c r="DV144" s="128"/>
      <c r="DX144" s="128"/>
      <c r="DY144" s="128"/>
      <c r="EA144" s="128"/>
      <c r="EB144" s="128"/>
      <c r="EC144" s="128"/>
      <c r="EG144" s="128"/>
      <c r="EL144" s="128"/>
      <c r="EM144" s="128"/>
      <c r="EO144" s="128"/>
      <c r="EQ144" s="128"/>
      <c r="ES144" s="128"/>
      <c r="EU144" s="128"/>
      <c r="EW144" s="128"/>
      <c r="EY144" s="128"/>
    </row>
    <row r="145" spans="3:155">
      <c r="C145" s="128"/>
      <c r="D145" s="128"/>
      <c r="E145" s="128"/>
      <c r="F145" s="128" t="str">
        <f>IF(E145 &lt;&gt; "", VLOOKUP(E145, '[2]Internal-logic'!G$1:I$364, 2, FALSE),"")</f>
        <v/>
      </c>
      <c r="G145" s="128" t="str">
        <f>IF(E145 &lt;&gt; "", VLOOKUP(E145, '[2]Internal-logic'!G$1:I$364, 3, FALSE),"")</f>
        <v/>
      </c>
      <c r="H145" s="128"/>
      <c r="I145" s="128"/>
      <c r="J145" s="128"/>
      <c r="K145" s="128"/>
      <c r="Q145" s="128"/>
      <c r="R145" s="128"/>
      <c r="S145" s="128"/>
      <c r="U145" s="128"/>
      <c r="X145" s="128"/>
      <c r="Y145" s="128"/>
      <c r="Z145" s="128"/>
      <c r="AA145" s="128"/>
      <c r="AB145" s="128"/>
      <c r="AC145" s="128"/>
      <c r="AD145" s="128"/>
      <c r="AE145" s="128"/>
      <c r="AF145" s="128"/>
      <c r="AG145" s="128"/>
      <c r="AI145" s="128"/>
      <c r="AJ145" s="128"/>
      <c r="AY145" s="128"/>
      <c r="BN145" s="128"/>
      <c r="BQ145" s="128"/>
      <c r="BR145" s="128"/>
      <c r="BT145" s="128"/>
      <c r="BV145" s="128"/>
      <c r="BX145" s="128"/>
      <c r="CU145" s="128"/>
      <c r="CW145" s="128"/>
      <c r="DN145" s="128"/>
      <c r="DP145" s="128"/>
      <c r="DR145" s="128"/>
      <c r="DV145" s="128"/>
      <c r="DX145" s="128"/>
      <c r="DY145" s="128"/>
      <c r="EA145" s="128"/>
      <c r="EB145" s="128"/>
      <c r="EC145" s="128"/>
      <c r="EG145" s="128"/>
      <c r="EL145" s="128"/>
      <c r="EM145" s="128"/>
      <c r="EO145" s="128"/>
      <c r="EQ145" s="128"/>
      <c r="ES145" s="128"/>
      <c r="EU145" s="128"/>
      <c r="EW145" s="128"/>
      <c r="EY145" s="128"/>
    </row>
    <row r="146" spans="3:155">
      <c r="C146" s="128"/>
      <c r="D146" s="128"/>
      <c r="E146" s="128"/>
      <c r="F146" s="128" t="str">
        <f>IF(E146 &lt;&gt; "", VLOOKUP(E146, '[2]Internal-logic'!G$1:I$364, 2, FALSE),"")</f>
        <v/>
      </c>
      <c r="G146" s="128" t="str">
        <f>IF(E146 &lt;&gt; "", VLOOKUP(E146, '[2]Internal-logic'!G$1:I$364, 3, FALSE),"")</f>
        <v/>
      </c>
      <c r="H146" s="128"/>
      <c r="I146" s="128"/>
      <c r="J146" s="128"/>
      <c r="K146" s="128"/>
      <c r="Q146" s="128"/>
      <c r="R146" s="128"/>
      <c r="S146" s="128"/>
      <c r="U146" s="128"/>
      <c r="X146" s="128"/>
      <c r="Y146" s="128"/>
      <c r="Z146" s="128"/>
      <c r="AA146" s="128"/>
      <c r="AB146" s="128"/>
      <c r="AC146" s="128"/>
      <c r="AD146" s="128"/>
      <c r="AE146" s="128"/>
      <c r="AF146" s="128"/>
      <c r="AG146" s="128"/>
      <c r="AI146" s="128"/>
      <c r="AJ146" s="128"/>
      <c r="AY146" s="128"/>
      <c r="BN146" s="128"/>
      <c r="BQ146" s="128"/>
      <c r="BR146" s="128"/>
      <c r="BT146" s="128"/>
      <c r="BV146" s="128"/>
      <c r="BX146" s="128"/>
      <c r="CU146" s="128"/>
      <c r="CW146" s="128"/>
      <c r="DN146" s="128"/>
      <c r="DP146" s="128"/>
      <c r="DR146" s="128"/>
      <c r="DV146" s="128"/>
      <c r="DX146" s="128"/>
      <c r="DY146" s="128"/>
      <c r="EA146" s="128"/>
      <c r="EB146" s="128"/>
      <c r="EC146" s="128"/>
      <c r="EG146" s="128"/>
      <c r="EL146" s="128"/>
      <c r="EM146" s="128"/>
      <c r="EO146" s="128"/>
      <c r="EQ146" s="128"/>
      <c r="ES146" s="128"/>
      <c r="EU146" s="128"/>
      <c r="EW146" s="128"/>
      <c r="EY146" s="128"/>
    </row>
    <row r="147" spans="3:155">
      <c r="C147" s="128"/>
      <c r="D147" s="128"/>
      <c r="E147" s="128"/>
      <c r="F147" s="128" t="str">
        <f>IF(E147 &lt;&gt; "", VLOOKUP(E147, '[2]Internal-logic'!G$1:I$364, 2, FALSE),"")</f>
        <v/>
      </c>
      <c r="G147" s="128" t="str">
        <f>IF(E147 &lt;&gt; "", VLOOKUP(E147, '[2]Internal-logic'!G$1:I$364, 3, FALSE),"")</f>
        <v/>
      </c>
      <c r="H147" s="128"/>
      <c r="I147" s="128"/>
      <c r="J147" s="128"/>
      <c r="K147" s="128"/>
      <c r="Q147" s="128"/>
      <c r="R147" s="128"/>
      <c r="S147" s="128"/>
      <c r="U147" s="128"/>
      <c r="X147" s="128"/>
      <c r="Y147" s="128"/>
      <c r="Z147" s="128"/>
      <c r="AA147" s="128"/>
      <c r="AB147" s="128"/>
      <c r="AC147" s="128"/>
      <c r="AD147" s="128"/>
      <c r="AE147" s="128"/>
      <c r="AF147" s="128"/>
      <c r="AG147" s="128"/>
      <c r="AI147" s="128"/>
      <c r="AJ147" s="128"/>
      <c r="AY147" s="128"/>
      <c r="BN147" s="128"/>
      <c r="BQ147" s="128"/>
      <c r="BR147" s="128"/>
      <c r="BT147" s="128"/>
      <c r="BV147" s="128"/>
      <c r="BX147" s="128"/>
      <c r="CU147" s="128"/>
      <c r="CW147" s="128"/>
      <c r="DN147" s="128"/>
      <c r="DP147" s="128"/>
      <c r="DR147" s="128"/>
      <c r="DV147" s="128"/>
      <c r="DX147" s="128"/>
      <c r="DY147" s="128"/>
      <c r="EA147" s="128"/>
      <c r="EB147" s="128"/>
      <c r="EC147" s="128"/>
      <c r="EG147" s="128"/>
      <c r="EL147" s="128"/>
      <c r="EM147" s="128"/>
      <c r="EO147" s="128"/>
      <c r="EQ147" s="128"/>
      <c r="ES147" s="128"/>
      <c r="EU147" s="128"/>
      <c r="EW147" s="128"/>
      <c r="EY147" s="128"/>
    </row>
    <row r="148" spans="3:155">
      <c r="C148" s="128"/>
      <c r="D148" s="128"/>
      <c r="E148" s="128"/>
      <c r="F148" s="128" t="str">
        <f>IF(E148 &lt;&gt; "", VLOOKUP(E148, '[2]Internal-logic'!G$1:I$364, 2, FALSE),"")</f>
        <v/>
      </c>
      <c r="G148" s="128" t="str">
        <f>IF(E148 &lt;&gt; "", VLOOKUP(E148, '[2]Internal-logic'!G$1:I$364, 3, FALSE),"")</f>
        <v/>
      </c>
      <c r="H148" s="128"/>
      <c r="I148" s="128"/>
      <c r="J148" s="128"/>
      <c r="K148" s="128"/>
      <c r="Q148" s="128"/>
      <c r="R148" s="128"/>
      <c r="S148" s="128"/>
      <c r="U148" s="128"/>
      <c r="X148" s="128"/>
      <c r="Y148" s="128"/>
      <c r="Z148" s="128"/>
      <c r="AA148" s="128"/>
      <c r="AB148" s="128"/>
      <c r="AC148" s="128"/>
      <c r="AD148" s="128"/>
      <c r="AE148" s="128"/>
      <c r="AF148" s="128"/>
      <c r="AG148" s="128"/>
      <c r="AI148" s="128"/>
      <c r="AJ148" s="128"/>
      <c r="AY148" s="128"/>
      <c r="BN148" s="128"/>
      <c r="BQ148" s="128"/>
      <c r="BR148" s="128"/>
      <c r="BT148" s="128"/>
      <c r="BV148" s="128"/>
      <c r="BX148" s="128"/>
      <c r="CU148" s="128"/>
      <c r="CW148" s="128"/>
      <c r="DN148" s="128"/>
      <c r="DP148" s="128"/>
      <c r="DR148" s="128"/>
      <c r="DV148" s="128"/>
      <c r="DX148" s="128"/>
      <c r="DY148" s="128"/>
      <c r="EA148" s="128"/>
      <c r="EB148" s="128"/>
      <c r="EC148" s="128"/>
      <c r="EG148" s="128"/>
      <c r="EL148" s="128"/>
      <c r="EM148" s="128"/>
      <c r="EO148" s="128"/>
      <c r="EQ148" s="128"/>
      <c r="ES148" s="128"/>
      <c r="EU148" s="128"/>
      <c r="EW148" s="128"/>
      <c r="EY148" s="128"/>
    </row>
    <row r="149" spans="3:155">
      <c r="C149" s="128"/>
      <c r="D149" s="128"/>
      <c r="E149" s="128"/>
      <c r="F149" s="128" t="str">
        <f>IF(E149 &lt;&gt; "", VLOOKUP(E149, '[2]Internal-logic'!G$1:I$364, 2, FALSE),"")</f>
        <v/>
      </c>
      <c r="G149" s="128" t="str">
        <f>IF(E149 &lt;&gt; "", VLOOKUP(E149, '[2]Internal-logic'!G$1:I$364, 3, FALSE),"")</f>
        <v/>
      </c>
      <c r="H149" s="128"/>
      <c r="I149" s="128"/>
      <c r="J149" s="128"/>
      <c r="K149" s="128"/>
      <c r="Q149" s="128"/>
      <c r="R149" s="128"/>
      <c r="S149" s="128"/>
      <c r="U149" s="128"/>
      <c r="X149" s="128"/>
      <c r="Y149" s="128"/>
      <c r="Z149" s="128"/>
      <c r="AA149" s="128"/>
      <c r="AB149" s="128"/>
      <c r="AC149" s="128"/>
      <c r="AD149" s="128"/>
      <c r="AE149" s="128"/>
      <c r="AF149" s="128"/>
      <c r="AG149" s="128"/>
      <c r="AI149" s="128"/>
      <c r="AJ149" s="128"/>
      <c r="AY149" s="128"/>
      <c r="BN149" s="128"/>
      <c r="BQ149" s="128"/>
      <c r="BR149" s="128"/>
      <c r="BT149" s="128"/>
      <c r="BV149" s="128"/>
      <c r="BX149" s="128"/>
      <c r="CU149" s="128"/>
      <c r="CW149" s="128"/>
      <c r="DN149" s="128"/>
      <c r="DP149" s="128"/>
      <c r="DR149" s="128"/>
      <c r="DV149" s="128"/>
      <c r="DX149" s="128"/>
      <c r="DY149" s="128"/>
      <c r="EA149" s="128"/>
      <c r="EB149" s="128"/>
      <c r="EC149" s="128"/>
      <c r="EG149" s="128"/>
      <c r="EL149" s="128"/>
      <c r="EM149" s="128"/>
      <c r="EO149" s="128"/>
      <c r="EQ149" s="128"/>
      <c r="ES149" s="128"/>
      <c r="EU149" s="128"/>
      <c r="EW149" s="128"/>
      <c r="EY149" s="128"/>
    </row>
    <row r="150" spans="3:155">
      <c r="C150" s="128"/>
      <c r="D150" s="128"/>
      <c r="E150" s="128"/>
      <c r="F150" s="128" t="str">
        <f>IF(E150 &lt;&gt; "", VLOOKUP(E150, '[2]Internal-logic'!G$1:I$364, 2, FALSE),"")</f>
        <v/>
      </c>
      <c r="G150" s="128" t="str">
        <f>IF(E150 &lt;&gt; "", VLOOKUP(E150, '[2]Internal-logic'!G$1:I$364, 3, FALSE),"")</f>
        <v/>
      </c>
      <c r="H150" s="128"/>
      <c r="I150" s="128"/>
      <c r="J150" s="128"/>
      <c r="K150" s="128"/>
      <c r="Q150" s="128"/>
      <c r="R150" s="128"/>
      <c r="S150" s="128"/>
      <c r="U150" s="128"/>
      <c r="X150" s="128"/>
      <c r="Y150" s="128"/>
      <c r="Z150" s="128"/>
      <c r="AA150" s="128"/>
      <c r="AB150" s="128"/>
      <c r="AC150" s="128"/>
      <c r="AD150" s="128"/>
      <c r="AE150" s="128"/>
      <c r="AF150" s="128"/>
      <c r="AG150" s="128"/>
      <c r="AI150" s="128"/>
      <c r="AJ150" s="128"/>
      <c r="AY150" s="128"/>
      <c r="BN150" s="128"/>
      <c r="BQ150" s="128"/>
      <c r="BR150" s="128"/>
      <c r="BT150" s="128"/>
      <c r="BV150" s="128"/>
      <c r="BX150" s="128"/>
      <c r="CU150" s="128"/>
      <c r="CW150" s="128"/>
      <c r="DN150" s="128"/>
      <c r="DP150" s="128"/>
      <c r="DR150" s="128"/>
      <c r="DV150" s="128"/>
      <c r="DX150" s="128"/>
      <c r="DY150" s="128"/>
      <c r="EA150" s="128"/>
      <c r="EB150" s="128"/>
      <c r="EC150" s="128"/>
      <c r="EG150" s="128"/>
      <c r="EL150" s="128"/>
      <c r="EM150" s="128"/>
      <c r="EO150" s="128"/>
      <c r="EQ150" s="128"/>
      <c r="ES150" s="128"/>
      <c r="EU150" s="128"/>
      <c r="EW150" s="128"/>
      <c r="EY150" s="128"/>
    </row>
    <row r="151" spans="3:155">
      <c r="C151" s="128"/>
      <c r="D151" s="128"/>
      <c r="E151" s="128"/>
      <c r="F151" s="128" t="str">
        <f>IF(E151 &lt;&gt; "", VLOOKUP(E151, '[2]Internal-logic'!G$1:I$364, 2, FALSE),"")</f>
        <v/>
      </c>
      <c r="G151" s="128" t="str">
        <f>IF(E151 &lt;&gt; "", VLOOKUP(E151, '[2]Internal-logic'!G$1:I$364, 3, FALSE),"")</f>
        <v/>
      </c>
      <c r="H151" s="128"/>
      <c r="I151" s="128"/>
      <c r="J151" s="128"/>
      <c r="K151" s="128"/>
      <c r="Q151" s="128"/>
      <c r="R151" s="128"/>
      <c r="S151" s="128"/>
      <c r="U151" s="128"/>
      <c r="X151" s="128"/>
      <c r="Y151" s="128"/>
      <c r="Z151" s="128"/>
      <c r="AA151" s="128"/>
      <c r="AB151" s="128"/>
      <c r="AC151" s="128"/>
      <c r="AD151" s="128"/>
      <c r="AE151" s="128"/>
      <c r="AF151" s="128"/>
      <c r="AG151" s="128"/>
      <c r="AI151" s="128"/>
      <c r="AJ151" s="128"/>
      <c r="AY151" s="128"/>
      <c r="BN151" s="128"/>
      <c r="BQ151" s="128"/>
      <c r="BR151" s="128"/>
      <c r="BT151" s="128"/>
      <c r="BV151" s="128"/>
      <c r="BX151" s="128"/>
      <c r="CU151" s="128"/>
      <c r="CW151" s="128"/>
      <c r="DN151" s="128"/>
      <c r="DP151" s="128"/>
      <c r="DR151" s="128"/>
      <c r="DV151" s="128"/>
      <c r="DX151" s="128"/>
      <c r="DY151" s="128"/>
      <c r="EA151" s="128"/>
      <c r="EB151" s="128"/>
      <c r="EC151" s="128"/>
      <c r="EG151" s="128"/>
      <c r="EL151" s="128"/>
      <c r="EM151" s="128"/>
      <c r="EO151" s="128"/>
      <c r="EQ151" s="128"/>
      <c r="ES151" s="128"/>
      <c r="EU151" s="128"/>
      <c r="EW151" s="128"/>
      <c r="EY151" s="128"/>
    </row>
    <row r="152" spans="3:155">
      <c r="C152" s="128"/>
      <c r="D152" s="128"/>
      <c r="E152" s="128"/>
      <c r="F152" s="128" t="str">
        <f>IF(E152 &lt;&gt; "", VLOOKUP(E152, '[2]Internal-logic'!G$1:I$364, 2, FALSE),"")</f>
        <v/>
      </c>
      <c r="G152" s="128" t="str">
        <f>IF(E152 &lt;&gt; "", VLOOKUP(E152, '[2]Internal-logic'!G$1:I$364, 3, FALSE),"")</f>
        <v/>
      </c>
      <c r="H152" s="128"/>
      <c r="I152" s="128"/>
      <c r="J152" s="128"/>
      <c r="K152" s="128"/>
      <c r="Q152" s="128"/>
      <c r="R152" s="128"/>
      <c r="S152" s="128"/>
      <c r="U152" s="128"/>
      <c r="X152" s="128"/>
      <c r="Y152" s="128"/>
      <c r="Z152" s="128"/>
      <c r="AA152" s="128"/>
      <c r="AB152" s="128"/>
      <c r="AC152" s="128"/>
      <c r="AD152" s="128"/>
      <c r="AE152" s="128"/>
      <c r="AF152" s="128"/>
      <c r="AG152" s="128"/>
      <c r="AI152" s="128"/>
      <c r="AJ152" s="128"/>
      <c r="AY152" s="128"/>
      <c r="BN152" s="128"/>
      <c r="BQ152" s="128"/>
      <c r="BR152" s="128"/>
      <c r="BT152" s="128"/>
      <c r="BV152" s="128"/>
      <c r="BX152" s="128"/>
      <c r="CU152" s="128"/>
      <c r="CW152" s="128"/>
      <c r="DN152" s="128"/>
      <c r="DP152" s="128"/>
      <c r="DR152" s="128"/>
      <c r="DV152" s="128"/>
      <c r="DX152" s="128"/>
      <c r="DY152" s="128"/>
      <c r="EA152" s="128"/>
      <c r="EB152" s="128"/>
      <c r="EC152" s="128"/>
      <c r="EG152" s="128"/>
      <c r="EL152" s="128"/>
      <c r="EM152" s="128"/>
      <c r="EO152" s="128"/>
      <c r="EQ152" s="128"/>
      <c r="ES152" s="128"/>
      <c r="EU152" s="128"/>
      <c r="EW152" s="128"/>
      <c r="EY152" s="128"/>
    </row>
    <row r="153" spans="3:155">
      <c r="C153" s="128"/>
      <c r="D153" s="128"/>
      <c r="E153" s="128"/>
      <c r="F153" s="128" t="str">
        <f>IF(E153 &lt;&gt; "", VLOOKUP(E153, '[2]Internal-logic'!G$1:I$364, 2, FALSE),"")</f>
        <v/>
      </c>
      <c r="G153" s="128" t="str">
        <f>IF(E153 &lt;&gt; "", VLOOKUP(E153, '[2]Internal-logic'!G$1:I$364, 3, FALSE),"")</f>
        <v/>
      </c>
      <c r="H153" s="128"/>
      <c r="I153" s="128"/>
      <c r="J153" s="128"/>
      <c r="K153" s="128"/>
      <c r="Q153" s="128"/>
      <c r="R153" s="128"/>
      <c r="S153" s="128"/>
      <c r="U153" s="128"/>
      <c r="X153" s="128"/>
      <c r="Y153" s="128"/>
      <c r="Z153" s="128"/>
      <c r="AA153" s="128"/>
      <c r="AB153" s="128"/>
      <c r="AC153" s="128"/>
      <c r="AD153" s="128"/>
      <c r="AE153" s="128"/>
      <c r="AF153" s="128"/>
      <c r="AG153" s="128"/>
      <c r="AI153" s="128"/>
      <c r="AJ153" s="128"/>
      <c r="AY153" s="128"/>
      <c r="BN153" s="128"/>
      <c r="BQ153" s="128"/>
      <c r="BR153" s="128"/>
      <c r="BT153" s="128"/>
      <c r="BV153" s="128"/>
      <c r="BX153" s="128"/>
      <c r="CU153" s="128"/>
      <c r="CW153" s="128"/>
      <c r="DN153" s="128"/>
      <c r="DP153" s="128"/>
      <c r="DR153" s="128"/>
      <c r="DV153" s="128"/>
      <c r="DX153" s="128"/>
      <c r="DY153" s="128"/>
      <c r="EA153" s="128"/>
      <c r="EB153" s="128"/>
      <c r="EC153" s="128"/>
      <c r="EG153" s="128"/>
      <c r="EL153" s="128"/>
      <c r="EM153" s="128"/>
      <c r="EO153" s="128"/>
      <c r="EQ153" s="128"/>
      <c r="ES153" s="128"/>
      <c r="EU153" s="128"/>
      <c r="EW153" s="128"/>
      <c r="EY153" s="128"/>
    </row>
    <row r="154" spans="3:155">
      <c r="C154" s="128"/>
      <c r="D154" s="128"/>
      <c r="E154" s="128"/>
      <c r="F154" s="128" t="str">
        <f>IF(E154 &lt;&gt; "", VLOOKUP(E154, '[2]Internal-logic'!G$1:I$364, 2, FALSE),"")</f>
        <v/>
      </c>
      <c r="G154" s="128" t="str">
        <f>IF(E154 &lt;&gt; "", VLOOKUP(E154, '[2]Internal-logic'!G$1:I$364, 3, FALSE),"")</f>
        <v/>
      </c>
      <c r="H154" s="128"/>
      <c r="I154" s="128"/>
      <c r="J154" s="128"/>
      <c r="K154" s="128"/>
      <c r="Q154" s="128"/>
      <c r="R154" s="128"/>
      <c r="S154" s="128"/>
      <c r="U154" s="128"/>
      <c r="X154" s="128"/>
      <c r="Y154" s="128"/>
      <c r="Z154" s="128"/>
      <c r="AA154" s="128"/>
      <c r="AB154" s="128"/>
      <c r="AC154" s="128"/>
      <c r="AD154" s="128"/>
      <c r="AE154" s="128"/>
      <c r="AF154" s="128"/>
      <c r="AG154" s="128"/>
      <c r="AI154" s="128"/>
      <c r="AJ154" s="128"/>
      <c r="AY154" s="128"/>
      <c r="BN154" s="128"/>
      <c r="BQ154" s="128"/>
      <c r="BR154" s="128"/>
      <c r="BT154" s="128"/>
      <c r="BV154" s="128"/>
      <c r="BX154" s="128"/>
      <c r="CU154" s="128"/>
      <c r="CW154" s="128"/>
      <c r="DN154" s="128"/>
      <c r="DP154" s="128"/>
      <c r="DR154" s="128"/>
      <c r="DV154" s="128"/>
      <c r="DX154" s="128"/>
      <c r="DY154" s="128"/>
      <c r="EA154" s="128"/>
      <c r="EB154" s="128"/>
      <c r="EC154" s="128"/>
      <c r="EG154" s="128"/>
      <c r="EL154" s="128"/>
      <c r="EM154" s="128"/>
      <c r="EO154" s="128"/>
      <c r="EQ154" s="128"/>
      <c r="ES154" s="128"/>
      <c r="EU154" s="128"/>
      <c r="EW154" s="128"/>
      <c r="EY154" s="128"/>
    </row>
    <row r="155" spans="3:155">
      <c r="C155" s="128"/>
      <c r="D155" s="128"/>
      <c r="E155" s="128"/>
      <c r="F155" s="128" t="str">
        <f>IF(E155 &lt;&gt; "", VLOOKUP(E155, '[2]Internal-logic'!G$1:I$364, 2, FALSE),"")</f>
        <v/>
      </c>
      <c r="G155" s="128" t="str">
        <f>IF(E155 &lt;&gt; "", VLOOKUP(E155, '[2]Internal-logic'!G$1:I$364, 3, FALSE),"")</f>
        <v/>
      </c>
      <c r="H155" s="128"/>
      <c r="I155" s="128"/>
      <c r="J155" s="128"/>
      <c r="K155" s="128"/>
      <c r="Q155" s="128"/>
      <c r="R155" s="128"/>
      <c r="S155" s="128"/>
      <c r="U155" s="128"/>
      <c r="X155" s="128"/>
      <c r="Y155" s="128"/>
      <c r="Z155" s="128"/>
      <c r="AA155" s="128"/>
      <c r="AB155" s="128"/>
      <c r="AC155" s="128"/>
      <c r="AD155" s="128"/>
      <c r="AE155" s="128"/>
      <c r="AF155" s="128"/>
      <c r="AG155" s="128"/>
      <c r="AI155" s="128"/>
      <c r="AJ155" s="128"/>
      <c r="AY155" s="128"/>
      <c r="BN155" s="128"/>
      <c r="BQ155" s="128"/>
      <c r="BR155" s="128"/>
      <c r="BT155" s="128"/>
      <c r="BV155" s="128"/>
      <c r="BX155" s="128"/>
      <c r="CU155" s="128"/>
      <c r="CW155" s="128"/>
      <c r="DN155" s="128"/>
      <c r="DP155" s="128"/>
      <c r="DR155" s="128"/>
      <c r="DV155" s="128"/>
      <c r="DX155" s="128"/>
      <c r="DY155" s="128"/>
      <c r="EA155" s="128"/>
      <c r="EB155" s="128"/>
      <c r="EC155" s="128"/>
      <c r="EG155" s="128"/>
      <c r="EL155" s="128"/>
      <c r="EM155" s="128"/>
      <c r="EO155" s="128"/>
      <c r="EQ155" s="128"/>
      <c r="ES155" s="128"/>
      <c r="EU155" s="128"/>
      <c r="EW155" s="128"/>
      <c r="EY155" s="128"/>
    </row>
    <row r="156" spans="3:155">
      <c r="C156" s="128"/>
      <c r="D156" s="128"/>
      <c r="E156" s="128"/>
      <c r="F156" s="128" t="str">
        <f>IF(E156 &lt;&gt; "", VLOOKUP(E156, '[2]Internal-logic'!G$1:I$364, 2, FALSE),"")</f>
        <v/>
      </c>
      <c r="G156" s="128" t="str">
        <f>IF(E156 &lt;&gt; "", VLOOKUP(E156, '[2]Internal-logic'!G$1:I$364, 3, FALSE),"")</f>
        <v/>
      </c>
      <c r="H156" s="128"/>
      <c r="I156" s="128"/>
      <c r="J156" s="128"/>
      <c r="K156" s="128"/>
      <c r="Q156" s="128"/>
      <c r="R156" s="128"/>
      <c r="S156" s="128"/>
      <c r="U156" s="128"/>
      <c r="X156" s="128"/>
      <c r="Y156" s="128"/>
      <c r="Z156" s="128"/>
      <c r="AA156" s="128"/>
      <c r="AB156" s="128"/>
      <c r="AC156" s="128"/>
      <c r="AD156" s="128"/>
      <c r="AE156" s="128"/>
      <c r="AF156" s="128"/>
      <c r="AG156" s="128"/>
      <c r="AI156" s="128"/>
      <c r="AJ156" s="128"/>
      <c r="AY156" s="128"/>
      <c r="BN156" s="128"/>
      <c r="BQ156" s="128"/>
      <c r="BR156" s="128"/>
      <c r="BT156" s="128"/>
      <c r="BV156" s="128"/>
      <c r="BX156" s="128"/>
      <c r="CU156" s="128"/>
      <c r="CW156" s="128"/>
      <c r="DN156" s="128"/>
      <c r="DP156" s="128"/>
      <c r="DR156" s="128"/>
      <c r="DV156" s="128"/>
      <c r="DX156" s="128"/>
      <c r="DY156" s="128"/>
      <c r="EA156" s="128"/>
      <c r="EB156" s="128"/>
      <c r="EC156" s="128"/>
      <c r="EG156" s="128"/>
      <c r="EL156" s="128"/>
      <c r="EM156" s="128"/>
      <c r="EO156" s="128"/>
      <c r="EQ156" s="128"/>
      <c r="ES156" s="128"/>
      <c r="EU156" s="128"/>
      <c r="EW156" s="128"/>
      <c r="EY156" s="128"/>
    </row>
    <row r="157" spans="3:155">
      <c r="C157" s="128"/>
      <c r="D157" s="128"/>
      <c r="E157" s="128"/>
      <c r="F157" s="128" t="str">
        <f>IF(E157 &lt;&gt; "", VLOOKUP(E157, '[2]Internal-logic'!G$1:I$364, 2, FALSE),"")</f>
        <v/>
      </c>
      <c r="G157" s="128" t="str">
        <f>IF(E157 &lt;&gt; "", VLOOKUP(E157, '[2]Internal-logic'!G$1:I$364, 3, FALSE),"")</f>
        <v/>
      </c>
      <c r="H157" s="128"/>
      <c r="I157" s="128"/>
      <c r="J157" s="128"/>
      <c r="K157" s="128"/>
      <c r="Q157" s="128"/>
      <c r="R157" s="128"/>
      <c r="S157" s="128"/>
      <c r="U157" s="128"/>
      <c r="X157" s="128"/>
      <c r="Y157" s="128"/>
      <c r="Z157" s="128"/>
      <c r="AA157" s="128"/>
      <c r="AB157" s="128"/>
      <c r="AC157" s="128"/>
      <c r="AD157" s="128"/>
      <c r="AE157" s="128"/>
      <c r="AF157" s="128"/>
      <c r="AG157" s="128"/>
      <c r="AI157" s="128"/>
      <c r="AJ157" s="128"/>
      <c r="AY157" s="128"/>
      <c r="BN157" s="128"/>
      <c r="BQ157" s="128"/>
      <c r="BR157" s="128"/>
      <c r="BT157" s="128"/>
      <c r="BV157" s="128"/>
      <c r="BX157" s="128"/>
      <c r="CU157" s="128"/>
      <c r="CW157" s="128"/>
      <c r="DN157" s="128"/>
      <c r="DP157" s="128"/>
      <c r="DR157" s="128"/>
      <c r="DV157" s="128"/>
      <c r="DX157" s="128"/>
      <c r="DY157" s="128"/>
      <c r="EA157" s="128"/>
      <c r="EB157" s="128"/>
      <c r="EC157" s="128"/>
      <c r="EG157" s="128"/>
      <c r="EL157" s="128"/>
      <c r="EM157" s="128"/>
      <c r="EO157" s="128"/>
      <c r="EQ157" s="128"/>
      <c r="ES157" s="128"/>
      <c r="EU157" s="128"/>
      <c r="EW157" s="128"/>
      <c r="EY157" s="128"/>
    </row>
    <row r="158" spans="3:155">
      <c r="C158" s="128"/>
      <c r="D158" s="128"/>
      <c r="E158" s="128"/>
      <c r="F158" s="128" t="str">
        <f>IF(E158 &lt;&gt; "", VLOOKUP(E158, '[2]Internal-logic'!G$1:I$364, 2, FALSE),"")</f>
        <v/>
      </c>
      <c r="G158" s="128" t="str">
        <f>IF(E158 &lt;&gt; "", VLOOKUP(E158, '[2]Internal-logic'!G$1:I$364, 3, FALSE),"")</f>
        <v/>
      </c>
      <c r="H158" s="128"/>
      <c r="I158" s="128"/>
      <c r="J158" s="128"/>
      <c r="K158" s="128"/>
      <c r="Q158" s="128"/>
      <c r="R158" s="128"/>
      <c r="S158" s="128"/>
      <c r="U158" s="128"/>
      <c r="X158" s="128"/>
      <c r="Y158" s="128"/>
      <c r="Z158" s="128"/>
      <c r="AA158" s="128"/>
      <c r="AB158" s="128"/>
      <c r="AC158" s="128"/>
      <c r="AD158" s="128"/>
      <c r="AE158" s="128"/>
      <c r="AF158" s="128"/>
      <c r="AG158" s="128"/>
      <c r="AI158" s="128"/>
      <c r="AJ158" s="128"/>
      <c r="AY158" s="128"/>
      <c r="BN158" s="128"/>
      <c r="BQ158" s="128"/>
      <c r="BR158" s="128"/>
      <c r="BT158" s="128"/>
      <c r="BV158" s="128"/>
      <c r="BX158" s="128"/>
      <c r="CU158" s="128"/>
      <c r="CW158" s="128"/>
      <c r="DN158" s="128"/>
      <c r="DP158" s="128"/>
      <c r="DR158" s="128"/>
      <c r="DV158" s="128"/>
      <c r="DX158" s="128"/>
      <c r="DY158" s="128"/>
      <c r="EA158" s="128"/>
      <c r="EB158" s="128"/>
      <c r="EC158" s="128"/>
      <c r="EG158" s="128"/>
      <c r="EL158" s="128"/>
      <c r="EM158" s="128"/>
      <c r="EO158" s="128"/>
      <c r="EQ158" s="128"/>
      <c r="ES158" s="128"/>
      <c r="EU158" s="128"/>
      <c r="EW158" s="128"/>
      <c r="EY158" s="128"/>
    </row>
    <row r="159" spans="3:155">
      <c r="C159" s="128"/>
      <c r="D159" s="128"/>
      <c r="E159" s="128"/>
      <c r="F159" s="128" t="str">
        <f>IF(E159 &lt;&gt; "", VLOOKUP(E159, '[2]Internal-logic'!G$1:I$364, 2, FALSE),"")</f>
        <v/>
      </c>
      <c r="G159" s="128" t="str">
        <f>IF(E159 &lt;&gt; "", VLOOKUP(E159, '[2]Internal-logic'!G$1:I$364, 3, FALSE),"")</f>
        <v/>
      </c>
      <c r="H159" s="128"/>
      <c r="I159" s="128"/>
      <c r="J159" s="128"/>
      <c r="K159" s="128"/>
      <c r="Q159" s="128"/>
      <c r="R159" s="128"/>
      <c r="S159" s="128"/>
      <c r="U159" s="128"/>
      <c r="X159" s="128"/>
      <c r="Y159" s="128"/>
      <c r="Z159" s="128"/>
      <c r="AA159" s="128"/>
      <c r="AB159" s="128"/>
      <c r="AC159" s="128"/>
      <c r="AD159" s="128"/>
      <c r="AE159" s="128"/>
      <c r="AF159" s="128"/>
      <c r="AG159" s="128"/>
      <c r="AI159" s="128"/>
      <c r="AJ159" s="128"/>
      <c r="AY159" s="128"/>
      <c r="BN159" s="128"/>
      <c r="BQ159" s="128"/>
      <c r="BR159" s="128"/>
      <c r="BT159" s="128"/>
      <c r="BV159" s="128"/>
      <c r="BX159" s="128"/>
      <c r="CU159" s="128"/>
      <c r="CW159" s="128"/>
      <c r="DN159" s="128"/>
      <c r="DP159" s="128"/>
      <c r="DR159" s="128"/>
      <c r="DV159" s="128"/>
      <c r="DX159" s="128"/>
      <c r="DY159" s="128"/>
      <c r="EA159" s="128"/>
      <c r="EB159" s="128"/>
      <c r="EC159" s="128"/>
      <c r="EG159" s="128"/>
      <c r="EL159" s="128"/>
      <c r="EM159" s="128"/>
      <c r="EO159" s="128"/>
      <c r="EQ159" s="128"/>
      <c r="ES159" s="128"/>
      <c r="EU159" s="128"/>
      <c r="EW159" s="128"/>
      <c r="EY159" s="128"/>
    </row>
    <row r="160" spans="3:155">
      <c r="C160" s="128"/>
      <c r="D160" s="128"/>
      <c r="E160" s="128"/>
      <c r="F160" s="128" t="str">
        <f>IF(E160 &lt;&gt; "", VLOOKUP(E160, '[2]Internal-logic'!G$1:I$364, 2, FALSE),"")</f>
        <v/>
      </c>
      <c r="G160" s="128" t="str">
        <f>IF(E160 &lt;&gt; "", VLOOKUP(E160, '[2]Internal-logic'!G$1:I$364, 3, FALSE),"")</f>
        <v/>
      </c>
      <c r="H160" s="128"/>
      <c r="I160" s="128"/>
      <c r="J160" s="128"/>
      <c r="K160" s="128"/>
      <c r="Q160" s="128"/>
      <c r="R160" s="128"/>
      <c r="S160" s="128"/>
      <c r="U160" s="128"/>
      <c r="X160" s="128"/>
      <c r="Y160" s="128"/>
      <c r="Z160" s="128"/>
      <c r="AA160" s="128"/>
      <c r="AB160" s="128"/>
      <c r="AC160" s="128"/>
      <c r="AD160" s="128"/>
      <c r="AE160" s="128"/>
      <c r="AF160" s="128"/>
      <c r="AG160" s="128"/>
      <c r="AI160" s="128"/>
      <c r="AJ160" s="128"/>
      <c r="AY160" s="128"/>
      <c r="BN160" s="128"/>
      <c r="BQ160" s="128"/>
      <c r="BR160" s="128"/>
      <c r="BT160" s="128"/>
      <c r="BV160" s="128"/>
      <c r="BX160" s="128"/>
      <c r="CU160" s="128"/>
      <c r="CW160" s="128"/>
      <c r="DN160" s="128"/>
      <c r="DP160" s="128"/>
      <c r="DR160" s="128"/>
      <c r="DV160" s="128"/>
      <c r="DX160" s="128"/>
      <c r="DY160" s="128"/>
      <c r="EA160" s="128"/>
      <c r="EB160" s="128"/>
      <c r="EC160" s="128"/>
      <c r="EG160" s="128"/>
      <c r="EL160" s="128"/>
      <c r="EM160" s="128"/>
      <c r="EO160" s="128"/>
      <c r="EQ160" s="128"/>
      <c r="ES160" s="128"/>
      <c r="EU160" s="128"/>
      <c r="EW160" s="128"/>
      <c r="EY160" s="128"/>
    </row>
    <row r="161" spans="3:155">
      <c r="C161" s="128"/>
      <c r="D161" s="128"/>
      <c r="E161" s="128"/>
      <c r="F161" s="128" t="str">
        <f>IF(E161 &lt;&gt; "", VLOOKUP(E161, '[2]Internal-logic'!G$1:I$364, 2, FALSE),"")</f>
        <v/>
      </c>
      <c r="G161" s="128" t="str">
        <f>IF(E161 &lt;&gt; "", VLOOKUP(E161, '[2]Internal-logic'!G$1:I$364, 3, FALSE),"")</f>
        <v/>
      </c>
      <c r="H161" s="128"/>
      <c r="I161" s="128"/>
      <c r="J161" s="128"/>
      <c r="K161" s="128"/>
      <c r="Q161" s="128"/>
      <c r="R161" s="128"/>
      <c r="S161" s="128"/>
      <c r="U161" s="128"/>
      <c r="X161" s="128"/>
      <c r="Y161" s="128"/>
      <c r="Z161" s="128"/>
      <c r="AA161" s="128"/>
      <c r="AB161" s="128"/>
      <c r="AC161" s="128"/>
      <c r="AD161" s="128"/>
      <c r="AE161" s="128"/>
      <c r="AF161" s="128"/>
      <c r="AG161" s="128"/>
      <c r="AI161" s="128"/>
      <c r="AJ161" s="128"/>
      <c r="AY161" s="128"/>
      <c r="BN161" s="128"/>
      <c r="BQ161" s="128"/>
      <c r="BR161" s="128"/>
      <c r="BT161" s="128"/>
      <c r="BV161" s="128"/>
      <c r="BX161" s="128"/>
      <c r="CU161" s="128"/>
      <c r="CW161" s="128"/>
      <c r="DN161" s="128"/>
      <c r="DP161" s="128"/>
      <c r="DR161" s="128"/>
      <c r="DV161" s="128"/>
      <c r="DX161" s="128"/>
      <c r="DY161" s="128"/>
      <c r="EA161" s="128"/>
      <c r="EB161" s="128"/>
      <c r="EC161" s="128"/>
      <c r="EG161" s="128"/>
      <c r="EL161" s="128"/>
      <c r="EM161" s="128"/>
      <c r="EO161" s="128"/>
      <c r="EQ161" s="128"/>
      <c r="ES161" s="128"/>
      <c r="EU161" s="128"/>
      <c r="EW161" s="128"/>
      <c r="EY161" s="128"/>
    </row>
    <row r="162" spans="3:155">
      <c r="C162" s="128"/>
      <c r="D162" s="128"/>
      <c r="E162" s="128"/>
      <c r="F162" s="128" t="str">
        <f>IF(E162 &lt;&gt; "", VLOOKUP(E162, '[2]Internal-logic'!G$1:I$364, 2, FALSE),"")</f>
        <v/>
      </c>
      <c r="G162" s="128" t="str">
        <f>IF(E162 &lt;&gt; "", VLOOKUP(E162, '[2]Internal-logic'!G$1:I$364, 3, FALSE),"")</f>
        <v/>
      </c>
      <c r="H162" s="128"/>
      <c r="I162" s="128"/>
      <c r="J162" s="128"/>
      <c r="K162" s="128"/>
      <c r="Q162" s="128"/>
      <c r="R162" s="128"/>
      <c r="S162" s="128"/>
      <c r="U162" s="128"/>
      <c r="X162" s="128"/>
      <c r="Y162" s="128"/>
      <c r="Z162" s="128"/>
      <c r="AA162" s="128"/>
      <c r="AB162" s="128"/>
      <c r="AC162" s="128"/>
      <c r="AD162" s="128"/>
      <c r="AE162" s="128"/>
      <c r="AF162" s="128"/>
      <c r="AG162" s="128"/>
      <c r="AI162" s="128"/>
      <c r="AJ162" s="128"/>
      <c r="AY162" s="128"/>
      <c r="BN162" s="128"/>
      <c r="BQ162" s="128"/>
      <c r="BR162" s="128"/>
      <c r="BT162" s="128"/>
      <c r="BV162" s="128"/>
      <c r="BX162" s="128"/>
      <c r="CU162" s="128"/>
      <c r="CW162" s="128"/>
      <c r="DN162" s="128"/>
      <c r="DP162" s="128"/>
      <c r="DR162" s="128"/>
      <c r="DV162" s="128"/>
      <c r="DX162" s="128"/>
      <c r="DY162" s="128"/>
      <c r="EA162" s="128"/>
      <c r="EB162" s="128"/>
      <c r="EC162" s="128"/>
      <c r="EG162" s="128"/>
      <c r="EL162" s="128"/>
      <c r="EM162" s="128"/>
      <c r="EO162" s="128"/>
      <c r="EQ162" s="128"/>
      <c r="ES162" s="128"/>
      <c r="EU162" s="128"/>
      <c r="EW162" s="128"/>
      <c r="EY162" s="128"/>
    </row>
    <row r="163" spans="3:155">
      <c r="C163" s="128"/>
      <c r="D163" s="128"/>
      <c r="E163" s="128"/>
      <c r="F163" s="128" t="str">
        <f>IF(E163 &lt;&gt; "", VLOOKUP(E163, '[2]Internal-logic'!G$1:I$364, 2, FALSE),"")</f>
        <v/>
      </c>
      <c r="G163" s="128" t="str">
        <f>IF(E163 &lt;&gt; "", VLOOKUP(E163, '[2]Internal-logic'!G$1:I$364, 3, FALSE),"")</f>
        <v/>
      </c>
      <c r="H163" s="128"/>
      <c r="I163" s="128"/>
      <c r="J163" s="128"/>
      <c r="K163" s="128"/>
      <c r="Q163" s="128"/>
      <c r="R163" s="128"/>
      <c r="S163" s="128"/>
      <c r="U163" s="128"/>
      <c r="X163" s="128"/>
      <c r="Y163" s="128"/>
      <c r="Z163" s="128"/>
      <c r="AA163" s="128"/>
      <c r="AB163" s="128"/>
      <c r="AC163" s="128"/>
      <c r="AD163" s="128"/>
      <c r="AE163" s="128"/>
      <c r="AF163" s="128"/>
      <c r="AG163" s="128"/>
      <c r="AI163" s="128"/>
      <c r="AJ163" s="128"/>
      <c r="AY163" s="128"/>
      <c r="BN163" s="128"/>
      <c r="BQ163" s="128"/>
      <c r="BR163" s="128"/>
      <c r="BT163" s="128"/>
      <c r="BV163" s="128"/>
      <c r="BX163" s="128"/>
      <c r="CU163" s="128"/>
      <c r="CW163" s="128"/>
      <c r="DN163" s="128"/>
      <c r="DP163" s="128"/>
      <c r="DR163" s="128"/>
      <c r="DV163" s="128"/>
      <c r="DX163" s="128"/>
      <c r="DY163" s="128"/>
      <c r="EA163" s="128"/>
      <c r="EB163" s="128"/>
      <c r="EC163" s="128"/>
      <c r="EG163" s="128"/>
      <c r="EL163" s="128"/>
      <c r="EM163" s="128"/>
      <c r="EO163" s="128"/>
      <c r="EQ163" s="128"/>
      <c r="ES163" s="128"/>
      <c r="EU163" s="128"/>
      <c r="EW163" s="128"/>
      <c r="EY163" s="128"/>
    </row>
    <row r="164" spans="3:155">
      <c r="C164" s="128"/>
      <c r="D164" s="128"/>
      <c r="E164" s="128"/>
      <c r="F164" s="128" t="str">
        <f>IF(E164 &lt;&gt; "", VLOOKUP(E164, '[2]Internal-logic'!G$1:I$364, 2, FALSE),"")</f>
        <v/>
      </c>
      <c r="G164" s="128" t="str">
        <f>IF(E164 &lt;&gt; "", VLOOKUP(E164, '[2]Internal-logic'!G$1:I$364, 3, FALSE),"")</f>
        <v/>
      </c>
      <c r="H164" s="128"/>
      <c r="I164" s="128"/>
      <c r="J164" s="128"/>
      <c r="K164" s="128"/>
      <c r="Q164" s="128"/>
      <c r="R164" s="128"/>
      <c r="S164" s="128"/>
      <c r="U164" s="128"/>
      <c r="X164" s="128"/>
      <c r="Y164" s="128"/>
      <c r="Z164" s="128"/>
      <c r="AA164" s="128"/>
      <c r="AB164" s="128"/>
      <c r="AC164" s="128"/>
      <c r="AD164" s="128"/>
      <c r="AE164" s="128"/>
      <c r="AF164" s="128"/>
      <c r="AG164" s="128"/>
      <c r="AI164" s="128"/>
      <c r="AJ164" s="128"/>
      <c r="AY164" s="128"/>
      <c r="BN164" s="128"/>
      <c r="BQ164" s="128"/>
      <c r="BR164" s="128"/>
      <c r="BT164" s="128"/>
      <c r="BV164" s="128"/>
      <c r="BX164" s="128"/>
      <c r="CU164" s="128"/>
      <c r="CW164" s="128"/>
      <c r="DN164" s="128"/>
      <c r="DP164" s="128"/>
      <c r="DR164" s="128"/>
      <c r="DV164" s="128"/>
      <c r="DX164" s="128"/>
      <c r="DY164" s="128"/>
      <c r="EA164" s="128"/>
      <c r="EB164" s="128"/>
      <c r="EC164" s="128"/>
      <c r="EG164" s="128"/>
      <c r="EL164" s="128"/>
      <c r="EM164" s="128"/>
      <c r="EO164" s="128"/>
      <c r="EQ164" s="128"/>
      <c r="ES164" s="128"/>
      <c r="EU164" s="128"/>
      <c r="EW164" s="128"/>
      <c r="EY164" s="128"/>
    </row>
    <row r="165" spans="3:155">
      <c r="C165" s="128"/>
      <c r="D165" s="128"/>
      <c r="E165" s="128"/>
      <c r="F165" s="128" t="str">
        <f>IF(E165 &lt;&gt; "", VLOOKUP(E165, '[2]Internal-logic'!G$1:I$364, 2, FALSE),"")</f>
        <v/>
      </c>
      <c r="G165" s="128" t="str">
        <f>IF(E165 &lt;&gt; "", VLOOKUP(E165, '[2]Internal-logic'!G$1:I$364, 3, FALSE),"")</f>
        <v/>
      </c>
      <c r="H165" s="128"/>
      <c r="I165" s="128"/>
      <c r="J165" s="128"/>
      <c r="K165" s="128"/>
      <c r="Q165" s="128"/>
      <c r="R165" s="128"/>
      <c r="S165" s="128"/>
      <c r="U165" s="128"/>
      <c r="X165" s="128"/>
      <c r="Y165" s="128"/>
      <c r="Z165" s="128"/>
      <c r="AA165" s="128"/>
      <c r="AB165" s="128"/>
      <c r="AC165" s="128"/>
      <c r="AD165" s="128"/>
      <c r="AE165" s="128"/>
      <c r="AF165" s="128"/>
      <c r="AG165" s="128"/>
      <c r="AI165" s="128"/>
      <c r="AJ165" s="128"/>
      <c r="AY165" s="128"/>
      <c r="BN165" s="128"/>
      <c r="BQ165" s="128"/>
      <c r="BR165" s="128"/>
      <c r="BT165" s="128"/>
      <c r="BV165" s="128"/>
      <c r="BX165" s="128"/>
      <c r="CU165" s="128"/>
      <c r="CW165" s="128"/>
      <c r="DN165" s="128"/>
      <c r="DP165" s="128"/>
      <c r="DR165" s="128"/>
      <c r="DV165" s="128"/>
      <c r="DX165" s="128"/>
      <c r="DY165" s="128"/>
      <c r="EA165" s="128"/>
      <c r="EB165" s="128"/>
      <c r="EC165" s="128"/>
      <c r="EG165" s="128"/>
      <c r="EL165" s="128"/>
      <c r="EM165" s="128"/>
      <c r="EO165" s="128"/>
      <c r="EQ165" s="128"/>
      <c r="ES165" s="128"/>
      <c r="EU165" s="128"/>
      <c r="EW165" s="128"/>
      <c r="EY165" s="128"/>
    </row>
    <row r="166" spans="3:155">
      <c r="C166" s="128"/>
      <c r="D166" s="128"/>
      <c r="E166" s="128"/>
      <c r="F166" s="128" t="str">
        <f>IF(E166 &lt;&gt; "", VLOOKUP(E166, '[2]Internal-logic'!G$1:I$364, 2, FALSE),"")</f>
        <v/>
      </c>
      <c r="G166" s="128" t="str">
        <f>IF(E166 &lt;&gt; "", VLOOKUP(E166, '[2]Internal-logic'!G$1:I$364, 3, FALSE),"")</f>
        <v/>
      </c>
      <c r="H166" s="128"/>
      <c r="I166" s="128"/>
      <c r="J166" s="128"/>
      <c r="K166" s="128"/>
      <c r="Q166" s="128"/>
      <c r="R166" s="128"/>
      <c r="S166" s="128"/>
      <c r="U166" s="128"/>
      <c r="X166" s="128"/>
      <c r="Y166" s="128"/>
      <c r="Z166" s="128"/>
      <c r="AA166" s="128"/>
      <c r="AB166" s="128"/>
      <c r="AC166" s="128"/>
      <c r="AD166" s="128"/>
      <c r="AE166" s="128"/>
      <c r="AF166" s="128"/>
      <c r="AG166" s="128"/>
      <c r="AI166" s="128"/>
      <c r="AJ166" s="128"/>
      <c r="AY166" s="128"/>
      <c r="BN166" s="128"/>
      <c r="BQ166" s="128"/>
      <c r="BR166" s="128"/>
      <c r="BT166" s="128"/>
      <c r="BV166" s="128"/>
      <c r="BX166" s="128"/>
      <c r="CU166" s="128"/>
      <c r="CW166" s="128"/>
      <c r="DN166" s="128"/>
      <c r="DP166" s="128"/>
      <c r="DR166" s="128"/>
      <c r="DV166" s="128"/>
      <c r="DX166" s="128"/>
      <c r="DY166" s="128"/>
      <c r="EA166" s="128"/>
      <c r="EB166" s="128"/>
      <c r="EC166" s="128"/>
      <c r="EG166" s="128"/>
      <c r="EL166" s="128"/>
      <c r="EM166" s="128"/>
      <c r="EO166" s="128"/>
      <c r="EQ166" s="128"/>
      <c r="ES166" s="128"/>
      <c r="EU166" s="128"/>
      <c r="EW166" s="128"/>
      <c r="EY166" s="128"/>
    </row>
    <row r="167" spans="3:155">
      <c r="C167" s="128"/>
      <c r="D167" s="128"/>
      <c r="E167" s="128"/>
      <c r="F167" s="128" t="str">
        <f>IF(E167 &lt;&gt; "", VLOOKUP(E167, '[2]Internal-logic'!G$1:I$364, 2, FALSE),"")</f>
        <v/>
      </c>
      <c r="G167" s="128" t="str">
        <f>IF(E167 &lt;&gt; "", VLOOKUP(E167, '[2]Internal-logic'!G$1:I$364, 3, FALSE),"")</f>
        <v/>
      </c>
      <c r="H167" s="128"/>
      <c r="I167" s="128"/>
      <c r="J167" s="128"/>
      <c r="K167" s="128"/>
      <c r="Q167" s="128"/>
      <c r="R167" s="128"/>
      <c r="S167" s="128"/>
      <c r="U167" s="128"/>
      <c r="X167" s="128"/>
      <c r="Y167" s="128"/>
      <c r="Z167" s="128"/>
      <c r="AA167" s="128"/>
      <c r="AB167" s="128"/>
      <c r="AC167" s="128"/>
      <c r="AD167" s="128"/>
      <c r="AE167" s="128"/>
      <c r="AF167" s="128"/>
      <c r="AG167" s="128"/>
      <c r="AI167" s="128"/>
      <c r="AJ167" s="128"/>
      <c r="AY167" s="128"/>
      <c r="BN167" s="128"/>
      <c r="BQ167" s="128"/>
      <c r="BR167" s="128"/>
      <c r="BT167" s="128"/>
      <c r="BV167" s="128"/>
      <c r="BX167" s="128"/>
      <c r="CU167" s="128"/>
      <c r="CW167" s="128"/>
      <c r="DN167" s="128"/>
      <c r="DP167" s="128"/>
      <c r="DR167" s="128"/>
      <c r="DV167" s="128"/>
      <c r="DX167" s="128"/>
      <c r="DY167" s="128"/>
      <c r="EA167" s="128"/>
      <c r="EB167" s="128"/>
      <c r="EC167" s="128"/>
      <c r="EG167" s="128"/>
      <c r="EL167" s="128"/>
      <c r="EM167" s="128"/>
      <c r="EO167" s="128"/>
      <c r="EQ167" s="128"/>
      <c r="ES167" s="128"/>
      <c r="EU167" s="128"/>
      <c r="EW167" s="128"/>
      <c r="EY167" s="128"/>
    </row>
    <row r="168" spans="3:155">
      <c r="C168" s="128"/>
      <c r="D168" s="128"/>
      <c r="E168" s="128"/>
      <c r="F168" s="128" t="str">
        <f>IF(E168 &lt;&gt; "", VLOOKUP(E168, '[2]Internal-logic'!G$1:I$364, 2, FALSE),"")</f>
        <v/>
      </c>
      <c r="G168" s="128" t="str">
        <f>IF(E168 &lt;&gt; "", VLOOKUP(E168, '[2]Internal-logic'!G$1:I$364, 3, FALSE),"")</f>
        <v/>
      </c>
      <c r="H168" s="128"/>
      <c r="I168" s="128"/>
      <c r="J168" s="128"/>
      <c r="K168" s="128"/>
      <c r="Q168" s="128"/>
      <c r="R168" s="128"/>
      <c r="S168" s="128"/>
      <c r="U168" s="128"/>
      <c r="X168" s="128"/>
      <c r="Y168" s="128"/>
      <c r="Z168" s="128"/>
      <c r="AA168" s="128"/>
      <c r="AB168" s="128"/>
      <c r="AC168" s="128"/>
      <c r="AD168" s="128"/>
      <c r="AE168" s="128"/>
      <c r="AF168" s="128"/>
      <c r="AG168" s="128"/>
      <c r="AI168" s="128"/>
      <c r="AJ168" s="128"/>
      <c r="AY168" s="128"/>
      <c r="BN168" s="128"/>
      <c r="BQ168" s="128"/>
      <c r="BR168" s="128"/>
      <c r="BT168" s="128"/>
      <c r="BV168" s="128"/>
      <c r="BX168" s="128"/>
      <c r="CU168" s="128"/>
      <c r="CW168" s="128"/>
      <c r="DN168" s="128"/>
      <c r="DP168" s="128"/>
      <c r="DR168" s="128"/>
      <c r="DV168" s="128"/>
      <c r="DX168" s="128"/>
      <c r="DY168" s="128"/>
      <c r="EA168" s="128"/>
      <c r="EB168" s="128"/>
      <c r="EC168" s="128"/>
      <c r="EG168" s="128"/>
      <c r="EL168" s="128"/>
      <c r="EM168" s="128"/>
      <c r="EO168" s="128"/>
      <c r="EQ168" s="128"/>
      <c r="ES168" s="128"/>
      <c r="EU168" s="128"/>
      <c r="EW168" s="128"/>
      <c r="EY168" s="128"/>
    </row>
    <row r="169" spans="3:155">
      <c r="C169" s="128"/>
      <c r="D169" s="128"/>
      <c r="E169" s="128"/>
      <c r="F169" s="128" t="str">
        <f>IF(E169 &lt;&gt; "", VLOOKUP(E169, '[2]Internal-logic'!G$1:I$364, 2, FALSE),"")</f>
        <v/>
      </c>
      <c r="G169" s="128" t="str">
        <f>IF(E169 &lt;&gt; "", VLOOKUP(E169, '[2]Internal-logic'!G$1:I$364, 3, FALSE),"")</f>
        <v/>
      </c>
      <c r="H169" s="128"/>
      <c r="I169" s="128"/>
      <c r="J169" s="128"/>
      <c r="K169" s="128"/>
      <c r="Q169" s="128"/>
      <c r="R169" s="128"/>
      <c r="S169" s="128"/>
      <c r="U169" s="128"/>
      <c r="X169" s="128"/>
      <c r="Y169" s="128"/>
      <c r="Z169" s="128"/>
      <c r="AA169" s="128"/>
      <c r="AB169" s="128"/>
      <c r="AC169" s="128"/>
      <c r="AD169" s="128"/>
      <c r="AE169" s="128"/>
      <c r="AF169" s="128"/>
      <c r="AG169" s="128"/>
      <c r="AI169" s="128"/>
      <c r="AJ169" s="128"/>
      <c r="AY169" s="128"/>
      <c r="BN169" s="128"/>
      <c r="BQ169" s="128"/>
      <c r="BR169" s="128"/>
      <c r="BT169" s="128"/>
      <c r="BV169" s="128"/>
      <c r="BX169" s="128"/>
      <c r="CU169" s="128"/>
      <c r="CW169" s="128"/>
      <c r="DN169" s="128"/>
      <c r="DP169" s="128"/>
      <c r="DR169" s="128"/>
      <c r="DV169" s="128"/>
      <c r="DX169" s="128"/>
      <c r="DY169" s="128"/>
      <c r="EA169" s="128"/>
      <c r="EB169" s="128"/>
      <c r="EC169" s="128"/>
      <c r="EG169" s="128"/>
      <c r="EL169" s="128"/>
      <c r="EM169" s="128"/>
      <c r="EO169" s="128"/>
      <c r="EQ169" s="128"/>
      <c r="ES169" s="128"/>
      <c r="EU169" s="128"/>
      <c r="EW169" s="128"/>
      <c r="EY169" s="128"/>
    </row>
    <row r="170" spans="3:155">
      <c r="C170" s="128"/>
      <c r="D170" s="128"/>
      <c r="E170" s="128"/>
      <c r="F170" s="128" t="str">
        <f>IF(E170 &lt;&gt; "", VLOOKUP(E170, '[2]Internal-logic'!G$1:I$364, 2, FALSE),"")</f>
        <v/>
      </c>
      <c r="G170" s="128" t="str">
        <f>IF(E170 &lt;&gt; "", VLOOKUP(E170, '[2]Internal-logic'!G$1:I$364, 3, FALSE),"")</f>
        <v/>
      </c>
      <c r="H170" s="128"/>
      <c r="I170" s="128"/>
      <c r="J170" s="128"/>
      <c r="K170" s="128"/>
      <c r="Q170" s="128"/>
      <c r="R170" s="128"/>
      <c r="S170" s="128"/>
      <c r="U170" s="128"/>
      <c r="X170" s="128"/>
      <c r="Y170" s="128"/>
      <c r="Z170" s="128"/>
      <c r="AA170" s="128"/>
      <c r="AB170" s="128"/>
      <c r="AC170" s="128"/>
      <c r="AD170" s="128"/>
      <c r="AE170" s="128"/>
      <c r="AF170" s="128"/>
      <c r="AG170" s="128"/>
      <c r="AI170" s="128"/>
      <c r="AJ170" s="128"/>
      <c r="AY170" s="128"/>
      <c r="BN170" s="128"/>
      <c r="BQ170" s="128"/>
      <c r="BR170" s="128"/>
      <c r="BT170" s="128"/>
      <c r="BV170" s="128"/>
      <c r="BX170" s="128"/>
      <c r="CU170" s="128"/>
      <c r="CW170" s="128"/>
      <c r="DN170" s="128"/>
      <c r="DP170" s="128"/>
      <c r="DR170" s="128"/>
      <c r="DV170" s="128"/>
      <c r="DX170" s="128"/>
      <c r="DY170" s="128"/>
      <c r="EA170" s="128"/>
      <c r="EB170" s="128"/>
      <c r="EC170" s="128"/>
      <c r="EG170" s="128"/>
      <c r="EL170" s="128"/>
      <c r="EM170" s="128"/>
      <c r="EO170" s="128"/>
      <c r="EQ170" s="128"/>
      <c r="ES170" s="128"/>
      <c r="EU170" s="128"/>
      <c r="EW170" s="128"/>
      <c r="EY170" s="128"/>
    </row>
    <row r="171" spans="3:155">
      <c r="C171" s="128"/>
      <c r="D171" s="128"/>
      <c r="E171" s="128"/>
      <c r="F171" s="128" t="str">
        <f>IF(E171 &lt;&gt; "", VLOOKUP(E171, '[2]Internal-logic'!G$1:I$364, 2, FALSE),"")</f>
        <v/>
      </c>
      <c r="G171" s="128" t="str">
        <f>IF(E171 &lt;&gt; "", VLOOKUP(E171, '[2]Internal-logic'!G$1:I$364, 3, FALSE),"")</f>
        <v/>
      </c>
      <c r="H171" s="128"/>
      <c r="I171" s="128"/>
      <c r="J171" s="128"/>
      <c r="K171" s="128"/>
      <c r="Q171" s="128"/>
      <c r="R171" s="128"/>
      <c r="S171" s="128"/>
      <c r="U171" s="128"/>
      <c r="X171" s="128"/>
      <c r="Y171" s="128"/>
      <c r="Z171" s="128"/>
      <c r="AA171" s="128"/>
      <c r="AB171" s="128"/>
      <c r="AC171" s="128"/>
      <c r="AD171" s="128"/>
      <c r="AE171" s="128"/>
      <c r="AF171" s="128"/>
      <c r="AG171" s="128"/>
      <c r="AI171" s="128"/>
      <c r="AJ171" s="128"/>
      <c r="AY171" s="128"/>
      <c r="BN171" s="128"/>
      <c r="BQ171" s="128"/>
      <c r="BR171" s="128"/>
      <c r="BT171" s="128"/>
      <c r="BV171" s="128"/>
      <c r="BX171" s="128"/>
      <c r="CU171" s="128"/>
      <c r="CW171" s="128"/>
      <c r="DN171" s="128"/>
      <c r="DP171" s="128"/>
      <c r="DR171" s="128"/>
      <c r="DV171" s="128"/>
      <c r="DX171" s="128"/>
      <c r="DY171" s="128"/>
      <c r="EA171" s="128"/>
      <c r="EB171" s="128"/>
      <c r="EC171" s="128"/>
      <c r="EG171" s="128"/>
      <c r="EL171" s="128"/>
      <c r="EM171" s="128"/>
      <c r="EO171" s="128"/>
      <c r="EQ171" s="128"/>
      <c r="ES171" s="128"/>
      <c r="EU171" s="128"/>
      <c r="EW171" s="128"/>
      <c r="EY171" s="128"/>
    </row>
    <row r="172" spans="3:155">
      <c r="C172" s="128"/>
      <c r="D172" s="128"/>
      <c r="E172" s="128"/>
      <c r="F172" s="128" t="str">
        <f>IF(E172 &lt;&gt; "", VLOOKUP(E172, '[2]Internal-logic'!G$1:I$364, 2, FALSE),"")</f>
        <v/>
      </c>
      <c r="G172" s="128" t="str">
        <f>IF(E172 &lt;&gt; "", VLOOKUP(E172, '[2]Internal-logic'!G$1:I$364, 3, FALSE),"")</f>
        <v/>
      </c>
      <c r="H172" s="128"/>
      <c r="I172" s="128"/>
      <c r="J172" s="128"/>
      <c r="K172" s="128"/>
      <c r="Q172" s="128"/>
      <c r="R172" s="128"/>
      <c r="S172" s="128"/>
      <c r="U172" s="128"/>
      <c r="X172" s="128"/>
      <c r="Y172" s="128"/>
      <c r="Z172" s="128"/>
      <c r="AA172" s="128"/>
      <c r="AB172" s="128"/>
      <c r="AC172" s="128"/>
      <c r="AD172" s="128"/>
      <c r="AE172" s="128"/>
      <c r="AF172" s="128"/>
      <c r="AG172" s="128"/>
      <c r="AI172" s="128"/>
      <c r="AJ172" s="128"/>
      <c r="AY172" s="128"/>
      <c r="BN172" s="128"/>
      <c r="BQ172" s="128"/>
      <c r="BR172" s="128"/>
      <c r="BT172" s="128"/>
      <c r="BV172" s="128"/>
      <c r="BX172" s="128"/>
      <c r="CU172" s="128"/>
      <c r="CW172" s="128"/>
      <c r="DN172" s="128"/>
      <c r="DP172" s="128"/>
      <c r="DR172" s="128"/>
      <c r="DV172" s="128"/>
      <c r="DX172" s="128"/>
      <c r="DY172" s="128"/>
      <c r="EA172" s="128"/>
      <c r="EB172" s="128"/>
      <c r="EC172" s="128"/>
      <c r="EG172" s="128"/>
      <c r="EL172" s="128"/>
      <c r="EM172" s="128"/>
      <c r="EO172" s="128"/>
      <c r="EQ172" s="128"/>
      <c r="ES172" s="128"/>
      <c r="EU172" s="128"/>
      <c r="EW172" s="128"/>
      <c r="EY172" s="128"/>
    </row>
    <row r="173" spans="3:155">
      <c r="C173" s="128"/>
      <c r="D173" s="128"/>
      <c r="E173" s="128"/>
      <c r="F173" s="128" t="str">
        <f>IF(E173 &lt;&gt; "", VLOOKUP(E173, '[2]Internal-logic'!G$1:I$364, 2, FALSE),"")</f>
        <v/>
      </c>
      <c r="G173" s="128" t="str">
        <f>IF(E173 &lt;&gt; "", VLOOKUP(E173, '[2]Internal-logic'!G$1:I$364, 3, FALSE),"")</f>
        <v/>
      </c>
      <c r="H173" s="128"/>
      <c r="I173" s="128"/>
      <c r="J173" s="128"/>
      <c r="K173" s="128"/>
      <c r="Q173" s="128"/>
      <c r="R173" s="128"/>
      <c r="S173" s="128"/>
      <c r="U173" s="128"/>
      <c r="X173" s="128"/>
      <c r="Y173" s="128"/>
      <c r="Z173" s="128"/>
      <c r="AA173" s="128"/>
      <c r="AB173" s="128"/>
      <c r="AC173" s="128"/>
      <c r="AD173" s="128"/>
      <c r="AE173" s="128"/>
      <c r="AF173" s="128"/>
      <c r="AG173" s="128"/>
      <c r="AI173" s="128"/>
      <c r="AJ173" s="128"/>
      <c r="AY173" s="128"/>
      <c r="BN173" s="128"/>
      <c r="BQ173" s="128"/>
      <c r="BR173" s="128"/>
      <c r="BT173" s="128"/>
      <c r="BV173" s="128"/>
      <c r="BX173" s="128"/>
      <c r="CU173" s="128"/>
      <c r="CW173" s="128"/>
      <c r="DN173" s="128"/>
      <c r="DP173" s="128"/>
      <c r="DR173" s="128"/>
      <c r="DV173" s="128"/>
      <c r="DX173" s="128"/>
      <c r="DY173" s="128"/>
      <c r="EA173" s="128"/>
      <c r="EB173" s="128"/>
      <c r="EC173" s="128"/>
      <c r="EG173" s="128"/>
      <c r="EL173" s="128"/>
      <c r="EM173" s="128"/>
      <c r="EO173" s="128"/>
      <c r="EQ173" s="128"/>
      <c r="ES173" s="128"/>
      <c r="EU173" s="128"/>
      <c r="EW173" s="128"/>
      <c r="EY173" s="128"/>
    </row>
    <row r="174" spans="3:155">
      <c r="C174" s="128"/>
      <c r="D174" s="128"/>
      <c r="E174" s="128"/>
      <c r="F174" s="128" t="str">
        <f>IF(E174 &lt;&gt; "", VLOOKUP(E174, '[2]Internal-logic'!G$1:I$364, 2, FALSE),"")</f>
        <v/>
      </c>
      <c r="G174" s="128" t="str">
        <f>IF(E174 &lt;&gt; "", VLOOKUP(E174, '[2]Internal-logic'!G$1:I$364, 3, FALSE),"")</f>
        <v/>
      </c>
      <c r="H174" s="128"/>
      <c r="I174" s="128"/>
      <c r="J174" s="128"/>
      <c r="K174" s="128"/>
      <c r="Q174" s="128"/>
      <c r="R174" s="128"/>
      <c r="S174" s="128"/>
      <c r="U174" s="128"/>
      <c r="X174" s="128"/>
      <c r="Y174" s="128"/>
      <c r="Z174" s="128"/>
      <c r="AA174" s="128"/>
      <c r="AB174" s="128"/>
      <c r="AC174" s="128"/>
      <c r="AD174" s="128"/>
      <c r="AE174" s="128"/>
      <c r="AF174" s="128"/>
      <c r="AG174" s="128"/>
      <c r="AI174" s="128"/>
      <c r="AJ174" s="128"/>
      <c r="AY174" s="128"/>
      <c r="BN174" s="128"/>
      <c r="BQ174" s="128"/>
      <c r="BR174" s="128"/>
      <c r="BT174" s="128"/>
      <c r="BV174" s="128"/>
      <c r="BX174" s="128"/>
      <c r="CU174" s="128"/>
      <c r="CW174" s="128"/>
      <c r="DN174" s="128"/>
      <c r="DP174" s="128"/>
      <c r="DR174" s="128"/>
      <c r="DV174" s="128"/>
      <c r="DX174" s="128"/>
      <c r="DY174" s="128"/>
      <c r="EA174" s="128"/>
      <c r="EB174" s="128"/>
      <c r="EC174" s="128"/>
      <c r="EG174" s="128"/>
      <c r="EL174" s="128"/>
      <c r="EM174" s="128"/>
      <c r="EO174" s="128"/>
      <c r="EQ174" s="128"/>
      <c r="ES174" s="128"/>
      <c r="EU174" s="128"/>
      <c r="EW174" s="128"/>
      <c r="EY174" s="128"/>
    </row>
    <row r="175" spans="3:155">
      <c r="C175" s="128"/>
      <c r="D175" s="128"/>
      <c r="E175" s="128"/>
      <c r="F175" s="128" t="str">
        <f>IF(E175 &lt;&gt; "", VLOOKUP(E175, '[2]Internal-logic'!G$1:I$364, 2, FALSE),"")</f>
        <v/>
      </c>
      <c r="G175" s="128" t="str">
        <f>IF(E175 &lt;&gt; "", VLOOKUP(E175, '[2]Internal-logic'!G$1:I$364, 3, FALSE),"")</f>
        <v/>
      </c>
      <c r="H175" s="128"/>
      <c r="I175" s="128"/>
      <c r="J175" s="128"/>
      <c r="K175" s="128"/>
      <c r="Q175" s="128"/>
      <c r="R175" s="128"/>
      <c r="S175" s="128"/>
      <c r="U175" s="128"/>
      <c r="X175" s="128"/>
      <c r="Y175" s="128"/>
      <c r="Z175" s="128"/>
      <c r="AA175" s="128"/>
      <c r="AB175" s="128"/>
      <c r="AC175" s="128"/>
      <c r="AD175" s="128"/>
      <c r="AE175" s="128"/>
      <c r="AF175" s="128"/>
      <c r="AG175" s="128"/>
      <c r="AI175" s="128"/>
      <c r="AJ175" s="128"/>
      <c r="AY175" s="128"/>
      <c r="BN175" s="128"/>
      <c r="BQ175" s="128"/>
      <c r="BR175" s="128"/>
      <c r="BT175" s="128"/>
      <c r="BV175" s="128"/>
      <c r="BX175" s="128"/>
      <c r="CU175" s="128"/>
      <c r="CW175" s="128"/>
      <c r="DN175" s="128"/>
      <c r="DP175" s="128"/>
      <c r="DR175" s="128"/>
      <c r="DV175" s="128"/>
      <c r="DX175" s="128"/>
      <c r="DY175" s="128"/>
      <c r="EA175" s="128"/>
      <c r="EB175" s="128"/>
      <c r="EC175" s="128"/>
      <c r="EG175" s="128"/>
      <c r="EL175" s="128"/>
      <c r="EM175" s="128"/>
      <c r="EO175" s="128"/>
      <c r="EQ175" s="128"/>
      <c r="ES175" s="128"/>
      <c r="EU175" s="128"/>
      <c r="EW175" s="128"/>
      <c r="EY175" s="128"/>
    </row>
    <row r="176" spans="3:155">
      <c r="C176" s="128"/>
      <c r="D176" s="128"/>
      <c r="E176" s="128"/>
      <c r="F176" s="128" t="str">
        <f>IF(E176 &lt;&gt; "", VLOOKUP(E176, '[2]Internal-logic'!G$1:I$364, 2, FALSE),"")</f>
        <v/>
      </c>
      <c r="G176" s="128" t="str">
        <f>IF(E176 &lt;&gt; "", VLOOKUP(E176, '[2]Internal-logic'!G$1:I$364, 3, FALSE),"")</f>
        <v/>
      </c>
      <c r="H176" s="128"/>
      <c r="I176" s="128"/>
      <c r="J176" s="128"/>
      <c r="K176" s="128"/>
      <c r="Q176" s="128"/>
      <c r="R176" s="128"/>
      <c r="S176" s="128"/>
      <c r="U176" s="128"/>
      <c r="X176" s="128"/>
      <c r="Y176" s="128"/>
      <c r="Z176" s="128"/>
      <c r="AA176" s="128"/>
      <c r="AB176" s="128"/>
      <c r="AC176" s="128"/>
      <c r="AD176" s="128"/>
      <c r="AE176" s="128"/>
      <c r="AF176" s="128"/>
      <c r="AG176" s="128"/>
      <c r="AI176" s="128"/>
      <c r="AJ176" s="128"/>
      <c r="AY176" s="128"/>
      <c r="BN176" s="128"/>
      <c r="BQ176" s="128"/>
      <c r="BR176" s="128"/>
      <c r="BT176" s="128"/>
      <c r="BV176" s="128"/>
      <c r="BX176" s="128"/>
      <c r="CU176" s="128"/>
      <c r="CW176" s="128"/>
      <c r="DN176" s="128"/>
      <c r="DP176" s="128"/>
      <c r="DR176" s="128"/>
      <c r="DV176" s="128"/>
      <c r="DX176" s="128"/>
      <c r="DY176" s="128"/>
      <c r="EA176" s="128"/>
      <c r="EB176" s="128"/>
      <c r="EC176" s="128"/>
      <c r="EG176" s="128"/>
      <c r="EL176" s="128"/>
      <c r="EM176" s="128"/>
      <c r="EO176" s="128"/>
      <c r="EQ176" s="128"/>
      <c r="ES176" s="128"/>
      <c r="EU176" s="128"/>
      <c r="EW176" s="128"/>
      <c r="EY176" s="128"/>
    </row>
    <row r="177" spans="3:155">
      <c r="C177" s="128"/>
      <c r="D177" s="128"/>
      <c r="E177" s="128"/>
      <c r="F177" s="128" t="str">
        <f>IF(E177 &lt;&gt; "", VLOOKUP(E177, '[2]Internal-logic'!G$1:I$364, 2, FALSE),"")</f>
        <v/>
      </c>
      <c r="G177" s="128" t="str">
        <f>IF(E177 &lt;&gt; "", VLOOKUP(E177, '[2]Internal-logic'!G$1:I$364, 3, FALSE),"")</f>
        <v/>
      </c>
      <c r="H177" s="128"/>
      <c r="I177" s="128"/>
      <c r="J177" s="128"/>
      <c r="K177" s="128"/>
      <c r="Q177" s="128"/>
      <c r="R177" s="128"/>
      <c r="S177" s="128"/>
      <c r="U177" s="128"/>
      <c r="X177" s="128"/>
      <c r="Y177" s="128"/>
      <c r="Z177" s="128"/>
      <c r="AA177" s="128"/>
      <c r="AB177" s="128"/>
      <c r="AC177" s="128"/>
      <c r="AD177" s="128"/>
      <c r="AE177" s="128"/>
      <c r="AF177" s="128"/>
      <c r="AG177" s="128"/>
      <c r="AI177" s="128"/>
      <c r="AJ177" s="128"/>
      <c r="AY177" s="128"/>
      <c r="BN177" s="128"/>
      <c r="BQ177" s="128"/>
      <c r="BR177" s="128"/>
      <c r="BT177" s="128"/>
      <c r="BV177" s="128"/>
      <c r="BX177" s="128"/>
      <c r="CU177" s="128"/>
      <c r="CW177" s="128"/>
      <c r="DN177" s="128"/>
      <c r="DP177" s="128"/>
      <c r="DR177" s="128"/>
      <c r="DV177" s="128"/>
      <c r="DX177" s="128"/>
      <c r="DY177" s="128"/>
      <c r="EA177" s="128"/>
      <c r="EB177" s="128"/>
      <c r="EC177" s="128"/>
      <c r="EG177" s="128"/>
      <c r="EL177" s="128"/>
      <c r="EM177" s="128"/>
      <c r="EO177" s="128"/>
      <c r="EQ177" s="128"/>
      <c r="ES177" s="128"/>
      <c r="EU177" s="128"/>
      <c r="EW177" s="128"/>
      <c r="EY177" s="128"/>
    </row>
    <row r="178" spans="3:155">
      <c r="C178" s="128"/>
      <c r="D178" s="128"/>
      <c r="E178" s="128"/>
      <c r="F178" s="128" t="str">
        <f>IF(E178 &lt;&gt; "", VLOOKUP(E178, '[2]Internal-logic'!G$1:I$364, 2, FALSE),"")</f>
        <v/>
      </c>
      <c r="G178" s="128" t="str">
        <f>IF(E178 &lt;&gt; "", VLOOKUP(E178, '[2]Internal-logic'!G$1:I$364, 3, FALSE),"")</f>
        <v/>
      </c>
      <c r="H178" s="128"/>
      <c r="I178" s="128"/>
      <c r="J178" s="128"/>
      <c r="K178" s="128"/>
      <c r="Q178" s="128"/>
      <c r="R178" s="128"/>
      <c r="S178" s="128"/>
      <c r="U178" s="128"/>
      <c r="X178" s="128"/>
      <c r="Y178" s="128"/>
      <c r="Z178" s="128"/>
      <c r="AA178" s="128"/>
      <c r="AB178" s="128"/>
      <c r="AC178" s="128"/>
      <c r="AD178" s="128"/>
      <c r="AE178" s="128"/>
      <c r="AF178" s="128"/>
      <c r="AG178" s="128"/>
      <c r="AI178" s="128"/>
      <c r="AJ178" s="128"/>
      <c r="AY178" s="128"/>
      <c r="BN178" s="128"/>
      <c r="BQ178" s="128"/>
      <c r="BR178" s="128"/>
      <c r="BT178" s="128"/>
      <c r="BV178" s="128"/>
      <c r="BX178" s="128"/>
      <c r="CU178" s="128"/>
      <c r="CW178" s="128"/>
      <c r="DN178" s="128"/>
      <c r="DP178" s="128"/>
      <c r="DR178" s="128"/>
      <c r="DV178" s="128"/>
      <c r="DX178" s="128"/>
      <c r="DY178" s="128"/>
      <c r="EA178" s="128"/>
      <c r="EB178" s="128"/>
      <c r="EC178" s="128"/>
      <c r="EG178" s="128"/>
      <c r="EL178" s="128"/>
      <c r="EM178" s="128"/>
      <c r="EO178" s="128"/>
      <c r="EQ178" s="128"/>
      <c r="ES178" s="128"/>
      <c r="EU178" s="128"/>
      <c r="EW178" s="128"/>
      <c r="EY178" s="128"/>
    </row>
    <row r="179" spans="3:155">
      <c r="C179" s="128"/>
      <c r="D179" s="128"/>
      <c r="E179" s="128"/>
      <c r="F179" s="128" t="str">
        <f>IF(E179 &lt;&gt; "", VLOOKUP(E179, '[2]Internal-logic'!G$1:I$364, 2, FALSE),"")</f>
        <v/>
      </c>
      <c r="G179" s="128" t="str">
        <f>IF(E179 &lt;&gt; "", VLOOKUP(E179, '[2]Internal-logic'!G$1:I$364, 3, FALSE),"")</f>
        <v/>
      </c>
      <c r="H179" s="128"/>
      <c r="I179" s="128"/>
      <c r="J179" s="128"/>
      <c r="K179" s="128"/>
      <c r="Q179" s="128"/>
      <c r="R179" s="128"/>
      <c r="S179" s="128"/>
      <c r="U179" s="128"/>
      <c r="X179" s="128"/>
      <c r="Y179" s="128"/>
      <c r="Z179" s="128"/>
      <c r="AA179" s="128"/>
      <c r="AB179" s="128"/>
      <c r="AC179" s="128"/>
      <c r="AD179" s="128"/>
      <c r="AE179" s="128"/>
      <c r="AF179" s="128"/>
      <c r="AG179" s="128"/>
      <c r="AI179" s="128"/>
      <c r="AJ179" s="128"/>
      <c r="AY179" s="128"/>
      <c r="BN179" s="128"/>
      <c r="BQ179" s="128"/>
      <c r="BR179" s="128"/>
      <c r="BT179" s="128"/>
      <c r="BV179" s="128"/>
      <c r="BX179" s="128"/>
      <c r="CU179" s="128"/>
      <c r="CW179" s="128"/>
      <c r="DN179" s="128"/>
      <c r="DP179" s="128"/>
      <c r="DR179" s="128"/>
      <c r="DV179" s="128"/>
      <c r="DX179" s="128"/>
      <c r="DY179" s="128"/>
      <c r="EA179" s="128"/>
      <c r="EB179" s="128"/>
      <c r="EC179" s="128"/>
      <c r="EG179" s="128"/>
      <c r="EL179" s="128"/>
      <c r="EM179" s="128"/>
      <c r="EO179" s="128"/>
      <c r="EQ179" s="128"/>
      <c r="ES179" s="128"/>
      <c r="EU179" s="128"/>
      <c r="EW179" s="128"/>
      <c r="EY179" s="128"/>
    </row>
    <row r="180" spans="3:155">
      <c r="C180" s="128"/>
      <c r="D180" s="128"/>
      <c r="E180" s="128"/>
      <c r="F180" s="128" t="str">
        <f>IF(E180 &lt;&gt; "", VLOOKUP(E180, '[2]Internal-logic'!G$1:I$364, 2, FALSE),"")</f>
        <v/>
      </c>
      <c r="G180" s="128" t="str">
        <f>IF(E180 &lt;&gt; "", VLOOKUP(E180, '[2]Internal-logic'!G$1:I$364, 3, FALSE),"")</f>
        <v/>
      </c>
      <c r="H180" s="128"/>
      <c r="I180" s="128"/>
      <c r="J180" s="128"/>
      <c r="K180" s="128"/>
      <c r="Q180" s="128"/>
      <c r="R180" s="128"/>
      <c r="S180" s="128"/>
      <c r="U180" s="128"/>
      <c r="X180" s="128"/>
      <c r="Y180" s="128"/>
      <c r="Z180" s="128"/>
      <c r="AA180" s="128"/>
      <c r="AB180" s="128"/>
      <c r="AC180" s="128"/>
      <c r="AD180" s="128"/>
      <c r="AE180" s="128"/>
      <c r="AF180" s="128"/>
      <c r="AG180" s="128"/>
      <c r="AI180" s="128"/>
      <c r="AJ180" s="128"/>
      <c r="AY180" s="128"/>
      <c r="BN180" s="128"/>
      <c r="BQ180" s="128"/>
      <c r="BR180" s="128"/>
      <c r="BT180" s="128"/>
      <c r="BV180" s="128"/>
      <c r="BX180" s="128"/>
      <c r="CU180" s="128"/>
      <c r="CW180" s="128"/>
      <c r="DN180" s="128"/>
      <c r="DP180" s="128"/>
      <c r="DR180" s="128"/>
      <c r="DV180" s="128"/>
      <c r="DX180" s="128"/>
      <c r="DY180" s="128"/>
      <c r="EA180" s="128"/>
      <c r="EB180" s="128"/>
      <c r="EC180" s="128"/>
      <c r="EG180" s="128"/>
      <c r="EL180" s="128"/>
      <c r="EM180" s="128"/>
      <c r="EO180" s="128"/>
      <c r="EQ180" s="128"/>
      <c r="ES180" s="128"/>
      <c r="EU180" s="128"/>
      <c r="EW180" s="128"/>
      <c r="EY180" s="128"/>
    </row>
    <row r="181" spans="3:155">
      <c r="C181" s="128"/>
      <c r="D181" s="128"/>
      <c r="E181" s="128"/>
      <c r="F181" s="128" t="str">
        <f>IF(E181 &lt;&gt; "", VLOOKUP(E181, '[2]Internal-logic'!G$1:I$364, 2, FALSE),"")</f>
        <v/>
      </c>
      <c r="G181" s="128" t="str">
        <f>IF(E181 &lt;&gt; "", VLOOKUP(E181, '[2]Internal-logic'!G$1:I$364, 3, FALSE),"")</f>
        <v/>
      </c>
      <c r="H181" s="128"/>
      <c r="I181" s="128"/>
      <c r="J181" s="128"/>
      <c r="K181" s="128"/>
      <c r="Q181" s="128"/>
      <c r="R181" s="128"/>
      <c r="S181" s="128"/>
      <c r="U181" s="128"/>
      <c r="X181" s="128"/>
      <c r="Y181" s="128"/>
      <c r="Z181" s="128"/>
      <c r="AA181" s="128"/>
      <c r="AB181" s="128"/>
      <c r="AC181" s="128"/>
      <c r="AD181" s="128"/>
      <c r="AE181" s="128"/>
      <c r="AF181" s="128"/>
      <c r="AG181" s="128"/>
      <c r="AI181" s="128"/>
      <c r="AJ181" s="128"/>
      <c r="AY181" s="128"/>
      <c r="BN181" s="128"/>
      <c r="BQ181" s="128"/>
      <c r="BR181" s="128"/>
      <c r="BT181" s="128"/>
      <c r="BV181" s="128"/>
      <c r="BX181" s="128"/>
      <c r="CU181" s="128"/>
      <c r="CW181" s="128"/>
      <c r="DN181" s="128"/>
      <c r="DP181" s="128"/>
      <c r="DR181" s="128"/>
      <c r="DV181" s="128"/>
      <c r="DX181" s="128"/>
      <c r="DY181" s="128"/>
      <c r="EA181" s="128"/>
      <c r="EB181" s="128"/>
      <c r="EC181" s="128"/>
      <c r="EG181" s="128"/>
      <c r="EL181" s="128"/>
      <c r="EM181" s="128"/>
      <c r="EO181" s="128"/>
      <c r="EQ181" s="128"/>
      <c r="ES181" s="128"/>
      <c r="EU181" s="128"/>
      <c r="EW181" s="128"/>
      <c r="EY181" s="128"/>
    </row>
    <row r="182" spans="3:155">
      <c r="C182" s="128"/>
      <c r="D182" s="128"/>
      <c r="E182" s="128"/>
      <c r="F182" s="128" t="str">
        <f>IF(E182 &lt;&gt; "", VLOOKUP(E182, '[2]Internal-logic'!G$1:I$364, 2, FALSE),"")</f>
        <v/>
      </c>
      <c r="G182" s="128" t="str">
        <f>IF(E182 &lt;&gt; "", VLOOKUP(E182, '[2]Internal-logic'!G$1:I$364, 3, FALSE),"")</f>
        <v/>
      </c>
      <c r="H182" s="128"/>
      <c r="I182" s="128"/>
      <c r="J182" s="128"/>
      <c r="K182" s="128"/>
      <c r="Q182" s="128"/>
      <c r="R182" s="128"/>
      <c r="S182" s="128"/>
      <c r="U182" s="128"/>
      <c r="X182" s="128"/>
      <c r="Y182" s="128"/>
      <c r="Z182" s="128"/>
      <c r="AA182" s="128"/>
      <c r="AB182" s="128"/>
      <c r="AC182" s="128"/>
      <c r="AD182" s="128"/>
      <c r="AE182" s="128"/>
      <c r="AF182" s="128"/>
      <c r="AG182" s="128"/>
      <c r="AI182" s="128"/>
      <c r="AJ182" s="128"/>
      <c r="AY182" s="128"/>
      <c r="BN182" s="128"/>
      <c r="BQ182" s="128"/>
      <c r="BR182" s="128"/>
      <c r="BT182" s="128"/>
      <c r="BV182" s="128"/>
      <c r="BX182" s="128"/>
      <c r="CU182" s="128"/>
      <c r="CW182" s="128"/>
      <c r="DN182" s="128"/>
      <c r="DP182" s="128"/>
      <c r="DR182" s="128"/>
      <c r="DV182" s="128"/>
      <c r="DX182" s="128"/>
      <c r="DY182" s="128"/>
      <c r="EA182" s="128"/>
      <c r="EB182" s="128"/>
      <c r="EC182" s="128"/>
      <c r="EG182" s="128"/>
      <c r="EL182" s="128"/>
      <c r="EM182" s="128"/>
      <c r="EO182" s="128"/>
      <c r="EQ182" s="128"/>
      <c r="ES182" s="128"/>
      <c r="EU182" s="128"/>
      <c r="EW182" s="128"/>
      <c r="EY182" s="128"/>
    </row>
    <row r="183" spans="3:155">
      <c r="C183" s="128"/>
      <c r="D183" s="128"/>
      <c r="E183" s="128"/>
      <c r="F183" s="128" t="str">
        <f>IF(E183 &lt;&gt; "", VLOOKUP(E183, '[2]Internal-logic'!G$1:I$364, 2, FALSE),"")</f>
        <v/>
      </c>
      <c r="G183" s="128" t="str">
        <f>IF(E183 &lt;&gt; "", VLOOKUP(E183, '[2]Internal-logic'!G$1:I$364, 3, FALSE),"")</f>
        <v/>
      </c>
      <c r="H183" s="128"/>
      <c r="I183" s="128"/>
      <c r="J183" s="128"/>
      <c r="K183" s="128"/>
      <c r="Q183" s="128"/>
      <c r="R183" s="128"/>
      <c r="S183" s="128"/>
      <c r="U183" s="128"/>
      <c r="X183" s="128"/>
      <c r="Y183" s="128"/>
      <c r="Z183" s="128"/>
      <c r="AA183" s="128"/>
      <c r="AB183" s="128"/>
      <c r="AC183" s="128"/>
      <c r="AD183" s="128"/>
      <c r="AE183" s="128"/>
      <c r="AF183" s="128"/>
      <c r="AG183" s="128"/>
      <c r="AI183" s="128"/>
      <c r="AJ183" s="128"/>
      <c r="AY183" s="128"/>
      <c r="BN183" s="128"/>
      <c r="BQ183" s="128"/>
      <c r="BR183" s="128"/>
      <c r="BT183" s="128"/>
      <c r="BV183" s="128"/>
      <c r="BX183" s="128"/>
      <c r="CU183" s="128"/>
      <c r="CW183" s="128"/>
      <c r="DN183" s="128"/>
      <c r="DP183" s="128"/>
      <c r="DR183" s="128"/>
      <c r="DV183" s="128"/>
      <c r="DX183" s="128"/>
      <c r="DY183" s="128"/>
      <c r="EA183" s="128"/>
      <c r="EB183" s="128"/>
      <c r="EC183" s="128"/>
      <c r="EG183" s="128"/>
      <c r="EL183" s="128"/>
      <c r="EM183" s="128"/>
      <c r="EO183" s="128"/>
      <c r="EQ183" s="128"/>
      <c r="ES183" s="128"/>
      <c r="EU183" s="128"/>
      <c r="EW183" s="128"/>
      <c r="EY183" s="128"/>
    </row>
    <row r="184" spans="3:155">
      <c r="C184" s="128"/>
      <c r="D184" s="128"/>
      <c r="E184" s="128"/>
      <c r="F184" s="128" t="str">
        <f>IF(E184 &lt;&gt; "", VLOOKUP(E184, '[2]Internal-logic'!G$1:I$364, 2, FALSE),"")</f>
        <v/>
      </c>
      <c r="G184" s="128" t="str">
        <f>IF(E184 &lt;&gt; "", VLOOKUP(E184, '[2]Internal-logic'!G$1:I$364, 3, FALSE),"")</f>
        <v/>
      </c>
      <c r="H184" s="128"/>
      <c r="I184" s="128"/>
      <c r="J184" s="128"/>
      <c r="K184" s="128"/>
      <c r="Q184" s="128"/>
      <c r="R184" s="128"/>
      <c r="S184" s="128"/>
      <c r="U184" s="128"/>
      <c r="X184" s="128"/>
      <c r="Y184" s="128"/>
      <c r="Z184" s="128"/>
      <c r="AA184" s="128"/>
      <c r="AB184" s="128"/>
      <c r="AC184" s="128"/>
      <c r="AD184" s="128"/>
      <c r="AE184" s="128"/>
      <c r="AF184" s="128"/>
      <c r="AG184" s="128"/>
      <c r="AI184" s="128"/>
      <c r="AJ184" s="128"/>
      <c r="AY184" s="128"/>
      <c r="BN184" s="128"/>
      <c r="BQ184" s="128"/>
      <c r="BR184" s="128"/>
      <c r="BT184" s="128"/>
      <c r="BV184" s="128"/>
      <c r="BX184" s="128"/>
      <c r="CU184" s="128"/>
      <c r="CW184" s="128"/>
      <c r="DN184" s="128"/>
      <c r="DP184" s="128"/>
      <c r="DR184" s="128"/>
      <c r="DV184" s="128"/>
      <c r="DX184" s="128"/>
      <c r="DY184" s="128"/>
      <c r="EA184" s="128"/>
      <c r="EB184" s="128"/>
      <c r="EC184" s="128"/>
      <c r="EG184" s="128"/>
      <c r="EL184" s="128"/>
      <c r="EM184" s="128"/>
      <c r="EO184" s="128"/>
      <c r="EQ184" s="128"/>
      <c r="ES184" s="128"/>
      <c r="EU184" s="128"/>
      <c r="EW184" s="128"/>
      <c r="EY184" s="128"/>
    </row>
    <row r="185" spans="3:155">
      <c r="C185" s="128"/>
      <c r="D185" s="128"/>
      <c r="E185" s="128"/>
      <c r="F185" s="128" t="str">
        <f>IF(E185 &lt;&gt; "", VLOOKUP(E185, '[2]Internal-logic'!G$1:I$364, 2, FALSE),"")</f>
        <v/>
      </c>
      <c r="G185" s="128" t="str">
        <f>IF(E185 &lt;&gt; "", VLOOKUP(E185, '[2]Internal-logic'!G$1:I$364, 3, FALSE),"")</f>
        <v/>
      </c>
      <c r="H185" s="128"/>
      <c r="I185" s="128"/>
      <c r="J185" s="128"/>
      <c r="K185" s="128"/>
      <c r="Q185" s="128"/>
      <c r="R185" s="128"/>
      <c r="S185" s="128"/>
      <c r="U185" s="128"/>
      <c r="X185" s="128"/>
      <c r="Y185" s="128"/>
      <c r="Z185" s="128"/>
      <c r="AA185" s="128"/>
      <c r="AB185" s="128"/>
      <c r="AC185" s="128"/>
      <c r="AD185" s="128"/>
      <c r="AE185" s="128"/>
      <c r="AF185" s="128"/>
      <c r="AG185" s="128"/>
      <c r="AI185" s="128"/>
      <c r="AJ185" s="128"/>
      <c r="AY185" s="128"/>
      <c r="BN185" s="128"/>
      <c r="BQ185" s="128"/>
      <c r="BR185" s="128"/>
      <c r="BT185" s="128"/>
      <c r="BV185" s="128"/>
      <c r="BX185" s="128"/>
      <c r="CU185" s="128"/>
      <c r="CW185" s="128"/>
      <c r="DN185" s="128"/>
      <c r="DP185" s="128"/>
      <c r="DR185" s="128"/>
      <c r="DV185" s="128"/>
      <c r="DX185" s="128"/>
      <c r="DY185" s="128"/>
      <c r="EA185" s="128"/>
      <c r="EB185" s="128"/>
      <c r="EC185" s="128"/>
      <c r="EG185" s="128"/>
      <c r="EL185" s="128"/>
      <c r="EM185" s="128"/>
      <c r="EO185" s="128"/>
      <c r="EQ185" s="128"/>
      <c r="ES185" s="128"/>
      <c r="EU185" s="128"/>
      <c r="EW185" s="128"/>
      <c r="EY185" s="128"/>
    </row>
    <row r="186" spans="3:155">
      <c r="C186" s="128"/>
      <c r="D186" s="128"/>
      <c r="E186" s="128"/>
      <c r="F186" s="128" t="str">
        <f>IF(E186 &lt;&gt; "", VLOOKUP(E186, '[2]Internal-logic'!G$1:I$364, 2, FALSE),"")</f>
        <v/>
      </c>
      <c r="G186" s="128" t="str">
        <f>IF(E186 &lt;&gt; "", VLOOKUP(E186, '[2]Internal-logic'!G$1:I$364, 3, FALSE),"")</f>
        <v/>
      </c>
      <c r="H186" s="128"/>
      <c r="I186" s="128"/>
      <c r="J186" s="128"/>
      <c r="K186" s="128"/>
      <c r="Q186" s="128"/>
      <c r="R186" s="128"/>
      <c r="S186" s="128"/>
      <c r="U186" s="128"/>
      <c r="X186" s="128"/>
      <c r="Y186" s="128"/>
      <c r="Z186" s="128"/>
      <c r="AA186" s="128"/>
      <c r="AB186" s="128"/>
      <c r="AC186" s="128"/>
      <c r="AD186" s="128"/>
      <c r="AE186" s="128"/>
      <c r="AF186" s="128"/>
      <c r="AG186" s="128"/>
      <c r="AI186" s="128"/>
      <c r="AJ186" s="128"/>
      <c r="AY186" s="128"/>
      <c r="BN186" s="128"/>
      <c r="BQ186" s="128"/>
      <c r="BR186" s="128"/>
      <c r="BT186" s="128"/>
      <c r="BV186" s="128"/>
      <c r="BX186" s="128"/>
      <c r="CU186" s="128"/>
      <c r="CW186" s="128"/>
      <c r="DN186" s="128"/>
      <c r="DP186" s="128"/>
      <c r="DR186" s="128"/>
      <c r="DV186" s="128"/>
      <c r="DX186" s="128"/>
      <c r="DY186" s="128"/>
      <c r="EA186" s="128"/>
      <c r="EB186" s="128"/>
      <c r="EC186" s="128"/>
      <c r="EG186" s="128"/>
      <c r="EL186" s="128"/>
      <c r="EM186" s="128"/>
      <c r="EO186" s="128"/>
      <c r="EQ186" s="128"/>
      <c r="ES186" s="128"/>
      <c r="EU186" s="128"/>
      <c r="EW186" s="128"/>
      <c r="EY186" s="128"/>
    </row>
    <row r="187" spans="3:155">
      <c r="C187" s="128"/>
      <c r="D187" s="128"/>
      <c r="E187" s="128"/>
      <c r="F187" s="128" t="str">
        <f>IF(E187 &lt;&gt; "", VLOOKUP(E187, '[2]Internal-logic'!G$1:I$364, 2, FALSE),"")</f>
        <v/>
      </c>
      <c r="G187" s="128" t="str">
        <f>IF(E187 &lt;&gt; "", VLOOKUP(E187, '[2]Internal-logic'!G$1:I$364, 3, FALSE),"")</f>
        <v/>
      </c>
      <c r="H187" s="128"/>
      <c r="I187" s="128"/>
      <c r="J187" s="128"/>
      <c r="K187" s="128"/>
      <c r="Q187" s="128"/>
      <c r="R187" s="128"/>
      <c r="S187" s="128"/>
      <c r="U187" s="128"/>
      <c r="X187" s="128"/>
      <c r="Y187" s="128"/>
      <c r="Z187" s="128"/>
      <c r="AA187" s="128"/>
      <c r="AB187" s="128"/>
      <c r="AC187" s="128"/>
      <c r="AD187" s="128"/>
      <c r="AE187" s="128"/>
      <c r="AF187" s="128"/>
      <c r="AG187" s="128"/>
      <c r="AI187" s="128"/>
      <c r="AJ187" s="128"/>
      <c r="AY187" s="128"/>
      <c r="BN187" s="128"/>
      <c r="BQ187" s="128"/>
      <c r="BR187" s="128"/>
      <c r="BT187" s="128"/>
      <c r="BV187" s="128"/>
      <c r="BX187" s="128"/>
      <c r="CU187" s="128"/>
      <c r="CW187" s="128"/>
      <c r="DN187" s="128"/>
      <c r="DP187" s="128"/>
      <c r="DR187" s="128"/>
      <c r="DV187" s="128"/>
      <c r="DX187" s="128"/>
      <c r="DY187" s="128"/>
      <c r="EA187" s="128"/>
      <c r="EB187" s="128"/>
      <c r="EC187" s="128"/>
      <c r="EG187" s="128"/>
      <c r="EL187" s="128"/>
      <c r="EM187" s="128"/>
      <c r="EO187" s="128"/>
      <c r="EQ187" s="128"/>
      <c r="ES187" s="128"/>
      <c r="EU187" s="128"/>
      <c r="EW187" s="128"/>
      <c r="EY187" s="128"/>
    </row>
    <row r="188" spans="3:155">
      <c r="C188" s="128"/>
      <c r="D188" s="128"/>
      <c r="E188" s="128"/>
      <c r="F188" s="128" t="str">
        <f>IF(E188 &lt;&gt; "", VLOOKUP(E188, '[2]Internal-logic'!G$1:I$364, 2, FALSE),"")</f>
        <v/>
      </c>
      <c r="G188" s="128" t="str">
        <f>IF(E188 &lt;&gt; "", VLOOKUP(E188, '[2]Internal-logic'!G$1:I$364, 3, FALSE),"")</f>
        <v/>
      </c>
      <c r="H188" s="128"/>
      <c r="I188" s="128"/>
      <c r="J188" s="128"/>
      <c r="K188" s="128"/>
      <c r="Q188" s="128"/>
      <c r="R188" s="128"/>
      <c r="S188" s="128"/>
      <c r="U188" s="128"/>
      <c r="X188" s="128"/>
      <c r="Y188" s="128"/>
      <c r="Z188" s="128"/>
      <c r="AA188" s="128"/>
      <c r="AB188" s="128"/>
      <c r="AC188" s="128"/>
      <c r="AD188" s="128"/>
      <c r="AE188" s="128"/>
      <c r="AF188" s="128"/>
      <c r="AG188" s="128"/>
      <c r="AI188" s="128"/>
      <c r="AJ188" s="128"/>
      <c r="AY188" s="128"/>
      <c r="BN188" s="128"/>
      <c r="BQ188" s="128"/>
      <c r="BR188" s="128"/>
      <c r="BT188" s="128"/>
      <c r="BV188" s="128"/>
      <c r="BX188" s="128"/>
      <c r="CU188" s="128"/>
      <c r="CW188" s="128"/>
      <c r="DN188" s="128"/>
      <c r="DP188" s="128"/>
      <c r="DR188" s="128"/>
      <c r="DV188" s="128"/>
      <c r="DX188" s="128"/>
      <c r="DY188" s="128"/>
      <c r="EA188" s="128"/>
      <c r="EB188" s="128"/>
      <c r="EC188" s="128"/>
      <c r="EG188" s="128"/>
      <c r="EL188" s="128"/>
      <c r="EM188" s="128"/>
      <c r="EO188" s="128"/>
      <c r="EQ188" s="128"/>
      <c r="ES188" s="128"/>
      <c r="EU188" s="128"/>
      <c r="EW188" s="128"/>
      <c r="EY188" s="128"/>
    </row>
    <row r="189" spans="3:155">
      <c r="C189" s="128"/>
      <c r="D189" s="128"/>
      <c r="E189" s="128"/>
      <c r="F189" s="128" t="str">
        <f>IF(E189 &lt;&gt; "", VLOOKUP(E189, '[2]Internal-logic'!G$1:I$364, 2, FALSE),"")</f>
        <v/>
      </c>
      <c r="G189" s="128" t="str">
        <f>IF(E189 &lt;&gt; "", VLOOKUP(E189, '[2]Internal-logic'!G$1:I$364, 3, FALSE),"")</f>
        <v/>
      </c>
      <c r="H189" s="128"/>
      <c r="I189" s="128"/>
      <c r="J189" s="128"/>
      <c r="K189" s="128"/>
      <c r="Q189" s="128"/>
      <c r="R189" s="128"/>
      <c r="S189" s="128"/>
      <c r="U189" s="128"/>
      <c r="X189" s="128"/>
      <c r="Y189" s="128"/>
      <c r="Z189" s="128"/>
      <c r="AA189" s="128"/>
      <c r="AB189" s="128"/>
      <c r="AC189" s="128"/>
      <c r="AD189" s="128"/>
      <c r="AE189" s="128"/>
      <c r="AF189" s="128"/>
      <c r="AG189" s="128"/>
      <c r="AI189" s="128"/>
      <c r="AJ189" s="128"/>
      <c r="AY189" s="128"/>
      <c r="BN189" s="128"/>
      <c r="BQ189" s="128"/>
      <c r="BR189" s="128"/>
      <c r="BT189" s="128"/>
      <c r="BV189" s="128"/>
      <c r="BX189" s="128"/>
      <c r="CU189" s="128"/>
      <c r="CW189" s="128"/>
      <c r="DN189" s="128"/>
      <c r="DP189" s="128"/>
      <c r="DR189" s="128"/>
      <c r="DV189" s="128"/>
      <c r="DX189" s="128"/>
      <c r="DY189" s="128"/>
      <c r="EA189" s="128"/>
      <c r="EB189" s="128"/>
      <c r="EC189" s="128"/>
      <c r="EG189" s="128"/>
      <c r="EL189" s="128"/>
      <c r="EM189" s="128"/>
      <c r="EO189" s="128"/>
      <c r="EQ189" s="128"/>
      <c r="ES189" s="128"/>
      <c r="EU189" s="128"/>
      <c r="EW189" s="128"/>
      <c r="EY189" s="128"/>
    </row>
    <row r="190" spans="3:155">
      <c r="C190" s="128"/>
      <c r="D190" s="128"/>
      <c r="E190" s="128"/>
      <c r="F190" s="128" t="str">
        <f>IF(E190 &lt;&gt; "", VLOOKUP(E190, '[2]Internal-logic'!G$1:I$364, 2, FALSE),"")</f>
        <v/>
      </c>
      <c r="G190" s="128" t="str">
        <f>IF(E190 &lt;&gt; "", VLOOKUP(E190, '[2]Internal-logic'!G$1:I$364, 3, FALSE),"")</f>
        <v/>
      </c>
      <c r="H190" s="128"/>
      <c r="I190" s="128"/>
      <c r="J190" s="128"/>
      <c r="K190" s="128"/>
      <c r="Q190" s="128"/>
      <c r="R190" s="128"/>
      <c r="S190" s="128"/>
      <c r="U190" s="128"/>
      <c r="X190" s="128"/>
      <c r="Y190" s="128"/>
      <c r="Z190" s="128"/>
      <c r="AA190" s="128"/>
      <c r="AB190" s="128"/>
      <c r="AC190" s="128"/>
      <c r="AD190" s="128"/>
      <c r="AE190" s="128"/>
      <c r="AF190" s="128"/>
      <c r="AG190" s="128"/>
      <c r="AI190" s="128"/>
      <c r="AJ190" s="128"/>
      <c r="AY190" s="128"/>
      <c r="BN190" s="128"/>
      <c r="BQ190" s="128"/>
      <c r="BR190" s="128"/>
      <c r="BT190" s="128"/>
      <c r="BV190" s="128"/>
      <c r="BX190" s="128"/>
      <c r="CU190" s="128"/>
      <c r="CW190" s="128"/>
      <c r="DN190" s="128"/>
      <c r="DP190" s="128"/>
      <c r="DR190" s="128"/>
      <c r="DV190" s="128"/>
      <c r="DX190" s="128"/>
      <c r="DY190" s="128"/>
      <c r="EA190" s="128"/>
      <c r="EB190" s="128"/>
      <c r="EC190" s="128"/>
      <c r="EG190" s="128"/>
      <c r="EL190" s="128"/>
      <c r="EM190" s="128"/>
      <c r="EO190" s="128"/>
      <c r="EQ190" s="128"/>
      <c r="ES190" s="128"/>
      <c r="EU190" s="128"/>
      <c r="EW190" s="128"/>
      <c r="EY190" s="128"/>
    </row>
    <row r="191" spans="3:155">
      <c r="C191" s="128"/>
      <c r="D191" s="128"/>
      <c r="E191" s="128"/>
      <c r="F191" s="128" t="str">
        <f>IF(E191 &lt;&gt; "", VLOOKUP(E191, '[2]Internal-logic'!G$1:I$364, 2, FALSE),"")</f>
        <v/>
      </c>
      <c r="G191" s="128" t="str">
        <f>IF(E191 &lt;&gt; "", VLOOKUP(E191, '[2]Internal-logic'!G$1:I$364, 3, FALSE),"")</f>
        <v/>
      </c>
      <c r="H191" s="128"/>
      <c r="I191" s="128"/>
      <c r="J191" s="128"/>
      <c r="K191" s="128"/>
      <c r="Q191" s="128"/>
      <c r="R191" s="128"/>
      <c r="S191" s="128"/>
      <c r="U191" s="128"/>
      <c r="X191" s="128"/>
      <c r="Y191" s="128"/>
      <c r="Z191" s="128"/>
      <c r="AA191" s="128"/>
      <c r="AB191" s="128"/>
      <c r="AC191" s="128"/>
      <c r="AD191" s="128"/>
      <c r="AE191" s="128"/>
      <c r="AF191" s="128"/>
      <c r="AG191" s="128"/>
      <c r="AI191" s="128"/>
      <c r="AJ191" s="128"/>
      <c r="AY191" s="128"/>
      <c r="BN191" s="128"/>
      <c r="BQ191" s="128"/>
      <c r="BR191" s="128"/>
      <c r="BT191" s="128"/>
      <c r="BV191" s="128"/>
      <c r="BX191" s="128"/>
      <c r="CU191" s="128"/>
      <c r="CW191" s="128"/>
      <c r="DN191" s="128"/>
      <c r="DP191" s="128"/>
      <c r="DR191" s="128"/>
      <c r="DV191" s="128"/>
      <c r="DX191" s="128"/>
      <c r="DY191" s="128"/>
      <c r="EA191" s="128"/>
      <c r="EB191" s="128"/>
      <c r="EC191" s="128"/>
      <c r="EG191" s="128"/>
      <c r="EL191" s="128"/>
      <c r="EM191" s="128"/>
      <c r="EO191" s="128"/>
      <c r="EQ191" s="128"/>
      <c r="ES191" s="128"/>
      <c r="EU191" s="128"/>
      <c r="EW191" s="128"/>
      <c r="EY191" s="128"/>
    </row>
    <row r="192" spans="3:155">
      <c r="C192" s="128"/>
      <c r="D192" s="128"/>
      <c r="E192" s="128"/>
      <c r="F192" s="128" t="str">
        <f>IF(E192 &lt;&gt; "", VLOOKUP(E192, '[2]Internal-logic'!G$1:I$364, 2, FALSE),"")</f>
        <v/>
      </c>
      <c r="G192" s="128" t="str">
        <f>IF(E192 &lt;&gt; "", VLOOKUP(E192, '[2]Internal-logic'!G$1:I$364, 3, FALSE),"")</f>
        <v/>
      </c>
      <c r="H192" s="128"/>
      <c r="I192" s="128"/>
      <c r="J192" s="128"/>
      <c r="K192" s="128"/>
      <c r="Q192" s="128"/>
      <c r="R192" s="128"/>
      <c r="S192" s="128"/>
      <c r="U192" s="128"/>
      <c r="X192" s="128"/>
      <c r="Y192" s="128"/>
      <c r="Z192" s="128"/>
      <c r="AA192" s="128"/>
      <c r="AB192" s="128"/>
      <c r="AC192" s="128"/>
      <c r="AD192" s="128"/>
      <c r="AE192" s="128"/>
      <c r="AF192" s="128"/>
      <c r="AG192" s="128"/>
      <c r="AI192" s="128"/>
      <c r="AJ192" s="128"/>
      <c r="AY192" s="128"/>
      <c r="BN192" s="128"/>
      <c r="BQ192" s="128"/>
      <c r="BR192" s="128"/>
      <c r="BT192" s="128"/>
      <c r="BV192" s="128"/>
      <c r="BX192" s="128"/>
      <c r="CU192" s="128"/>
      <c r="CW192" s="128"/>
      <c r="DN192" s="128"/>
      <c r="DP192" s="128"/>
      <c r="DR192" s="128"/>
      <c r="DV192" s="128"/>
      <c r="DX192" s="128"/>
      <c r="DY192" s="128"/>
      <c r="EA192" s="128"/>
      <c r="EB192" s="128"/>
      <c r="EC192" s="128"/>
      <c r="EG192" s="128"/>
      <c r="EL192" s="128"/>
      <c r="EM192" s="128"/>
      <c r="EO192" s="128"/>
      <c r="EQ192" s="128"/>
      <c r="ES192" s="128"/>
      <c r="EU192" s="128"/>
      <c r="EW192" s="128"/>
      <c r="EY192" s="128"/>
    </row>
    <row r="193" spans="3:155">
      <c r="C193" s="128"/>
      <c r="D193" s="128"/>
      <c r="E193" s="128"/>
      <c r="F193" s="128" t="str">
        <f>IF(E193 &lt;&gt; "", VLOOKUP(E193, '[2]Internal-logic'!G$1:I$364, 2, FALSE),"")</f>
        <v/>
      </c>
      <c r="G193" s="128" t="str">
        <f>IF(E193 &lt;&gt; "", VLOOKUP(E193, '[2]Internal-logic'!G$1:I$364, 3, FALSE),"")</f>
        <v/>
      </c>
      <c r="H193" s="128"/>
      <c r="I193" s="128"/>
      <c r="J193" s="128"/>
      <c r="K193" s="128"/>
      <c r="Q193" s="128"/>
      <c r="R193" s="128"/>
      <c r="S193" s="128"/>
      <c r="U193" s="128"/>
      <c r="X193" s="128"/>
      <c r="Y193" s="128"/>
      <c r="Z193" s="128"/>
      <c r="AA193" s="128"/>
      <c r="AB193" s="128"/>
      <c r="AC193" s="128"/>
      <c r="AD193" s="128"/>
      <c r="AE193" s="128"/>
      <c r="AF193" s="128"/>
      <c r="AG193" s="128"/>
      <c r="AI193" s="128"/>
      <c r="AJ193" s="128"/>
      <c r="AY193" s="128"/>
      <c r="BN193" s="128"/>
      <c r="BQ193" s="128"/>
      <c r="BR193" s="128"/>
      <c r="BT193" s="128"/>
      <c r="BV193" s="128"/>
      <c r="BX193" s="128"/>
      <c r="CU193" s="128"/>
      <c r="CW193" s="128"/>
      <c r="DN193" s="128"/>
      <c r="DP193" s="128"/>
      <c r="DR193" s="128"/>
      <c r="DV193" s="128"/>
      <c r="DX193" s="128"/>
      <c r="DY193" s="128"/>
      <c r="EA193" s="128"/>
      <c r="EB193" s="128"/>
      <c r="EC193" s="128"/>
      <c r="EG193" s="128"/>
      <c r="EL193" s="128"/>
      <c r="EM193" s="128"/>
      <c r="EO193" s="128"/>
      <c r="EQ193" s="128"/>
      <c r="ES193" s="128"/>
      <c r="EU193" s="128"/>
      <c r="EW193" s="128"/>
      <c r="EY193" s="128"/>
    </row>
    <row r="194" spans="3:155">
      <c r="C194" s="128"/>
      <c r="D194" s="128"/>
      <c r="E194" s="128"/>
      <c r="F194" s="128" t="str">
        <f>IF(E194 &lt;&gt; "", VLOOKUP(E194, '[2]Internal-logic'!G$1:I$364, 2, FALSE),"")</f>
        <v/>
      </c>
      <c r="G194" s="128" t="str">
        <f>IF(E194 &lt;&gt; "", VLOOKUP(E194, '[2]Internal-logic'!G$1:I$364, 3, FALSE),"")</f>
        <v/>
      </c>
      <c r="H194" s="128"/>
      <c r="I194" s="128"/>
      <c r="J194" s="128"/>
      <c r="K194" s="128"/>
      <c r="Q194" s="128"/>
      <c r="R194" s="128"/>
      <c r="S194" s="128"/>
      <c r="U194" s="128"/>
      <c r="X194" s="128"/>
      <c r="Y194" s="128"/>
      <c r="Z194" s="128"/>
      <c r="AA194" s="128"/>
      <c r="AB194" s="128"/>
      <c r="AC194" s="128"/>
      <c r="AD194" s="128"/>
      <c r="AE194" s="128"/>
      <c r="AF194" s="128"/>
      <c r="AG194" s="128"/>
      <c r="AI194" s="128"/>
      <c r="AJ194" s="128"/>
      <c r="AY194" s="128"/>
      <c r="BN194" s="128"/>
      <c r="BQ194" s="128"/>
      <c r="BR194" s="128"/>
      <c r="BT194" s="128"/>
      <c r="BV194" s="128"/>
      <c r="BX194" s="128"/>
      <c r="CU194" s="128"/>
      <c r="CW194" s="128"/>
      <c r="DN194" s="128"/>
      <c r="DP194" s="128"/>
      <c r="DR194" s="128"/>
      <c r="DV194" s="128"/>
      <c r="DX194" s="128"/>
      <c r="DY194" s="128"/>
      <c r="EA194" s="128"/>
      <c r="EB194" s="128"/>
      <c r="EC194" s="128"/>
      <c r="EG194" s="128"/>
      <c r="EL194" s="128"/>
      <c r="EM194" s="128"/>
      <c r="EO194" s="128"/>
      <c r="EQ194" s="128"/>
      <c r="ES194" s="128"/>
      <c r="EU194" s="128"/>
      <c r="EW194" s="128"/>
      <c r="EY194" s="128"/>
    </row>
    <row r="195" spans="3:155">
      <c r="C195" s="128"/>
      <c r="D195" s="128"/>
      <c r="E195" s="128"/>
      <c r="F195" s="128" t="str">
        <f>IF(E195 &lt;&gt; "", VLOOKUP(E195, '[2]Internal-logic'!G$1:I$364, 2, FALSE),"")</f>
        <v/>
      </c>
      <c r="G195" s="128" t="str">
        <f>IF(E195 &lt;&gt; "", VLOOKUP(E195, '[2]Internal-logic'!G$1:I$364, 3, FALSE),"")</f>
        <v/>
      </c>
      <c r="H195" s="128"/>
      <c r="I195" s="128"/>
      <c r="J195" s="128"/>
      <c r="K195" s="128"/>
      <c r="Q195" s="128"/>
      <c r="R195" s="128"/>
      <c r="S195" s="128"/>
      <c r="U195" s="128"/>
      <c r="X195" s="128"/>
      <c r="Y195" s="128"/>
      <c r="Z195" s="128"/>
      <c r="AA195" s="128"/>
      <c r="AB195" s="128"/>
      <c r="AC195" s="128"/>
      <c r="AD195" s="128"/>
      <c r="AE195" s="128"/>
      <c r="AF195" s="128"/>
      <c r="AG195" s="128"/>
      <c r="AI195" s="128"/>
      <c r="AJ195" s="128"/>
      <c r="AY195" s="128"/>
      <c r="BN195" s="128"/>
      <c r="BQ195" s="128"/>
      <c r="BR195" s="128"/>
      <c r="BT195" s="128"/>
      <c r="BV195" s="128"/>
      <c r="BX195" s="128"/>
      <c r="CU195" s="128"/>
      <c r="CW195" s="128"/>
      <c r="DN195" s="128"/>
      <c r="DP195" s="128"/>
      <c r="DR195" s="128"/>
      <c r="DV195" s="128"/>
      <c r="DX195" s="128"/>
      <c r="DY195" s="128"/>
      <c r="EA195" s="128"/>
      <c r="EB195" s="128"/>
      <c r="EC195" s="128"/>
      <c r="EG195" s="128"/>
      <c r="EL195" s="128"/>
      <c r="EM195" s="128"/>
      <c r="EO195" s="128"/>
      <c r="EQ195" s="128"/>
      <c r="ES195" s="128"/>
      <c r="EU195" s="128"/>
      <c r="EW195" s="128"/>
      <c r="EY195" s="128"/>
    </row>
    <row r="196" spans="3:155">
      <c r="C196" s="128"/>
      <c r="D196" s="128"/>
      <c r="E196" s="128"/>
      <c r="F196" s="128" t="str">
        <f>IF(E196 &lt;&gt; "", VLOOKUP(E196, '[2]Internal-logic'!G$1:I$364, 2, FALSE),"")</f>
        <v/>
      </c>
      <c r="G196" s="128" t="str">
        <f>IF(E196 &lt;&gt; "", VLOOKUP(E196, '[2]Internal-logic'!G$1:I$364, 3, FALSE),"")</f>
        <v/>
      </c>
      <c r="H196" s="128"/>
      <c r="I196" s="128"/>
      <c r="J196" s="128"/>
      <c r="K196" s="128"/>
      <c r="Q196" s="128"/>
      <c r="R196" s="128"/>
      <c r="S196" s="128"/>
      <c r="U196" s="128"/>
      <c r="X196" s="128"/>
      <c r="Y196" s="128"/>
      <c r="Z196" s="128"/>
      <c r="AA196" s="128"/>
      <c r="AB196" s="128"/>
      <c r="AC196" s="128"/>
      <c r="AD196" s="128"/>
      <c r="AE196" s="128"/>
      <c r="AF196" s="128"/>
      <c r="AG196" s="128"/>
      <c r="AI196" s="128"/>
      <c r="AJ196" s="128"/>
      <c r="AY196" s="128"/>
      <c r="BN196" s="128"/>
      <c r="BQ196" s="128"/>
      <c r="BR196" s="128"/>
      <c r="BT196" s="128"/>
      <c r="BV196" s="128"/>
      <c r="BX196" s="128"/>
      <c r="CU196" s="128"/>
      <c r="CW196" s="128"/>
      <c r="DN196" s="128"/>
      <c r="DP196" s="128"/>
      <c r="DR196" s="128"/>
      <c r="DV196" s="128"/>
      <c r="DX196" s="128"/>
      <c r="DY196" s="128"/>
      <c r="EA196" s="128"/>
      <c r="EB196" s="128"/>
      <c r="EC196" s="128"/>
      <c r="EG196" s="128"/>
      <c r="EL196" s="128"/>
      <c r="EM196" s="128"/>
      <c r="EO196" s="128"/>
      <c r="EQ196" s="128"/>
      <c r="ES196" s="128"/>
      <c r="EU196" s="128"/>
      <c r="EW196" s="128"/>
      <c r="EY196" s="128"/>
    </row>
    <row r="197" spans="3:155">
      <c r="C197" s="128"/>
      <c r="D197" s="128"/>
      <c r="E197" s="128"/>
      <c r="F197" s="128" t="str">
        <f>IF(E197 &lt;&gt; "", VLOOKUP(E197, '[2]Internal-logic'!G$1:I$364, 2, FALSE),"")</f>
        <v/>
      </c>
      <c r="G197" s="128" t="str">
        <f>IF(E197 &lt;&gt; "", VLOOKUP(E197, '[2]Internal-logic'!G$1:I$364, 3, FALSE),"")</f>
        <v/>
      </c>
      <c r="H197" s="128"/>
      <c r="I197" s="128"/>
      <c r="J197" s="128"/>
      <c r="K197" s="128"/>
      <c r="Q197" s="128"/>
      <c r="R197" s="128"/>
      <c r="S197" s="128"/>
      <c r="U197" s="128"/>
      <c r="X197" s="128"/>
      <c r="Y197" s="128"/>
      <c r="Z197" s="128"/>
      <c r="AA197" s="128"/>
      <c r="AB197" s="128"/>
      <c r="AC197" s="128"/>
      <c r="AD197" s="128"/>
      <c r="AE197" s="128"/>
      <c r="AF197" s="128"/>
      <c r="AG197" s="128"/>
      <c r="AI197" s="128"/>
      <c r="AJ197" s="128"/>
      <c r="AY197" s="128"/>
      <c r="BN197" s="128"/>
      <c r="BQ197" s="128"/>
      <c r="BR197" s="128"/>
      <c r="BT197" s="128"/>
      <c r="BV197" s="128"/>
      <c r="BX197" s="128"/>
      <c r="CU197" s="128"/>
      <c r="CW197" s="128"/>
      <c r="DN197" s="128"/>
      <c r="DP197" s="128"/>
      <c r="DR197" s="128"/>
      <c r="DV197" s="128"/>
      <c r="DX197" s="128"/>
      <c r="DY197" s="128"/>
      <c r="EA197" s="128"/>
      <c r="EB197" s="128"/>
      <c r="EC197" s="128"/>
      <c r="EG197" s="128"/>
      <c r="EL197" s="128"/>
      <c r="EM197" s="128"/>
      <c r="EO197" s="128"/>
      <c r="EQ197" s="128"/>
      <c r="ES197" s="128"/>
      <c r="EU197" s="128"/>
      <c r="EW197" s="128"/>
      <c r="EY197" s="128"/>
    </row>
    <row r="198" spans="3:155">
      <c r="C198" s="128"/>
      <c r="D198" s="128"/>
      <c r="E198" s="128"/>
      <c r="F198" s="128" t="str">
        <f>IF(E198 &lt;&gt; "", VLOOKUP(E198, '[2]Internal-logic'!G$1:I$364, 2, FALSE),"")</f>
        <v/>
      </c>
      <c r="G198" s="128" t="str">
        <f>IF(E198 &lt;&gt; "", VLOOKUP(E198, '[2]Internal-logic'!G$1:I$364, 3, FALSE),"")</f>
        <v/>
      </c>
      <c r="H198" s="128"/>
      <c r="I198" s="128"/>
      <c r="J198" s="128"/>
      <c r="K198" s="128"/>
      <c r="Q198" s="128"/>
      <c r="R198" s="128"/>
      <c r="S198" s="128"/>
      <c r="U198" s="128"/>
      <c r="X198" s="128"/>
      <c r="Y198" s="128"/>
      <c r="Z198" s="128"/>
      <c r="AA198" s="128"/>
      <c r="AB198" s="128"/>
      <c r="AC198" s="128"/>
      <c r="AD198" s="128"/>
      <c r="AE198" s="128"/>
      <c r="AF198" s="128"/>
      <c r="AG198" s="128"/>
      <c r="AI198" s="128"/>
      <c r="AJ198" s="128"/>
      <c r="AY198" s="128"/>
      <c r="BN198" s="128"/>
      <c r="BQ198" s="128"/>
      <c r="BR198" s="128"/>
      <c r="BT198" s="128"/>
      <c r="BV198" s="128"/>
      <c r="BX198" s="128"/>
      <c r="CU198" s="128"/>
      <c r="CW198" s="128"/>
      <c r="DN198" s="128"/>
      <c r="DP198" s="128"/>
      <c r="DR198" s="128"/>
      <c r="DV198" s="128"/>
      <c r="DX198" s="128"/>
      <c r="DY198" s="128"/>
      <c r="EA198" s="128"/>
      <c r="EB198" s="128"/>
      <c r="EC198" s="128"/>
      <c r="EG198" s="128"/>
      <c r="EL198" s="128"/>
      <c r="EM198" s="128"/>
      <c r="EO198" s="128"/>
      <c r="EQ198" s="128"/>
      <c r="ES198" s="128"/>
      <c r="EU198" s="128"/>
      <c r="EW198" s="128"/>
      <c r="EY198" s="128"/>
    </row>
    <row r="199" spans="3:155">
      <c r="C199" s="128"/>
      <c r="D199" s="128"/>
      <c r="E199" s="128"/>
      <c r="F199" s="128" t="str">
        <f>IF(E199 &lt;&gt; "", VLOOKUP(E199, '[2]Internal-logic'!G$1:I$364, 2, FALSE),"")</f>
        <v/>
      </c>
      <c r="G199" s="128" t="str">
        <f>IF(E199 &lt;&gt; "", VLOOKUP(E199, '[2]Internal-logic'!G$1:I$364, 3, FALSE),"")</f>
        <v/>
      </c>
      <c r="H199" s="128"/>
      <c r="I199" s="128"/>
      <c r="J199" s="128"/>
      <c r="K199" s="128"/>
      <c r="Q199" s="128"/>
      <c r="R199" s="128"/>
      <c r="S199" s="128"/>
      <c r="U199" s="128"/>
      <c r="X199" s="128"/>
      <c r="Y199" s="128"/>
      <c r="Z199" s="128"/>
      <c r="AA199" s="128"/>
      <c r="AB199" s="128"/>
      <c r="AC199" s="128"/>
      <c r="AD199" s="128"/>
      <c r="AE199" s="128"/>
      <c r="AF199" s="128"/>
      <c r="AG199" s="128"/>
      <c r="AI199" s="128"/>
      <c r="AJ199" s="128"/>
      <c r="AY199" s="128"/>
      <c r="BN199" s="128"/>
      <c r="BQ199" s="128"/>
      <c r="BR199" s="128"/>
      <c r="BT199" s="128"/>
      <c r="BV199" s="128"/>
      <c r="BX199" s="128"/>
      <c r="CU199" s="128"/>
      <c r="CW199" s="128"/>
      <c r="DN199" s="128"/>
      <c r="DP199" s="128"/>
      <c r="DR199" s="128"/>
      <c r="DV199" s="128"/>
      <c r="DX199" s="128"/>
      <c r="DY199" s="128"/>
      <c r="EA199" s="128"/>
      <c r="EB199" s="128"/>
      <c r="EC199" s="128"/>
      <c r="EG199" s="128"/>
      <c r="EL199" s="128"/>
      <c r="EM199" s="128"/>
      <c r="EO199" s="128"/>
      <c r="EQ199" s="128"/>
      <c r="ES199" s="128"/>
      <c r="EU199" s="128"/>
      <c r="EW199" s="128"/>
      <c r="EY199" s="128"/>
    </row>
    <row r="200" spans="3:155">
      <c r="C200" s="128"/>
      <c r="D200" s="128"/>
      <c r="E200" s="128"/>
      <c r="F200" s="128" t="str">
        <f>IF(E200 &lt;&gt; "", VLOOKUP(E200, '[2]Internal-logic'!G$1:I$364, 2, FALSE),"")</f>
        <v/>
      </c>
      <c r="G200" s="128" t="str">
        <f>IF(E200 &lt;&gt; "", VLOOKUP(E200, '[2]Internal-logic'!G$1:I$364, 3, FALSE),"")</f>
        <v/>
      </c>
      <c r="H200" s="128"/>
      <c r="I200" s="128"/>
      <c r="J200" s="128"/>
      <c r="K200" s="128"/>
      <c r="Q200" s="128"/>
      <c r="R200" s="128"/>
      <c r="S200" s="128"/>
      <c r="U200" s="128"/>
      <c r="X200" s="128"/>
      <c r="Y200" s="128"/>
      <c r="Z200" s="128"/>
      <c r="AA200" s="128"/>
      <c r="AB200" s="128"/>
      <c r="AC200" s="128"/>
      <c r="AD200" s="128"/>
      <c r="AE200" s="128"/>
      <c r="AF200" s="128"/>
      <c r="AG200" s="128"/>
      <c r="AI200" s="128"/>
      <c r="AJ200" s="128"/>
      <c r="AY200" s="128"/>
      <c r="BN200" s="128"/>
      <c r="BQ200" s="128"/>
      <c r="BR200" s="128"/>
      <c r="BT200" s="128"/>
      <c r="BV200" s="128"/>
      <c r="BX200" s="128"/>
      <c r="CU200" s="128"/>
      <c r="CW200" s="128"/>
      <c r="DN200" s="128"/>
      <c r="DP200" s="128"/>
      <c r="DR200" s="128"/>
      <c r="DV200" s="128"/>
      <c r="DX200" s="128"/>
      <c r="DY200" s="128"/>
      <c r="EA200" s="128"/>
      <c r="EB200" s="128"/>
      <c r="EC200" s="128"/>
      <c r="EG200" s="128"/>
      <c r="EL200" s="128"/>
      <c r="EM200" s="128"/>
      <c r="EO200" s="128"/>
      <c r="EQ200" s="128"/>
      <c r="ES200" s="128"/>
      <c r="EU200" s="128"/>
      <c r="EW200" s="128"/>
      <c r="EY200" s="128"/>
    </row>
    <row r="201" spans="3:155">
      <c r="C201" s="128"/>
      <c r="D201" s="128"/>
      <c r="E201" s="128"/>
      <c r="F201" s="128" t="str">
        <f>IF(E201 &lt;&gt; "", VLOOKUP(E201, '[2]Internal-logic'!G$1:I$364, 2, FALSE),"")</f>
        <v/>
      </c>
      <c r="G201" s="128" t="str">
        <f>IF(E201 &lt;&gt; "", VLOOKUP(E201, '[2]Internal-logic'!G$1:I$364, 3, FALSE),"")</f>
        <v/>
      </c>
      <c r="H201" s="128"/>
      <c r="I201" s="128"/>
      <c r="J201" s="128"/>
      <c r="K201" s="128"/>
      <c r="Q201" s="128"/>
      <c r="R201" s="128"/>
      <c r="S201" s="128"/>
      <c r="U201" s="128"/>
      <c r="X201" s="128"/>
      <c r="Y201" s="128"/>
      <c r="Z201" s="128"/>
      <c r="AA201" s="128"/>
      <c r="AB201" s="128"/>
      <c r="AC201" s="128"/>
      <c r="AD201" s="128"/>
      <c r="AE201" s="128"/>
      <c r="AF201" s="128"/>
      <c r="AG201" s="128"/>
      <c r="AI201" s="128"/>
      <c r="AJ201" s="128"/>
      <c r="AY201" s="128"/>
      <c r="BN201" s="128"/>
      <c r="BQ201" s="128"/>
      <c r="BR201" s="128"/>
      <c r="BT201" s="128"/>
      <c r="BV201" s="128"/>
      <c r="BX201" s="128"/>
      <c r="CU201" s="128"/>
      <c r="CW201" s="128"/>
      <c r="DN201" s="128"/>
      <c r="DP201" s="128"/>
      <c r="DR201" s="128"/>
      <c r="DV201" s="128"/>
      <c r="DX201" s="128"/>
      <c r="DY201" s="128"/>
      <c r="EA201" s="128"/>
      <c r="EB201" s="128"/>
      <c r="EC201" s="128"/>
      <c r="EG201" s="128"/>
      <c r="EL201" s="128"/>
      <c r="EM201" s="128"/>
      <c r="EO201" s="128"/>
      <c r="EQ201" s="128"/>
      <c r="ES201" s="128"/>
      <c r="EU201" s="128"/>
      <c r="EW201" s="128"/>
      <c r="EY201" s="128"/>
    </row>
    <row r="202" spans="3:155">
      <c r="C202" s="128"/>
      <c r="D202" s="128"/>
      <c r="E202" s="128"/>
      <c r="F202" s="128" t="str">
        <f>IF(E202 &lt;&gt; "", VLOOKUP(E202, '[2]Internal-logic'!G$1:I$364, 2, FALSE),"")</f>
        <v/>
      </c>
      <c r="G202" s="128" t="str">
        <f>IF(E202 &lt;&gt; "", VLOOKUP(E202, '[2]Internal-logic'!G$1:I$364, 3, FALSE),"")</f>
        <v/>
      </c>
      <c r="H202" s="128"/>
      <c r="I202" s="128"/>
      <c r="J202" s="128"/>
      <c r="K202" s="128"/>
      <c r="Q202" s="128"/>
      <c r="R202" s="128"/>
      <c r="S202" s="128"/>
      <c r="U202" s="128"/>
      <c r="X202" s="128"/>
      <c r="Y202" s="128"/>
      <c r="Z202" s="128"/>
      <c r="AA202" s="128"/>
      <c r="AB202" s="128"/>
      <c r="AC202" s="128"/>
      <c r="AD202" s="128"/>
      <c r="AE202" s="128"/>
      <c r="AF202" s="128"/>
      <c r="AG202" s="128"/>
      <c r="AI202" s="128"/>
      <c r="AJ202" s="128"/>
      <c r="AY202" s="128"/>
      <c r="BN202" s="128"/>
      <c r="BQ202" s="128"/>
      <c r="BR202" s="128"/>
      <c r="BT202" s="128"/>
      <c r="BV202" s="128"/>
      <c r="BX202" s="128"/>
      <c r="CU202" s="128"/>
      <c r="CW202" s="128"/>
      <c r="DN202" s="128"/>
      <c r="DP202" s="128"/>
      <c r="DR202" s="128"/>
      <c r="DV202" s="128"/>
      <c r="DX202" s="128"/>
      <c r="DY202" s="128"/>
      <c r="EA202" s="128"/>
      <c r="EB202" s="128"/>
      <c r="EC202" s="128"/>
      <c r="EG202" s="128"/>
      <c r="EL202" s="128"/>
      <c r="EM202" s="128"/>
      <c r="EO202" s="128"/>
      <c r="EQ202" s="128"/>
      <c r="ES202" s="128"/>
      <c r="EU202" s="128"/>
      <c r="EW202" s="128"/>
      <c r="EY202" s="128"/>
    </row>
    <row r="203" spans="3:155">
      <c r="C203" s="128"/>
      <c r="D203" s="128"/>
      <c r="E203" s="128"/>
      <c r="F203" s="128" t="str">
        <f>IF(E203 &lt;&gt; "", VLOOKUP(E203, '[2]Internal-logic'!G$1:I$364, 2, FALSE),"")</f>
        <v/>
      </c>
      <c r="G203" s="128" t="str">
        <f>IF(E203 &lt;&gt; "", VLOOKUP(E203, '[2]Internal-logic'!G$1:I$364, 3, FALSE),"")</f>
        <v/>
      </c>
      <c r="H203" s="128"/>
      <c r="I203" s="128"/>
      <c r="J203" s="128"/>
      <c r="K203" s="128"/>
      <c r="Q203" s="128"/>
      <c r="R203" s="128"/>
      <c r="S203" s="128"/>
      <c r="U203" s="128"/>
      <c r="X203" s="128"/>
      <c r="Y203" s="128"/>
      <c r="Z203" s="128"/>
      <c r="AA203" s="128"/>
      <c r="AB203" s="128"/>
      <c r="AC203" s="128"/>
      <c r="AD203" s="128"/>
      <c r="AE203" s="128"/>
      <c r="AF203" s="128"/>
      <c r="AG203" s="128"/>
      <c r="AI203" s="128"/>
      <c r="AJ203" s="128"/>
      <c r="AY203" s="128"/>
      <c r="BN203" s="128"/>
      <c r="BQ203" s="128"/>
      <c r="BR203" s="128"/>
      <c r="BT203" s="128"/>
      <c r="BV203" s="128"/>
      <c r="BX203" s="128"/>
      <c r="CU203" s="128"/>
      <c r="CW203" s="128"/>
      <c r="DN203" s="128"/>
      <c r="DP203" s="128"/>
      <c r="DR203" s="128"/>
      <c r="DV203" s="128"/>
      <c r="DX203" s="128"/>
      <c r="DY203" s="128"/>
      <c r="EA203" s="128"/>
      <c r="EB203" s="128"/>
      <c r="EC203" s="128"/>
      <c r="EG203" s="128"/>
      <c r="EL203" s="128"/>
      <c r="EM203" s="128"/>
      <c r="EO203" s="128"/>
      <c r="EQ203" s="128"/>
      <c r="ES203" s="128"/>
      <c r="EU203" s="128"/>
      <c r="EW203" s="128"/>
      <c r="EY203" s="128"/>
    </row>
    <row r="204" spans="3:155">
      <c r="C204" s="128"/>
      <c r="D204" s="128"/>
      <c r="E204" s="128"/>
      <c r="F204" s="128" t="str">
        <f>IF(E204 &lt;&gt; "", VLOOKUP(E204, '[2]Internal-logic'!G$1:I$364, 2, FALSE),"")</f>
        <v/>
      </c>
      <c r="G204" s="128" t="str">
        <f>IF(E204 &lt;&gt; "", VLOOKUP(E204, '[2]Internal-logic'!G$1:I$364, 3, FALSE),"")</f>
        <v/>
      </c>
      <c r="H204" s="128"/>
      <c r="I204" s="128"/>
      <c r="J204" s="128"/>
      <c r="K204" s="128"/>
      <c r="Q204" s="128"/>
      <c r="R204" s="128"/>
      <c r="S204" s="128"/>
      <c r="U204" s="128"/>
      <c r="X204" s="128"/>
      <c r="Y204" s="128"/>
      <c r="Z204" s="128"/>
      <c r="AA204" s="128"/>
      <c r="AB204" s="128"/>
      <c r="AC204" s="128"/>
      <c r="AD204" s="128"/>
      <c r="AE204" s="128"/>
      <c r="AF204" s="128"/>
      <c r="AG204" s="128"/>
      <c r="AI204" s="128"/>
      <c r="AJ204" s="128"/>
      <c r="AY204" s="128"/>
      <c r="BN204" s="128"/>
      <c r="BQ204" s="128"/>
      <c r="BR204" s="128"/>
      <c r="BT204" s="128"/>
      <c r="BV204" s="128"/>
      <c r="BX204" s="128"/>
      <c r="CU204" s="128"/>
      <c r="CW204" s="128"/>
      <c r="DN204" s="128"/>
      <c r="DP204" s="128"/>
      <c r="DR204" s="128"/>
      <c r="DV204" s="128"/>
      <c r="DX204" s="128"/>
      <c r="DY204" s="128"/>
      <c r="EA204" s="128"/>
      <c r="EB204" s="128"/>
      <c r="EC204" s="128"/>
      <c r="EG204" s="128"/>
      <c r="EL204" s="128"/>
      <c r="EM204" s="128"/>
      <c r="EO204" s="128"/>
      <c r="EQ204" s="128"/>
      <c r="ES204" s="128"/>
      <c r="EU204" s="128"/>
      <c r="EW204" s="128"/>
      <c r="EY204" s="128"/>
    </row>
    <row r="205" spans="3:155">
      <c r="C205" s="128"/>
      <c r="D205" s="128"/>
      <c r="E205" s="128"/>
      <c r="F205" s="128" t="str">
        <f>IF(E205 &lt;&gt; "", VLOOKUP(E205, '[2]Internal-logic'!G$1:I$364, 2, FALSE),"")</f>
        <v/>
      </c>
      <c r="G205" s="128" t="str">
        <f>IF(E205 &lt;&gt; "", VLOOKUP(E205, '[2]Internal-logic'!G$1:I$364, 3, FALSE),"")</f>
        <v/>
      </c>
      <c r="H205" s="128"/>
      <c r="I205" s="128"/>
      <c r="J205" s="128"/>
      <c r="K205" s="128"/>
      <c r="Q205" s="128"/>
      <c r="R205" s="128"/>
      <c r="S205" s="128"/>
      <c r="U205" s="128"/>
      <c r="X205" s="128"/>
      <c r="Y205" s="128"/>
      <c r="Z205" s="128"/>
      <c r="AA205" s="128"/>
      <c r="AB205" s="128"/>
      <c r="AC205" s="128"/>
      <c r="AD205" s="128"/>
      <c r="AE205" s="128"/>
      <c r="AF205" s="128"/>
      <c r="AG205" s="128"/>
      <c r="AI205" s="128"/>
      <c r="AJ205" s="128"/>
      <c r="AY205" s="128"/>
      <c r="BN205" s="128"/>
      <c r="BQ205" s="128"/>
      <c r="BR205" s="128"/>
      <c r="BT205" s="128"/>
      <c r="BV205" s="128"/>
      <c r="BX205" s="128"/>
      <c r="CU205" s="128"/>
      <c r="CW205" s="128"/>
      <c r="DN205" s="128"/>
      <c r="DP205" s="128"/>
      <c r="DR205" s="128"/>
      <c r="DV205" s="128"/>
      <c r="DX205" s="128"/>
      <c r="DY205" s="128"/>
      <c r="EA205" s="128"/>
      <c r="EB205" s="128"/>
      <c r="EC205" s="128"/>
      <c r="EG205" s="128"/>
      <c r="EL205" s="128"/>
      <c r="EM205" s="128"/>
      <c r="EO205" s="128"/>
      <c r="EQ205" s="128"/>
      <c r="ES205" s="128"/>
      <c r="EU205" s="128"/>
      <c r="EW205" s="128"/>
      <c r="EY205" s="128"/>
    </row>
    <row r="206" spans="3:155">
      <c r="C206" s="128"/>
      <c r="D206" s="128"/>
      <c r="E206" s="128"/>
      <c r="F206" s="128" t="str">
        <f>IF(E206 &lt;&gt; "", VLOOKUP(E206, '[2]Internal-logic'!G$1:I$364, 2, FALSE),"")</f>
        <v/>
      </c>
      <c r="G206" s="128" t="str">
        <f>IF(E206 &lt;&gt; "", VLOOKUP(E206, '[2]Internal-logic'!G$1:I$364, 3, FALSE),"")</f>
        <v/>
      </c>
      <c r="H206" s="128"/>
      <c r="I206" s="128"/>
      <c r="J206" s="128"/>
      <c r="K206" s="128"/>
      <c r="Q206" s="128"/>
      <c r="R206" s="128"/>
      <c r="S206" s="128"/>
      <c r="U206" s="128"/>
      <c r="X206" s="128"/>
      <c r="Y206" s="128"/>
      <c r="Z206" s="128"/>
      <c r="AA206" s="128"/>
      <c r="AB206" s="128"/>
      <c r="AC206" s="128"/>
      <c r="AD206" s="128"/>
      <c r="AE206" s="128"/>
      <c r="AF206" s="128"/>
      <c r="AG206" s="128"/>
      <c r="AI206" s="128"/>
      <c r="AJ206" s="128"/>
      <c r="AY206" s="128"/>
      <c r="BN206" s="128"/>
      <c r="BQ206" s="128"/>
      <c r="BR206" s="128"/>
      <c r="BT206" s="128"/>
      <c r="BV206" s="128"/>
      <c r="BX206" s="128"/>
      <c r="CU206" s="128"/>
      <c r="CW206" s="128"/>
      <c r="DN206" s="128"/>
      <c r="DP206" s="128"/>
      <c r="DR206" s="128"/>
      <c r="DV206" s="128"/>
      <c r="DX206" s="128"/>
      <c r="DY206" s="128"/>
      <c r="EA206" s="128"/>
      <c r="EB206" s="128"/>
      <c r="EC206" s="128"/>
      <c r="EG206" s="128"/>
      <c r="EL206" s="128"/>
      <c r="EM206" s="128"/>
      <c r="EO206" s="128"/>
      <c r="EQ206" s="128"/>
      <c r="ES206" s="128"/>
      <c r="EU206" s="128"/>
      <c r="EW206" s="128"/>
      <c r="EY206" s="128"/>
    </row>
    <row r="207" spans="3:155">
      <c r="C207" s="128"/>
      <c r="D207" s="128"/>
      <c r="E207" s="128"/>
      <c r="F207" s="128" t="str">
        <f>IF(E207 &lt;&gt; "", VLOOKUP(E207, '[2]Internal-logic'!G$1:I$364, 2, FALSE),"")</f>
        <v/>
      </c>
      <c r="G207" s="128" t="str">
        <f>IF(E207 &lt;&gt; "", VLOOKUP(E207, '[2]Internal-logic'!G$1:I$364, 3, FALSE),"")</f>
        <v/>
      </c>
      <c r="H207" s="128"/>
      <c r="I207" s="128"/>
      <c r="J207" s="128"/>
      <c r="K207" s="128"/>
      <c r="Q207" s="128"/>
      <c r="R207" s="128"/>
      <c r="S207" s="128"/>
      <c r="U207" s="128"/>
      <c r="X207" s="128"/>
      <c r="Y207" s="128"/>
      <c r="Z207" s="128"/>
      <c r="AA207" s="128"/>
      <c r="AB207" s="128"/>
      <c r="AC207" s="128"/>
      <c r="AD207" s="128"/>
      <c r="AE207" s="128"/>
      <c r="AF207" s="128"/>
      <c r="AG207" s="128"/>
      <c r="AI207" s="128"/>
      <c r="AJ207" s="128"/>
      <c r="AY207" s="128"/>
      <c r="BN207" s="128"/>
      <c r="BQ207" s="128"/>
      <c r="BR207" s="128"/>
      <c r="BT207" s="128"/>
      <c r="BV207" s="128"/>
      <c r="BX207" s="128"/>
      <c r="CU207" s="128"/>
      <c r="CW207" s="128"/>
      <c r="DN207" s="128"/>
      <c r="DP207" s="128"/>
      <c r="DR207" s="128"/>
      <c r="DV207" s="128"/>
      <c r="DX207" s="128"/>
      <c r="DY207" s="128"/>
      <c r="EA207" s="128"/>
      <c r="EB207" s="128"/>
      <c r="EC207" s="128"/>
      <c r="EG207" s="128"/>
      <c r="EL207" s="128"/>
      <c r="EM207" s="128"/>
      <c r="EO207" s="128"/>
      <c r="EQ207" s="128"/>
      <c r="ES207" s="128"/>
      <c r="EU207" s="128"/>
      <c r="EW207" s="128"/>
      <c r="EY207" s="128"/>
    </row>
    <row r="208" spans="3:155">
      <c r="C208" s="128"/>
      <c r="D208" s="128"/>
      <c r="E208" s="128"/>
      <c r="F208" s="128" t="str">
        <f>IF(E208 &lt;&gt; "", VLOOKUP(E208, '[2]Internal-logic'!G$1:I$364, 2, FALSE),"")</f>
        <v/>
      </c>
      <c r="G208" s="128" t="str">
        <f>IF(E208 &lt;&gt; "", VLOOKUP(E208, '[2]Internal-logic'!G$1:I$364, 3, FALSE),"")</f>
        <v/>
      </c>
      <c r="H208" s="128"/>
      <c r="I208" s="128"/>
      <c r="J208" s="128"/>
      <c r="K208" s="128"/>
      <c r="Q208" s="128"/>
      <c r="R208" s="128"/>
      <c r="S208" s="128"/>
      <c r="U208" s="128"/>
      <c r="X208" s="128"/>
      <c r="Y208" s="128"/>
      <c r="Z208" s="128"/>
      <c r="AA208" s="128"/>
      <c r="AB208" s="128"/>
      <c r="AC208" s="128"/>
      <c r="AD208" s="128"/>
      <c r="AE208" s="128"/>
      <c r="AF208" s="128"/>
      <c r="AG208" s="128"/>
      <c r="AI208" s="128"/>
      <c r="AJ208" s="128"/>
      <c r="AY208" s="128"/>
      <c r="BN208" s="128"/>
      <c r="BQ208" s="128"/>
      <c r="BR208" s="128"/>
      <c r="BT208" s="128"/>
      <c r="BV208" s="128"/>
      <c r="BX208" s="128"/>
      <c r="CU208" s="128"/>
      <c r="CW208" s="128"/>
      <c r="DN208" s="128"/>
      <c r="DP208" s="128"/>
      <c r="DR208" s="128"/>
      <c r="DV208" s="128"/>
      <c r="DX208" s="128"/>
      <c r="DY208" s="128"/>
      <c r="EA208" s="128"/>
      <c r="EB208" s="128"/>
      <c r="EC208" s="128"/>
      <c r="EG208" s="128"/>
      <c r="EL208" s="128"/>
      <c r="EM208" s="128"/>
      <c r="EO208" s="128"/>
      <c r="EQ208" s="128"/>
      <c r="ES208" s="128"/>
      <c r="EU208" s="128"/>
      <c r="EW208" s="128"/>
      <c r="EY208" s="128"/>
    </row>
    <row r="209" spans="3:155">
      <c r="C209" s="128"/>
      <c r="D209" s="128"/>
      <c r="E209" s="128"/>
      <c r="F209" s="128" t="str">
        <f>IF(E209 &lt;&gt; "", VLOOKUP(E209, '[2]Internal-logic'!G$1:I$364, 2, FALSE),"")</f>
        <v/>
      </c>
      <c r="G209" s="128" t="str">
        <f>IF(E209 &lt;&gt; "", VLOOKUP(E209, '[2]Internal-logic'!G$1:I$364, 3, FALSE),"")</f>
        <v/>
      </c>
      <c r="H209" s="128"/>
      <c r="I209" s="128"/>
      <c r="J209" s="128"/>
      <c r="K209" s="128"/>
      <c r="Q209" s="128"/>
      <c r="R209" s="128"/>
      <c r="S209" s="128"/>
      <c r="U209" s="128"/>
      <c r="X209" s="128"/>
      <c r="Y209" s="128"/>
      <c r="Z209" s="128"/>
      <c r="AA209" s="128"/>
      <c r="AB209" s="128"/>
      <c r="AC209" s="128"/>
      <c r="AD209" s="128"/>
      <c r="AE209" s="128"/>
      <c r="AF209" s="128"/>
      <c r="AG209" s="128"/>
      <c r="AI209" s="128"/>
      <c r="AJ209" s="128"/>
      <c r="AY209" s="128"/>
      <c r="BN209" s="128"/>
      <c r="BQ209" s="128"/>
      <c r="BR209" s="128"/>
      <c r="BT209" s="128"/>
      <c r="BV209" s="128"/>
      <c r="BX209" s="128"/>
      <c r="CU209" s="128"/>
      <c r="CW209" s="128"/>
      <c r="DN209" s="128"/>
      <c r="DP209" s="128"/>
      <c r="DR209" s="128"/>
      <c r="DV209" s="128"/>
      <c r="DX209" s="128"/>
      <c r="DY209" s="128"/>
      <c r="EA209" s="128"/>
      <c r="EB209" s="128"/>
      <c r="EC209" s="128"/>
      <c r="EG209" s="128"/>
      <c r="EL209" s="128"/>
      <c r="EM209" s="128"/>
      <c r="EO209" s="128"/>
      <c r="EQ209" s="128"/>
      <c r="ES209" s="128"/>
      <c r="EU209" s="128"/>
      <c r="EW209" s="128"/>
      <c r="EY209" s="128"/>
    </row>
    <row r="210" spans="3:155">
      <c r="C210" s="128"/>
      <c r="D210" s="128"/>
      <c r="E210" s="128"/>
      <c r="F210" s="128" t="str">
        <f>IF(E210 &lt;&gt; "", VLOOKUP(E210, '[2]Internal-logic'!G$1:I$364, 2, FALSE),"")</f>
        <v/>
      </c>
      <c r="G210" s="128" t="str">
        <f>IF(E210 &lt;&gt; "", VLOOKUP(E210, '[2]Internal-logic'!G$1:I$364, 3, FALSE),"")</f>
        <v/>
      </c>
      <c r="H210" s="128"/>
      <c r="I210" s="128"/>
      <c r="J210" s="128"/>
      <c r="K210" s="128"/>
      <c r="Q210" s="128"/>
      <c r="R210" s="128"/>
      <c r="S210" s="128"/>
      <c r="U210" s="128"/>
      <c r="X210" s="128"/>
      <c r="Y210" s="128"/>
      <c r="Z210" s="128"/>
      <c r="AA210" s="128"/>
      <c r="AB210" s="128"/>
      <c r="AC210" s="128"/>
      <c r="AD210" s="128"/>
      <c r="AE210" s="128"/>
      <c r="AF210" s="128"/>
      <c r="AG210" s="128"/>
      <c r="AI210" s="128"/>
      <c r="AJ210" s="128"/>
      <c r="AY210" s="128"/>
      <c r="BN210" s="128"/>
      <c r="BQ210" s="128"/>
      <c r="BR210" s="128"/>
      <c r="BT210" s="128"/>
      <c r="BV210" s="128"/>
      <c r="BX210" s="128"/>
      <c r="CU210" s="128"/>
      <c r="CW210" s="128"/>
      <c r="DN210" s="128"/>
      <c r="DP210" s="128"/>
      <c r="DR210" s="128"/>
      <c r="DV210" s="128"/>
      <c r="DX210" s="128"/>
      <c r="DY210" s="128"/>
      <c r="EA210" s="128"/>
      <c r="EB210" s="128"/>
      <c r="EC210" s="128"/>
      <c r="EG210" s="128"/>
      <c r="EL210" s="128"/>
      <c r="EM210" s="128"/>
      <c r="EO210" s="128"/>
      <c r="EQ210" s="128"/>
      <c r="ES210" s="128"/>
      <c r="EU210" s="128"/>
      <c r="EW210" s="128"/>
      <c r="EY210" s="128"/>
    </row>
    <row r="211" spans="3:155">
      <c r="C211" s="128"/>
      <c r="D211" s="128"/>
      <c r="E211" s="128"/>
      <c r="F211" s="128" t="str">
        <f>IF(E211 &lt;&gt; "", VLOOKUP(E211, '[2]Internal-logic'!G$1:I$364, 2, FALSE),"")</f>
        <v/>
      </c>
      <c r="G211" s="128" t="str">
        <f>IF(E211 &lt;&gt; "", VLOOKUP(E211, '[2]Internal-logic'!G$1:I$364, 3, FALSE),"")</f>
        <v/>
      </c>
      <c r="H211" s="128"/>
      <c r="I211" s="128"/>
      <c r="J211" s="128"/>
      <c r="K211" s="128"/>
      <c r="Q211" s="128"/>
      <c r="R211" s="128"/>
      <c r="S211" s="128"/>
      <c r="U211" s="128"/>
      <c r="X211" s="128"/>
      <c r="Y211" s="128"/>
      <c r="Z211" s="128"/>
      <c r="AA211" s="128"/>
      <c r="AB211" s="128"/>
      <c r="AC211" s="128"/>
      <c r="AD211" s="128"/>
      <c r="AE211" s="128"/>
      <c r="AF211" s="128"/>
      <c r="AG211" s="128"/>
      <c r="AI211" s="128"/>
      <c r="AJ211" s="128"/>
      <c r="AY211" s="128"/>
      <c r="BN211" s="128"/>
      <c r="BQ211" s="128"/>
      <c r="BR211" s="128"/>
      <c r="BT211" s="128"/>
      <c r="BV211" s="128"/>
      <c r="BX211" s="128"/>
      <c r="CU211" s="128"/>
      <c r="CW211" s="128"/>
      <c r="DN211" s="128"/>
      <c r="DP211" s="128"/>
      <c r="DR211" s="128"/>
      <c r="DV211" s="128"/>
      <c r="DX211" s="128"/>
      <c r="DY211" s="128"/>
      <c r="EA211" s="128"/>
      <c r="EB211" s="128"/>
      <c r="EC211" s="128"/>
      <c r="EG211" s="128"/>
      <c r="EL211" s="128"/>
      <c r="EM211" s="128"/>
      <c r="EO211" s="128"/>
      <c r="EQ211" s="128"/>
      <c r="ES211" s="128"/>
      <c r="EU211" s="128"/>
      <c r="EW211" s="128"/>
      <c r="EY211" s="128"/>
    </row>
    <row r="212" spans="3:155">
      <c r="C212" s="128"/>
      <c r="D212" s="128"/>
      <c r="E212" s="128"/>
      <c r="F212" s="128" t="str">
        <f>IF(E212 &lt;&gt; "", VLOOKUP(E212, '[2]Internal-logic'!G$1:I$364, 2, FALSE),"")</f>
        <v/>
      </c>
      <c r="G212" s="128" t="str">
        <f>IF(E212 &lt;&gt; "", VLOOKUP(E212, '[2]Internal-logic'!G$1:I$364, 3, FALSE),"")</f>
        <v/>
      </c>
      <c r="H212" s="128"/>
      <c r="I212" s="128"/>
      <c r="J212" s="128"/>
      <c r="K212" s="128"/>
      <c r="Q212" s="128"/>
      <c r="R212" s="128"/>
      <c r="S212" s="128"/>
      <c r="U212" s="128"/>
      <c r="X212" s="128"/>
      <c r="Y212" s="128"/>
      <c r="Z212" s="128"/>
      <c r="AA212" s="128"/>
      <c r="AB212" s="128"/>
      <c r="AC212" s="128"/>
      <c r="AD212" s="128"/>
      <c r="AE212" s="128"/>
      <c r="AF212" s="128"/>
      <c r="AG212" s="128"/>
      <c r="AI212" s="128"/>
      <c r="AJ212" s="128"/>
      <c r="AY212" s="128"/>
      <c r="BN212" s="128"/>
      <c r="BQ212" s="128"/>
      <c r="BR212" s="128"/>
      <c r="BT212" s="128"/>
      <c r="BV212" s="128"/>
      <c r="BX212" s="128"/>
      <c r="CU212" s="128"/>
      <c r="CW212" s="128"/>
      <c r="DN212" s="128"/>
      <c r="DP212" s="128"/>
      <c r="DR212" s="128"/>
      <c r="DV212" s="128"/>
      <c r="DX212" s="128"/>
      <c r="DY212" s="128"/>
      <c r="EA212" s="128"/>
      <c r="EB212" s="128"/>
      <c r="EC212" s="128"/>
      <c r="EG212" s="128"/>
      <c r="EL212" s="128"/>
      <c r="EM212" s="128"/>
      <c r="EO212" s="128"/>
      <c r="EQ212" s="128"/>
      <c r="ES212" s="128"/>
      <c r="EU212" s="128"/>
      <c r="EW212" s="128"/>
      <c r="EY212" s="128"/>
    </row>
    <row r="213" spans="3:155">
      <c r="C213" s="128"/>
      <c r="D213" s="128"/>
      <c r="E213" s="128"/>
      <c r="F213" s="128" t="str">
        <f>IF(E213 &lt;&gt; "", VLOOKUP(E213, '[2]Internal-logic'!G$1:I$364, 2, FALSE),"")</f>
        <v/>
      </c>
      <c r="G213" s="128" t="str">
        <f>IF(E213 &lt;&gt; "", VLOOKUP(E213, '[2]Internal-logic'!G$1:I$364, 3, FALSE),"")</f>
        <v/>
      </c>
      <c r="H213" s="128"/>
      <c r="I213" s="128"/>
      <c r="J213" s="128"/>
      <c r="K213" s="128"/>
      <c r="Q213" s="128"/>
      <c r="R213" s="128"/>
      <c r="S213" s="128"/>
      <c r="U213" s="128"/>
      <c r="X213" s="128"/>
      <c r="Y213" s="128"/>
      <c r="Z213" s="128"/>
      <c r="AA213" s="128"/>
      <c r="AB213" s="128"/>
      <c r="AC213" s="128"/>
      <c r="AD213" s="128"/>
      <c r="AE213" s="128"/>
      <c r="AF213" s="128"/>
      <c r="AG213" s="128"/>
      <c r="AI213" s="128"/>
      <c r="AJ213" s="128"/>
      <c r="AY213" s="128"/>
      <c r="BN213" s="128"/>
      <c r="BQ213" s="128"/>
      <c r="BR213" s="128"/>
      <c r="BT213" s="128"/>
      <c r="BV213" s="128"/>
      <c r="BX213" s="128"/>
      <c r="CU213" s="128"/>
      <c r="CW213" s="128"/>
      <c r="DN213" s="128"/>
      <c r="DP213" s="128"/>
      <c r="DR213" s="128"/>
      <c r="DV213" s="128"/>
      <c r="DX213" s="128"/>
      <c r="DY213" s="128"/>
      <c r="EA213" s="128"/>
      <c r="EB213" s="128"/>
      <c r="EC213" s="128"/>
      <c r="EG213" s="128"/>
      <c r="EL213" s="128"/>
      <c r="EM213" s="128"/>
      <c r="EO213" s="128"/>
      <c r="EQ213" s="128"/>
      <c r="ES213" s="128"/>
      <c r="EU213" s="128"/>
      <c r="EW213" s="128"/>
      <c r="EY213" s="128"/>
    </row>
    <row r="214" spans="3:155">
      <c r="C214" s="128"/>
      <c r="D214" s="128"/>
      <c r="E214" s="128"/>
      <c r="F214" s="128" t="str">
        <f>IF(E214 &lt;&gt; "", VLOOKUP(E214, '[2]Internal-logic'!G$1:I$364, 2, FALSE),"")</f>
        <v/>
      </c>
      <c r="G214" s="128" t="str">
        <f>IF(E214 &lt;&gt; "", VLOOKUP(E214, '[2]Internal-logic'!G$1:I$364, 3, FALSE),"")</f>
        <v/>
      </c>
      <c r="H214" s="128"/>
      <c r="I214" s="128"/>
      <c r="J214" s="128"/>
      <c r="K214" s="128"/>
      <c r="Q214" s="128"/>
      <c r="R214" s="128"/>
      <c r="S214" s="128"/>
      <c r="U214" s="128"/>
      <c r="X214" s="128"/>
      <c r="Y214" s="128"/>
      <c r="Z214" s="128"/>
      <c r="AA214" s="128"/>
      <c r="AB214" s="128"/>
      <c r="AC214" s="128"/>
      <c r="AD214" s="128"/>
      <c r="AE214" s="128"/>
      <c r="AF214" s="128"/>
      <c r="AG214" s="128"/>
      <c r="AI214" s="128"/>
      <c r="AJ214" s="128"/>
      <c r="AY214" s="128"/>
      <c r="BN214" s="128"/>
      <c r="BQ214" s="128"/>
      <c r="BR214" s="128"/>
      <c r="BT214" s="128"/>
      <c r="BV214" s="128"/>
      <c r="BX214" s="128"/>
      <c r="CU214" s="128"/>
      <c r="CW214" s="128"/>
      <c r="DN214" s="128"/>
      <c r="DP214" s="128"/>
      <c r="DR214" s="128"/>
      <c r="DV214" s="128"/>
      <c r="DX214" s="128"/>
      <c r="DY214" s="128"/>
      <c r="EA214" s="128"/>
      <c r="EB214" s="128"/>
      <c r="EC214" s="128"/>
      <c r="EG214" s="128"/>
      <c r="EL214" s="128"/>
      <c r="EM214" s="128"/>
      <c r="EO214" s="128"/>
      <c r="EQ214" s="128"/>
      <c r="ES214" s="128"/>
      <c r="EU214" s="128"/>
      <c r="EW214" s="128"/>
      <c r="EY214" s="128"/>
    </row>
    <row r="215" spans="3:155">
      <c r="C215" s="128"/>
      <c r="D215" s="128"/>
      <c r="E215" s="128"/>
      <c r="F215" s="128" t="str">
        <f>IF(E215 &lt;&gt; "", VLOOKUP(E215, '[2]Internal-logic'!G$1:I$364, 2, FALSE),"")</f>
        <v/>
      </c>
      <c r="G215" s="128" t="str">
        <f>IF(E215 &lt;&gt; "", VLOOKUP(E215, '[2]Internal-logic'!G$1:I$364, 3, FALSE),"")</f>
        <v/>
      </c>
      <c r="H215" s="128"/>
      <c r="I215" s="128"/>
      <c r="J215" s="128"/>
      <c r="K215" s="128"/>
      <c r="Q215" s="128"/>
      <c r="R215" s="128"/>
      <c r="S215" s="128"/>
      <c r="U215" s="128"/>
      <c r="X215" s="128"/>
      <c r="Y215" s="128"/>
      <c r="Z215" s="128"/>
      <c r="AA215" s="128"/>
      <c r="AB215" s="128"/>
      <c r="AC215" s="128"/>
      <c r="AD215" s="128"/>
      <c r="AE215" s="128"/>
      <c r="AF215" s="128"/>
      <c r="AG215" s="128"/>
      <c r="AI215" s="128"/>
      <c r="AJ215" s="128"/>
      <c r="AY215" s="128"/>
      <c r="BN215" s="128"/>
      <c r="BQ215" s="128"/>
      <c r="BR215" s="128"/>
      <c r="BT215" s="128"/>
      <c r="BV215" s="128"/>
      <c r="BX215" s="128"/>
      <c r="CU215" s="128"/>
      <c r="CW215" s="128"/>
      <c r="DN215" s="128"/>
      <c r="DP215" s="128"/>
      <c r="DR215" s="128"/>
      <c r="DV215" s="128"/>
      <c r="DX215" s="128"/>
      <c r="DY215" s="128"/>
      <c r="EA215" s="128"/>
      <c r="EB215" s="128"/>
      <c r="EC215" s="128"/>
      <c r="EG215" s="128"/>
      <c r="EL215" s="128"/>
      <c r="EM215" s="128"/>
      <c r="EO215" s="128"/>
      <c r="EQ215" s="128"/>
      <c r="ES215" s="128"/>
      <c r="EU215" s="128"/>
      <c r="EW215" s="128"/>
      <c r="EY215" s="128"/>
    </row>
    <row r="216" spans="3:155">
      <c r="C216" s="128"/>
      <c r="D216" s="128"/>
      <c r="E216" s="128"/>
      <c r="F216" s="128" t="str">
        <f>IF(E216 &lt;&gt; "", VLOOKUP(E216, '[2]Internal-logic'!G$1:I$364, 2, FALSE),"")</f>
        <v/>
      </c>
      <c r="G216" s="128" t="str">
        <f>IF(E216 &lt;&gt; "", VLOOKUP(E216, '[2]Internal-logic'!G$1:I$364, 3, FALSE),"")</f>
        <v/>
      </c>
      <c r="H216" s="128"/>
      <c r="I216" s="128"/>
      <c r="J216" s="128"/>
      <c r="K216" s="128"/>
      <c r="Q216" s="128"/>
      <c r="R216" s="128"/>
      <c r="S216" s="128"/>
      <c r="U216" s="128"/>
      <c r="X216" s="128"/>
      <c r="Y216" s="128"/>
      <c r="Z216" s="128"/>
      <c r="AA216" s="128"/>
      <c r="AB216" s="128"/>
      <c r="AC216" s="128"/>
      <c r="AD216" s="128"/>
      <c r="AE216" s="128"/>
      <c r="AF216" s="128"/>
      <c r="AG216" s="128"/>
      <c r="AI216" s="128"/>
      <c r="AJ216" s="128"/>
      <c r="AY216" s="128"/>
      <c r="BN216" s="128"/>
      <c r="BQ216" s="128"/>
      <c r="BR216" s="128"/>
      <c r="BT216" s="128"/>
      <c r="BV216" s="128"/>
      <c r="BX216" s="128"/>
      <c r="CU216" s="128"/>
      <c r="CW216" s="128"/>
      <c r="DN216" s="128"/>
      <c r="DP216" s="128"/>
      <c r="DR216" s="128"/>
      <c r="DV216" s="128"/>
      <c r="DX216" s="128"/>
      <c r="DY216" s="128"/>
      <c r="EA216" s="128"/>
      <c r="EB216" s="128"/>
      <c r="EC216" s="128"/>
      <c r="EG216" s="128"/>
      <c r="EL216" s="128"/>
      <c r="EM216" s="128"/>
      <c r="EO216" s="128"/>
      <c r="EQ216" s="128"/>
      <c r="ES216" s="128"/>
      <c r="EU216" s="128"/>
      <c r="EW216" s="128"/>
      <c r="EY216" s="128"/>
    </row>
    <row r="217" spans="3:155">
      <c r="C217" s="128"/>
      <c r="D217" s="128"/>
      <c r="E217" s="128"/>
      <c r="F217" s="128" t="str">
        <f>IF(E217 &lt;&gt; "", VLOOKUP(E217, '[2]Internal-logic'!G$1:I$364, 2, FALSE),"")</f>
        <v/>
      </c>
      <c r="G217" s="128" t="str">
        <f>IF(E217 &lt;&gt; "", VLOOKUP(E217, '[2]Internal-logic'!G$1:I$364, 3, FALSE),"")</f>
        <v/>
      </c>
      <c r="H217" s="128"/>
      <c r="I217" s="128"/>
      <c r="J217" s="128"/>
      <c r="K217" s="128"/>
      <c r="Q217" s="128"/>
      <c r="R217" s="128"/>
      <c r="S217" s="128"/>
      <c r="U217" s="128"/>
      <c r="X217" s="128"/>
      <c r="Y217" s="128"/>
      <c r="Z217" s="128"/>
      <c r="AA217" s="128"/>
      <c r="AB217" s="128"/>
      <c r="AC217" s="128"/>
      <c r="AD217" s="128"/>
      <c r="AE217" s="128"/>
      <c r="AF217" s="128"/>
      <c r="AG217" s="128"/>
      <c r="AI217" s="128"/>
      <c r="AJ217" s="128"/>
      <c r="AY217" s="128"/>
      <c r="BN217" s="128"/>
      <c r="BQ217" s="128"/>
      <c r="BR217" s="128"/>
      <c r="BT217" s="128"/>
      <c r="BV217" s="128"/>
      <c r="BX217" s="128"/>
      <c r="CU217" s="128"/>
      <c r="CW217" s="128"/>
      <c r="DN217" s="128"/>
      <c r="DP217" s="128"/>
      <c r="DR217" s="128"/>
      <c r="DV217" s="128"/>
      <c r="DX217" s="128"/>
      <c r="DY217" s="128"/>
      <c r="EA217" s="128"/>
      <c r="EB217" s="128"/>
      <c r="EC217" s="128"/>
      <c r="EG217" s="128"/>
      <c r="EL217" s="128"/>
      <c r="EM217" s="128"/>
      <c r="EO217" s="128"/>
      <c r="EQ217" s="128"/>
      <c r="ES217" s="128"/>
      <c r="EU217" s="128"/>
      <c r="EW217" s="128"/>
      <c r="EY217" s="128"/>
    </row>
    <row r="218" spans="3:155">
      <c r="C218" s="128"/>
      <c r="D218" s="128"/>
      <c r="E218" s="128"/>
      <c r="F218" s="128" t="str">
        <f>IF(E218 &lt;&gt; "", VLOOKUP(E218, '[2]Internal-logic'!G$1:I$364, 2, FALSE),"")</f>
        <v/>
      </c>
      <c r="G218" s="128" t="str">
        <f>IF(E218 &lt;&gt; "", VLOOKUP(E218, '[2]Internal-logic'!G$1:I$364, 3, FALSE),"")</f>
        <v/>
      </c>
      <c r="H218" s="128"/>
      <c r="I218" s="128"/>
      <c r="J218" s="128"/>
      <c r="K218" s="128"/>
      <c r="Q218" s="128"/>
      <c r="R218" s="128"/>
      <c r="S218" s="128"/>
      <c r="U218" s="128"/>
      <c r="X218" s="128"/>
      <c r="Y218" s="128"/>
      <c r="Z218" s="128"/>
      <c r="AA218" s="128"/>
      <c r="AB218" s="128"/>
      <c r="AC218" s="128"/>
      <c r="AD218" s="128"/>
      <c r="AE218" s="128"/>
      <c r="AF218" s="128"/>
      <c r="AG218" s="128"/>
      <c r="AI218" s="128"/>
      <c r="AJ218" s="128"/>
      <c r="AY218" s="128"/>
      <c r="BN218" s="128"/>
      <c r="BQ218" s="128"/>
      <c r="BR218" s="128"/>
      <c r="BT218" s="128"/>
      <c r="BV218" s="128"/>
      <c r="BX218" s="128"/>
      <c r="CU218" s="128"/>
      <c r="CW218" s="128"/>
      <c r="DN218" s="128"/>
      <c r="DP218" s="128"/>
      <c r="DR218" s="128"/>
      <c r="DV218" s="128"/>
      <c r="DX218" s="128"/>
      <c r="DY218" s="128"/>
      <c r="EA218" s="128"/>
      <c r="EB218" s="128"/>
      <c r="EC218" s="128"/>
      <c r="EG218" s="128"/>
      <c r="EL218" s="128"/>
      <c r="EM218" s="128"/>
      <c r="EO218" s="128"/>
      <c r="EQ218" s="128"/>
      <c r="ES218" s="128"/>
      <c r="EU218" s="128"/>
      <c r="EW218" s="128"/>
      <c r="EY218" s="128"/>
    </row>
    <row r="219" spans="3:155">
      <c r="C219" s="128"/>
      <c r="D219" s="128"/>
      <c r="E219" s="128"/>
      <c r="F219" s="128" t="str">
        <f>IF(E219 &lt;&gt; "", VLOOKUP(E219, '[2]Internal-logic'!G$1:I$364, 2, FALSE),"")</f>
        <v/>
      </c>
      <c r="G219" s="128" t="str">
        <f>IF(E219 &lt;&gt; "", VLOOKUP(E219, '[2]Internal-logic'!G$1:I$364, 3, FALSE),"")</f>
        <v/>
      </c>
      <c r="H219" s="128"/>
      <c r="I219" s="128"/>
      <c r="J219" s="128"/>
      <c r="K219" s="128"/>
      <c r="Q219" s="128"/>
      <c r="R219" s="128"/>
      <c r="S219" s="128"/>
      <c r="U219" s="128"/>
      <c r="X219" s="128"/>
      <c r="Y219" s="128"/>
      <c r="Z219" s="128"/>
      <c r="AA219" s="128"/>
      <c r="AB219" s="128"/>
      <c r="AC219" s="128"/>
      <c r="AD219" s="128"/>
      <c r="AE219" s="128"/>
      <c r="AF219" s="128"/>
      <c r="AG219" s="128"/>
      <c r="AI219" s="128"/>
      <c r="AJ219" s="128"/>
      <c r="AY219" s="128"/>
      <c r="BN219" s="128"/>
      <c r="BQ219" s="128"/>
      <c r="BR219" s="128"/>
      <c r="BT219" s="128"/>
      <c r="BV219" s="128"/>
      <c r="BX219" s="128"/>
      <c r="CU219" s="128"/>
      <c r="CW219" s="128"/>
      <c r="DN219" s="128"/>
      <c r="DP219" s="128"/>
      <c r="DR219" s="128"/>
      <c r="DV219" s="128"/>
      <c r="DX219" s="128"/>
      <c r="DY219" s="128"/>
      <c r="EA219" s="128"/>
      <c r="EB219" s="128"/>
      <c r="EC219" s="128"/>
      <c r="EG219" s="128"/>
      <c r="EL219" s="128"/>
      <c r="EM219" s="128"/>
      <c r="EO219" s="128"/>
      <c r="EQ219" s="128"/>
      <c r="ES219" s="128"/>
      <c r="EU219" s="128"/>
      <c r="EW219" s="128"/>
      <c r="EY219" s="128"/>
    </row>
    <row r="220" spans="3:155">
      <c r="C220" s="128"/>
      <c r="D220" s="128"/>
      <c r="E220" s="128"/>
      <c r="F220" s="128" t="str">
        <f>IF(E220 &lt;&gt; "", VLOOKUP(E220, '[2]Internal-logic'!G$1:I$364, 2, FALSE),"")</f>
        <v/>
      </c>
      <c r="G220" s="128" t="str">
        <f>IF(E220 &lt;&gt; "", VLOOKUP(E220, '[2]Internal-logic'!G$1:I$364, 3, FALSE),"")</f>
        <v/>
      </c>
      <c r="H220" s="128"/>
      <c r="I220" s="128"/>
      <c r="J220" s="128"/>
      <c r="K220" s="128"/>
      <c r="Q220" s="128"/>
      <c r="R220" s="128"/>
      <c r="S220" s="128"/>
      <c r="U220" s="128"/>
      <c r="X220" s="128"/>
      <c r="Y220" s="128"/>
      <c r="Z220" s="128"/>
      <c r="AA220" s="128"/>
      <c r="AB220" s="128"/>
      <c r="AC220" s="128"/>
      <c r="AD220" s="128"/>
      <c r="AE220" s="128"/>
      <c r="AF220" s="128"/>
      <c r="AG220" s="128"/>
      <c r="AI220" s="128"/>
      <c r="AJ220" s="128"/>
      <c r="AY220" s="128"/>
      <c r="BN220" s="128"/>
      <c r="BQ220" s="128"/>
      <c r="BR220" s="128"/>
      <c r="BT220" s="128"/>
      <c r="BV220" s="128"/>
      <c r="BX220" s="128"/>
      <c r="CU220" s="128"/>
      <c r="CW220" s="128"/>
      <c r="DN220" s="128"/>
      <c r="DP220" s="128"/>
      <c r="DR220" s="128"/>
      <c r="DV220" s="128"/>
      <c r="DX220" s="128"/>
      <c r="DY220" s="128"/>
      <c r="EA220" s="128"/>
      <c r="EB220" s="128"/>
      <c r="EC220" s="128"/>
      <c r="EG220" s="128"/>
      <c r="EL220" s="128"/>
      <c r="EM220" s="128"/>
      <c r="EO220" s="128"/>
      <c r="EQ220" s="128"/>
      <c r="ES220" s="128"/>
      <c r="EU220" s="128"/>
      <c r="EW220" s="128"/>
      <c r="EY220" s="128"/>
    </row>
    <row r="221" spans="3:155">
      <c r="C221" s="128"/>
      <c r="D221" s="128"/>
      <c r="E221" s="128"/>
      <c r="F221" s="128" t="str">
        <f>IF(E221 &lt;&gt; "", VLOOKUP(E221, '[2]Internal-logic'!G$1:I$364, 2, FALSE),"")</f>
        <v/>
      </c>
      <c r="G221" s="128" t="str">
        <f>IF(E221 &lt;&gt; "", VLOOKUP(E221, '[2]Internal-logic'!G$1:I$364, 3, FALSE),"")</f>
        <v/>
      </c>
      <c r="H221" s="128"/>
      <c r="I221" s="128"/>
      <c r="J221" s="128"/>
      <c r="K221" s="128"/>
      <c r="Q221" s="128"/>
      <c r="R221" s="128"/>
      <c r="S221" s="128"/>
      <c r="U221" s="128"/>
      <c r="X221" s="128"/>
      <c r="Y221" s="128"/>
      <c r="Z221" s="128"/>
      <c r="AA221" s="128"/>
      <c r="AB221" s="128"/>
      <c r="AC221" s="128"/>
      <c r="AD221" s="128"/>
      <c r="AE221" s="128"/>
      <c r="AF221" s="128"/>
      <c r="AG221" s="128"/>
      <c r="AI221" s="128"/>
      <c r="AJ221" s="128"/>
      <c r="AY221" s="128"/>
      <c r="BN221" s="128"/>
      <c r="BQ221" s="128"/>
      <c r="BR221" s="128"/>
      <c r="BT221" s="128"/>
      <c r="BV221" s="128"/>
      <c r="BX221" s="128"/>
      <c r="CU221" s="128"/>
      <c r="CW221" s="128"/>
      <c r="DN221" s="128"/>
      <c r="DP221" s="128"/>
      <c r="DR221" s="128"/>
      <c r="DV221" s="128"/>
      <c r="DX221" s="128"/>
      <c r="DY221" s="128"/>
      <c r="EA221" s="128"/>
      <c r="EB221" s="128"/>
      <c r="EC221" s="128"/>
      <c r="EG221" s="128"/>
      <c r="EL221" s="128"/>
      <c r="EM221" s="128"/>
      <c r="EO221" s="128"/>
      <c r="EQ221" s="128"/>
      <c r="ES221" s="128"/>
      <c r="EU221" s="128"/>
      <c r="EW221" s="128"/>
      <c r="EY221" s="128"/>
    </row>
    <row r="222" spans="3:155">
      <c r="C222" s="128"/>
      <c r="D222" s="128"/>
      <c r="E222" s="128"/>
      <c r="F222" s="128" t="str">
        <f>IF(E222 &lt;&gt; "", VLOOKUP(E222, '[2]Internal-logic'!G$1:I$364, 2, FALSE),"")</f>
        <v/>
      </c>
      <c r="G222" s="128" t="str">
        <f>IF(E222 &lt;&gt; "", VLOOKUP(E222, '[2]Internal-logic'!G$1:I$364, 3, FALSE),"")</f>
        <v/>
      </c>
      <c r="H222" s="128"/>
      <c r="I222" s="128"/>
      <c r="J222" s="128"/>
      <c r="K222" s="128"/>
      <c r="Q222" s="128"/>
      <c r="R222" s="128"/>
      <c r="S222" s="128"/>
      <c r="U222" s="128"/>
      <c r="X222" s="128"/>
      <c r="Y222" s="128"/>
      <c r="Z222" s="128"/>
      <c r="AA222" s="128"/>
      <c r="AB222" s="128"/>
      <c r="AC222" s="128"/>
      <c r="AD222" s="128"/>
      <c r="AE222" s="128"/>
      <c r="AF222" s="128"/>
      <c r="AG222" s="128"/>
      <c r="AI222" s="128"/>
      <c r="AJ222" s="128"/>
      <c r="AY222" s="128"/>
      <c r="BN222" s="128"/>
      <c r="BQ222" s="128"/>
      <c r="BR222" s="128"/>
      <c r="BT222" s="128"/>
      <c r="BV222" s="128"/>
      <c r="BX222" s="128"/>
      <c r="CU222" s="128"/>
      <c r="CW222" s="128"/>
      <c r="DN222" s="128"/>
      <c r="DP222" s="128"/>
      <c r="DR222" s="128"/>
      <c r="DV222" s="128"/>
      <c r="DX222" s="128"/>
      <c r="DY222" s="128"/>
      <c r="EA222" s="128"/>
      <c r="EB222" s="128"/>
      <c r="EC222" s="128"/>
      <c r="EG222" s="128"/>
      <c r="EL222" s="128"/>
      <c r="EM222" s="128"/>
      <c r="EO222" s="128"/>
      <c r="EQ222" s="128"/>
      <c r="ES222" s="128"/>
      <c r="EU222" s="128"/>
      <c r="EW222" s="128"/>
      <c r="EY222" s="128"/>
    </row>
    <row r="223" spans="3:155">
      <c r="C223" s="128"/>
      <c r="D223" s="128"/>
      <c r="E223" s="128"/>
      <c r="F223" s="128" t="str">
        <f>IF(E223 &lt;&gt; "", VLOOKUP(E223, '[2]Internal-logic'!G$1:I$364, 2, FALSE),"")</f>
        <v/>
      </c>
      <c r="G223" s="128" t="str">
        <f>IF(E223 &lt;&gt; "", VLOOKUP(E223, '[2]Internal-logic'!G$1:I$364, 3, FALSE),"")</f>
        <v/>
      </c>
      <c r="H223" s="128"/>
      <c r="I223" s="128"/>
      <c r="J223" s="128"/>
      <c r="K223" s="128"/>
      <c r="Q223" s="128"/>
      <c r="R223" s="128"/>
      <c r="S223" s="128"/>
      <c r="U223" s="128"/>
      <c r="X223" s="128"/>
      <c r="Y223" s="128"/>
      <c r="Z223" s="128"/>
      <c r="AA223" s="128"/>
      <c r="AB223" s="128"/>
      <c r="AC223" s="128"/>
      <c r="AD223" s="128"/>
      <c r="AE223" s="128"/>
      <c r="AF223" s="128"/>
      <c r="AG223" s="128"/>
      <c r="AI223" s="128"/>
      <c r="AJ223" s="128"/>
      <c r="AY223" s="128"/>
      <c r="BN223" s="128"/>
      <c r="BQ223" s="128"/>
      <c r="BR223" s="128"/>
      <c r="BT223" s="128"/>
      <c r="BV223" s="128"/>
      <c r="BX223" s="128"/>
      <c r="CU223" s="128"/>
      <c r="CW223" s="128"/>
      <c r="DN223" s="128"/>
      <c r="DP223" s="128"/>
      <c r="DR223" s="128"/>
      <c r="DV223" s="128"/>
      <c r="DX223" s="128"/>
      <c r="DY223" s="128"/>
      <c r="EA223" s="128"/>
      <c r="EB223" s="128"/>
      <c r="EC223" s="128"/>
      <c r="EG223" s="128"/>
      <c r="EL223" s="128"/>
      <c r="EM223" s="128"/>
      <c r="EO223" s="128"/>
      <c r="EQ223" s="128"/>
      <c r="ES223" s="128"/>
      <c r="EU223" s="128"/>
      <c r="EW223" s="128"/>
      <c r="EY223" s="128"/>
    </row>
    <row r="224" spans="3:155">
      <c r="C224" s="128"/>
      <c r="D224" s="128"/>
      <c r="E224" s="128"/>
      <c r="F224" s="128" t="str">
        <f>IF(E224 &lt;&gt; "", VLOOKUP(E224, '[2]Internal-logic'!G$1:I$364, 2, FALSE),"")</f>
        <v/>
      </c>
      <c r="G224" s="128" t="str">
        <f>IF(E224 &lt;&gt; "", VLOOKUP(E224, '[2]Internal-logic'!G$1:I$364, 3, FALSE),"")</f>
        <v/>
      </c>
      <c r="H224" s="128"/>
      <c r="I224" s="128"/>
      <c r="J224" s="128"/>
      <c r="K224" s="128"/>
      <c r="Q224" s="128"/>
      <c r="R224" s="128"/>
      <c r="S224" s="128"/>
      <c r="U224" s="128"/>
      <c r="X224" s="128"/>
      <c r="Y224" s="128"/>
      <c r="Z224" s="128"/>
      <c r="AA224" s="128"/>
      <c r="AB224" s="128"/>
      <c r="AC224" s="128"/>
      <c r="AD224" s="128"/>
      <c r="AE224" s="128"/>
      <c r="AF224" s="128"/>
      <c r="AG224" s="128"/>
      <c r="AI224" s="128"/>
      <c r="AJ224" s="128"/>
      <c r="AY224" s="128"/>
      <c r="BN224" s="128"/>
      <c r="BQ224" s="128"/>
      <c r="BR224" s="128"/>
      <c r="BT224" s="128"/>
      <c r="BV224" s="128"/>
      <c r="BX224" s="128"/>
      <c r="CU224" s="128"/>
      <c r="CW224" s="128"/>
      <c r="DN224" s="128"/>
      <c r="DP224" s="128"/>
      <c r="DR224" s="128"/>
      <c r="DV224" s="128"/>
      <c r="DX224" s="128"/>
      <c r="DY224" s="128"/>
      <c r="EA224" s="128"/>
      <c r="EB224" s="128"/>
      <c r="EC224" s="128"/>
      <c r="EG224" s="128"/>
      <c r="EL224" s="128"/>
      <c r="EM224" s="128"/>
      <c r="EO224" s="128"/>
      <c r="EQ224" s="128"/>
      <c r="ES224" s="128"/>
      <c r="EU224" s="128"/>
      <c r="EW224" s="128"/>
      <c r="EY224" s="128"/>
    </row>
    <row r="225" spans="3:155">
      <c r="C225" s="128"/>
      <c r="D225" s="128"/>
      <c r="E225" s="128"/>
      <c r="F225" s="128" t="str">
        <f>IF(E225 &lt;&gt; "", VLOOKUP(E225, '[2]Internal-logic'!G$1:I$364, 2, FALSE),"")</f>
        <v/>
      </c>
      <c r="G225" s="128" t="str">
        <f>IF(E225 &lt;&gt; "", VLOOKUP(E225, '[2]Internal-logic'!G$1:I$364, 3, FALSE),"")</f>
        <v/>
      </c>
      <c r="H225" s="128"/>
      <c r="I225" s="128"/>
      <c r="J225" s="128"/>
      <c r="K225" s="128"/>
      <c r="Q225" s="128"/>
      <c r="R225" s="128"/>
      <c r="S225" s="128"/>
      <c r="U225" s="128"/>
      <c r="X225" s="128"/>
      <c r="Y225" s="128"/>
      <c r="Z225" s="128"/>
      <c r="AA225" s="128"/>
      <c r="AB225" s="128"/>
      <c r="AC225" s="128"/>
      <c r="AD225" s="128"/>
      <c r="AE225" s="128"/>
      <c r="AF225" s="128"/>
      <c r="AG225" s="128"/>
      <c r="AI225" s="128"/>
      <c r="AJ225" s="128"/>
      <c r="AY225" s="128"/>
      <c r="BN225" s="128"/>
      <c r="BQ225" s="128"/>
      <c r="BR225" s="128"/>
      <c r="BT225" s="128"/>
      <c r="BV225" s="128"/>
      <c r="BX225" s="128"/>
      <c r="CU225" s="128"/>
      <c r="CW225" s="128"/>
      <c r="DN225" s="128"/>
      <c r="DP225" s="128"/>
      <c r="DR225" s="128"/>
      <c r="DV225" s="128"/>
      <c r="DX225" s="128"/>
      <c r="DY225" s="128"/>
      <c r="EA225" s="128"/>
      <c r="EB225" s="128"/>
      <c r="EC225" s="128"/>
      <c r="EG225" s="128"/>
      <c r="EL225" s="128"/>
      <c r="EM225" s="128"/>
      <c r="EO225" s="128"/>
      <c r="EQ225" s="128"/>
      <c r="ES225" s="128"/>
      <c r="EU225" s="128"/>
      <c r="EW225" s="128"/>
      <c r="EY225" s="128"/>
    </row>
    <row r="226" spans="3:155">
      <c r="C226" s="128"/>
      <c r="D226" s="128"/>
      <c r="E226" s="128"/>
      <c r="F226" s="128" t="str">
        <f>IF(E226 &lt;&gt; "", VLOOKUP(E226, '[2]Internal-logic'!G$1:I$364, 2, FALSE),"")</f>
        <v/>
      </c>
      <c r="G226" s="128" t="str">
        <f>IF(E226 &lt;&gt; "", VLOOKUP(E226, '[2]Internal-logic'!G$1:I$364, 3, FALSE),"")</f>
        <v/>
      </c>
      <c r="H226" s="128"/>
      <c r="I226" s="128"/>
      <c r="J226" s="128"/>
      <c r="K226" s="128"/>
      <c r="Q226" s="128"/>
      <c r="R226" s="128"/>
      <c r="S226" s="128"/>
      <c r="U226" s="128"/>
      <c r="X226" s="128"/>
      <c r="Y226" s="128"/>
      <c r="Z226" s="128"/>
      <c r="AA226" s="128"/>
      <c r="AB226" s="128"/>
      <c r="AC226" s="128"/>
      <c r="AD226" s="128"/>
      <c r="AE226" s="128"/>
      <c r="AF226" s="128"/>
      <c r="AG226" s="128"/>
      <c r="AI226" s="128"/>
      <c r="AJ226" s="128"/>
      <c r="AY226" s="128"/>
      <c r="BN226" s="128"/>
      <c r="BQ226" s="128"/>
      <c r="BR226" s="128"/>
      <c r="BT226" s="128"/>
      <c r="BV226" s="128"/>
      <c r="BX226" s="128"/>
      <c r="CU226" s="128"/>
      <c r="CW226" s="128"/>
      <c r="DN226" s="128"/>
      <c r="DP226" s="128"/>
      <c r="DR226" s="128"/>
      <c r="DV226" s="128"/>
      <c r="DX226" s="128"/>
      <c r="DY226" s="128"/>
      <c r="EA226" s="128"/>
      <c r="EB226" s="128"/>
      <c r="EC226" s="128"/>
      <c r="EG226" s="128"/>
      <c r="EL226" s="128"/>
      <c r="EM226" s="128"/>
      <c r="EO226" s="128"/>
      <c r="EQ226" s="128"/>
      <c r="ES226" s="128"/>
      <c r="EU226" s="128"/>
      <c r="EW226" s="128"/>
      <c r="EY226" s="128"/>
    </row>
    <row r="227" spans="3:155">
      <c r="C227" s="128"/>
      <c r="D227" s="128"/>
      <c r="E227" s="128"/>
      <c r="F227" s="128" t="str">
        <f>IF(E227 &lt;&gt; "", VLOOKUP(E227, '[2]Internal-logic'!G$1:I$364, 2, FALSE),"")</f>
        <v/>
      </c>
      <c r="G227" s="128" t="str">
        <f>IF(E227 &lt;&gt; "", VLOOKUP(E227, '[2]Internal-logic'!G$1:I$364, 3, FALSE),"")</f>
        <v/>
      </c>
      <c r="H227" s="128"/>
      <c r="I227" s="128"/>
      <c r="J227" s="128"/>
      <c r="K227" s="128"/>
      <c r="Q227" s="128"/>
      <c r="R227" s="128"/>
      <c r="S227" s="128"/>
      <c r="U227" s="128"/>
      <c r="X227" s="128"/>
      <c r="Y227" s="128"/>
      <c r="Z227" s="128"/>
      <c r="AA227" s="128"/>
      <c r="AB227" s="128"/>
      <c r="AC227" s="128"/>
      <c r="AD227" s="128"/>
      <c r="AE227" s="128"/>
      <c r="AF227" s="128"/>
      <c r="AG227" s="128"/>
      <c r="AI227" s="128"/>
      <c r="AJ227" s="128"/>
      <c r="AY227" s="128"/>
      <c r="BN227" s="128"/>
      <c r="BQ227" s="128"/>
      <c r="BR227" s="128"/>
      <c r="BT227" s="128"/>
      <c r="BV227" s="128"/>
      <c r="BX227" s="128"/>
      <c r="CU227" s="128"/>
      <c r="CW227" s="128"/>
      <c r="DN227" s="128"/>
      <c r="DP227" s="128"/>
      <c r="DR227" s="128"/>
      <c r="DV227" s="128"/>
      <c r="DX227" s="128"/>
      <c r="DY227" s="128"/>
      <c r="EA227" s="128"/>
      <c r="EB227" s="128"/>
      <c r="EC227" s="128"/>
      <c r="EG227" s="128"/>
      <c r="EL227" s="128"/>
      <c r="EM227" s="128"/>
      <c r="EO227" s="128"/>
      <c r="EQ227" s="128"/>
      <c r="ES227" s="128"/>
      <c r="EU227" s="128"/>
      <c r="EW227" s="128"/>
      <c r="EY227" s="128"/>
    </row>
    <row r="228" spans="3:155">
      <c r="C228" s="128"/>
      <c r="D228" s="128"/>
      <c r="E228" s="128"/>
      <c r="F228" s="128" t="str">
        <f>IF(E228 &lt;&gt; "", VLOOKUP(E228, '[2]Internal-logic'!G$1:I$364, 2, FALSE),"")</f>
        <v/>
      </c>
      <c r="G228" s="128" t="str">
        <f>IF(E228 &lt;&gt; "", VLOOKUP(E228, '[2]Internal-logic'!G$1:I$364, 3, FALSE),"")</f>
        <v/>
      </c>
      <c r="H228" s="128"/>
      <c r="I228" s="128"/>
      <c r="J228" s="128"/>
      <c r="K228" s="128"/>
      <c r="Q228" s="128"/>
      <c r="R228" s="128"/>
      <c r="S228" s="128"/>
      <c r="U228" s="128"/>
      <c r="X228" s="128"/>
      <c r="Y228" s="128"/>
      <c r="Z228" s="128"/>
      <c r="AA228" s="128"/>
      <c r="AB228" s="128"/>
      <c r="AC228" s="128"/>
      <c r="AD228" s="128"/>
      <c r="AE228" s="128"/>
      <c r="AF228" s="128"/>
      <c r="AG228" s="128"/>
      <c r="AI228" s="128"/>
      <c r="AJ228" s="128"/>
      <c r="AY228" s="128"/>
      <c r="BN228" s="128"/>
      <c r="BQ228" s="128"/>
      <c r="BR228" s="128"/>
      <c r="BT228" s="128"/>
      <c r="BV228" s="128"/>
      <c r="BX228" s="128"/>
      <c r="CU228" s="128"/>
      <c r="CW228" s="128"/>
      <c r="DN228" s="128"/>
      <c r="DP228" s="128"/>
      <c r="DR228" s="128"/>
      <c r="DV228" s="128"/>
      <c r="DX228" s="128"/>
      <c r="DY228" s="128"/>
      <c r="EA228" s="128"/>
      <c r="EB228" s="128"/>
      <c r="EC228" s="128"/>
      <c r="EG228" s="128"/>
      <c r="EL228" s="128"/>
      <c r="EM228" s="128"/>
      <c r="EO228" s="128"/>
      <c r="EQ228" s="128"/>
      <c r="ES228" s="128"/>
      <c r="EU228" s="128"/>
      <c r="EW228" s="128"/>
      <c r="EY228" s="128"/>
    </row>
    <row r="229" spans="3:155">
      <c r="C229" s="128"/>
      <c r="D229" s="128"/>
      <c r="E229" s="128"/>
      <c r="F229" s="128" t="str">
        <f>IF(E229 &lt;&gt; "", VLOOKUP(E229, '[2]Internal-logic'!G$1:I$364, 2, FALSE),"")</f>
        <v/>
      </c>
      <c r="G229" s="128" t="str">
        <f>IF(E229 &lt;&gt; "", VLOOKUP(E229, '[2]Internal-logic'!G$1:I$364, 3, FALSE),"")</f>
        <v/>
      </c>
      <c r="H229" s="128"/>
      <c r="I229" s="128"/>
      <c r="J229" s="128"/>
      <c r="K229" s="128"/>
      <c r="Q229" s="128"/>
      <c r="R229" s="128"/>
      <c r="S229" s="128"/>
      <c r="U229" s="128"/>
      <c r="X229" s="128"/>
      <c r="Y229" s="128"/>
      <c r="Z229" s="128"/>
      <c r="AA229" s="128"/>
      <c r="AB229" s="128"/>
      <c r="AC229" s="128"/>
      <c r="AD229" s="128"/>
      <c r="AE229" s="128"/>
      <c r="AF229" s="128"/>
      <c r="AG229" s="128"/>
      <c r="AI229" s="128"/>
      <c r="AJ229" s="128"/>
      <c r="AY229" s="128"/>
      <c r="BN229" s="128"/>
      <c r="BQ229" s="128"/>
      <c r="BR229" s="128"/>
      <c r="BT229" s="128"/>
      <c r="BV229" s="128"/>
      <c r="BX229" s="128"/>
      <c r="CU229" s="128"/>
      <c r="CW229" s="128"/>
      <c r="DN229" s="128"/>
      <c r="DP229" s="128"/>
      <c r="DR229" s="128"/>
      <c r="DV229" s="128"/>
      <c r="DX229" s="128"/>
      <c r="DY229" s="128"/>
      <c r="EA229" s="128"/>
      <c r="EB229" s="128"/>
      <c r="EC229" s="128"/>
      <c r="EG229" s="128"/>
      <c r="EL229" s="128"/>
      <c r="EM229" s="128"/>
      <c r="EO229" s="128"/>
      <c r="EQ229" s="128"/>
      <c r="ES229" s="128"/>
      <c r="EU229" s="128"/>
      <c r="EW229" s="128"/>
      <c r="EY229" s="128"/>
    </row>
    <row r="230" spans="3:155">
      <c r="C230" s="128"/>
      <c r="D230" s="128"/>
      <c r="E230" s="128"/>
      <c r="F230" s="128" t="str">
        <f>IF(E230 &lt;&gt; "", VLOOKUP(E230, '[2]Internal-logic'!G$1:I$364, 2, FALSE),"")</f>
        <v/>
      </c>
      <c r="G230" s="128" t="str">
        <f>IF(E230 &lt;&gt; "", VLOOKUP(E230, '[2]Internal-logic'!G$1:I$364, 3, FALSE),"")</f>
        <v/>
      </c>
      <c r="H230" s="128"/>
      <c r="I230" s="128"/>
      <c r="J230" s="128"/>
      <c r="K230" s="128"/>
      <c r="Q230" s="128"/>
      <c r="R230" s="128"/>
      <c r="S230" s="128"/>
      <c r="U230" s="128"/>
      <c r="X230" s="128"/>
      <c r="Y230" s="128"/>
      <c r="Z230" s="128"/>
      <c r="AA230" s="128"/>
      <c r="AB230" s="128"/>
      <c r="AC230" s="128"/>
      <c r="AD230" s="128"/>
      <c r="AE230" s="128"/>
      <c r="AF230" s="128"/>
      <c r="AG230" s="128"/>
      <c r="AI230" s="128"/>
      <c r="AJ230" s="128"/>
      <c r="AY230" s="128"/>
      <c r="BN230" s="128"/>
      <c r="BQ230" s="128"/>
      <c r="BR230" s="128"/>
      <c r="BT230" s="128"/>
      <c r="BV230" s="128"/>
      <c r="BX230" s="128"/>
      <c r="CU230" s="128"/>
      <c r="CW230" s="128"/>
      <c r="DN230" s="128"/>
      <c r="DP230" s="128"/>
      <c r="DR230" s="128"/>
      <c r="DV230" s="128"/>
      <c r="DX230" s="128"/>
      <c r="DY230" s="128"/>
      <c r="EA230" s="128"/>
      <c r="EB230" s="128"/>
      <c r="EC230" s="128"/>
      <c r="EG230" s="128"/>
      <c r="EL230" s="128"/>
      <c r="EM230" s="128"/>
      <c r="EO230" s="128"/>
      <c r="EQ230" s="128"/>
      <c r="ES230" s="128"/>
      <c r="EU230" s="128"/>
      <c r="EW230" s="128"/>
      <c r="EY230" s="128"/>
    </row>
    <row r="231" spans="3:155">
      <c r="C231" s="128"/>
      <c r="D231" s="128"/>
      <c r="E231" s="128"/>
      <c r="F231" s="128" t="str">
        <f>IF(E231 &lt;&gt; "", VLOOKUP(E231, '[2]Internal-logic'!G$1:I$364, 2, FALSE),"")</f>
        <v/>
      </c>
      <c r="G231" s="128" t="str">
        <f>IF(E231 &lt;&gt; "", VLOOKUP(E231, '[2]Internal-logic'!G$1:I$364, 3, FALSE),"")</f>
        <v/>
      </c>
      <c r="H231" s="128"/>
      <c r="I231" s="128"/>
      <c r="J231" s="128"/>
      <c r="K231" s="128"/>
      <c r="Q231" s="128"/>
      <c r="R231" s="128"/>
      <c r="S231" s="128"/>
      <c r="U231" s="128"/>
      <c r="X231" s="128"/>
      <c r="Y231" s="128"/>
      <c r="Z231" s="128"/>
      <c r="AA231" s="128"/>
      <c r="AB231" s="128"/>
      <c r="AC231" s="128"/>
      <c r="AD231" s="128"/>
      <c r="AE231" s="128"/>
      <c r="AF231" s="128"/>
      <c r="AG231" s="128"/>
      <c r="AI231" s="128"/>
      <c r="AJ231" s="128"/>
      <c r="AY231" s="128"/>
      <c r="BN231" s="128"/>
      <c r="BQ231" s="128"/>
      <c r="BR231" s="128"/>
      <c r="BT231" s="128"/>
      <c r="BV231" s="128"/>
      <c r="BX231" s="128"/>
      <c r="CU231" s="128"/>
      <c r="CW231" s="128"/>
      <c r="DN231" s="128"/>
      <c r="DP231" s="128"/>
      <c r="DR231" s="128"/>
      <c r="DV231" s="128"/>
      <c r="DX231" s="128"/>
      <c r="DY231" s="128"/>
      <c r="EA231" s="128"/>
      <c r="EB231" s="128"/>
      <c r="EC231" s="128"/>
      <c r="EG231" s="128"/>
      <c r="EL231" s="128"/>
      <c r="EM231" s="128"/>
      <c r="EO231" s="128"/>
      <c r="EQ231" s="128"/>
      <c r="ES231" s="128"/>
      <c r="EU231" s="128"/>
      <c r="EW231" s="128"/>
      <c r="EY231" s="128"/>
    </row>
    <row r="232" spans="3:155">
      <c r="C232" s="128"/>
      <c r="D232" s="128"/>
      <c r="E232" s="128"/>
      <c r="F232" s="128" t="str">
        <f>IF(E232 &lt;&gt; "", VLOOKUP(E232, '[2]Internal-logic'!G$1:I$364, 2, FALSE),"")</f>
        <v/>
      </c>
      <c r="G232" s="128" t="str">
        <f>IF(E232 &lt;&gt; "", VLOOKUP(E232, '[2]Internal-logic'!G$1:I$364, 3, FALSE),"")</f>
        <v/>
      </c>
      <c r="H232" s="128"/>
      <c r="I232" s="128"/>
      <c r="J232" s="128"/>
      <c r="K232" s="128"/>
      <c r="Q232" s="128"/>
      <c r="R232" s="128"/>
      <c r="S232" s="128"/>
      <c r="U232" s="128"/>
      <c r="X232" s="128"/>
      <c r="Y232" s="128"/>
      <c r="Z232" s="128"/>
      <c r="AA232" s="128"/>
      <c r="AB232" s="128"/>
      <c r="AC232" s="128"/>
      <c r="AD232" s="128"/>
      <c r="AE232" s="128"/>
      <c r="AF232" s="128"/>
      <c r="AG232" s="128"/>
      <c r="AI232" s="128"/>
      <c r="AJ232" s="128"/>
      <c r="AY232" s="128"/>
      <c r="BN232" s="128"/>
      <c r="BQ232" s="128"/>
      <c r="BR232" s="128"/>
      <c r="BT232" s="128"/>
      <c r="BV232" s="128"/>
      <c r="BX232" s="128"/>
      <c r="CU232" s="128"/>
      <c r="CW232" s="128"/>
      <c r="DN232" s="128"/>
      <c r="DP232" s="128"/>
      <c r="DR232" s="128"/>
      <c r="DV232" s="128"/>
      <c r="DX232" s="128"/>
      <c r="DY232" s="128"/>
      <c r="EA232" s="128"/>
      <c r="EB232" s="128"/>
      <c r="EC232" s="128"/>
      <c r="EG232" s="128"/>
      <c r="EL232" s="128"/>
      <c r="EM232" s="128"/>
      <c r="EO232" s="128"/>
      <c r="EQ232" s="128"/>
      <c r="ES232" s="128"/>
      <c r="EU232" s="128"/>
      <c r="EW232" s="128"/>
      <c r="EY232" s="128"/>
    </row>
    <row r="233" spans="3:155">
      <c r="C233" s="128"/>
      <c r="D233" s="128"/>
      <c r="E233" s="128"/>
      <c r="F233" s="128" t="str">
        <f>IF(E233 &lt;&gt; "", VLOOKUP(E233, '[2]Internal-logic'!G$1:I$364, 2, FALSE),"")</f>
        <v/>
      </c>
      <c r="G233" s="128" t="str">
        <f>IF(E233 &lt;&gt; "", VLOOKUP(E233, '[2]Internal-logic'!G$1:I$364, 3, FALSE),"")</f>
        <v/>
      </c>
      <c r="H233" s="128"/>
      <c r="I233" s="128"/>
      <c r="J233" s="128"/>
      <c r="K233" s="128"/>
      <c r="Q233" s="128"/>
      <c r="R233" s="128"/>
      <c r="S233" s="128"/>
      <c r="U233" s="128"/>
      <c r="X233" s="128"/>
      <c r="Y233" s="128"/>
      <c r="Z233" s="128"/>
      <c r="AA233" s="128"/>
      <c r="AB233" s="128"/>
      <c r="AC233" s="128"/>
      <c r="AD233" s="128"/>
      <c r="AE233" s="128"/>
      <c r="AF233" s="128"/>
      <c r="AG233" s="128"/>
      <c r="AI233" s="128"/>
      <c r="AJ233" s="128"/>
      <c r="AY233" s="128"/>
      <c r="BN233" s="128"/>
      <c r="BQ233" s="128"/>
      <c r="BR233" s="128"/>
      <c r="BT233" s="128"/>
      <c r="BV233" s="128"/>
      <c r="BX233" s="128"/>
      <c r="CU233" s="128"/>
      <c r="CW233" s="128"/>
      <c r="DN233" s="128"/>
      <c r="DP233" s="128"/>
      <c r="DR233" s="128"/>
      <c r="DV233" s="128"/>
      <c r="DX233" s="128"/>
      <c r="DY233" s="128"/>
      <c r="EA233" s="128"/>
      <c r="EB233" s="128"/>
      <c r="EC233" s="128"/>
      <c r="EG233" s="128"/>
      <c r="EL233" s="128"/>
      <c r="EM233" s="128"/>
      <c r="EO233" s="128"/>
      <c r="EQ233" s="128"/>
      <c r="ES233" s="128"/>
      <c r="EU233" s="128"/>
      <c r="EW233" s="128"/>
      <c r="EY233" s="128"/>
    </row>
    <row r="234" spans="3:155">
      <c r="C234" s="128"/>
      <c r="D234" s="128"/>
      <c r="E234" s="128"/>
      <c r="F234" s="128" t="str">
        <f>IF(E234 &lt;&gt; "", VLOOKUP(E234, '[2]Internal-logic'!G$1:I$364, 2, FALSE),"")</f>
        <v/>
      </c>
      <c r="G234" s="128" t="str">
        <f>IF(E234 &lt;&gt; "", VLOOKUP(E234, '[2]Internal-logic'!G$1:I$364, 3, FALSE),"")</f>
        <v/>
      </c>
      <c r="H234" s="128"/>
      <c r="I234" s="128"/>
      <c r="J234" s="128"/>
      <c r="K234" s="128"/>
      <c r="Q234" s="128"/>
      <c r="R234" s="128"/>
      <c r="S234" s="128"/>
      <c r="U234" s="128"/>
      <c r="X234" s="128"/>
      <c r="Y234" s="128"/>
      <c r="Z234" s="128"/>
      <c r="AA234" s="128"/>
      <c r="AB234" s="128"/>
      <c r="AC234" s="128"/>
      <c r="AD234" s="128"/>
      <c r="AE234" s="128"/>
      <c r="AF234" s="128"/>
      <c r="AG234" s="128"/>
      <c r="AI234" s="128"/>
      <c r="AJ234" s="128"/>
      <c r="AY234" s="128"/>
      <c r="BN234" s="128"/>
      <c r="BQ234" s="128"/>
      <c r="BR234" s="128"/>
      <c r="BT234" s="128"/>
      <c r="BV234" s="128"/>
      <c r="BX234" s="128"/>
      <c r="CU234" s="128"/>
      <c r="CW234" s="128"/>
      <c r="DN234" s="128"/>
      <c r="DP234" s="128"/>
      <c r="DR234" s="128"/>
      <c r="DV234" s="128"/>
      <c r="DX234" s="128"/>
      <c r="DY234" s="128"/>
      <c r="EA234" s="128"/>
      <c r="EB234" s="128"/>
      <c r="EC234" s="128"/>
      <c r="EG234" s="128"/>
      <c r="EL234" s="128"/>
      <c r="EM234" s="128"/>
      <c r="EO234" s="128"/>
      <c r="EQ234" s="128"/>
      <c r="ES234" s="128"/>
      <c r="EU234" s="128"/>
      <c r="EW234" s="128"/>
      <c r="EY234" s="128"/>
    </row>
    <row r="235" spans="3:155">
      <c r="C235" s="128"/>
      <c r="D235" s="128"/>
      <c r="E235" s="128"/>
      <c r="F235" s="128" t="str">
        <f>IF(E235 &lt;&gt; "", VLOOKUP(E235, '[2]Internal-logic'!G$1:I$364, 2, FALSE),"")</f>
        <v/>
      </c>
      <c r="G235" s="128" t="str">
        <f>IF(E235 &lt;&gt; "", VLOOKUP(E235, '[2]Internal-logic'!G$1:I$364, 3, FALSE),"")</f>
        <v/>
      </c>
      <c r="H235" s="128"/>
      <c r="I235" s="128"/>
      <c r="J235" s="128"/>
      <c r="K235" s="128"/>
      <c r="Q235" s="128"/>
      <c r="R235" s="128"/>
      <c r="S235" s="128"/>
      <c r="U235" s="128"/>
      <c r="X235" s="128"/>
      <c r="Y235" s="128"/>
      <c r="Z235" s="128"/>
      <c r="AA235" s="128"/>
      <c r="AB235" s="128"/>
      <c r="AC235" s="128"/>
      <c r="AD235" s="128"/>
      <c r="AE235" s="128"/>
      <c r="AF235" s="128"/>
      <c r="AG235" s="128"/>
      <c r="AI235" s="128"/>
      <c r="AJ235" s="128"/>
      <c r="AY235" s="128"/>
      <c r="BN235" s="128"/>
      <c r="BQ235" s="128"/>
      <c r="BR235" s="128"/>
      <c r="BT235" s="128"/>
      <c r="BV235" s="128"/>
      <c r="BX235" s="128"/>
      <c r="CU235" s="128"/>
      <c r="CW235" s="128"/>
      <c r="DN235" s="128"/>
      <c r="DP235" s="128"/>
      <c r="DR235" s="128"/>
      <c r="DV235" s="128"/>
      <c r="DX235" s="128"/>
      <c r="DY235" s="128"/>
      <c r="EA235" s="128"/>
      <c r="EB235" s="128"/>
      <c r="EC235" s="128"/>
      <c r="EG235" s="128"/>
      <c r="EL235" s="128"/>
      <c r="EM235" s="128"/>
      <c r="EO235" s="128"/>
      <c r="EQ235" s="128"/>
      <c r="ES235" s="128"/>
      <c r="EU235" s="128"/>
      <c r="EW235" s="128"/>
      <c r="EY235" s="128"/>
    </row>
    <row r="236" spans="3:155">
      <c r="C236" s="128"/>
      <c r="D236" s="128"/>
      <c r="E236" s="128"/>
      <c r="F236" s="128" t="str">
        <f>IF(E236 &lt;&gt; "", VLOOKUP(E236, '[2]Internal-logic'!G$1:I$364, 2, FALSE),"")</f>
        <v/>
      </c>
      <c r="G236" s="128" t="str">
        <f>IF(E236 &lt;&gt; "", VLOOKUP(E236, '[2]Internal-logic'!G$1:I$364, 3, FALSE),"")</f>
        <v/>
      </c>
      <c r="H236" s="128"/>
      <c r="I236" s="128"/>
      <c r="J236" s="128"/>
      <c r="K236" s="128"/>
      <c r="Q236" s="128"/>
      <c r="R236" s="128"/>
      <c r="S236" s="128"/>
      <c r="U236" s="128"/>
      <c r="X236" s="128"/>
      <c r="Y236" s="128"/>
      <c r="Z236" s="128"/>
      <c r="AA236" s="128"/>
      <c r="AB236" s="128"/>
      <c r="AC236" s="128"/>
      <c r="AD236" s="128"/>
      <c r="AE236" s="128"/>
      <c r="AF236" s="128"/>
      <c r="AG236" s="128"/>
      <c r="AI236" s="128"/>
      <c r="AJ236" s="128"/>
      <c r="AY236" s="128"/>
      <c r="BN236" s="128"/>
      <c r="BQ236" s="128"/>
      <c r="BR236" s="128"/>
      <c r="BT236" s="128"/>
      <c r="BV236" s="128"/>
      <c r="BX236" s="128"/>
      <c r="CU236" s="128"/>
      <c r="CW236" s="128"/>
      <c r="DN236" s="128"/>
      <c r="DP236" s="128"/>
      <c r="DR236" s="128"/>
      <c r="DV236" s="128"/>
      <c r="DX236" s="128"/>
      <c r="DY236" s="128"/>
      <c r="EA236" s="128"/>
      <c r="EB236" s="128"/>
      <c r="EC236" s="128"/>
      <c r="EG236" s="128"/>
      <c r="EL236" s="128"/>
      <c r="EM236" s="128"/>
      <c r="EO236" s="128"/>
      <c r="EQ236" s="128"/>
      <c r="ES236" s="128"/>
      <c r="EU236" s="128"/>
      <c r="EW236" s="128"/>
      <c r="EY236" s="128"/>
    </row>
    <row r="237" spans="3:155">
      <c r="C237" s="128"/>
      <c r="D237" s="128"/>
      <c r="E237" s="128"/>
      <c r="F237" s="128" t="str">
        <f>IF(E237 &lt;&gt; "", VLOOKUP(E237, '[2]Internal-logic'!G$1:I$364, 2, FALSE),"")</f>
        <v/>
      </c>
      <c r="G237" s="128" t="str">
        <f>IF(E237 &lt;&gt; "", VLOOKUP(E237, '[2]Internal-logic'!G$1:I$364, 3, FALSE),"")</f>
        <v/>
      </c>
      <c r="H237" s="128"/>
      <c r="I237" s="128"/>
      <c r="J237" s="128"/>
      <c r="K237" s="128"/>
      <c r="Q237" s="128"/>
      <c r="R237" s="128"/>
      <c r="S237" s="128"/>
      <c r="U237" s="128"/>
      <c r="X237" s="128"/>
      <c r="Y237" s="128"/>
      <c r="Z237" s="128"/>
      <c r="AA237" s="128"/>
      <c r="AB237" s="128"/>
      <c r="AC237" s="128"/>
      <c r="AD237" s="128"/>
      <c r="AE237" s="128"/>
      <c r="AF237" s="128"/>
      <c r="AG237" s="128"/>
      <c r="AI237" s="128"/>
      <c r="AJ237" s="128"/>
      <c r="AY237" s="128"/>
      <c r="BN237" s="128"/>
      <c r="BQ237" s="128"/>
      <c r="BR237" s="128"/>
      <c r="BT237" s="128"/>
      <c r="BV237" s="128"/>
      <c r="BX237" s="128"/>
      <c r="CU237" s="128"/>
      <c r="CW237" s="128"/>
      <c r="DN237" s="128"/>
      <c r="DP237" s="128"/>
      <c r="DR237" s="128"/>
      <c r="DV237" s="128"/>
      <c r="DX237" s="128"/>
      <c r="DY237" s="128"/>
      <c r="EA237" s="128"/>
      <c r="EB237" s="128"/>
      <c r="EC237" s="128"/>
      <c r="EG237" s="128"/>
      <c r="EL237" s="128"/>
      <c r="EM237" s="128"/>
      <c r="EO237" s="128"/>
      <c r="EQ237" s="128"/>
      <c r="ES237" s="128"/>
      <c r="EU237" s="128"/>
      <c r="EW237" s="128"/>
      <c r="EY237" s="128"/>
    </row>
    <row r="238" spans="3:155">
      <c r="C238" s="128"/>
      <c r="D238" s="128"/>
      <c r="E238" s="128"/>
      <c r="F238" s="128" t="str">
        <f>IF(E238 &lt;&gt; "", VLOOKUP(E238, '[2]Internal-logic'!G$1:I$364, 2, FALSE),"")</f>
        <v/>
      </c>
      <c r="G238" s="128" t="str">
        <f>IF(E238 &lt;&gt; "", VLOOKUP(E238, '[2]Internal-logic'!G$1:I$364, 3, FALSE),"")</f>
        <v/>
      </c>
      <c r="H238" s="128"/>
      <c r="I238" s="128"/>
      <c r="J238" s="128"/>
      <c r="K238" s="128"/>
      <c r="Q238" s="128"/>
      <c r="R238" s="128"/>
      <c r="S238" s="128"/>
      <c r="U238" s="128"/>
      <c r="X238" s="128"/>
      <c r="Y238" s="128"/>
      <c r="Z238" s="128"/>
      <c r="AA238" s="128"/>
      <c r="AB238" s="128"/>
      <c r="AC238" s="128"/>
      <c r="AD238" s="128"/>
      <c r="AE238" s="128"/>
      <c r="AF238" s="128"/>
      <c r="AG238" s="128"/>
      <c r="AI238" s="128"/>
      <c r="AJ238" s="128"/>
      <c r="AY238" s="128"/>
      <c r="BN238" s="128"/>
      <c r="BQ238" s="128"/>
      <c r="BR238" s="128"/>
      <c r="BT238" s="128"/>
      <c r="BV238" s="128"/>
      <c r="BX238" s="128"/>
      <c r="CU238" s="128"/>
      <c r="CW238" s="128"/>
      <c r="DN238" s="128"/>
      <c r="DP238" s="128"/>
      <c r="DR238" s="128"/>
      <c r="DV238" s="128"/>
      <c r="DX238" s="128"/>
      <c r="DY238" s="128"/>
      <c r="EA238" s="128"/>
      <c r="EB238" s="128"/>
      <c r="EC238" s="128"/>
      <c r="EG238" s="128"/>
      <c r="EL238" s="128"/>
      <c r="EM238" s="128"/>
      <c r="EO238" s="128"/>
      <c r="EQ238" s="128"/>
      <c r="ES238" s="128"/>
      <c r="EU238" s="128"/>
      <c r="EW238" s="128"/>
      <c r="EY238" s="128"/>
    </row>
    <row r="239" spans="3:155">
      <c r="C239" s="128"/>
      <c r="D239" s="128"/>
      <c r="E239" s="128"/>
      <c r="F239" s="128" t="str">
        <f>IF(E239 &lt;&gt; "", VLOOKUP(E239, '[2]Internal-logic'!G$1:I$364, 2, FALSE),"")</f>
        <v/>
      </c>
      <c r="G239" s="128" t="str">
        <f>IF(E239 &lt;&gt; "", VLOOKUP(E239, '[2]Internal-logic'!G$1:I$364, 3, FALSE),"")</f>
        <v/>
      </c>
      <c r="H239" s="128"/>
      <c r="I239" s="128"/>
      <c r="J239" s="128"/>
      <c r="K239" s="128"/>
      <c r="Q239" s="128"/>
      <c r="R239" s="128"/>
      <c r="S239" s="128"/>
      <c r="U239" s="128"/>
      <c r="X239" s="128"/>
      <c r="Y239" s="128"/>
      <c r="Z239" s="128"/>
      <c r="AA239" s="128"/>
      <c r="AB239" s="128"/>
      <c r="AC239" s="128"/>
      <c r="AD239" s="128"/>
      <c r="AE239" s="128"/>
      <c r="AF239" s="128"/>
      <c r="AG239" s="128"/>
      <c r="AI239" s="128"/>
      <c r="AJ239" s="128"/>
      <c r="AY239" s="128"/>
      <c r="BN239" s="128"/>
      <c r="BQ239" s="128"/>
      <c r="BR239" s="128"/>
      <c r="BT239" s="128"/>
      <c r="BV239" s="128"/>
      <c r="BX239" s="128"/>
      <c r="CU239" s="128"/>
      <c r="CW239" s="128"/>
      <c r="DN239" s="128"/>
      <c r="DP239" s="128"/>
      <c r="DR239" s="128"/>
      <c r="DV239" s="128"/>
      <c r="DX239" s="128"/>
      <c r="DY239" s="128"/>
      <c r="EA239" s="128"/>
      <c r="EB239" s="128"/>
      <c r="EC239" s="128"/>
      <c r="EG239" s="128"/>
      <c r="EL239" s="128"/>
      <c r="EM239" s="128"/>
      <c r="EO239" s="128"/>
      <c r="EQ239" s="128"/>
      <c r="ES239" s="128"/>
      <c r="EU239" s="128"/>
      <c r="EW239" s="128"/>
      <c r="EY239" s="128"/>
    </row>
    <row r="240" spans="3:155">
      <c r="C240" s="128"/>
      <c r="D240" s="128"/>
      <c r="E240" s="128"/>
      <c r="F240" s="128" t="str">
        <f>IF(E240 &lt;&gt; "", VLOOKUP(E240, '[2]Internal-logic'!G$1:I$364, 2, FALSE),"")</f>
        <v/>
      </c>
      <c r="G240" s="128" t="str">
        <f>IF(E240 &lt;&gt; "", VLOOKUP(E240, '[2]Internal-logic'!G$1:I$364, 3, FALSE),"")</f>
        <v/>
      </c>
      <c r="H240" s="128"/>
      <c r="I240" s="128"/>
      <c r="J240" s="128"/>
      <c r="K240" s="128"/>
      <c r="Q240" s="128"/>
      <c r="R240" s="128"/>
      <c r="S240" s="128"/>
      <c r="U240" s="128"/>
      <c r="X240" s="128"/>
      <c r="Y240" s="128"/>
      <c r="Z240" s="128"/>
      <c r="AA240" s="128"/>
      <c r="AB240" s="128"/>
      <c r="AC240" s="128"/>
      <c r="AD240" s="128"/>
      <c r="AE240" s="128"/>
      <c r="AF240" s="128"/>
      <c r="AG240" s="128"/>
      <c r="AI240" s="128"/>
      <c r="AJ240" s="128"/>
      <c r="AY240" s="128"/>
      <c r="BN240" s="128"/>
      <c r="BQ240" s="128"/>
      <c r="BR240" s="128"/>
      <c r="BT240" s="128"/>
      <c r="BV240" s="128"/>
      <c r="BX240" s="128"/>
      <c r="CU240" s="128"/>
      <c r="CW240" s="128"/>
      <c r="DN240" s="128"/>
      <c r="DP240" s="128"/>
      <c r="DR240" s="128"/>
      <c r="DV240" s="128"/>
      <c r="DX240" s="128"/>
      <c r="DY240" s="128"/>
      <c r="EA240" s="128"/>
      <c r="EB240" s="128"/>
      <c r="EC240" s="128"/>
      <c r="EG240" s="128"/>
      <c r="EL240" s="128"/>
      <c r="EM240" s="128"/>
      <c r="EO240" s="128"/>
      <c r="EQ240" s="128"/>
      <c r="ES240" s="128"/>
      <c r="EU240" s="128"/>
      <c r="EW240" s="128"/>
      <c r="EY240" s="128"/>
    </row>
    <row r="241" spans="3:155">
      <c r="C241" s="128"/>
      <c r="D241" s="128"/>
      <c r="E241" s="128"/>
      <c r="F241" s="128" t="str">
        <f>IF(E241 &lt;&gt; "", VLOOKUP(E241, '[2]Internal-logic'!G$1:I$364, 2, FALSE),"")</f>
        <v/>
      </c>
      <c r="G241" s="128" t="str">
        <f>IF(E241 &lt;&gt; "", VLOOKUP(E241, '[2]Internal-logic'!G$1:I$364, 3, FALSE),"")</f>
        <v/>
      </c>
      <c r="H241" s="128"/>
      <c r="I241" s="128"/>
      <c r="J241" s="128"/>
      <c r="K241" s="128"/>
      <c r="Q241" s="128"/>
      <c r="R241" s="128"/>
      <c r="S241" s="128"/>
      <c r="U241" s="128"/>
      <c r="X241" s="128"/>
      <c r="Y241" s="128"/>
      <c r="Z241" s="128"/>
      <c r="AA241" s="128"/>
      <c r="AB241" s="128"/>
      <c r="AC241" s="128"/>
      <c r="AD241" s="128"/>
      <c r="AE241" s="128"/>
      <c r="AF241" s="128"/>
      <c r="AG241" s="128"/>
      <c r="AI241" s="128"/>
      <c r="AJ241" s="128"/>
      <c r="AY241" s="128"/>
      <c r="BN241" s="128"/>
      <c r="BQ241" s="128"/>
      <c r="BR241" s="128"/>
      <c r="BT241" s="128"/>
      <c r="BV241" s="128"/>
      <c r="BX241" s="128"/>
      <c r="CU241" s="128"/>
      <c r="CW241" s="128"/>
      <c r="DN241" s="128"/>
      <c r="DP241" s="128"/>
      <c r="DR241" s="128"/>
      <c r="DV241" s="128"/>
      <c r="DX241" s="128"/>
      <c r="DY241" s="128"/>
      <c r="EA241" s="128"/>
      <c r="EB241" s="128"/>
      <c r="EC241" s="128"/>
      <c r="EG241" s="128"/>
      <c r="EL241" s="128"/>
      <c r="EM241" s="128"/>
      <c r="EO241" s="128"/>
      <c r="EQ241" s="128"/>
      <c r="ES241" s="128"/>
      <c r="EU241" s="128"/>
      <c r="EW241" s="128"/>
      <c r="EY241" s="128"/>
    </row>
    <row r="242" spans="3:155">
      <c r="C242" s="128"/>
      <c r="D242" s="128"/>
      <c r="E242" s="128"/>
      <c r="F242" s="128" t="str">
        <f>IF(E242 &lt;&gt; "", VLOOKUP(E242, '[2]Internal-logic'!G$1:I$364, 2, FALSE),"")</f>
        <v/>
      </c>
      <c r="G242" s="128" t="str">
        <f>IF(E242 &lt;&gt; "", VLOOKUP(E242, '[2]Internal-logic'!G$1:I$364, 3, FALSE),"")</f>
        <v/>
      </c>
      <c r="H242" s="128"/>
      <c r="I242" s="128"/>
      <c r="J242" s="128"/>
      <c r="K242" s="128"/>
      <c r="Q242" s="128"/>
      <c r="R242" s="128"/>
      <c r="S242" s="128"/>
      <c r="U242" s="128"/>
      <c r="X242" s="128"/>
      <c r="Y242" s="128"/>
      <c r="Z242" s="128"/>
      <c r="AA242" s="128"/>
      <c r="AB242" s="128"/>
      <c r="AC242" s="128"/>
      <c r="AD242" s="128"/>
      <c r="AE242" s="128"/>
      <c r="AF242" s="128"/>
      <c r="AG242" s="128"/>
      <c r="AI242" s="128"/>
      <c r="AJ242" s="128"/>
      <c r="AY242" s="128"/>
      <c r="BN242" s="128"/>
      <c r="BQ242" s="128"/>
      <c r="BR242" s="128"/>
      <c r="BT242" s="128"/>
      <c r="BV242" s="128"/>
      <c r="BX242" s="128"/>
      <c r="CU242" s="128"/>
      <c r="CW242" s="128"/>
      <c r="DN242" s="128"/>
      <c r="DP242" s="128"/>
      <c r="DR242" s="128"/>
      <c r="DV242" s="128"/>
      <c r="DX242" s="128"/>
      <c r="DY242" s="128"/>
      <c r="EA242" s="128"/>
      <c r="EB242" s="128"/>
      <c r="EC242" s="128"/>
      <c r="EG242" s="128"/>
      <c r="EL242" s="128"/>
      <c r="EM242" s="128"/>
      <c r="EO242" s="128"/>
      <c r="EQ242" s="128"/>
      <c r="ES242" s="128"/>
      <c r="EU242" s="128"/>
      <c r="EW242" s="128"/>
      <c r="EY242" s="128"/>
    </row>
    <row r="243" spans="3:155">
      <c r="C243" s="128"/>
      <c r="D243" s="128"/>
      <c r="E243" s="128"/>
      <c r="F243" s="128" t="str">
        <f>IF(E243 &lt;&gt; "", VLOOKUP(E243, '[2]Internal-logic'!G$1:I$364, 2, FALSE),"")</f>
        <v/>
      </c>
      <c r="G243" s="128" t="str">
        <f>IF(E243 &lt;&gt; "", VLOOKUP(E243, '[2]Internal-logic'!G$1:I$364, 3, FALSE),"")</f>
        <v/>
      </c>
      <c r="H243" s="128"/>
      <c r="I243" s="128"/>
      <c r="J243" s="128"/>
      <c r="K243" s="128"/>
      <c r="Q243" s="128"/>
      <c r="R243" s="128"/>
      <c r="S243" s="128"/>
      <c r="U243" s="128"/>
      <c r="X243" s="128"/>
      <c r="Y243" s="128"/>
      <c r="Z243" s="128"/>
      <c r="AA243" s="128"/>
      <c r="AB243" s="128"/>
      <c r="AC243" s="128"/>
      <c r="AD243" s="128"/>
      <c r="AE243" s="128"/>
      <c r="AF243" s="128"/>
      <c r="AG243" s="128"/>
      <c r="AI243" s="128"/>
      <c r="AJ243" s="128"/>
      <c r="AY243" s="128"/>
      <c r="BN243" s="128"/>
      <c r="BQ243" s="128"/>
      <c r="BR243" s="128"/>
      <c r="BT243" s="128"/>
      <c r="BV243" s="128"/>
      <c r="BX243" s="128"/>
      <c r="CU243" s="128"/>
      <c r="CW243" s="128"/>
      <c r="DN243" s="128"/>
      <c r="DP243" s="128"/>
      <c r="DR243" s="128"/>
      <c r="DV243" s="128"/>
      <c r="DX243" s="128"/>
      <c r="DY243" s="128"/>
      <c r="EA243" s="128"/>
      <c r="EB243" s="128"/>
      <c r="EC243" s="128"/>
      <c r="EG243" s="128"/>
      <c r="EL243" s="128"/>
      <c r="EM243" s="128"/>
      <c r="EO243" s="128"/>
      <c r="EQ243" s="128"/>
      <c r="ES243" s="128"/>
      <c r="EU243" s="128"/>
      <c r="EW243" s="128"/>
      <c r="EY243" s="128"/>
    </row>
    <row r="244" spans="3:155">
      <c r="C244" s="128"/>
      <c r="D244" s="128"/>
      <c r="E244" s="128"/>
      <c r="F244" s="128" t="str">
        <f>IF(E244 &lt;&gt; "", VLOOKUP(E244, '[2]Internal-logic'!G$1:I$364, 2, FALSE),"")</f>
        <v/>
      </c>
      <c r="G244" s="128" t="str">
        <f>IF(E244 &lt;&gt; "", VLOOKUP(E244, '[2]Internal-logic'!G$1:I$364, 3, FALSE),"")</f>
        <v/>
      </c>
      <c r="H244" s="128"/>
      <c r="I244" s="128"/>
      <c r="J244" s="128"/>
      <c r="K244" s="128"/>
      <c r="Q244" s="128"/>
      <c r="R244" s="128"/>
      <c r="S244" s="128"/>
      <c r="U244" s="128"/>
      <c r="X244" s="128"/>
      <c r="Y244" s="128"/>
      <c r="Z244" s="128"/>
      <c r="AA244" s="128"/>
      <c r="AB244" s="128"/>
      <c r="AC244" s="128"/>
      <c r="AD244" s="128"/>
      <c r="AE244" s="128"/>
      <c r="AF244" s="128"/>
      <c r="AG244" s="128"/>
      <c r="AI244" s="128"/>
      <c r="AJ244" s="128"/>
      <c r="AY244" s="128"/>
      <c r="BN244" s="128"/>
      <c r="BQ244" s="128"/>
      <c r="BR244" s="128"/>
      <c r="BT244" s="128"/>
      <c r="BV244" s="128"/>
      <c r="BX244" s="128"/>
      <c r="CU244" s="128"/>
      <c r="CW244" s="128"/>
      <c r="DN244" s="128"/>
      <c r="DP244" s="128"/>
      <c r="DR244" s="128"/>
      <c r="DV244" s="128"/>
      <c r="DX244" s="128"/>
      <c r="DY244" s="128"/>
      <c r="EA244" s="128"/>
      <c r="EB244" s="128"/>
      <c r="EC244" s="128"/>
      <c r="EG244" s="128"/>
      <c r="EL244" s="128"/>
      <c r="EM244" s="128"/>
      <c r="EO244" s="128"/>
      <c r="EQ244" s="128"/>
      <c r="ES244" s="128"/>
      <c r="EU244" s="128"/>
      <c r="EW244" s="128"/>
      <c r="EY244" s="128"/>
    </row>
    <row r="245" spans="3:155">
      <c r="C245" s="128"/>
      <c r="D245" s="128"/>
      <c r="E245" s="128"/>
      <c r="F245" s="128" t="str">
        <f>IF(E245 &lt;&gt; "", VLOOKUP(E245, '[2]Internal-logic'!G$1:I$364, 2, FALSE),"")</f>
        <v/>
      </c>
      <c r="G245" s="128" t="str">
        <f>IF(E245 &lt;&gt; "", VLOOKUP(E245, '[2]Internal-logic'!G$1:I$364, 3, FALSE),"")</f>
        <v/>
      </c>
      <c r="H245" s="128"/>
      <c r="I245" s="128"/>
      <c r="J245" s="128"/>
      <c r="K245" s="128"/>
      <c r="Q245" s="128"/>
      <c r="R245" s="128"/>
      <c r="S245" s="128"/>
      <c r="U245" s="128"/>
      <c r="X245" s="128"/>
      <c r="Y245" s="128"/>
      <c r="Z245" s="128"/>
      <c r="AA245" s="128"/>
      <c r="AB245" s="128"/>
      <c r="AC245" s="128"/>
      <c r="AD245" s="128"/>
      <c r="AE245" s="128"/>
      <c r="AF245" s="128"/>
      <c r="AG245" s="128"/>
      <c r="AI245" s="128"/>
      <c r="AJ245" s="128"/>
      <c r="AY245" s="128"/>
      <c r="BN245" s="128"/>
      <c r="BQ245" s="128"/>
      <c r="BR245" s="128"/>
      <c r="BT245" s="128"/>
      <c r="BV245" s="128"/>
      <c r="BX245" s="128"/>
      <c r="CU245" s="128"/>
      <c r="CW245" s="128"/>
      <c r="DN245" s="128"/>
      <c r="DP245" s="128"/>
      <c r="DR245" s="128"/>
      <c r="DV245" s="128"/>
      <c r="DX245" s="128"/>
      <c r="DY245" s="128"/>
      <c r="EA245" s="128"/>
      <c r="EB245" s="128"/>
      <c r="EC245" s="128"/>
      <c r="EG245" s="128"/>
      <c r="EL245" s="128"/>
      <c r="EM245" s="128"/>
      <c r="EO245" s="128"/>
      <c r="EQ245" s="128"/>
      <c r="ES245" s="128"/>
      <c r="EU245" s="128"/>
      <c r="EW245" s="128"/>
      <c r="EY245" s="128"/>
    </row>
    <row r="246" spans="3:155">
      <c r="C246" s="128"/>
      <c r="D246" s="128"/>
      <c r="E246" s="128"/>
      <c r="F246" s="128" t="str">
        <f>IF(E246 &lt;&gt; "", VLOOKUP(E246, '[2]Internal-logic'!G$1:I$364, 2, FALSE),"")</f>
        <v/>
      </c>
      <c r="G246" s="128" t="str">
        <f>IF(E246 &lt;&gt; "", VLOOKUP(E246, '[2]Internal-logic'!G$1:I$364, 3, FALSE),"")</f>
        <v/>
      </c>
      <c r="H246" s="128"/>
      <c r="I246" s="128"/>
      <c r="J246" s="128"/>
      <c r="K246" s="128"/>
      <c r="Q246" s="128"/>
      <c r="R246" s="128"/>
      <c r="S246" s="128"/>
      <c r="U246" s="128"/>
      <c r="X246" s="128"/>
      <c r="Y246" s="128"/>
      <c r="Z246" s="128"/>
      <c r="AA246" s="128"/>
      <c r="AB246" s="128"/>
      <c r="AC246" s="128"/>
      <c r="AD246" s="128"/>
      <c r="AE246" s="128"/>
      <c r="AF246" s="128"/>
      <c r="AG246" s="128"/>
      <c r="AI246" s="128"/>
      <c r="AJ246" s="128"/>
      <c r="AY246" s="128"/>
      <c r="BN246" s="128"/>
      <c r="BQ246" s="128"/>
      <c r="BR246" s="128"/>
      <c r="BT246" s="128"/>
      <c r="BV246" s="128"/>
      <c r="BX246" s="128"/>
      <c r="CU246" s="128"/>
      <c r="CW246" s="128"/>
      <c r="DN246" s="128"/>
      <c r="DP246" s="128"/>
      <c r="DR246" s="128"/>
      <c r="DV246" s="128"/>
      <c r="DX246" s="128"/>
      <c r="DY246" s="128"/>
      <c r="EA246" s="128"/>
      <c r="EB246" s="128"/>
      <c r="EC246" s="128"/>
      <c r="EG246" s="128"/>
      <c r="EL246" s="128"/>
      <c r="EM246" s="128"/>
      <c r="EO246" s="128"/>
      <c r="EQ246" s="128"/>
      <c r="ES246" s="128"/>
      <c r="EU246" s="128"/>
      <c r="EW246" s="128"/>
      <c r="EY246" s="128"/>
    </row>
    <row r="247" spans="3:155">
      <c r="C247" s="128"/>
      <c r="D247" s="128"/>
      <c r="E247" s="128"/>
      <c r="F247" s="128" t="str">
        <f>IF(E247 &lt;&gt; "", VLOOKUP(E247, '[2]Internal-logic'!G$1:I$364, 2, FALSE),"")</f>
        <v/>
      </c>
      <c r="G247" s="128" t="str">
        <f>IF(E247 &lt;&gt; "", VLOOKUP(E247, '[2]Internal-logic'!G$1:I$364, 3, FALSE),"")</f>
        <v/>
      </c>
      <c r="H247" s="128"/>
      <c r="I247" s="128"/>
      <c r="J247" s="128"/>
      <c r="K247" s="128"/>
      <c r="Q247" s="128"/>
      <c r="R247" s="128"/>
      <c r="S247" s="128"/>
      <c r="U247" s="128"/>
      <c r="X247" s="128"/>
      <c r="Y247" s="128"/>
      <c r="Z247" s="128"/>
      <c r="AA247" s="128"/>
      <c r="AB247" s="128"/>
      <c r="AC247" s="128"/>
      <c r="AD247" s="128"/>
      <c r="AE247" s="128"/>
      <c r="AF247" s="128"/>
      <c r="AG247" s="128"/>
      <c r="AI247" s="128"/>
      <c r="AJ247" s="128"/>
      <c r="AY247" s="128"/>
      <c r="BN247" s="128"/>
      <c r="BQ247" s="128"/>
      <c r="BR247" s="128"/>
      <c r="BT247" s="128"/>
      <c r="BV247" s="128"/>
      <c r="BX247" s="128"/>
      <c r="CU247" s="128"/>
      <c r="CW247" s="128"/>
      <c r="DN247" s="128"/>
      <c r="DP247" s="128"/>
      <c r="DR247" s="128"/>
      <c r="DV247" s="128"/>
      <c r="DX247" s="128"/>
      <c r="DY247" s="128"/>
      <c r="EA247" s="128"/>
      <c r="EB247" s="128"/>
      <c r="EC247" s="128"/>
      <c r="EG247" s="128"/>
      <c r="EL247" s="128"/>
      <c r="EM247" s="128"/>
      <c r="EO247" s="128"/>
      <c r="EQ247" s="128"/>
      <c r="ES247" s="128"/>
      <c r="EU247" s="128"/>
      <c r="EW247" s="128"/>
      <c r="EY247" s="128"/>
    </row>
    <row r="248" spans="3:155">
      <c r="C248" s="128"/>
      <c r="D248" s="128"/>
      <c r="E248" s="128"/>
      <c r="F248" s="128" t="str">
        <f>IF(E248 &lt;&gt; "", VLOOKUP(E248, '[2]Internal-logic'!G$1:I$364, 2, FALSE),"")</f>
        <v/>
      </c>
      <c r="G248" s="128" t="str">
        <f>IF(E248 &lt;&gt; "", VLOOKUP(E248, '[2]Internal-logic'!G$1:I$364, 3, FALSE),"")</f>
        <v/>
      </c>
      <c r="H248" s="128"/>
      <c r="I248" s="128"/>
      <c r="J248" s="128"/>
      <c r="K248" s="128"/>
      <c r="Q248" s="128"/>
      <c r="R248" s="128"/>
      <c r="S248" s="128"/>
      <c r="U248" s="128"/>
      <c r="X248" s="128"/>
      <c r="Y248" s="128"/>
      <c r="Z248" s="128"/>
      <c r="AA248" s="128"/>
      <c r="AB248" s="128"/>
      <c r="AC248" s="128"/>
      <c r="AD248" s="128"/>
      <c r="AE248" s="128"/>
      <c r="AF248" s="128"/>
      <c r="AG248" s="128"/>
      <c r="AI248" s="128"/>
      <c r="AJ248" s="128"/>
      <c r="AY248" s="128"/>
      <c r="BN248" s="128"/>
      <c r="BQ248" s="128"/>
      <c r="BR248" s="128"/>
      <c r="BT248" s="128"/>
      <c r="BV248" s="128"/>
      <c r="BX248" s="128"/>
      <c r="CU248" s="128"/>
      <c r="CW248" s="128"/>
      <c r="DN248" s="128"/>
      <c r="DP248" s="128"/>
      <c r="DR248" s="128"/>
      <c r="DV248" s="128"/>
      <c r="DX248" s="128"/>
      <c r="DY248" s="128"/>
      <c r="EA248" s="128"/>
      <c r="EB248" s="128"/>
      <c r="EC248" s="128"/>
      <c r="EG248" s="128"/>
      <c r="EL248" s="128"/>
      <c r="EM248" s="128"/>
      <c r="EO248" s="128"/>
      <c r="EQ248" s="128"/>
      <c r="ES248" s="128"/>
      <c r="EU248" s="128"/>
      <c r="EW248" s="128"/>
      <c r="EY248" s="128"/>
    </row>
    <row r="249" spans="3:155">
      <c r="C249" s="128"/>
      <c r="D249" s="128"/>
      <c r="E249" s="128"/>
      <c r="F249" s="128" t="str">
        <f>IF(E249 &lt;&gt; "", VLOOKUP(E249, '[2]Internal-logic'!G$1:I$364, 2, FALSE),"")</f>
        <v/>
      </c>
      <c r="G249" s="128" t="str">
        <f>IF(E249 &lt;&gt; "", VLOOKUP(E249, '[2]Internal-logic'!G$1:I$364, 3, FALSE),"")</f>
        <v/>
      </c>
      <c r="H249" s="128"/>
      <c r="I249" s="128"/>
      <c r="J249" s="128"/>
      <c r="K249" s="128"/>
      <c r="Q249" s="128"/>
      <c r="R249" s="128"/>
      <c r="S249" s="128"/>
      <c r="U249" s="128"/>
      <c r="X249" s="128"/>
      <c r="Y249" s="128"/>
      <c r="Z249" s="128"/>
      <c r="AA249" s="128"/>
      <c r="AB249" s="128"/>
      <c r="AC249" s="128"/>
      <c r="AD249" s="128"/>
      <c r="AE249" s="128"/>
      <c r="AF249" s="128"/>
      <c r="AG249" s="128"/>
      <c r="AI249" s="128"/>
      <c r="AJ249" s="128"/>
      <c r="AY249" s="128"/>
      <c r="BN249" s="128"/>
      <c r="BQ249" s="128"/>
      <c r="BR249" s="128"/>
      <c r="BT249" s="128"/>
      <c r="BV249" s="128"/>
      <c r="BX249" s="128"/>
      <c r="CU249" s="128"/>
      <c r="CW249" s="128"/>
      <c r="DN249" s="128"/>
      <c r="DP249" s="128"/>
      <c r="DR249" s="128"/>
      <c r="DV249" s="128"/>
      <c r="DX249" s="128"/>
      <c r="DY249" s="128"/>
      <c r="EA249" s="128"/>
      <c r="EB249" s="128"/>
      <c r="EC249" s="128"/>
      <c r="EG249" s="128"/>
      <c r="EL249" s="128"/>
      <c r="EM249" s="128"/>
      <c r="EO249" s="128"/>
      <c r="EQ249" s="128"/>
      <c r="ES249" s="128"/>
      <c r="EU249" s="128"/>
      <c r="EW249" s="128"/>
      <c r="EY249" s="128"/>
    </row>
    <row r="250" spans="3:155">
      <c r="C250" s="128"/>
      <c r="D250" s="128"/>
      <c r="E250" s="128"/>
      <c r="F250" s="128" t="str">
        <f>IF(E250 &lt;&gt; "", VLOOKUP(E250, '[2]Internal-logic'!G$1:I$364, 2, FALSE),"")</f>
        <v/>
      </c>
      <c r="G250" s="128" t="str">
        <f>IF(E250 &lt;&gt; "", VLOOKUP(E250, '[2]Internal-logic'!G$1:I$364, 3, FALSE),"")</f>
        <v/>
      </c>
      <c r="H250" s="128"/>
      <c r="I250" s="128"/>
      <c r="J250" s="128"/>
      <c r="K250" s="128"/>
      <c r="Q250" s="128"/>
      <c r="R250" s="128"/>
      <c r="S250" s="128"/>
      <c r="U250" s="128"/>
      <c r="X250" s="128"/>
      <c r="Y250" s="128"/>
      <c r="Z250" s="128"/>
      <c r="AA250" s="128"/>
      <c r="AB250" s="128"/>
      <c r="AC250" s="128"/>
      <c r="AD250" s="128"/>
      <c r="AE250" s="128"/>
      <c r="AF250" s="128"/>
      <c r="AG250" s="128"/>
      <c r="AI250" s="128"/>
      <c r="AJ250" s="128"/>
      <c r="AY250" s="128"/>
      <c r="BN250" s="128"/>
      <c r="BQ250" s="128"/>
      <c r="BR250" s="128"/>
      <c r="BT250" s="128"/>
      <c r="BV250" s="128"/>
      <c r="BX250" s="128"/>
      <c r="CU250" s="128"/>
      <c r="CW250" s="128"/>
      <c r="DN250" s="128"/>
      <c r="DP250" s="128"/>
      <c r="DR250" s="128"/>
      <c r="DV250" s="128"/>
      <c r="DX250" s="128"/>
      <c r="DY250" s="128"/>
      <c r="EA250" s="128"/>
      <c r="EB250" s="128"/>
      <c r="EC250" s="128"/>
      <c r="EG250" s="128"/>
      <c r="EL250" s="128"/>
      <c r="EM250" s="128"/>
      <c r="EO250" s="128"/>
      <c r="EQ250" s="128"/>
      <c r="ES250" s="128"/>
      <c r="EU250" s="128"/>
      <c r="EW250" s="128"/>
      <c r="EY250" s="128"/>
    </row>
    <row r="251" spans="3:155">
      <c r="C251" s="128"/>
      <c r="D251" s="128"/>
      <c r="E251" s="128"/>
      <c r="F251" s="128" t="str">
        <f>IF(E251 &lt;&gt; "", VLOOKUP(E251, '[2]Internal-logic'!G$1:I$364, 2, FALSE),"")</f>
        <v/>
      </c>
      <c r="G251" s="128" t="str">
        <f>IF(E251 &lt;&gt; "", VLOOKUP(E251, '[2]Internal-logic'!G$1:I$364, 3, FALSE),"")</f>
        <v/>
      </c>
      <c r="H251" s="128"/>
      <c r="I251" s="128"/>
      <c r="J251" s="128"/>
      <c r="K251" s="128"/>
      <c r="Q251" s="128"/>
      <c r="R251" s="128"/>
      <c r="S251" s="128"/>
      <c r="U251" s="128"/>
      <c r="X251" s="128"/>
      <c r="Y251" s="128"/>
      <c r="Z251" s="128"/>
      <c r="AA251" s="128"/>
      <c r="AB251" s="128"/>
      <c r="AC251" s="128"/>
      <c r="AD251" s="128"/>
      <c r="AE251" s="128"/>
      <c r="AF251" s="128"/>
      <c r="AG251" s="128"/>
      <c r="AI251" s="128"/>
      <c r="AJ251" s="128"/>
      <c r="AY251" s="128"/>
      <c r="BN251" s="128"/>
      <c r="BQ251" s="128"/>
      <c r="BR251" s="128"/>
      <c r="BT251" s="128"/>
      <c r="BV251" s="128"/>
      <c r="BX251" s="128"/>
      <c r="CU251" s="128"/>
      <c r="CW251" s="128"/>
      <c r="DN251" s="128"/>
      <c r="DP251" s="128"/>
      <c r="DR251" s="128"/>
      <c r="DV251" s="128"/>
      <c r="DX251" s="128"/>
      <c r="DY251" s="128"/>
      <c r="EA251" s="128"/>
      <c r="EB251" s="128"/>
      <c r="EC251" s="128"/>
      <c r="EG251" s="128"/>
      <c r="EL251" s="128"/>
      <c r="EM251" s="128"/>
      <c r="EO251" s="128"/>
      <c r="EQ251" s="128"/>
      <c r="ES251" s="128"/>
      <c r="EU251" s="128"/>
      <c r="EW251" s="128"/>
      <c r="EY251" s="128"/>
    </row>
    <row r="252" spans="3:155">
      <c r="C252" s="128"/>
      <c r="D252" s="128"/>
      <c r="E252" s="128"/>
      <c r="F252" s="128" t="str">
        <f>IF(E252 &lt;&gt; "", VLOOKUP(E252, '[2]Internal-logic'!G$1:I$364, 2, FALSE),"")</f>
        <v/>
      </c>
      <c r="G252" s="128" t="str">
        <f>IF(E252 &lt;&gt; "", VLOOKUP(E252, '[2]Internal-logic'!G$1:I$364, 3, FALSE),"")</f>
        <v/>
      </c>
      <c r="H252" s="128"/>
      <c r="I252" s="128"/>
      <c r="J252" s="128"/>
      <c r="K252" s="128"/>
      <c r="Q252" s="128"/>
      <c r="R252" s="128"/>
      <c r="S252" s="128"/>
      <c r="U252" s="128"/>
      <c r="X252" s="128"/>
      <c r="Y252" s="128"/>
      <c r="Z252" s="128"/>
      <c r="AA252" s="128"/>
      <c r="AB252" s="128"/>
      <c r="AC252" s="128"/>
      <c r="AD252" s="128"/>
      <c r="AE252" s="128"/>
      <c r="AF252" s="128"/>
      <c r="AG252" s="128"/>
      <c r="AI252" s="128"/>
      <c r="AJ252" s="128"/>
      <c r="AY252" s="128"/>
      <c r="BN252" s="128"/>
      <c r="BQ252" s="128"/>
      <c r="BR252" s="128"/>
      <c r="BT252" s="128"/>
      <c r="BV252" s="128"/>
      <c r="BX252" s="128"/>
      <c r="CU252" s="128"/>
      <c r="CW252" s="128"/>
      <c r="DN252" s="128"/>
      <c r="DP252" s="128"/>
      <c r="DR252" s="128"/>
      <c r="DV252" s="128"/>
      <c r="DX252" s="128"/>
      <c r="DY252" s="128"/>
      <c r="EA252" s="128"/>
      <c r="EB252" s="128"/>
      <c r="EC252" s="128"/>
      <c r="EG252" s="128"/>
      <c r="EL252" s="128"/>
      <c r="EM252" s="128"/>
      <c r="EO252" s="128"/>
      <c r="EQ252" s="128"/>
      <c r="ES252" s="128"/>
      <c r="EU252" s="128"/>
      <c r="EW252" s="128"/>
      <c r="EY252" s="128"/>
    </row>
    <row r="253" spans="3:155">
      <c r="C253" s="128"/>
      <c r="D253" s="128"/>
      <c r="E253" s="128"/>
      <c r="F253" s="128" t="str">
        <f>IF(E253 &lt;&gt; "", VLOOKUP(E253, '[2]Internal-logic'!G$1:I$364, 2, FALSE),"")</f>
        <v/>
      </c>
      <c r="G253" s="128" t="str">
        <f>IF(E253 &lt;&gt; "", VLOOKUP(E253, '[2]Internal-logic'!G$1:I$364, 3, FALSE),"")</f>
        <v/>
      </c>
      <c r="H253" s="128"/>
      <c r="I253" s="128"/>
      <c r="J253" s="128"/>
      <c r="K253" s="128"/>
      <c r="Q253" s="128"/>
      <c r="R253" s="128"/>
      <c r="S253" s="128"/>
      <c r="U253" s="128"/>
      <c r="X253" s="128"/>
      <c r="Y253" s="128"/>
      <c r="Z253" s="128"/>
      <c r="AA253" s="128"/>
      <c r="AB253" s="128"/>
      <c r="AC253" s="128"/>
      <c r="AD253" s="128"/>
      <c r="AE253" s="128"/>
      <c r="AF253" s="128"/>
      <c r="AG253" s="128"/>
      <c r="AI253" s="128"/>
      <c r="AJ253" s="128"/>
      <c r="AY253" s="128"/>
      <c r="BN253" s="128"/>
      <c r="BQ253" s="128"/>
      <c r="BR253" s="128"/>
      <c r="BT253" s="128"/>
      <c r="BV253" s="128"/>
      <c r="BX253" s="128"/>
      <c r="CU253" s="128"/>
      <c r="CW253" s="128"/>
      <c r="DN253" s="128"/>
      <c r="DP253" s="128"/>
      <c r="DR253" s="128"/>
      <c r="DV253" s="128"/>
      <c r="DX253" s="128"/>
      <c r="DY253" s="128"/>
      <c r="EA253" s="128"/>
      <c r="EB253" s="128"/>
      <c r="EC253" s="128"/>
      <c r="EG253" s="128"/>
      <c r="EL253" s="128"/>
      <c r="EM253" s="128"/>
      <c r="EO253" s="128"/>
      <c r="EQ253" s="128"/>
      <c r="ES253" s="128"/>
      <c r="EU253" s="128"/>
      <c r="EW253" s="128"/>
      <c r="EY253" s="128"/>
    </row>
    <row r="254" spans="3:155">
      <c r="C254" s="128"/>
      <c r="D254" s="128"/>
      <c r="E254" s="128"/>
      <c r="F254" s="128" t="str">
        <f>IF(E254 &lt;&gt; "", VLOOKUP(E254, '[2]Internal-logic'!G$1:I$364, 2, FALSE),"")</f>
        <v/>
      </c>
      <c r="G254" s="128" t="str">
        <f>IF(E254 &lt;&gt; "", VLOOKUP(E254, '[2]Internal-logic'!G$1:I$364, 3, FALSE),"")</f>
        <v/>
      </c>
      <c r="H254" s="128"/>
      <c r="I254" s="128"/>
      <c r="J254" s="128"/>
      <c r="K254" s="128"/>
      <c r="Q254" s="128"/>
      <c r="R254" s="128"/>
      <c r="S254" s="128"/>
      <c r="U254" s="128"/>
      <c r="X254" s="128"/>
      <c r="Y254" s="128"/>
      <c r="Z254" s="128"/>
      <c r="AA254" s="128"/>
      <c r="AB254" s="128"/>
      <c r="AC254" s="128"/>
      <c r="AD254" s="128"/>
      <c r="AE254" s="128"/>
      <c r="AF254" s="128"/>
      <c r="AG254" s="128"/>
      <c r="AI254" s="128"/>
      <c r="AJ254" s="128"/>
      <c r="AY254" s="128"/>
      <c r="BN254" s="128"/>
      <c r="BQ254" s="128"/>
      <c r="BR254" s="128"/>
      <c r="BT254" s="128"/>
      <c r="BV254" s="128"/>
      <c r="BX254" s="128"/>
      <c r="CU254" s="128"/>
      <c r="CW254" s="128"/>
      <c r="DN254" s="128"/>
      <c r="DP254" s="128"/>
      <c r="DR254" s="128"/>
      <c r="DV254" s="128"/>
      <c r="DX254" s="128"/>
      <c r="DY254" s="128"/>
      <c r="EA254" s="128"/>
      <c r="EB254" s="128"/>
      <c r="EC254" s="128"/>
      <c r="EG254" s="128"/>
      <c r="EL254" s="128"/>
      <c r="EM254" s="128"/>
      <c r="EO254" s="128"/>
      <c r="EQ254" s="128"/>
      <c r="ES254" s="128"/>
      <c r="EU254" s="128"/>
      <c r="EW254" s="128"/>
      <c r="EY254" s="128"/>
    </row>
    <row r="255" spans="3:155">
      <c r="C255" s="128"/>
      <c r="D255" s="128"/>
      <c r="E255" s="128"/>
      <c r="F255" s="128" t="str">
        <f>IF(E255 &lt;&gt; "", VLOOKUP(E255, '[2]Internal-logic'!G$1:I$364, 2, FALSE),"")</f>
        <v/>
      </c>
      <c r="G255" s="128" t="str">
        <f>IF(E255 &lt;&gt; "", VLOOKUP(E255, '[2]Internal-logic'!G$1:I$364, 3, FALSE),"")</f>
        <v/>
      </c>
      <c r="H255" s="128"/>
      <c r="I255" s="128"/>
      <c r="J255" s="128"/>
      <c r="K255" s="128"/>
      <c r="Q255" s="128"/>
      <c r="R255" s="128"/>
      <c r="S255" s="128"/>
      <c r="U255" s="128"/>
      <c r="X255" s="128"/>
      <c r="Y255" s="128"/>
      <c r="Z255" s="128"/>
      <c r="AA255" s="128"/>
      <c r="AB255" s="128"/>
      <c r="AC255" s="128"/>
      <c r="AD255" s="128"/>
      <c r="AE255" s="128"/>
      <c r="AF255" s="128"/>
      <c r="AG255" s="128"/>
      <c r="AI255" s="128"/>
      <c r="AJ255" s="128"/>
      <c r="AY255" s="128"/>
      <c r="BN255" s="128"/>
      <c r="BQ255" s="128"/>
      <c r="BR255" s="128"/>
      <c r="BT255" s="128"/>
      <c r="BV255" s="128"/>
      <c r="BX255" s="128"/>
      <c r="CU255" s="128"/>
      <c r="CW255" s="128"/>
      <c r="DN255" s="128"/>
      <c r="DP255" s="128"/>
      <c r="DR255" s="128"/>
      <c r="DV255" s="128"/>
      <c r="DX255" s="128"/>
      <c r="DY255" s="128"/>
      <c r="EA255" s="128"/>
      <c r="EB255" s="128"/>
      <c r="EC255" s="128"/>
      <c r="EG255" s="128"/>
      <c r="EL255" s="128"/>
      <c r="EM255" s="128"/>
      <c r="EO255" s="128"/>
      <c r="EQ255" s="128"/>
      <c r="ES255" s="128"/>
      <c r="EU255" s="128"/>
      <c r="EW255" s="128"/>
      <c r="EY255" s="128"/>
    </row>
    <row r="256" spans="3:155">
      <c r="C256" s="128"/>
      <c r="D256" s="128"/>
      <c r="E256" s="128"/>
      <c r="F256" s="128" t="str">
        <f>IF(E256 &lt;&gt; "", VLOOKUP(E256, '[2]Internal-logic'!G$1:I$364, 2, FALSE),"")</f>
        <v/>
      </c>
      <c r="G256" s="128" t="str">
        <f>IF(E256 &lt;&gt; "", VLOOKUP(E256, '[2]Internal-logic'!G$1:I$364, 3, FALSE),"")</f>
        <v/>
      </c>
      <c r="H256" s="128"/>
      <c r="I256" s="128"/>
      <c r="J256" s="128"/>
      <c r="K256" s="128"/>
      <c r="Q256" s="128"/>
      <c r="R256" s="128"/>
      <c r="S256" s="128"/>
      <c r="U256" s="128"/>
      <c r="X256" s="128"/>
      <c r="Y256" s="128"/>
      <c r="Z256" s="128"/>
      <c r="AA256" s="128"/>
      <c r="AB256" s="128"/>
      <c r="AC256" s="128"/>
      <c r="AD256" s="128"/>
      <c r="AE256" s="128"/>
      <c r="AF256" s="128"/>
      <c r="AG256" s="128"/>
      <c r="AI256" s="128"/>
      <c r="AJ256" s="128"/>
      <c r="AY256" s="128"/>
      <c r="BN256" s="128"/>
      <c r="BQ256" s="128"/>
      <c r="BR256" s="128"/>
      <c r="BT256" s="128"/>
      <c r="BV256" s="128"/>
      <c r="BX256" s="128"/>
      <c r="CU256" s="128"/>
      <c r="CW256" s="128"/>
      <c r="DN256" s="128"/>
      <c r="DP256" s="128"/>
      <c r="DR256" s="128"/>
      <c r="DV256" s="128"/>
      <c r="DX256" s="128"/>
      <c r="DY256" s="128"/>
      <c r="EA256" s="128"/>
      <c r="EB256" s="128"/>
      <c r="EC256" s="128"/>
      <c r="EG256" s="128"/>
      <c r="EL256" s="128"/>
      <c r="EM256" s="128"/>
      <c r="EO256" s="128"/>
      <c r="EQ256" s="128"/>
      <c r="ES256" s="128"/>
      <c r="EU256" s="128"/>
      <c r="EW256" s="128"/>
      <c r="EY256" s="128"/>
    </row>
    <row r="257" spans="3:155">
      <c r="C257" s="128"/>
      <c r="D257" s="128"/>
      <c r="E257" s="128"/>
      <c r="F257" s="128" t="str">
        <f>IF(E257 &lt;&gt; "", VLOOKUP(E257, '[2]Internal-logic'!G$1:I$364, 2, FALSE),"")</f>
        <v/>
      </c>
      <c r="G257" s="128" t="str">
        <f>IF(E257 &lt;&gt; "", VLOOKUP(E257, '[2]Internal-logic'!G$1:I$364, 3, FALSE),"")</f>
        <v/>
      </c>
      <c r="H257" s="128"/>
      <c r="I257" s="128"/>
      <c r="J257" s="128"/>
      <c r="K257" s="128"/>
      <c r="Q257" s="128"/>
      <c r="R257" s="128"/>
      <c r="S257" s="128"/>
      <c r="U257" s="128"/>
      <c r="X257" s="128"/>
      <c r="Y257" s="128"/>
      <c r="Z257" s="128"/>
      <c r="AA257" s="128"/>
      <c r="AB257" s="128"/>
      <c r="AC257" s="128"/>
      <c r="AD257" s="128"/>
      <c r="AE257" s="128"/>
      <c r="AF257" s="128"/>
      <c r="AG257" s="128"/>
      <c r="AI257" s="128"/>
      <c r="AJ257" s="128"/>
      <c r="AY257" s="128"/>
      <c r="BN257" s="128"/>
      <c r="BQ257" s="128"/>
      <c r="BR257" s="128"/>
      <c r="BT257" s="128"/>
      <c r="BV257" s="128"/>
      <c r="BX257" s="128"/>
      <c r="CU257" s="128"/>
      <c r="CW257" s="128"/>
      <c r="DN257" s="128"/>
      <c r="DP257" s="128"/>
      <c r="DR257" s="128"/>
      <c r="DV257" s="128"/>
      <c r="DX257" s="128"/>
      <c r="DY257" s="128"/>
      <c r="EA257" s="128"/>
      <c r="EB257" s="128"/>
      <c r="EC257" s="128"/>
      <c r="EG257" s="128"/>
      <c r="EL257" s="128"/>
      <c r="EM257" s="128"/>
      <c r="EO257" s="128"/>
      <c r="EQ257" s="128"/>
      <c r="ES257" s="128"/>
      <c r="EU257" s="128"/>
      <c r="EW257" s="128"/>
      <c r="EY257" s="128"/>
    </row>
    <row r="258" spans="3:155">
      <c r="C258" s="128"/>
      <c r="D258" s="128"/>
      <c r="E258" s="128"/>
      <c r="F258" s="128" t="str">
        <f>IF(E258 &lt;&gt; "", VLOOKUP(E258, '[2]Internal-logic'!G$1:I$364, 2, FALSE),"")</f>
        <v/>
      </c>
      <c r="G258" s="128" t="str">
        <f>IF(E258 &lt;&gt; "", VLOOKUP(E258, '[2]Internal-logic'!G$1:I$364, 3, FALSE),"")</f>
        <v/>
      </c>
      <c r="H258" s="128"/>
      <c r="I258" s="128"/>
      <c r="J258" s="128"/>
      <c r="K258" s="128"/>
      <c r="Q258" s="128"/>
      <c r="R258" s="128"/>
      <c r="S258" s="128"/>
      <c r="U258" s="128"/>
      <c r="X258" s="128"/>
      <c r="Y258" s="128"/>
      <c r="Z258" s="128"/>
      <c r="AA258" s="128"/>
      <c r="AB258" s="128"/>
      <c r="AC258" s="128"/>
      <c r="AD258" s="128"/>
      <c r="AE258" s="128"/>
      <c r="AF258" s="128"/>
      <c r="AG258" s="128"/>
      <c r="AI258" s="128"/>
      <c r="AJ258" s="128"/>
      <c r="AY258" s="128"/>
      <c r="BN258" s="128"/>
      <c r="BQ258" s="128"/>
      <c r="BR258" s="128"/>
      <c r="BT258" s="128"/>
      <c r="BV258" s="128"/>
      <c r="BX258" s="128"/>
      <c r="CU258" s="128"/>
      <c r="CW258" s="128"/>
      <c r="DN258" s="128"/>
      <c r="DP258" s="128"/>
      <c r="DR258" s="128"/>
      <c r="DV258" s="128"/>
      <c r="DX258" s="128"/>
      <c r="DY258" s="128"/>
      <c r="EA258" s="128"/>
      <c r="EB258" s="128"/>
      <c r="EC258" s="128"/>
      <c r="EG258" s="128"/>
      <c r="EL258" s="128"/>
      <c r="EM258" s="128"/>
      <c r="EO258" s="128"/>
      <c r="EQ258" s="128"/>
      <c r="ES258" s="128"/>
      <c r="EU258" s="128"/>
      <c r="EW258" s="128"/>
      <c r="EY258" s="128"/>
    </row>
    <row r="259" spans="3:155">
      <c r="C259" s="128"/>
      <c r="D259" s="128"/>
      <c r="E259" s="128"/>
      <c r="F259" s="128" t="str">
        <f>IF(E259 &lt;&gt; "", VLOOKUP(E259, '[2]Internal-logic'!G$1:I$364, 2, FALSE),"")</f>
        <v/>
      </c>
      <c r="G259" s="128" t="str">
        <f>IF(E259 &lt;&gt; "", VLOOKUP(E259, '[2]Internal-logic'!G$1:I$364, 3, FALSE),"")</f>
        <v/>
      </c>
      <c r="H259" s="128"/>
      <c r="I259" s="128"/>
      <c r="J259" s="128"/>
      <c r="K259" s="128"/>
      <c r="Q259" s="128"/>
      <c r="R259" s="128"/>
      <c r="S259" s="128"/>
      <c r="U259" s="128"/>
      <c r="X259" s="128"/>
      <c r="Y259" s="128"/>
      <c r="Z259" s="128"/>
      <c r="AA259" s="128"/>
      <c r="AB259" s="128"/>
      <c r="AC259" s="128"/>
      <c r="AD259" s="128"/>
      <c r="AE259" s="128"/>
      <c r="AF259" s="128"/>
      <c r="AG259" s="128"/>
      <c r="AI259" s="128"/>
      <c r="AJ259" s="128"/>
      <c r="AY259" s="128"/>
      <c r="BN259" s="128"/>
      <c r="BQ259" s="128"/>
      <c r="BR259" s="128"/>
      <c r="BT259" s="128"/>
      <c r="BV259" s="128"/>
      <c r="BX259" s="128"/>
      <c r="CU259" s="128"/>
      <c r="CW259" s="128"/>
      <c r="DN259" s="128"/>
      <c r="DP259" s="128"/>
      <c r="DR259" s="128"/>
      <c r="DV259" s="128"/>
      <c r="DX259" s="128"/>
      <c r="DY259" s="128"/>
      <c r="EA259" s="128"/>
      <c r="EB259" s="128"/>
      <c r="EC259" s="128"/>
      <c r="EG259" s="128"/>
      <c r="EL259" s="128"/>
      <c r="EM259" s="128"/>
      <c r="EO259" s="128"/>
      <c r="EQ259" s="128"/>
      <c r="ES259" s="128"/>
      <c r="EU259" s="128"/>
      <c r="EW259" s="128"/>
      <c r="EY259" s="128"/>
    </row>
    <row r="260" spans="3:155">
      <c r="C260" s="128"/>
      <c r="D260" s="128"/>
      <c r="E260" s="128"/>
      <c r="F260" s="128" t="str">
        <f>IF(E260 &lt;&gt; "", VLOOKUP(E260, '[2]Internal-logic'!G$1:I$364, 2, FALSE),"")</f>
        <v/>
      </c>
      <c r="G260" s="128" t="str">
        <f>IF(E260 &lt;&gt; "", VLOOKUP(E260, '[2]Internal-logic'!G$1:I$364, 3, FALSE),"")</f>
        <v/>
      </c>
      <c r="H260" s="128"/>
      <c r="I260" s="128"/>
      <c r="J260" s="128"/>
      <c r="K260" s="128"/>
      <c r="Q260" s="128"/>
      <c r="R260" s="128"/>
      <c r="S260" s="128"/>
      <c r="U260" s="128"/>
      <c r="X260" s="128"/>
      <c r="Y260" s="128"/>
      <c r="Z260" s="128"/>
      <c r="AA260" s="128"/>
      <c r="AB260" s="128"/>
      <c r="AC260" s="128"/>
      <c r="AD260" s="128"/>
      <c r="AE260" s="128"/>
      <c r="AF260" s="128"/>
      <c r="AG260" s="128"/>
      <c r="AI260" s="128"/>
      <c r="AJ260" s="128"/>
      <c r="AY260" s="128"/>
      <c r="BN260" s="128"/>
      <c r="BQ260" s="128"/>
      <c r="BR260" s="128"/>
      <c r="BT260" s="128"/>
      <c r="BV260" s="128"/>
      <c r="BX260" s="128"/>
      <c r="CU260" s="128"/>
      <c r="CW260" s="128"/>
      <c r="DN260" s="128"/>
      <c r="DP260" s="128"/>
      <c r="DR260" s="128"/>
      <c r="DV260" s="128"/>
      <c r="DX260" s="128"/>
      <c r="DY260" s="128"/>
      <c r="EA260" s="128"/>
      <c r="EB260" s="128"/>
      <c r="EC260" s="128"/>
      <c r="EG260" s="128"/>
      <c r="EL260" s="128"/>
      <c r="EM260" s="128"/>
      <c r="EO260" s="128"/>
      <c r="EQ260" s="128"/>
      <c r="ES260" s="128"/>
      <c r="EU260" s="128"/>
      <c r="EW260" s="128"/>
      <c r="EY260" s="128"/>
    </row>
    <row r="261" spans="3:155">
      <c r="C261" s="128"/>
      <c r="D261" s="128"/>
      <c r="E261" s="128"/>
      <c r="F261" s="128" t="str">
        <f>IF(E261 &lt;&gt; "", VLOOKUP(E261, '[2]Internal-logic'!G$1:I$364, 2, FALSE),"")</f>
        <v/>
      </c>
      <c r="G261" s="128" t="str">
        <f>IF(E261 &lt;&gt; "", VLOOKUP(E261, '[2]Internal-logic'!G$1:I$364, 3, FALSE),"")</f>
        <v/>
      </c>
      <c r="H261" s="128"/>
      <c r="I261" s="128"/>
      <c r="J261" s="128"/>
      <c r="K261" s="128"/>
      <c r="Q261" s="128"/>
      <c r="R261" s="128"/>
      <c r="S261" s="128"/>
      <c r="U261" s="128"/>
      <c r="X261" s="128"/>
      <c r="Y261" s="128"/>
      <c r="Z261" s="128"/>
      <c r="AA261" s="128"/>
      <c r="AB261" s="128"/>
      <c r="AC261" s="128"/>
      <c r="AD261" s="128"/>
      <c r="AE261" s="128"/>
      <c r="AF261" s="128"/>
      <c r="AG261" s="128"/>
      <c r="AI261" s="128"/>
      <c r="AJ261" s="128"/>
      <c r="AY261" s="128"/>
      <c r="BN261" s="128"/>
      <c r="BQ261" s="128"/>
      <c r="BR261" s="128"/>
      <c r="BT261" s="128"/>
      <c r="BV261" s="128"/>
      <c r="BX261" s="128"/>
      <c r="CU261" s="128"/>
      <c r="CW261" s="128"/>
      <c r="DN261" s="128"/>
      <c r="DP261" s="128"/>
      <c r="DR261" s="128"/>
      <c r="DV261" s="128"/>
      <c r="DX261" s="128"/>
      <c r="DY261" s="128"/>
      <c r="EA261" s="128"/>
      <c r="EB261" s="128"/>
      <c r="EC261" s="128"/>
      <c r="EG261" s="128"/>
      <c r="EL261" s="128"/>
      <c r="EM261" s="128"/>
      <c r="EO261" s="128"/>
      <c r="EQ261" s="128"/>
      <c r="ES261" s="128"/>
      <c r="EU261" s="128"/>
      <c r="EW261" s="128"/>
      <c r="EY261" s="128"/>
    </row>
    <row r="262" spans="3:155">
      <c r="C262" s="128"/>
      <c r="D262" s="128"/>
      <c r="E262" s="128"/>
      <c r="F262" s="128" t="str">
        <f>IF(E262 &lt;&gt; "", VLOOKUP(E262, '[2]Internal-logic'!G$1:I$364, 2, FALSE),"")</f>
        <v/>
      </c>
      <c r="G262" s="128" t="str">
        <f>IF(E262 &lt;&gt; "", VLOOKUP(E262, '[2]Internal-logic'!G$1:I$364, 3, FALSE),"")</f>
        <v/>
      </c>
      <c r="H262" s="128"/>
      <c r="I262" s="128"/>
      <c r="J262" s="128"/>
      <c r="K262" s="128"/>
      <c r="Q262" s="128"/>
      <c r="R262" s="128"/>
      <c r="S262" s="128"/>
      <c r="U262" s="128"/>
      <c r="X262" s="128"/>
      <c r="Y262" s="128"/>
      <c r="Z262" s="128"/>
      <c r="AA262" s="128"/>
      <c r="AB262" s="128"/>
      <c r="AC262" s="128"/>
      <c r="AD262" s="128"/>
      <c r="AE262" s="128"/>
      <c r="AF262" s="128"/>
      <c r="AG262" s="128"/>
      <c r="AI262" s="128"/>
      <c r="AJ262" s="128"/>
      <c r="AY262" s="128"/>
      <c r="BN262" s="128"/>
      <c r="BQ262" s="128"/>
      <c r="BR262" s="128"/>
      <c r="BT262" s="128"/>
      <c r="BV262" s="128"/>
      <c r="BX262" s="128"/>
      <c r="CU262" s="128"/>
      <c r="CW262" s="128"/>
      <c r="DN262" s="128"/>
      <c r="DP262" s="128"/>
      <c r="DR262" s="128"/>
      <c r="DV262" s="128"/>
      <c r="DX262" s="128"/>
      <c r="DY262" s="128"/>
      <c r="EA262" s="128"/>
      <c r="EB262" s="128"/>
      <c r="EC262" s="128"/>
      <c r="EG262" s="128"/>
      <c r="EL262" s="128"/>
      <c r="EM262" s="128"/>
      <c r="EO262" s="128"/>
      <c r="EQ262" s="128"/>
      <c r="ES262" s="128"/>
      <c r="EU262" s="128"/>
      <c r="EW262" s="128"/>
      <c r="EY262" s="128"/>
    </row>
    <row r="263" spans="3:155">
      <c r="C263" s="128"/>
      <c r="D263" s="128"/>
      <c r="E263" s="128"/>
      <c r="F263" s="128" t="str">
        <f>IF(E263 &lt;&gt; "", VLOOKUP(E263, '[2]Internal-logic'!G$1:I$364, 2, FALSE),"")</f>
        <v/>
      </c>
      <c r="G263" s="128" t="str">
        <f>IF(E263 &lt;&gt; "", VLOOKUP(E263, '[2]Internal-logic'!G$1:I$364, 3, FALSE),"")</f>
        <v/>
      </c>
      <c r="H263" s="128"/>
      <c r="I263" s="128"/>
      <c r="J263" s="128"/>
      <c r="K263" s="128"/>
      <c r="Q263" s="128"/>
      <c r="R263" s="128"/>
      <c r="S263" s="128"/>
      <c r="U263" s="128"/>
      <c r="X263" s="128"/>
      <c r="Y263" s="128"/>
      <c r="Z263" s="128"/>
      <c r="AA263" s="128"/>
      <c r="AB263" s="128"/>
      <c r="AC263" s="128"/>
      <c r="AD263" s="128"/>
      <c r="AE263" s="128"/>
      <c r="AF263" s="128"/>
      <c r="AG263" s="128"/>
      <c r="AI263" s="128"/>
      <c r="AJ263" s="128"/>
      <c r="AY263" s="128"/>
      <c r="BN263" s="128"/>
      <c r="BQ263" s="128"/>
      <c r="BR263" s="128"/>
      <c r="BT263" s="128"/>
      <c r="BV263" s="128"/>
      <c r="BX263" s="128"/>
      <c r="CU263" s="128"/>
      <c r="CW263" s="128"/>
      <c r="DN263" s="128"/>
      <c r="DP263" s="128"/>
      <c r="DR263" s="128"/>
      <c r="DV263" s="128"/>
      <c r="DX263" s="128"/>
      <c r="DY263" s="128"/>
      <c r="EA263" s="128"/>
      <c r="EB263" s="128"/>
      <c r="EC263" s="128"/>
      <c r="EG263" s="128"/>
      <c r="EL263" s="128"/>
      <c r="EM263" s="128"/>
      <c r="EO263" s="128"/>
      <c r="EQ263" s="128"/>
      <c r="ES263" s="128"/>
      <c r="EU263" s="128"/>
      <c r="EW263" s="128"/>
      <c r="EY263" s="128"/>
    </row>
    <row r="264" spans="3:155">
      <c r="C264" s="128"/>
      <c r="D264" s="128"/>
      <c r="E264" s="128"/>
      <c r="F264" s="128" t="str">
        <f>IF(E264 &lt;&gt; "", VLOOKUP(E264, '[2]Internal-logic'!G$1:I$364, 2, FALSE),"")</f>
        <v/>
      </c>
      <c r="G264" s="128" t="str">
        <f>IF(E264 &lt;&gt; "", VLOOKUP(E264, '[2]Internal-logic'!G$1:I$364, 3, FALSE),"")</f>
        <v/>
      </c>
      <c r="H264" s="128"/>
      <c r="I264" s="128"/>
      <c r="J264" s="128"/>
      <c r="K264" s="128"/>
      <c r="Q264" s="128"/>
      <c r="R264" s="128"/>
      <c r="S264" s="128"/>
      <c r="U264" s="128"/>
      <c r="X264" s="128"/>
      <c r="Y264" s="128"/>
      <c r="Z264" s="128"/>
      <c r="AA264" s="128"/>
      <c r="AB264" s="128"/>
      <c r="AC264" s="128"/>
      <c r="AD264" s="128"/>
      <c r="AE264" s="128"/>
      <c r="AF264" s="128"/>
      <c r="AG264" s="128"/>
      <c r="AI264" s="128"/>
      <c r="AJ264" s="128"/>
      <c r="AY264" s="128"/>
      <c r="BN264" s="128"/>
      <c r="BQ264" s="128"/>
      <c r="BR264" s="128"/>
      <c r="BT264" s="128"/>
      <c r="BV264" s="128"/>
      <c r="BX264" s="128"/>
      <c r="CU264" s="128"/>
      <c r="CW264" s="128"/>
      <c r="DN264" s="128"/>
      <c r="DP264" s="128"/>
      <c r="DR264" s="128"/>
      <c r="DV264" s="128"/>
      <c r="DX264" s="128"/>
      <c r="DY264" s="128"/>
      <c r="EA264" s="128"/>
      <c r="EB264" s="128"/>
      <c r="EC264" s="128"/>
      <c r="EG264" s="128"/>
      <c r="EL264" s="128"/>
      <c r="EM264" s="128"/>
      <c r="EO264" s="128"/>
      <c r="EQ264" s="128"/>
      <c r="ES264" s="128"/>
      <c r="EU264" s="128"/>
      <c r="EW264" s="128"/>
      <c r="EY264" s="128"/>
    </row>
    <row r="265" spans="3:155">
      <c r="C265" s="128"/>
      <c r="D265" s="128"/>
      <c r="E265" s="128"/>
      <c r="F265" s="128" t="str">
        <f>IF(E265 &lt;&gt; "", VLOOKUP(E265, '[2]Internal-logic'!G$1:I$364, 2, FALSE),"")</f>
        <v/>
      </c>
      <c r="G265" s="128" t="str">
        <f>IF(E265 &lt;&gt; "", VLOOKUP(E265, '[2]Internal-logic'!G$1:I$364, 3, FALSE),"")</f>
        <v/>
      </c>
      <c r="H265" s="128"/>
      <c r="I265" s="128"/>
      <c r="J265" s="128"/>
      <c r="K265" s="128"/>
      <c r="Q265" s="128"/>
      <c r="R265" s="128"/>
      <c r="S265" s="128"/>
      <c r="U265" s="128"/>
      <c r="X265" s="128"/>
      <c r="Y265" s="128"/>
      <c r="Z265" s="128"/>
      <c r="AA265" s="128"/>
      <c r="AB265" s="128"/>
      <c r="AC265" s="128"/>
      <c r="AD265" s="128"/>
      <c r="AE265" s="128"/>
      <c r="AF265" s="128"/>
      <c r="AG265" s="128"/>
      <c r="AI265" s="128"/>
      <c r="AJ265" s="128"/>
      <c r="AY265" s="128"/>
      <c r="BN265" s="128"/>
      <c r="BQ265" s="128"/>
      <c r="BR265" s="128"/>
      <c r="BT265" s="128"/>
      <c r="BV265" s="128"/>
      <c r="BX265" s="128"/>
      <c r="CU265" s="128"/>
      <c r="CW265" s="128"/>
      <c r="DN265" s="128"/>
      <c r="DP265" s="128"/>
      <c r="DR265" s="128"/>
      <c r="DV265" s="128"/>
      <c r="DX265" s="128"/>
      <c r="DY265" s="128"/>
      <c r="EA265" s="128"/>
      <c r="EB265" s="128"/>
      <c r="EC265" s="128"/>
      <c r="EG265" s="128"/>
      <c r="EL265" s="128"/>
      <c r="EM265" s="128"/>
      <c r="EO265" s="128"/>
      <c r="EQ265" s="128"/>
      <c r="ES265" s="128"/>
      <c r="EU265" s="128"/>
      <c r="EW265" s="128"/>
      <c r="EY265" s="128"/>
    </row>
    <row r="266" spans="3:155">
      <c r="C266" s="128"/>
      <c r="D266" s="128"/>
      <c r="E266" s="128"/>
      <c r="F266" s="128" t="str">
        <f>IF(E266 &lt;&gt; "", VLOOKUP(E266, '[2]Internal-logic'!G$1:I$364, 2, FALSE),"")</f>
        <v/>
      </c>
      <c r="G266" s="128" t="str">
        <f>IF(E266 &lt;&gt; "", VLOOKUP(E266, '[2]Internal-logic'!G$1:I$364, 3, FALSE),"")</f>
        <v/>
      </c>
      <c r="H266" s="128"/>
      <c r="I266" s="128"/>
      <c r="J266" s="128"/>
      <c r="K266" s="128"/>
      <c r="Q266" s="128"/>
      <c r="R266" s="128"/>
      <c r="S266" s="128"/>
      <c r="U266" s="128"/>
      <c r="X266" s="128"/>
      <c r="Y266" s="128"/>
      <c r="Z266" s="128"/>
      <c r="AA266" s="128"/>
      <c r="AB266" s="128"/>
      <c r="AC266" s="128"/>
      <c r="AD266" s="128"/>
      <c r="AE266" s="128"/>
      <c r="AF266" s="128"/>
      <c r="AG266" s="128"/>
      <c r="AI266" s="128"/>
      <c r="AJ266" s="128"/>
      <c r="AY266" s="128"/>
      <c r="BN266" s="128"/>
      <c r="BQ266" s="128"/>
      <c r="BR266" s="128"/>
      <c r="BT266" s="128"/>
      <c r="BV266" s="128"/>
      <c r="BX266" s="128"/>
      <c r="CU266" s="128"/>
      <c r="CW266" s="128"/>
      <c r="DN266" s="128"/>
      <c r="DP266" s="128"/>
      <c r="DR266" s="128"/>
      <c r="DV266" s="128"/>
      <c r="DX266" s="128"/>
      <c r="DY266" s="128"/>
      <c r="EA266" s="128"/>
      <c r="EB266" s="128"/>
      <c r="EC266" s="128"/>
      <c r="EG266" s="128"/>
      <c r="EL266" s="128"/>
      <c r="EM266" s="128"/>
      <c r="EO266" s="128"/>
      <c r="EQ266" s="128"/>
      <c r="ES266" s="128"/>
      <c r="EU266" s="128"/>
      <c r="EW266" s="128"/>
      <c r="EY266" s="128"/>
    </row>
    <row r="267" spans="3:155">
      <c r="C267" s="128"/>
      <c r="D267" s="128"/>
      <c r="E267" s="128"/>
      <c r="F267" s="128" t="str">
        <f>IF(E267 &lt;&gt; "", VLOOKUP(E267, '[2]Internal-logic'!G$1:I$364, 2, FALSE),"")</f>
        <v/>
      </c>
      <c r="G267" s="128" t="str">
        <f>IF(E267 &lt;&gt; "", VLOOKUP(E267, '[2]Internal-logic'!G$1:I$364, 3, FALSE),"")</f>
        <v/>
      </c>
      <c r="H267" s="128"/>
      <c r="I267" s="128"/>
      <c r="J267" s="128"/>
      <c r="K267" s="128"/>
      <c r="Q267" s="128"/>
      <c r="R267" s="128"/>
      <c r="S267" s="128"/>
      <c r="U267" s="128"/>
      <c r="X267" s="128"/>
      <c r="Y267" s="128"/>
      <c r="Z267" s="128"/>
      <c r="AA267" s="128"/>
      <c r="AB267" s="128"/>
      <c r="AC267" s="128"/>
      <c r="AD267" s="128"/>
      <c r="AE267" s="128"/>
      <c r="AF267" s="128"/>
      <c r="AG267" s="128"/>
      <c r="AI267" s="128"/>
      <c r="AJ267" s="128"/>
      <c r="AY267" s="128"/>
      <c r="BN267" s="128"/>
      <c r="BQ267" s="128"/>
      <c r="BR267" s="128"/>
      <c r="BT267" s="128"/>
      <c r="BV267" s="128"/>
      <c r="BX267" s="128"/>
      <c r="CU267" s="128"/>
      <c r="CW267" s="128"/>
      <c r="DN267" s="128"/>
      <c r="DP267" s="128"/>
      <c r="DR267" s="128"/>
      <c r="DV267" s="128"/>
      <c r="DX267" s="128"/>
      <c r="DY267" s="128"/>
      <c r="EA267" s="128"/>
      <c r="EB267" s="128"/>
      <c r="EC267" s="128"/>
      <c r="EG267" s="128"/>
      <c r="EL267" s="128"/>
      <c r="EM267" s="128"/>
      <c r="EO267" s="128"/>
      <c r="EQ267" s="128"/>
      <c r="ES267" s="128"/>
      <c r="EU267" s="128"/>
      <c r="EW267" s="128"/>
      <c r="EY267" s="128"/>
    </row>
    <row r="268" spans="3:155">
      <c r="C268" s="128"/>
      <c r="D268" s="128"/>
      <c r="E268" s="128"/>
      <c r="F268" s="128" t="str">
        <f>IF(E268 &lt;&gt; "", VLOOKUP(E268, '[2]Internal-logic'!G$1:I$364, 2, FALSE),"")</f>
        <v/>
      </c>
      <c r="G268" s="128" t="str">
        <f>IF(E268 &lt;&gt; "", VLOOKUP(E268, '[2]Internal-logic'!G$1:I$364, 3, FALSE),"")</f>
        <v/>
      </c>
      <c r="H268" s="128"/>
      <c r="I268" s="128"/>
      <c r="J268" s="128"/>
      <c r="K268" s="128"/>
      <c r="Q268" s="128"/>
      <c r="R268" s="128"/>
      <c r="S268" s="128"/>
      <c r="U268" s="128"/>
      <c r="X268" s="128"/>
      <c r="Y268" s="128"/>
      <c r="Z268" s="128"/>
      <c r="AA268" s="128"/>
      <c r="AB268" s="128"/>
      <c r="AC268" s="128"/>
      <c r="AD268" s="128"/>
      <c r="AE268" s="128"/>
      <c r="AF268" s="128"/>
      <c r="AG268" s="128"/>
      <c r="AI268" s="128"/>
      <c r="AJ268" s="128"/>
      <c r="AY268" s="128"/>
      <c r="BN268" s="128"/>
      <c r="BQ268" s="128"/>
      <c r="BR268" s="128"/>
      <c r="BT268" s="128"/>
      <c r="BV268" s="128"/>
      <c r="BX268" s="128"/>
      <c r="CU268" s="128"/>
      <c r="CW268" s="128"/>
      <c r="DN268" s="128"/>
      <c r="DP268" s="128"/>
      <c r="DR268" s="128"/>
      <c r="DV268" s="128"/>
      <c r="DX268" s="128"/>
      <c r="DY268" s="128"/>
      <c r="EA268" s="128"/>
      <c r="EB268" s="128"/>
      <c r="EC268" s="128"/>
      <c r="EG268" s="128"/>
      <c r="EL268" s="128"/>
      <c r="EM268" s="128"/>
      <c r="EO268" s="128"/>
      <c r="EQ268" s="128"/>
      <c r="ES268" s="128"/>
      <c r="EU268" s="128"/>
      <c r="EW268" s="128"/>
      <c r="EY268" s="128"/>
    </row>
    <row r="269" spans="3:155">
      <c r="C269" s="128"/>
      <c r="D269" s="128"/>
      <c r="E269" s="128"/>
      <c r="F269" s="128" t="str">
        <f>IF(E269 &lt;&gt; "", VLOOKUP(E269, '[2]Internal-logic'!G$1:I$364, 2, FALSE),"")</f>
        <v/>
      </c>
      <c r="G269" s="128" t="str">
        <f>IF(E269 &lt;&gt; "", VLOOKUP(E269, '[2]Internal-logic'!G$1:I$364, 3, FALSE),"")</f>
        <v/>
      </c>
      <c r="H269" s="128"/>
      <c r="I269" s="128"/>
      <c r="J269" s="128"/>
      <c r="K269" s="128"/>
      <c r="Q269" s="128"/>
      <c r="R269" s="128"/>
      <c r="S269" s="128"/>
      <c r="U269" s="128"/>
      <c r="X269" s="128"/>
      <c r="Y269" s="128"/>
      <c r="Z269" s="128"/>
      <c r="AA269" s="128"/>
      <c r="AB269" s="128"/>
      <c r="AC269" s="128"/>
      <c r="AD269" s="128"/>
      <c r="AE269" s="128"/>
      <c r="AF269" s="128"/>
      <c r="AG269" s="128"/>
      <c r="AI269" s="128"/>
      <c r="AJ269" s="128"/>
      <c r="AY269" s="128"/>
      <c r="BN269" s="128"/>
      <c r="BQ269" s="128"/>
      <c r="BR269" s="128"/>
      <c r="BT269" s="128"/>
      <c r="BV269" s="128"/>
      <c r="BX269" s="128"/>
      <c r="CU269" s="128"/>
      <c r="CW269" s="128"/>
      <c r="DN269" s="128"/>
      <c r="DP269" s="128"/>
      <c r="DR269" s="128"/>
      <c r="DV269" s="128"/>
      <c r="DX269" s="128"/>
      <c r="DY269" s="128"/>
      <c r="EA269" s="128"/>
      <c r="EB269" s="128"/>
      <c r="EC269" s="128"/>
      <c r="EG269" s="128"/>
      <c r="EL269" s="128"/>
      <c r="EM269" s="128"/>
      <c r="EO269" s="128"/>
      <c r="EQ269" s="128"/>
      <c r="ES269" s="128"/>
      <c r="EU269" s="128"/>
      <c r="EW269" s="128"/>
      <c r="EY269" s="128"/>
    </row>
    <row r="270" spans="3:155">
      <c r="C270" s="128"/>
      <c r="D270" s="128"/>
      <c r="E270" s="128"/>
      <c r="F270" s="128" t="str">
        <f>IF(E270 &lt;&gt; "", VLOOKUP(E270, '[2]Internal-logic'!G$1:I$364, 2, FALSE),"")</f>
        <v/>
      </c>
      <c r="G270" s="128" t="str">
        <f>IF(E270 &lt;&gt; "", VLOOKUP(E270, '[2]Internal-logic'!G$1:I$364, 3, FALSE),"")</f>
        <v/>
      </c>
      <c r="H270" s="128"/>
      <c r="I270" s="128"/>
      <c r="J270" s="128"/>
      <c r="K270" s="128"/>
      <c r="Q270" s="128"/>
      <c r="R270" s="128"/>
      <c r="S270" s="128"/>
      <c r="U270" s="128"/>
      <c r="X270" s="128"/>
      <c r="Y270" s="128"/>
      <c r="Z270" s="128"/>
      <c r="AA270" s="128"/>
      <c r="AB270" s="128"/>
      <c r="AC270" s="128"/>
      <c r="AD270" s="128"/>
      <c r="AE270" s="128"/>
      <c r="AF270" s="128"/>
      <c r="AG270" s="128"/>
      <c r="AI270" s="128"/>
      <c r="AJ270" s="128"/>
      <c r="AY270" s="128"/>
      <c r="BN270" s="128"/>
      <c r="BQ270" s="128"/>
      <c r="BR270" s="128"/>
      <c r="BT270" s="128"/>
      <c r="BV270" s="128"/>
      <c r="BX270" s="128"/>
      <c r="CU270" s="128"/>
      <c r="CW270" s="128"/>
      <c r="DN270" s="128"/>
      <c r="DP270" s="128"/>
      <c r="DR270" s="128"/>
      <c r="DV270" s="128"/>
      <c r="DX270" s="128"/>
      <c r="DY270" s="128"/>
      <c r="EA270" s="128"/>
      <c r="EB270" s="128"/>
      <c r="EC270" s="128"/>
      <c r="EG270" s="128"/>
      <c r="EL270" s="128"/>
      <c r="EM270" s="128"/>
      <c r="EO270" s="128"/>
      <c r="EQ270" s="128"/>
      <c r="ES270" s="128"/>
      <c r="EU270" s="128"/>
      <c r="EW270" s="128"/>
      <c r="EY270" s="128"/>
    </row>
    <row r="271" spans="3:155">
      <c r="C271" s="128"/>
      <c r="D271" s="128"/>
      <c r="E271" s="128"/>
      <c r="F271" s="128" t="str">
        <f>IF(E271 &lt;&gt; "", VLOOKUP(E271, '[2]Internal-logic'!G$1:I$364, 2, FALSE),"")</f>
        <v/>
      </c>
      <c r="G271" s="128" t="str">
        <f>IF(E271 &lt;&gt; "", VLOOKUP(E271, '[2]Internal-logic'!G$1:I$364, 3, FALSE),"")</f>
        <v/>
      </c>
      <c r="H271" s="128"/>
      <c r="I271" s="128"/>
      <c r="J271" s="128"/>
      <c r="K271" s="128"/>
      <c r="Q271" s="128"/>
      <c r="R271" s="128"/>
      <c r="S271" s="128"/>
      <c r="U271" s="128"/>
      <c r="X271" s="128"/>
      <c r="Y271" s="128"/>
      <c r="Z271" s="128"/>
      <c r="AA271" s="128"/>
      <c r="AB271" s="128"/>
      <c r="AC271" s="128"/>
      <c r="AD271" s="128"/>
      <c r="AE271" s="128"/>
      <c r="AF271" s="128"/>
      <c r="AG271" s="128"/>
      <c r="AI271" s="128"/>
      <c r="AJ271" s="128"/>
      <c r="AY271" s="128"/>
      <c r="BN271" s="128"/>
      <c r="BQ271" s="128"/>
      <c r="BR271" s="128"/>
      <c r="BT271" s="128"/>
      <c r="BV271" s="128"/>
      <c r="BX271" s="128"/>
      <c r="CU271" s="128"/>
      <c r="CW271" s="128"/>
      <c r="DN271" s="128"/>
      <c r="DP271" s="128"/>
      <c r="DR271" s="128"/>
      <c r="DV271" s="128"/>
      <c r="DX271" s="128"/>
      <c r="DY271" s="128"/>
      <c r="EA271" s="128"/>
      <c r="EB271" s="128"/>
      <c r="EC271" s="128"/>
      <c r="EG271" s="128"/>
      <c r="EL271" s="128"/>
      <c r="EM271" s="128"/>
      <c r="EO271" s="128"/>
      <c r="EQ271" s="128"/>
      <c r="ES271" s="128"/>
      <c r="EU271" s="128"/>
      <c r="EW271" s="128"/>
      <c r="EY271" s="128"/>
    </row>
    <row r="272" spans="3:155">
      <c r="C272" s="128"/>
      <c r="D272" s="128"/>
      <c r="E272" s="128"/>
      <c r="F272" s="128" t="str">
        <f>IF(E272 &lt;&gt; "", VLOOKUP(E272, '[2]Internal-logic'!G$1:I$364, 2, FALSE),"")</f>
        <v/>
      </c>
      <c r="G272" s="128" t="str">
        <f>IF(E272 &lt;&gt; "", VLOOKUP(E272, '[2]Internal-logic'!G$1:I$364, 3, FALSE),"")</f>
        <v/>
      </c>
      <c r="H272" s="128"/>
      <c r="I272" s="128"/>
      <c r="J272" s="128"/>
      <c r="K272" s="128"/>
      <c r="Q272" s="128"/>
      <c r="R272" s="128"/>
      <c r="S272" s="128"/>
      <c r="U272" s="128"/>
      <c r="X272" s="128"/>
      <c r="Y272" s="128"/>
      <c r="Z272" s="128"/>
      <c r="AA272" s="128"/>
      <c r="AB272" s="128"/>
      <c r="AC272" s="128"/>
      <c r="AD272" s="128"/>
      <c r="AE272" s="128"/>
      <c r="AF272" s="128"/>
      <c r="AG272" s="128"/>
      <c r="AI272" s="128"/>
      <c r="AJ272" s="128"/>
      <c r="AY272" s="128"/>
      <c r="BN272" s="128"/>
      <c r="BQ272" s="128"/>
      <c r="BR272" s="128"/>
      <c r="BT272" s="128"/>
      <c r="BV272" s="128"/>
      <c r="BX272" s="128"/>
      <c r="CU272" s="128"/>
      <c r="CW272" s="128"/>
      <c r="DN272" s="128"/>
      <c r="DP272" s="128"/>
      <c r="DR272" s="128"/>
      <c r="DV272" s="128"/>
      <c r="DX272" s="128"/>
      <c r="DY272" s="128"/>
      <c r="EA272" s="128"/>
      <c r="EB272" s="128"/>
      <c r="EC272" s="128"/>
      <c r="EG272" s="128"/>
      <c r="EL272" s="128"/>
      <c r="EM272" s="128"/>
      <c r="EO272" s="128"/>
      <c r="EQ272" s="128"/>
      <c r="ES272" s="128"/>
      <c r="EU272" s="128"/>
      <c r="EW272" s="128"/>
      <c r="EY272" s="128"/>
    </row>
    <row r="273" spans="3:155">
      <c r="C273" s="128"/>
      <c r="D273" s="128"/>
      <c r="E273" s="128"/>
      <c r="F273" s="128" t="str">
        <f>IF(E273 &lt;&gt; "", VLOOKUP(E273, '[2]Internal-logic'!G$1:I$364, 2, FALSE),"")</f>
        <v/>
      </c>
      <c r="G273" s="128" t="str">
        <f>IF(E273 &lt;&gt; "", VLOOKUP(E273, '[2]Internal-logic'!G$1:I$364, 3, FALSE),"")</f>
        <v/>
      </c>
      <c r="H273" s="128"/>
      <c r="I273" s="128"/>
      <c r="J273" s="128"/>
      <c r="K273" s="128"/>
      <c r="Q273" s="128"/>
      <c r="R273" s="128"/>
      <c r="S273" s="128"/>
      <c r="U273" s="128"/>
      <c r="X273" s="128"/>
      <c r="Y273" s="128"/>
      <c r="Z273" s="128"/>
      <c r="AA273" s="128"/>
      <c r="AB273" s="128"/>
      <c r="AC273" s="128"/>
      <c r="AD273" s="128"/>
      <c r="AE273" s="128"/>
      <c r="AF273" s="128"/>
      <c r="AG273" s="128"/>
      <c r="AI273" s="128"/>
      <c r="AJ273" s="128"/>
      <c r="AY273" s="128"/>
      <c r="BN273" s="128"/>
      <c r="BQ273" s="128"/>
      <c r="BR273" s="128"/>
      <c r="BT273" s="128"/>
      <c r="BV273" s="128"/>
      <c r="BX273" s="128"/>
      <c r="CU273" s="128"/>
      <c r="CW273" s="128"/>
      <c r="DN273" s="128"/>
      <c r="DP273" s="128"/>
      <c r="DR273" s="128"/>
      <c r="DV273" s="128"/>
      <c r="DX273" s="128"/>
      <c r="DY273" s="128"/>
      <c r="EA273" s="128"/>
      <c r="EB273" s="128"/>
      <c r="EC273" s="128"/>
      <c r="EG273" s="128"/>
      <c r="EL273" s="128"/>
      <c r="EM273" s="128"/>
      <c r="EO273" s="128"/>
      <c r="EQ273" s="128"/>
      <c r="ES273" s="128"/>
      <c r="EU273" s="128"/>
      <c r="EW273" s="128"/>
      <c r="EY273" s="128"/>
    </row>
    <row r="274" spans="3:155">
      <c r="C274" s="128"/>
      <c r="D274" s="128"/>
      <c r="E274" s="128"/>
      <c r="F274" s="128" t="str">
        <f>IF(E274 &lt;&gt; "", VLOOKUP(E274, '[2]Internal-logic'!G$1:I$364, 2, FALSE),"")</f>
        <v/>
      </c>
      <c r="G274" s="128" t="str">
        <f>IF(E274 &lt;&gt; "", VLOOKUP(E274, '[2]Internal-logic'!G$1:I$364, 3, FALSE),"")</f>
        <v/>
      </c>
      <c r="H274" s="128"/>
      <c r="I274" s="128"/>
      <c r="J274" s="128"/>
      <c r="K274" s="128"/>
      <c r="Q274" s="128"/>
      <c r="R274" s="128"/>
      <c r="S274" s="128"/>
      <c r="U274" s="128"/>
      <c r="X274" s="128"/>
      <c r="Y274" s="128"/>
      <c r="Z274" s="128"/>
      <c r="AA274" s="128"/>
      <c r="AB274" s="128"/>
      <c r="AC274" s="128"/>
      <c r="AD274" s="128"/>
      <c r="AE274" s="128"/>
      <c r="AF274" s="128"/>
      <c r="AG274" s="128"/>
      <c r="AI274" s="128"/>
      <c r="AJ274" s="128"/>
      <c r="AY274" s="128"/>
      <c r="BN274" s="128"/>
      <c r="BQ274" s="128"/>
      <c r="BR274" s="128"/>
      <c r="BT274" s="128"/>
      <c r="BV274" s="128"/>
      <c r="BX274" s="128"/>
      <c r="CU274" s="128"/>
      <c r="CW274" s="128"/>
      <c r="DN274" s="128"/>
      <c r="DP274" s="128"/>
      <c r="DR274" s="128"/>
      <c r="DV274" s="128"/>
      <c r="DX274" s="128"/>
      <c r="DY274" s="128"/>
      <c r="EA274" s="128"/>
      <c r="EB274" s="128"/>
      <c r="EC274" s="128"/>
      <c r="EG274" s="128"/>
      <c r="EL274" s="128"/>
      <c r="EM274" s="128"/>
      <c r="EO274" s="128"/>
      <c r="EQ274" s="128"/>
      <c r="ES274" s="128"/>
      <c r="EU274" s="128"/>
      <c r="EW274" s="128"/>
      <c r="EY274" s="128"/>
    </row>
    <row r="275" spans="3:155">
      <c r="C275" s="128"/>
      <c r="D275" s="128"/>
      <c r="E275" s="128"/>
      <c r="F275" s="128" t="str">
        <f>IF(E275 &lt;&gt; "", VLOOKUP(E275, '[2]Internal-logic'!G$1:I$364, 2, FALSE),"")</f>
        <v/>
      </c>
      <c r="G275" s="128" t="str">
        <f>IF(E275 &lt;&gt; "", VLOOKUP(E275, '[2]Internal-logic'!G$1:I$364, 3, FALSE),"")</f>
        <v/>
      </c>
      <c r="H275" s="128"/>
      <c r="I275" s="128"/>
      <c r="J275" s="128"/>
      <c r="K275" s="128"/>
      <c r="Q275" s="128"/>
      <c r="R275" s="128"/>
      <c r="S275" s="128"/>
      <c r="U275" s="128"/>
      <c r="X275" s="128"/>
      <c r="Y275" s="128"/>
      <c r="Z275" s="128"/>
      <c r="AA275" s="128"/>
      <c r="AB275" s="128"/>
      <c r="AC275" s="128"/>
      <c r="AD275" s="128"/>
      <c r="AE275" s="128"/>
      <c r="AF275" s="128"/>
      <c r="AG275" s="128"/>
      <c r="AI275" s="128"/>
      <c r="AJ275" s="128"/>
      <c r="AY275" s="128"/>
      <c r="BN275" s="128"/>
      <c r="BQ275" s="128"/>
      <c r="BR275" s="128"/>
      <c r="BT275" s="128"/>
      <c r="BV275" s="128"/>
      <c r="BX275" s="128"/>
      <c r="CU275" s="128"/>
      <c r="CW275" s="128"/>
      <c r="DN275" s="128"/>
      <c r="DP275" s="128"/>
      <c r="DR275" s="128"/>
      <c r="DV275" s="128"/>
      <c r="DX275" s="128"/>
      <c r="DY275" s="128"/>
      <c r="EA275" s="128"/>
      <c r="EB275" s="128"/>
      <c r="EC275" s="128"/>
      <c r="EG275" s="128"/>
      <c r="EL275" s="128"/>
      <c r="EM275" s="128"/>
      <c r="EO275" s="128"/>
      <c r="EQ275" s="128"/>
      <c r="ES275" s="128"/>
      <c r="EU275" s="128"/>
      <c r="EW275" s="128"/>
      <c r="EY275" s="128"/>
    </row>
    <row r="276" spans="3:155">
      <c r="C276" s="128"/>
      <c r="D276" s="128"/>
      <c r="E276" s="128"/>
      <c r="F276" s="128" t="str">
        <f>IF(E276 &lt;&gt; "", VLOOKUP(E276, '[2]Internal-logic'!G$1:I$364, 2, FALSE),"")</f>
        <v/>
      </c>
      <c r="G276" s="128" t="str">
        <f>IF(E276 &lt;&gt; "", VLOOKUP(E276, '[2]Internal-logic'!G$1:I$364, 3, FALSE),"")</f>
        <v/>
      </c>
      <c r="H276" s="128"/>
      <c r="I276" s="128"/>
      <c r="J276" s="128"/>
      <c r="K276" s="128"/>
      <c r="Q276" s="128"/>
      <c r="R276" s="128"/>
      <c r="S276" s="128"/>
      <c r="U276" s="128"/>
      <c r="X276" s="128"/>
      <c r="Y276" s="128"/>
      <c r="Z276" s="128"/>
      <c r="AA276" s="128"/>
      <c r="AB276" s="128"/>
      <c r="AC276" s="128"/>
      <c r="AD276" s="128"/>
      <c r="AE276" s="128"/>
      <c r="AF276" s="128"/>
      <c r="AG276" s="128"/>
      <c r="AI276" s="128"/>
      <c r="AJ276" s="128"/>
      <c r="AY276" s="128"/>
      <c r="BN276" s="128"/>
      <c r="BQ276" s="128"/>
      <c r="BR276" s="128"/>
      <c r="BT276" s="128"/>
      <c r="BV276" s="128"/>
      <c r="BX276" s="128"/>
      <c r="CU276" s="128"/>
      <c r="CW276" s="128"/>
      <c r="DN276" s="128"/>
      <c r="DP276" s="128"/>
      <c r="DR276" s="128"/>
      <c r="DV276" s="128"/>
      <c r="DX276" s="128"/>
      <c r="DY276" s="128"/>
      <c r="EA276" s="128"/>
      <c r="EB276" s="128"/>
      <c r="EC276" s="128"/>
      <c r="EG276" s="128"/>
      <c r="EL276" s="128"/>
      <c r="EM276" s="128"/>
      <c r="EO276" s="128"/>
      <c r="EQ276" s="128"/>
      <c r="ES276" s="128"/>
      <c r="EU276" s="128"/>
      <c r="EW276" s="128"/>
      <c r="EY276" s="128"/>
    </row>
    <row r="277" spans="3:155">
      <c r="C277" s="128"/>
      <c r="D277" s="128"/>
      <c r="E277" s="128"/>
      <c r="F277" s="128" t="str">
        <f>IF(E277 &lt;&gt; "", VLOOKUP(E277, '[2]Internal-logic'!G$1:I$364, 2, FALSE),"")</f>
        <v/>
      </c>
      <c r="G277" s="128" t="str">
        <f>IF(E277 &lt;&gt; "", VLOOKUP(E277, '[2]Internal-logic'!G$1:I$364, 3, FALSE),"")</f>
        <v/>
      </c>
      <c r="H277" s="128"/>
      <c r="I277" s="128"/>
      <c r="J277" s="128"/>
      <c r="K277" s="128"/>
      <c r="Q277" s="128"/>
      <c r="R277" s="128"/>
      <c r="S277" s="128"/>
      <c r="U277" s="128"/>
      <c r="X277" s="128"/>
      <c r="Y277" s="128"/>
      <c r="Z277" s="128"/>
      <c r="AA277" s="128"/>
      <c r="AB277" s="128"/>
      <c r="AC277" s="128"/>
      <c r="AD277" s="128"/>
      <c r="AE277" s="128"/>
      <c r="AF277" s="128"/>
      <c r="AG277" s="128"/>
      <c r="AI277" s="128"/>
      <c r="AJ277" s="128"/>
      <c r="AY277" s="128"/>
      <c r="BN277" s="128"/>
      <c r="BQ277" s="128"/>
      <c r="BR277" s="128"/>
      <c r="BT277" s="128"/>
      <c r="BV277" s="128"/>
      <c r="BX277" s="128"/>
      <c r="CU277" s="128"/>
      <c r="CW277" s="128"/>
      <c r="DN277" s="128"/>
      <c r="DP277" s="128"/>
      <c r="DR277" s="128"/>
      <c r="DV277" s="128"/>
      <c r="DX277" s="128"/>
      <c r="DY277" s="128"/>
      <c r="EA277" s="128"/>
      <c r="EB277" s="128"/>
      <c r="EC277" s="128"/>
      <c r="EG277" s="128"/>
      <c r="EL277" s="128"/>
      <c r="EM277" s="128"/>
      <c r="EO277" s="128"/>
      <c r="EQ277" s="128"/>
      <c r="ES277" s="128"/>
      <c r="EU277" s="128"/>
      <c r="EW277" s="128"/>
      <c r="EY277" s="128"/>
    </row>
    <row r="278" spans="3:155">
      <c r="C278" s="128"/>
      <c r="D278" s="128"/>
      <c r="E278" s="128"/>
      <c r="F278" s="128" t="str">
        <f>IF(E278 &lt;&gt; "", VLOOKUP(E278, '[2]Internal-logic'!G$1:I$364, 2, FALSE),"")</f>
        <v/>
      </c>
      <c r="G278" s="128" t="str">
        <f>IF(E278 &lt;&gt; "", VLOOKUP(E278, '[2]Internal-logic'!G$1:I$364, 3, FALSE),"")</f>
        <v/>
      </c>
      <c r="H278" s="128"/>
      <c r="I278" s="128"/>
      <c r="J278" s="128"/>
      <c r="K278" s="128"/>
      <c r="Q278" s="128"/>
      <c r="R278" s="128"/>
      <c r="S278" s="128"/>
      <c r="U278" s="128"/>
      <c r="X278" s="128"/>
      <c r="Y278" s="128"/>
      <c r="Z278" s="128"/>
      <c r="AA278" s="128"/>
      <c r="AB278" s="128"/>
      <c r="AC278" s="128"/>
      <c r="AD278" s="128"/>
      <c r="AE278" s="128"/>
      <c r="AF278" s="128"/>
      <c r="AG278" s="128"/>
      <c r="AI278" s="128"/>
      <c r="AJ278" s="128"/>
      <c r="AY278" s="128"/>
      <c r="BN278" s="128"/>
      <c r="BQ278" s="128"/>
      <c r="BR278" s="128"/>
      <c r="BT278" s="128"/>
      <c r="BV278" s="128"/>
      <c r="BX278" s="128"/>
      <c r="CU278" s="128"/>
      <c r="CW278" s="128"/>
      <c r="DN278" s="128"/>
      <c r="DP278" s="128"/>
      <c r="DR278" s="128"/>
      <c r="DV278" s="128"/>
      <c r="DX278" s="128"/>
      <c r="DY278" s="128"/>
      <c r="EA278" s="128"/>
      <c r="EB278" s="128"/>
      <c r="EC278" s="128"/>
      <c r="EG278" s="128"/>
      <c r="EL278" s="128"/>
      <c r="EM278" s="128"/>
      <c r="EO278" s="128"/>
      <c r="EQ278" s="128"/>
      <c r="ES278" s="128"/>
      <c r="EU278" s="128"/>
      <c r="EW278" s="128"/>
      <c r="EY278" s="128"/>
    </row>
    <row r="279" spans="3:155">
      <c r="C279" s="128"/>
      <c r="D279" s="128"/>
      <c r="E279" s="128"/>
      <c r="F279" s="128" t="str">
        <f>IF(E279 &lt;&gt; "", VLOOKUP(E279, '[2]Internal-logic'!G$1:I$364, 2, FALSE),"")</f>
        <v/>
      </c>
      <c r="G279" s="128" t="str">
        <f>IF(E279 &lt;&gt; "", VLOOKUP(E279, '[2]Internal-logic'!G$1:I$364, 3, FALSE),"")</f>
        <v/>
      </c>
      <c r="H279" s="128"/>
      <c r="I279" s="128"/>
      <c r="J279" s="128"/>
      <c r="K279" s="128"/>
      <c r="Q279" s="128"/>
      <c r="R279" s="128"/>
      <c r="S279" s="128"/>
      <c r="U279" s="128"/>
      <c r="X279" s="128"/>
      <c r="Y279" s="128"/>
      <c r="Z279" s="128"/>
      <c r="AA279" s="128"/>
      <c r="AB279" s="128"/>
      <c r="AC279" s="128"/>
      <c r="AD279" s="128"/>
      <c r="AE279" s="128"/>
      <c r="AF279" s="128"/>
      <c r="AG279" s="128"/>
      <c r="AI279" s="128"/>
      <c r="AJ279" s="128"/>
      <c r="AY279" s="128"/>
      <c r="BN279" s="128"/>
      <c r="BQ279" s="128"/>
      <c r="BR279" s="128"/>
      <c r="BT279" s="128"/>
      <c r="BV279" s="128"/>
      <c r="BX279" s="128"/>
      <c r="CU279" s="128"/>
      <c r="CW279" s="128"/>
      <c r="DN279" s="128"/>
      <c r="DP279" s="128"/>
      <c r="DR279" s="128"/>
      <c r="DV279" s="128"/>
      <c r="DX279" s="128"/>
      <c r="DY279" s="128"/>
      <c r="EA279" s="128"/>
      <c r="EB279" s="128"/>
      <c r="EC279" s="128"/>
      <c r="EG279" s="128"/>
      <c r="EL279" s="128"/>
      <c r="EM279" s="128"/>
      <c r="EO279" s="128"/>
      <c r="EQ279" s="128"/>
      <c r="ES279" s="128"/>
      <c r="EU279" s="128"/>
      <c r="EW279" s="128"/>
      <c r="EY279" s="128"/>
    </row>
    <row r="280" spans="3:155">
      <c r="C280" s="128"/>
      <c r="D280" s="128"/>
      <c r="E280" s="128"/>
      <c r="F280" s="128" t="str">
        <f>IF(E280 &lt;&gt; "", VLOOKUP(E280, '[2]Internal-logic'!G$1:I$364, 2, FALSE),"")</f>
        <v/>
      </c>
      <c r="G280" s="128" t="str">
        <f>IF(E280 &lt;&gt; "", VLOOKUP(E280, '[2]Internal-logic'!G$1:I$364, 3, FALSE),"")</f>
        <v/>
      </c>
      <c r="H280" s="128"/>
      <c r="I280" s="128"/>
      <c r="J280" s="128"/>
      <c r="K280" s="128"/>
      <c r="Q280" s="128"/>
      <c r="R280" s="128"/>
      <c r="S280" s="128"/>
      <c r="U280" s="128"/>
      <c r="X280" s="128"/>
      <c r="Y280" s="128"/>
      <c r="Z280" s="128"/>
      <c r="AA280" s="128"/>
      <c r="AB280" s="128"/>
      <c r="AC280" s="128"/>
      <c r="AD280" s="128"/>
      <c r="AE280" s="128"/>
      <c r="AF280" s="128"/>
      <c r="AG280" s="128"/>
      <c r="AI280" s="128"/>
      <c r="AJ280" s="128"/>
      <c r="AY280" s="128"/>
      <c r="BN280" s="128"/>
      <c r="BQ280" s="128"/>
      <c r="BR280" s="128"/>
      <c r="BT280" s="128"/>
      <c r="BV280" s="128"/>
      <c r="BX280" s="128"/>
      <c r="CU280" s="128"/>
      <c r="CW280" s="128"/>
      <c r="DN280" s="128"/>
      <c r="DP280" s="128"/>
      <c r="DR280" s="128"/>
      <c r="DV280" s="128"/>
      <c r="DX280" s="128"/>
      <c r="DY280" s="128"/>
      <c r="EA280" s="128"/>
      <c r="EB280" s="128"/>
      <c r="EC280" s="128"/>
      <c r="EG280" s="128"/>
      <c r="EL280" s="128"/>
      <c r="EM280" s="128"/>
      <c r="EO280" s="128"/>
      <c r="EQ280" s="128"/>
      <c r="ES280" s="128"/>
      <c r="EU280" s="128"/>
      <c r="EW280" s="128"/>
      <c r="EY280" s="128"/>
    </row>
    <row r="281" spans="3:155">
      <c r="C281" s="128"/>
      <c r="D281" s="128"/>
      <c r="E281" s="128"/>
      <c r="F281" s="128" t="str">
        <f>IF(E281 &lt;&gt; "", VLOOKUP(E281, '[2]Internal-logic'!G$1:I$364, 2, FALSE),"")</f>
        <v/>
      </c>
      <c r="G281" s="128" t="str">
        <f>IF(E281 &lt;&gt; "", VLOOKUP(E281, '[2]Internal-logic'!G$1:I$364, 3, FALSE),"")</f>
        <v/>
      </c>
      <c r="H281" s="128"/>
      <c r="I281" s="128"/>
      <c r="J281" s="128"/>
      <c r="K281" s="128"/>
      <c r="Q281" s="128"/>
      <c r="R281" s="128"/>
      <c r="S281" s="128"/>
      <c r="U281" s="128"/>
      <c r="X281" s="128"/>
      <c r="Y281" s="128"/>
      <c r="Z281" s="128"/>
      <c r="AA281" s="128"/>
      <c r="AB281" s="128"/>
      <c r="AC281" s="128"/>
      <c r="AD281" s="128"/>
      <c r="AE281" s="128"/>
      <c r="AF281" s="128"/>
      <c r="AG281" s="128"/>
      <c r="AI281" s="128"/>
      <c r="AJ281" s="128"/>
      <c r="AY281" s="128"/>
      <c r="BN281" s="128"/>
      <c r="BQ281" s="128"/>
      <c r="BR281" s="128"/>
      <c r="BT281" s="128"/>
      <c r="BV281" s="128"/>
      <c r="BX281" s="128"/>
      <c r="CU281" s="128"/>
      <c r="CW281" s="128"/>
      <c r="DN281" s="128"/>
      <c r="DP281" s="128"/>
      <c r="DR281" s="128"/>
      <c r="DV281" s="128"/>
      <c r="DX281" s="128"/>
      <c r="DY281" s="128"/>
      <c r="EA281" s="128"/>
      <c r="EB281" s="128"/>
      <c r="EC281" s="128"/>
      <c r="EG281" s="128"/>
      <c r="EL281" s="128"/>
      <c r="EM281" s="128"/>
      <c r="EO281" s="128"/>
      <c r="EQ281" s="128"/>
      <c r="ES281" s="128"/>
      <c r="EU281" s="128"/>
      <c r="EW281" s="128"/>
      <c r="EY281" s="128"/>
    </row>
    <row r="282" spans="3:155">
      <c r="C282" s="128"/>
      <c r="D282" s="128"/>
      <c r="E282" s="128"/>
      <c r="F282" s="128" t="str">
        <f>IF(E282 &lt;&gt; "", VLOOKUP(E282, '[2]Internal-logic'!G$1:I$364, 2, FALSE),"")</f>
        <v/>
      </c>
      <c r="G282" s="128" t="str">
        <f>IF(E282 &lt;&gt; "", VLOOKUP(E282, '[2]Internal-logic'!G$1:I$364, 3, FALSE),"")</f>
        <v/>
      </c>
      <c r="H282" s="128"/>
      <c r="I282" s="128"/>
      <c r="J282" s="128"/>
      <c r="K282" s="128"/>
      <c r="Q282" s="128"/>
      <c r="R282" s="128"/>
      <c r="S282" s="128"/>
      <c r="U282" s="128"/>
      <c r="X282" s="128"/>
      <c r="Y282" s="128"/>
      <c r="Z282" s="128"/>
      <c r="AA282" s="128"/>
      <c r="AB282" s="128"/>
      <c r="AC282" s="128"/>
      <c r="AD282" s="128"/>
      <c r="AE282" s="128"/>
      <c r="AF282" s="128"/>
      <c r="AG282" s="128"/>
      <c r="AI282" s="128"/>
      <c r="AJ282" s="128"/>
      <c r="AY282" s="128"/>
      <c r="BN282" s="128"/>
      <c r="BQ282" s="128"/>
      <c r="BR282" s="128"/>
      <c r="BT282" s="128"/>
      <c r="BV282" s="128"/>
      <c r="BX282" s="128"/>
      <c r="CU282" s="128"/>
      <c r="CW282" s="128"/>
      <c r="DN282" s="128"/>
      <c r="DP282" s="128"/>
      <c r="DR282" s="128"/>
      <c r="DV282" s="128"/>
      <c r="DX282" s="128"/>
      <c r="DY282" s="128"/>
      <c r="EA282" s="128"/>
      <c r="EB282" s="128"/>
      <c r="EC282" s="128"/>
      <c r="EG282" s="128"/>
      <c r="EL282" s="128"/>
      <c r="EM282" s="128"/>
      <c r="EO282" s="128"/>
      <c r="EQ282" s="128"/>
      <c r="ES282" s="128"/>
      <c r="EU282" s="128"/>
      <c r="EW282" s="128"/>
      <c r="EY282" s="128"/>
    </row>
    <row r="283" spans="3:155">
      <c r="C283" s="128"/>
      <c r="D283" s="128"/>
      <c r="E283" s="128"/>
      <c r="F283" s="128" t="str">
        <f>IF(E283 &lt;&gt; "", VLOOKUP(E283, '[2]Internal-logic'!G$1:I$364, 2, FALSE),"")</f>
        <v/>
      </c>
      <c r="G283" s="128" t="str">
        <f>IF(E283 &lt;&gt; "", VLOOKUP(E283, '[2]Internal-logic'!G$1:I$364, 3, FALSE),"")</f>
        <v/>
      </c>
      <c r="H283" s="128"/>
      <c r="I283" s="128"/>
      <c r="J283" s="128"/>
      <c r="K283" s="128"/>
      <c r="Q283" s="128"/>
      <c r="R283" s="128"/>
      <c r="S283" s="128"/>
      <c r="U283" s="128"/>
      <c r="X283" s="128"/>
      <c r="Y283" s="128"/>
      <c r="Z283" s="128"/>
      <c r="AA283" s="128"/>
      <c r="AB283" s="128"/>
      <c r="AC283" s="128"/>
      <c r="AD283" s="128"/>
      <c r="AE283" s="128"/>
      <c r="AF283" s="128"/>
      <c r="AG283" s="128"/>
      <c r="AI283" s="128"/>
      <c r="AJ283" s="128"/>
      <c r="AY283" s="128"/>
      <c r="BN283" s="128"/>
      <c r="BQ283" s="128"/>
      <c r="BR283" s="128"/>
      <c r="BT283" s="128"/>
      <c r="BV283" s="128"/>
      <c r="BX283" s="128"/>
      <c r="CU283" s="128"/>
      <c r="CW283" s="128"/>
      <c r="DN283" s="128"/>
      <c r="DP283" s="128"/>
      <c r="DR283" s="128"/>
      <c r="DV283" s="128"/>
      <c r="DX283" s="128"/>
      <c r="DY283" s="128"/>
      <c r="EA283" s="128"/>
      <c r="EB283" s="128"/>
      <c r="EC283" s="128"/>
      <c r="EG283" s="128"/>
      <c r="EL283" s="128"/>
      <c r="EM283" s="128"/>
      <c r="EO283" s="128"/>
      <c r="EQ283" s="128"/>
      <c r="ES283" s="128"/>
      <c r="EU283" s="128"/>
      <c r="EW283" s="128"/>
      <c r="EY283" s="128"/>
    </row>
    <row r="284" spans="3:155">
      <c r="C284" s="128"/>
      <c r="D284" s="128"/>
      <c r="E284" s="128"/>
      <c r="F284" s="128" t="str">
        <f>IF(E284 &lt;&gt; "", VLOOKUP(E284, '[2]Internal-logic'!G$1:I$364, 2, FALSE),"")</f>
        <v/>
      </c>
      <c r="G284" s="128" t="str">
        <f>IF(E284 &lt;&gt; "", VLOOKUP(E284, '[2]Internal-logic'!G$1:I$364, 3, FALSE),"")</f>
        <v/>
      </c>
      <c r="H284" s="128"/>
      <c r="I284" s="128"/>
      <c r="J284" s="128"/>
      <c r="K284" s="128"/>
      <c r="Q284" s="128"/>
      <c r="R284" s="128"/>
      <c r="S284" s="128"/>
      <c r="U284" s="128"/>
      <c r="X284" s="128"/>
      <c r="Y284" s="128"/>
      <c r="Z284" s="128"/>
      <c r="AA284" s="128"/>
      <c r="AB284" s="128"/>
      <c r="AC284" s="128"/>
      <c r="AD284" s="128"/>
      <c r="AE284" s="128"/>
      <c r="AF284" s="128"/>
      <c r="AG284" s="128"/>
      <c r="AI284" s="128"/>
      <c r="AJ284" s="128"/>
      <c r="AY284" s="128"/>
      <c r="BN284" s="128"/>
      <c r="BQ284" s="128"/>
      <c r="BR284" s="128"/>
      <c r="BT284" s="128"/>
      <c r="BV284" s="128"/>
      <c r="BX284" s="128"/>
      <c r="CU284" s="128"/>
      <c r="CW284" s="128"/>
      <c r="DN284" s="128"/>
      <c r="DP284" s="128"/>
      <c r="DR284" s="128"/>
      <c r="DV284" s="128"/>
      <c r="DX284" s="128"/>
      <c r="DY284" s="128"/>
      <c r="EA284" s="128"/>
      <c r="EB284" s="128"/>
      <c r="EC284" s="128"/>
      <c r="EG284" s="128"/>
      <c r="EL284" s="128"/>
      <c r="EM284" s="128"/>
      <c r="EO284" s="128"/>
      <c r="EQ284" s="128"/>
      <c r="ES284" s="128"/>
      <c r="EU284" s="128"/>
      <c r="EW284" s="128"/>
      <c r="EY284" s="128"/>
    </row>
    <row r="285" spans="3:155">
      <c r="C285" s="128"/>
      <c r="D285" s="128"/>
      <c r="E285" s="128"/>
      <c r="F285" s="128" t="str">
        <f>IF(E285 &lt;&gt; "", VLOOKUP(E285, '[2]Internal-logic'!G$1:I$364, 2, FALSE),"")</f>
        <v/>
      </c>
      <c r="G285" s="128" t="str">
        <f>IF(E285 &lt;&gt; "", VLOOKUP(E285, '[2]Internal-logic'!G$1:I$364, 3, FALSE),"")</f>
        <v/>
      </c>
      <c r="H285" s="128"/>
      <c r="I285" s="128"/>
      <c r="J285" s="128"/>
      <c r="K285" s="128"/>
      <c r="Q285" s="128"/>
      <c r="R285" s="128"/>
      <c r="S285" s="128"/>
      <c r="U285" s="128"/>
      <c r="X285" s="128"/>
      <c r="Y285" s="128"/>
      <c r="Z285" s="128"/>
      <c r="AA285" s="128"/>
      <c r="AB285" s="128"/>
      <c r="AC285" s="128"/>
      <c r="AD285" s="128"/>
      <c r="AE285" s="128"/>
      <c r="AF285" s="128"/>
      <c r="AG285" s="128"/>
      <c r="AI285" s="128"/>
      <c r="AJ285" s="128"/>
      <c r="AY285" s="128"/>
      <c r="BN285" s="128"/>
      <c r="BQ285" s="128"/>
      <c r="BR285" s="128"/>
      <c r="BT285" s="128"/>
      <c r="BV285" s="128"/>
      <c r="BX285" s="128"/>
      <c r="CU285" s="128"/>
      <c r="CW285" s="128"/>
      <c r="DN285" s="128"/>
      <c r="DP285" s="128"/>
      <c r="DR285" s="128"/>
      <c r="DV285" s="128"/>
      <c r="DX285" s="128"/>
      <c r="DY285" s="128"/>
      <c r="EA285" s="128"/>
      <c r="EB285" s="128"/>
      <c r="EC285" s="128"/>
      <c r="EG285" s="128"/>
      <c r="EL285" s="128"/>
      <c r="EM285" s="128"/>
      <c r="EO285" s="128"/>
      <c r="EQ285" s="128"/>
      <c r="ES285" s="128"/>
      <c r="EU285" s="128"/>
      <c r="EW285" s="128"/>
      <c r="EY285" s="128"/>
    </row>
    <row r="286" spans="3:155">
      <c r="C286" s="128"/>
      <c r="D286" s="128"/>
      <c r="E286" s="128"/>
      <c r="F286" s="128" t="str">
        <f>IF(E286 &lt;&gt; "", VLOOKUP(E286, '[2]Internal-logic'!G$1:I$364, 2, FALSE),"")</f>
        <v/>
      </c>
      <c r="G286" s="128" t="str">
        <f>IF(E286 &lt;&gt; "", VLOOKUP(E286, '[2]Internal-logic'!G$1:I$364, 3, FALSE),"")</f>
        <v/>
      </c>
      <c r="H286" s="128"/>
      <c r="I286" s="128"/>
      <c r="J286" s="128"/>
      <c r="K286" s="128"/>
      <c r="Q286" s="128"/>
      <c r="R286" s="128"/>
      <c r="S286" s="128"/>
      <c r="U286" s="128"/>
      <c r="X286" s="128"/>
      <c r="Y286" s="128"/>
      <c r="Z286" s="128"/>
      <c r="AA286" s="128"/>
      <c r="AB286" s="128"/>
      <c r="AC286" s="128"/>
      <c r="AD286" s="128"/>
      <c r="AE286" s="128"/>
      <c r="AF286" s="128"/>
      <c r="AG286" s="128"/>
      <c r="AI286" s="128"/>
      <c r="AJ286" s="128"/>
      <c r="AY286" s="128"/>
      <c r="BN286" s="128"/>
      <c r="BQ286" s="128"/>
      <c r="BR286" s="128"/>
      <c r="BT286" s="128"/>
      <c r="BV286" s="128"/>
      <c r="BX286" s="128"/>
      <c r="CU286" s="128"/>
      <c r="CW286" s="128"/>
      <c r="DN286" s="128"/>
      <c r="DP286" s="128"/>
      <c r="DR286" s="128"/>
      <c r="DV286" s="128"/>
      <c r="DX286" s="128"/>
      <c r="DY286" s="128"/>
      <c r="EA286" s="128"/>
      <c r="EB286" s="128"/>
      <c r="EC286" s="128"/>
      <c r="EG286" s="128"/>
      <c r="EL286" s="128"/>
      <c r="EM286" s="128"/>
      <c r="EO286" s="128"/>
      <c r="EQ286" s="128"/>
      <c r="ES286" s="128"/>
      <c r="EU286" s="128"/>
      <c r="EW286" s="128"/>
      <c r="EY286" s="128"/>
    </row>
    <row r="287" spans="3:155">
      <c r="C287" s="128"/>
      <c r="D287" s="128"/>
      <c r="E287" s="128"/>
      <c r="F287" s="128" t="str">
        <f>IF(E287 &lt;&gt; "", VLOOKUP(E287, '[2]Internal-logic'!G$1:I$364, 2, FALSE),"")</f>
        <v/>
      </c>
      <c r="G287" s="128" t="str">
        <f>IF(E287 &lt;&gt; "", VLOOKUP(E287, '[2]Internal-logic'!G$1:I$364, 3, FALSE),"")</f>
        <v/>
      </c>
      <c r="H287" s="128"/>
      <c r="I287" s="128"/>
      <c r="J287" s="128"/>
      <c r="K287" s="128"/>
      <c r="Q287" s="128"/>
      <c r="R287" s="128"/>
      <c r="S287" s="128"/>
      <c r="U287" s="128"/>
      <c r="X287" s="128"/>
      <c r="Y287" s="128"/>
      <c r="Z287" s="128"/>
      <c r="AA287" s="128"/>
      <c r="AB287" s="128"/>
      <c r="AC287" s="128"/>
      <c r="AD287" s="128"/>
      <c r="AE287" s="128"/>
      <c r="AF287" s="128"/>
      <c r="AG287" s="128"/>
      <c r="AI287" s="128"/>
      <c r="AJ287" s="128"/>
      <c r="AY287" s="128"/>
      <c r="BN287" s="128"/>
      <c r="BQ287" s="128"/>
      <c r="BR287" s="128"/>
      <c r="BT287" s="128"/>
      <c r="BV287" s="128"/>
      <c r="BX287" s="128"/>
      <c r="CU287" s="128"/>
      <c r="CW287" s="128"/>
      <c r="DN287" s="128"/>
      <c r="DP287" s="128"/>
      <c r="DR287" s="128"/>
      <c r="DV287" s="128"/>
      <c r="DX287" s="128"/>
      <c r="DY287" s="128"/>
      <c r="EA287" s="128"/>
      <c r="EB287" s="128"/>
      <c r="EC287" s="128"/>
      <c r="EG287" s="128"/>
      <c r="EL287" s="128"/>
      <c r="EM287" s="128"/>
      <c r="EO287" s="128"/>
      <c r="EQ287" s="128"/>
      <c r="ES287" s="128"/>
      <c r="EU287" s="128"/>
      <c r="EW287" s="128"/>
      <c r="EY287" s="128"/>
    </row>
    <row r="288" spans="3:155">
      <c r="C288" s="128"/>
      <c r="D288" s="128"/>
      <c r="E288" s="128"/>
      <c r="F288" s="128" t="str">
        <f>IF(E288 &lt;&gt; "", VLOOKUP(E288, '[2]Internal-logic'!G$1:I$364, 2, FALSE),"")</f>
        <v/>
      </c>
      <c r="G288" s="128" t="str">
        <f>IF(E288 &lt;&gt; "", VLOOKUP(E288, '[2]Internal-logic'!G$1:I$364, 3, FALSE),"")</f>
        <v/>
      </c>
      <c r="H288" s="128"/>
      <c r="I288" s="128"/>
      <c r="J288" s="128"/>
      <c r="K288" s="128"/>
      <c r="Q288" s="128"/>
      <c r="R288" s="128"/>
      <c r="S288" s="128"/>
      <c r="U288" s="128"/>
      <c r="X288" s="128"/>
      <c r="Y288" s="128"/>
      <c r="Z288" s="128"/>
      <c r="AA288" s="128"/>
      <c r="AB288" s="128"/>
      <c r="AC288" s="128"/>
      <c r="AD288" s="128"/>
      <c r="AE288" s="128"/>
      <c r="AF288" s="128"/>
      <c r="AG288" s="128"/>
      <c r="AI288" s="128"/>
      <c r="AJ288" s="128"/>
      <c r="AY288" s="128"/>
      <c r="BN288" s="128"/>
      <c r="BQ288" s="128"/>
      <c r="BR288" s="128"/>
      <c r="BT288" s="128"/>
      <c r="BV288" s="128"/>
      <c r="BX288" s="128"/>
      <c r="CU288" s="128"/>
      <c r="CW288" s="128"/>
      <c r="DN288" s="128"/>
      <c r="DP288" s="128"/>
      <c r="DR288" s="128"/>
      <c r="DV288" s="128"/>
      <c r="DX288" s="128"/>
      <c r="DY288" s="128"/>
      <c r="EA288" s="128"/>
      <c r="EB288" s="128"/>
      <c r="EC288" s="128"/>
      <c r="EG288" s="128"/>
      <c r="EL288" s="128"/>
      <c r="EM288" s="128"/>
      <c r="EO288" s="128"/>
      <c r="EQ288" s="128"/>
      <c r="ES288" s="128"/>
      <c r="EU288" s="128"/>
      <c r="EW288" s="128"/>
      <c r="EY288" s="128"/>
    </row>
    <row r="289" spans="3:155">
      <c r="C289" s="128"/>
      <c r="D289" s="128"/>
      <c r="E289" s="128"/>
      <c r="F289" s="128" t="str">
        <f>IF(E289 &lt;&gt; "", VLOOKUP(E289, '[2]Internal-logic'!G$1:I$364, 2, FALSE),"")</f>
        <v/>
      </c>
      <c r="G289" s="128" t="str">
        <f>IF(E289 &lt;&gt; "", VLOOKUP(E289, '[2]Internal-logic'!G$1:I$364, 3, FALSE),"")</f>
        <v/>
      </c>
      <c r="H289" s="128"/>
      <c r="I289" s="128"/>
      <c r="J289" s="128"/>
      <c r="K289" s="128"/>
      <c r="Q289" s="128"/>
      <c r="R289" s="128"/>
      <c r="S289" s="128"/>
      <c r="U289" s="128"/>
      <c r="X289" s="128"/>
      <c r="Y289" s="128"/>
      <c r="Z289" s="128"/>
      <c r="AA289" s="128"/>
      <c r="AB289" s="128"/>
      <c r="AC289" s="128"/>
      <c r="AD289" s="128"/>
      <c r="AE289" s="128"/>
      <c r="AF289" s="128"/>
      <c r="AG289" s="128"/>
      <c r="AI289" s="128"/>
      <c r="AJ289" s="128"/>
      <c r="AY289" s="128"/>
      <c r="BN289" s="128"/>
      <c r="BQ289" s="128"/>
      <c r="BR289" s="128"/>
      <c r="BT289" s="128"/>
      <c r="BV289" s="128"/>
      <c r="BX289" s="128"/>
      <c r="CU289" s="128"/>
      <c r="CW289" s="128"/>
      <c r="DN289" s="128"/>
      <c r="DP289" s="128"/>
      <c r="DR289" s="128"/>
      <c r="DV289" s="128"/>
      <c r="DX289" s="128"/>
      <c r="DY289" s="128"/>
      <c r="EA289" s="128"/>
      <c r="EB289" s="128"/>
      <c r="EC289" s="128"/>
      <c r="EG289" s="128"/>
      <c r="EL289" s="128"/>
      <c r="EM289" s="128"/>
      <c r="EO289" s="128"/>
      <c r="EQ289" s="128"/>
      <c r="ES289" s="128"/>
      <c r="EU289" s="128"/>
      <c r="EW289" s="128"/>
      <c r="EY289" s="128"/>
    </row>
    <row r="290" spans="3:155">
      <c r="C290" s="128"/>
      <c r="D290" s="128"/>
      <c r="E290" s="128"/>
      <c r="F290" s="128" t="str">
        <f>IF(E290 &lt;&gt; "", VLOOKUP(E290, '[2]Internal-logic'!G$1:I$364, 2, FALSE),"")</f>
        <v/>
      </c>
      <c r="G290" s="128" t="str">
        <f>IF(E290 &lt;&gt; "", VLOOKUP(E290, '[2]Internal-logic'!G$1:I$364, 3, FALSE),"")</f>
        <v/>
      </c>
      <c r="H290" s="128"/>
      <c r="I290" s="128"/>
      <c r="J290" s="128"/>
      <c r="K290" s="128"/>
      <c r="Q290" s="128"/>
      <c r="R290" s="128"/>
      <c r="S290" s="128"/>
      <c r="U290" s="128"/>
      <c r="X290" s="128"/>
      <c r="Y290" s="128"/>
      <c r="Z290" s="128"/>
      <c r="AA290" s="128"/>
      <c r="AB290" s="128"/>
      <c r="AC290" s="128"/>
      <c r="AD290" s="128"/>
      <c r="AE290" s="128"/>
      <c r="AF290" s="128"/>
      <c r="AG290" s="128"/>
      <c r="AI290" s="128"/>
      <c r="AJ290" s="128"/>
      <c r="AY290" s="128"/>
      <c r="BN290" s="128"/>
      <c r="BQ290" s="128"/>
      <c r="BR290" s="128"/>
      <c r="BT290" s="128"/>
      <c r="BV290" s="128"/>
      <c r="BX290" s="128"/>
      <c r="CU290" s="128"/>
      <c r="CW290" s="128"/>
      <c r="DN290" s="128"/>
      <c r="DP290" s="128"/>
      <c r="DR290" s="128"/>
      <c r="DV290" s="128"/>
      <c r="DX290" s="128"/>
      <c r="DY290" s="128"/>
      <c r="EA290" s="128"/>
      <c r="EB290" s="128"/>
      <c r="EC290" s="128"/>
      <c r="EG290" s="128"/>
      <c r="EL290" s="128"/>
      <c r="EM290" s="128"/>
      <c r="EO290" s="128"/>
      <c r="EQ290" s="128"/>
      <c r="ES290" s="128"/>
      <c r="EU290" s="128"/>
      <c r="EW290" s="128"/>
      <c r="EY290" s="128"/>
    </row>
    <row r="291" spans="3:155">
      <c r="C291" s="128"/>
      <c r="D291" s="128"/>
      <c r="E291" s="128"/>
      <c r="F291" s="128" t="str">
        <f>IF(E291 &lt;&gt; "", VLOOKUP(E291, '[2]Internal-logic'!G$1:I$364, 2, FALSE),"")</f>
        <v/>
      </c>
      <c r="G291" s="128" t="str">
        <f>IF(E291 &lt;&gt; "", VLOOKUP(E291, '[2]Internal-logic'!G$1:I$364, 3, FALSE),"")</f>
        <v/>
      </c>
      <c r="H291" s="128"/>
      <c r="I291" s="128"/>
      <c r="J291" s="128"/>
      <c r="K291" s="128"/>
      <c r="Q291" s="128"/>
      <c r="R291" s="128"/>
      <c r="S291" s="128"/>
      <c r="U291" s="128"/>
      <c r="X291" s="128"/>
      <c r="Y291" s="128"/>
      <c r="Z291" s="128"/>
      <c r="AA291" s="128"/>
      <c r="AB291" s="128"/>
      <c r="AC291" s="128"/>
      <c r="AD291" s="128"/>
      <c r="AE291" s="128"/>
      <c r="AF291" s="128"/>
      <c r="AG291" s="128"/>
      <c r="AI291" s="128"/>
      <c r="AJ291" s="128"/>
      <c r="AY291" s="128"/>
      <c r="BN291" s="128"/>
      <c r="BQ291" s="128"/>
      <c r="BR291" s="128"/>
      <c r="BT291" s="128"/>
      <c r="BV291" s="128"/>
      <c r="BX291" s="128"/>
      <c r="CU291" s="128"/>
      <c r="CW291" s="128"/>
      <c r="DN291" s="128"/>
      <c r="DP291" s="128"/>
      <c r="DR291" s="128"/>
      <c r="DV291" s="128"/>
      <c r="DX291" s="128"/>
      <c r="DY291" s="128"/>
      <c r="EA291" s="128"/>
      <c r="EB291" s="128"/>
      <c r="EC291" s="128"/>
      <c r="EG291" s="128"/>
      <c r="EL291" s="128"/>
      <c r="EM291" s="128"/>
      <c r="EO291" s="128"/>
      <c r="EQ291" s="128"/>
      <c r="ES291" s="128"/>
      <c r="EU291" s="128"/>
      <c r="EW291" s="128"/>
      <c r="EY291" s="128"/>
    </row>
    <row r="292" spans="3:155">
      <c r="C292" s="128"/>
      <c r="D292" s="128"/>
      <c r="E292" s="128"/>
      <c r="F292" s="128" t="str">
        <f>IF(E292 &lt;&gt; "", VLOOKUP(E292, '[2]Internal-logic'!G$1:I$364, 2, FALSE),"")</f>
        <v/>
      </c>
      <c r="G292" s="128" t="str">
        <f>IF(E292 &lt;&gt; "", VLOOKUP(E292, '[2]Internal-logic'!G$1:I$364, 3, FALSE),"")</f>
        <v/>
      </c>
      <c r="H292" s="128"/>
      <c r="I292" s="128"/>
      <c r="J292" s="128"/>
      <c r="K292" s="128"/>
      <c r="Q292" s="128"/>
      <c r="R292" s="128"/>
      <c r="S292" s="128"/>
      <c r="U292" s="128"/>
      <c r="X292" s="128"/>
      <c r="Y292" s="128"/>
      <c r="Z292" s="128"/>
      <c r="AA292" s="128"/>
      <c r="AB292" s="128"/>
      <c r="AC292" s="128"/>
      <c r="AD292" s="128"/>
      <c r="AE292" s="128"/>
      <c r="AF292" s="128"/>
      <c r="AG292" s="128"/>
      <c r="AI292" s="128"/>
      <c r="AJ292" s="128"/>
      <c r="AY292" s="128"/>
      <c r="BN292" s="128"/>
      <c r="BQ292" s="128"/>
      <c r="BR292" s="128"/>
      <c r="BT292" s="128"/>
      <c r="BV292" s="128"/>
      <c r="BX292" s="128"/>
      <c r="CU292" s="128"/>
      <c r="CW292" s="128"/>
      <c r="DN292" s="128"/>
      <c r="DP292" s="128"/>
      <c r="DR292" s="128"/>
      <c r="DV292" s="128"/>
      <c r="DX292" s="128"/>
      <c r="DY292" s="128"/>
      <c r="EA292" s="128"/>
      <c r="EB292" s="128"/>
      <c r="EC292" s="128"/>
      <c r="EG292" s="128"/>
      <c r="EL292" s="128"/>
      <c r="EM292" s="128"/>
      <c r="EO292" s="128"/>
      <c r="EQ292" s="128"/>
      <c r="ES292" s="128"/>
      <c r="EU292" s="128"/>
      <c r="EW292" s="128"/>
      <c r="EY292" s="128"/>
    </row>
    <row r="293" spans="3:155">
      <c r="C293" s="128"/>
      <c r="D293" s="128"/>
      <c r="E293" s="128"/>
      <c r="F293" s="128" t="str">
        <f>IF(E293 &lt;&gt; "", VLOOKUP(E293, '[2]Internal-logic'!G$1:I$364, 2, FALSE),"")</f>
        <v/>
      </c>
      <c r="G293" s="128" t="str">
        <f>IF(E293 &lt;&gt; "", VLOOKUP(E293, '[2]Internal-logic'!G$1:I$364, 3, FALSE),"")</f>
        <v/>
      </c>
      <c r="H293" s="128"/>
      <c r="I293" s="128"/>
      <c r="J293" s="128"/>
      <c r="K293" s="128"/>
      <c r="Q293" s="128"/>
      <c r="R293" s="128"/>
      <c r="S293" s="128"/>
      <c r="U293" s="128"/>
      <c r="X293" s="128"/>
      <c r="Y293" s="128"/>
      <c r="Z293" s="128"/>
      <c r="AA293" s="128"/>
      <c r="AB293" s="128"/>
      <c r="AC293" s="128"/>
      <c r="AD293" s="128"/>
      <c r="AE293" s="128"/>
      <c r="AF293" s="128"/>
      <c r="AG293" s="128"/>
      <c r="AI293" s="128"/>
      <c r="AJ293" s="128"/>
      <c r="AY293" s="128"/>
      <c r="BN293" s="128"/>
      <c r="BQ293" s="128"/>
      <c r="BR293" s="128"/>
      <c r="BT293" s="128"/>
      <c r="BV293" s="128"/>
      <c r="BX293" s="128"/>
      <c r="CU293" s="128"/>
      <c r="CW293" s="128"/>
      <c r="DN293" s="128"/>
      <c r="DP293" s="128"/>
      <c r="DR293" s="128"/>
      <c r="DV293" s="128"/>
      <c r="DX293" s="128"/>
      <c r="DY293" s="128"/>
      <c r="EA293" s="128"/>
      <c r="EB293" s="128"/>
      <c r="EC293" s="128"/>
      <c r="EG293" s="128"/>
      <c r="EL293" s="128"/>
      <c r="EM293" s="128"/>
      <c r="EO293" s="128"/>
      <c r="EQ293" s="128"/>
      <c r="ES293" s="128"/>
      <c r="EU293" s="128"/>
      <c r="EW293" s="128"/>
      <c r="EY293" s="128"/>
    </row>
    <row r="294" spans="3:155">
      <c r="C294" s="128"/>
      <c r="D294" s="128"/>
      <c r="E294" s="128"/>
      <c r="F294" s="128" t="str">
        <f>IF(E294 &lt;&gt; "", VLOOKUP(E294, '[2]Internal-logic'!G$1:I$364, 2, FALSE),"")</f>
        <v/>
      </c>
      <c r="G294" s="128" t="str">
        <f>IF(E294 &lt;&gt; "", VLOOKUP(E294, '[2]Internal-logic'!G$1:I$364, 3, FALSE),"")</f>
        <v/>
      </c>
      <c r="H294" s="128"/>
      <c r="I294" s="128"/>
      <c r="J294" s="128"/>
      <c r="K294" s="128"/>
      <c r="Q294" s="128"/>
      <c r="R294" s="128"/>
      <c r="S294" s="128"/>
      <c r="U294" s="128"/>
      <c r="X294" s="128"/>
      <c r="Y294" s="128"/>
      <c r="Z294" s="128"/>
      <c r="AA294" s="128"/>
      <c r="AB294" s="128"/>
      <c r="AC294" s="128"/>
      <c r="AD294" s="128"/>
      <c r="AE294" s="128"/>
      <c r="AF294" s="128"/>
      <c r="AG294" s="128"/>
      <c r="AI294" s="128"/>
      <c r="AJ294" s="128"/>
      <c r="AY294" s="128"/>
      <c r="BN294" s="128"/>
      <c r="BQ294" s="128"/>
      <c r="BR294" s="128"/>
      <c r="BT294" s="128"/>
      <c r="BV294" s="128"/>
      <c r="BX294" s="128"/>
      <c r="CU294" s="128"/>
      <c r="CW294" s="128"/>
      <c r="DN294" s="128"/>
      <c r="DP294" s="128"/>
      <c r="DR294" s="128"/>
      <c r="DV294" s="128"/>
      <c r="DX294" s="128"/>
      <c r="DY294" s="128"/>
      <c r="EA294" s="128"/>
      <c r="EB294" s="128"/>
      <c r="EC294" s="128"/>
      <c r="EG294" s="128"/>
      <c r="EL294" s="128"/>
      <c r="EM294" s="128"/>
      <c r="EO294" s="128"/>
      <c r="EQ294" s="128"/>
      <c r="ES294" s="128"/>
      <c r="EU294" s="128"/>
      <c r="EW294" s="128"/>
      <c r="EY294" s="128"/>
    </row>
    <row r="295" spans="3:155">
      <c r="C295" s="128"/>
      <c r="D295" s="128"/>
      <c r="E295" s="128"/>
      <c r="F295" s="128" t="str">
        <f>IF(E295 &lt;&gt; "", VLOOKUP(E295, '[2]Internal-logic'!G$1:I$364, 2, FALSE),"")</f>
        <v/>
      </c>
      <c r="G295" s="128" t="str">
        <f>IF(E295 &lt;&gt; "", VLOOKUP(E295, '[2]Internal-logic'!G$1:I$364, 3, FALSE),"")</f>
        <v/>
      </c>
      <c r="H295" s="128"/>
      <c r="I295" s="128"/>
      <c r="J295" s="128"/>
      <c r="K295" s="128"/>
      <c r="Q295" s="128"/>
      <c r="R295" s="128"/>
      <c r="S295" s="128"/>
      <c r="U295" s="128"/>
      <c r="X295" s="128"/>
      <c r="Y295" s="128"/>
      <c r="Z295" s="128"/>
      <c r="AA295" s="128"/>
      <c r="AB295" s="128"/>
      <c r="AC295" s="128"/>
      <c r="AD295" s="128"/>
      <c r="AE295" s="128"/>
      <c r="AF295" s="128"/>
      <c r="AG295" s="128"/>
      <c r="AI295" s="128"/>
      <c r="AJ295" s="128"/>
      <c r="AY295" s="128"/>
      <c r="BN295" s="128"/>
      <c r="BQ295" s="128"/>
      <c r="BR295" s="128"/>
      <c r="BT295" s="128"/>
      <c r="BV295" s="128"/>
      <c r="BX295" s="128"/>
      <c r="CU295" s="128"/>
      <c r="CW295" s="128"/>
      <c r="DN295" s="128"/>
      <c r="DP295" s="128"/>
      <c r="DR295" s="128"/>
      <c r="DV295" s="128"/>
      <c r="DX295" s="128"/>
      <c r="DY295" s="128"/>
      <c r="EA295" s="128"/>
      <c r="EB295" s="128"/>
      <c r="EC295" s="128"/>
      <c r="EG295" s="128"/>
      <c r="EL295" s="128"/>
      <c r="EM295" s="128"/>
      <c r="EO295" s="128"/>
      <c r="EQ295" s="128"/>
      <c r="ES295" s="128"/>
      <c r="EU295" s="128"/>
      <c r="EW295" s="128"/>
      <c r="EY295" s="128"/>
    </row>
    <row r="296" spans="3:155">
      <c r="C296" s="128"/>
      <c r="D296" s="128"/>
      <c r="E296" s="128"/>
      <c r="F296" s="128" t="str">
        <f>IF(E296 &lt;&gt; "", VLOOKUP(E296, '[2]Internal-logic'!G$1:I$364, 2, FALSE),"")</f>
        <v/>
      </c>
      <c r="G296" s="128" t="str">
        <f>IF(E296 &lt;&gt; "", VLOOKUP(E296, '[2]Internal-logic'!G$1:I$364, 3, FALSE),"")</f>
        <v/>
      </c>
      <c r="H296" s="128"/>
      <c r="I296" s="128"/>
      <c r="J296" s="128"/>
      <c r="K296" s="128"/>
      <c r="Q296" s="128"/>
      <c r="R296" s="128"/>
      <c r="S296" s="128"/>
      <c r="U296" s="128"/>
      <c r="X296" s="128"/>
      <c r="Y296" s="128"/>
      <c r="Z296" s="128"/>
      <c r="AA296" s="128"/>
      <c r="AB296" s="128"/>
      <c r="AC296" s="128"/>
      <c r="AD296" s="128"/>
      <c r="AE296" s="128"/>
      <c r="AF296" s="128"/>
      <c r="AG296" s="128"/>
      <c r="AI296" s="128"/>
      <c r="AJ296" s="128"/>
      <c r="AY296" s="128"/>
      <c r="BN296" s="128"/>
      <c r="BQ296" s="128"/>
      <c r="BR296" s="128"/>
      <c r="BT296" s="128"/>
      <c r="BV296" s="128"/>
      <c r="BX296" s="128"/>
      <c r="CU296" s="128"/>
      <c r="CW296" s="128"/>
      <c r="DN296" s="128"/>
      <c r="DP296" s="128"/>
      <c r="DR296" s="128"/>
      <c r="DV296" s="128"/>
      <c r="DX296" s="128"/>
      <c r="DY296" s="128"/>
      <c r="EA296" s="128"/>
      <c r="EB296" s="128"/>
      <c r="EC296" s="128"/>
      <c r="EG296" s="128"/>
      <c r="EL296" s="128"/>
      <c r="EM296" s="128"/>
      <c r="EO296" s="128"/>
      <c r="EQ296" s="128"/>
      <c r="ES296" s="128"/>
      <c r="EU296" s="128"/>
      <c r="EW296" s="128"/>
      <c r="EY296" s="128"/>
    </row>
    <row r="297" spans="3:155">
      <c r="C297" s="128"/>
      <c r="D297" s="128"/>
      <c r="E297" s="128"/>
      <c r="F297" s="128" t="str">
        <f>IF(E297 &lt;&gt; "", VLOOKUP(E297, '[2]Internal-logic'!G$1:I$364, 2, FALSE),"")</f>
        <v/>
      </c>
      <c r="G297" s="128" t="str">
        <f>IF(E297 &lt;&gt; "", VLOOKUP(E297, '[2]Internal-logic'!G$1:I$364, 3, FALSE),"")</f>
        <v/>
      </c>
      <c r="H297" s="128"/>
      <c r="I297" s="128"/>
      <c r="J297" s="128"/>
      <c r="K297" s="128"/>
      <c r="Q297" s="128"/>
      <c r="R297" s="128"/>
      <c r="S297" s="128"/>
      <c r="U297" s="128"/>
      <c r="X297" s="128"/>
      <c r="Y297" s="128"/>
      <c r="Z297" s="128"/>
      <c r="AA297" s="128"/>
      <c r="AB297" s="128"/>
      <c r="AC297" s="128"/>
      <c r="AD297" s="128"/>
      <c r="AE297" s="128"/>
      <c r="AF297" s="128"/>
      <c r="AG297" s="128"/>
      <c r="AI297" s="128"/>
      <c r="AJ297" s="128"/>
      <c r="AY297" s="128"/>
      <c r="BN297" s="128"/>
      <c r="BQ297" s="128"/>
      <c r="BR297" s="128"/>
      <c r="BT297" s="128"/>
      <c r="BV297" s="128"/>
      <c r="BX297" s="128"/>
      <c r="CU297" s="128"/>
      <c r="CW297" s="128"/>
      <c r="DN297" s="128"/>
      <c r="DP297" s="128"/>
      <c r="DR297" s="128"/>
      <c r="DV297" s="128"/>
      <c r="DX297" s="128"/>
      <c r="DY297" s="128"/>
      <c r="EA297" s="128"/>
      <c r="EB297" s="128"/>
      <c r="EC297" s="128"/>
      <c r="EG297" s="128"/>
      <c r="EL297" s="128"/>
      <c r="EM297" s="128"/>
      <c r="EO297" s="128"/>
      <c r="EQ297" s="128"/>
      <c r="ES297" s="128"/>
      <c r="EU297" s="128"/>
      <c r="EW297" s="128"/>
      <c r="EY297" s="128"/>
    </row>
    <row r="298" spans="3:155">
      <c r="C298" s="128"/>
      <c r="D298" s="128"/>
      <c r="E298" s="128"/>
      <c r="F298" s="128" t="str">
        <f>IF(E298 &lt;&gt; "", VLOOKUP(E298, '[2]Internal-logic'!G$1:I$364, 2, FALSE),"")</f>
        <v/>
      </c>
      <c r="G298" s="128" t="str">
        <f>IF(E298 &lt;&gt; "", VLOOKUP(E298, '[2]Internal-logic'!G$1:I$364, 3, FALSE),"")</f>
        <v/>
      </c>
      <c r="H298" s="128"/>
      <c r="I298" s="128"/>
      <c r="J298" s="128"/>
      <c r="K298" s="128"/>
      <c r="Q298" s="128"/>
      <c r="R298" s="128"/>
      <c r="S298" s="128"/>
      <c r="U298" s="128"/>
      <c r="X298" s="128"/>
      <c r="Y298" s="128"/>
      <c r="Z298" s="128"/>
      <c r="AA298" s="128"/>
      <c r="AB298" s="128"/>
      <c r="AC298" s="128"/>
      <c r="AD298" s="128"/>
      <c r="AE298" s="128"/>
      <c r="AF298" s="128"/>
      <c r="AG298" s="128"/>
      <c r="AI298" s="128"/>
      <c r="AJ298" s="128"/>
      <c r="AY298" s="128"/>
      <c r="BN298" s="128"/>
      <c r="BQ298" s="128"/>
      <c r="BR298" s="128"/>
      <c r="BT298" s="128"/>
      <c r="BV298" s="128"/>
      <c r="BX298" s="128"/>
      <c r="CU298" s="128"/>
      <c r="CW298" s="128"/>
      <c r="DN298" s="128"/>
      <c r="DP298" s="128"/>
      <c r="DR298" s="128"/>
      <c r="DV298" s="128"/>
      <c r="DX298" s="128"/>
      <c r="DY298" s="128"/>
      <c r="EA298" s="128"/>
      <c r="EB298" s="128"/>
      <c r="EC298" s="128"/>
      <c r="EG298" s="128"/>
      <c r="EL298" s="128"/>
      <c r="EM298" s="128"/>
      <c r="EO298" s="128"/>
      <c r="EQ298" s="128"/>
      <c r="ES298" s="128"/>
      <c r="EU298" s="128"/>
      <c r="EW298" s="128"/>
      <c r="EY298" s="128"/>
    </row>
    <row r="299" spans="3:155">
      <c r="C299" s="128"/>
      <c r="D299" s="128"/>
      <c r="E299" s="128"/>
      <c r="F299" s="128" t="str">
        <f>IF(E299 &lt;&gt; "", VLOOKUP(E299, '[2]Internal-logic'!G$1:I$364, 2, FALSE),"")</f>
        <v/>
      </c>
      <c r="G299" s="128" t="str">
        <f>IF(E299 &lt;&gt; "", VLOOKUP(E299, '[2]Internal-logic'!G$1:I$364, 3, FALSE),"")</f>
        <v/>
      </c>
      <c r="H299" s="128"/>
      <c r="I299" s="128"/>
      <c r="J299" s="128"/>
      <c r="K299" s="128"/>
      <c r="Q299" s="128"/>
      <c r="R299" s="128"/>
      <c r="S299" s="128"/>
      <c r="U299" s="128"/>
      <c r="X299" s="128"/>
      <c r="Y299" s="128"/>
      <c r="Z299" s="128"/>
      <c r="AA299" s="128"/>
      <c r="AB299" s="128"/>
      <c r="AC299" s="128"/>
      <c r="AD299" s="128"/>
      <c r="AE299" s="128"/>
      <c r="AF299" s="128"/>
      <c r="AG299" s="128"/>
      <c r="AI299" s="128"/>
      <c r="AJ299" s="128"/>
      <c r="AY299" s="128"/>
      <c r="BN299" s="128"/>
      <c r="BQ299" s="128"/>
      <c r="BR299" s="128"/>
      <c r="BT299" s="128"/>
      <c r="BV299" s="128"/>
      <c r="BX299" s="128"/>
      <c r="CU299" s="128"/>
      <c r="CW299" s="128"/>
      <c r="DN299" s="128"/>
      <c r="DP299" s="128"/>
      <c r="DR299" s="128"/>
      <c r="DV299" s="128"/>
      <c r="DX299" s="128"/>
      <c r="DY299" s="128"/>
      <c r="EA299" s="128"/>
      <c r="EB299" s="128"/>
      <c r="EC299" s="128"/>
      <c r="EG299" s="128"/>
      <c r="EL299" s="128"/>
      <c r="EM299" s="128"/>
      <c r="EO299" s="128"/>
      <c r="EQ299" s="128"/>
      <c r="ES299" s="128"/>
      <c r="EU299" s="128"/>
      <c r="EW299" s="128"/>
      <c r="EY299" s="128"/>
    </row>
    <row r="300" spans="3:155">
      <c r="C300" s="128"/>
      <c r="D300" s="128"/>
      <c r="E300" s="128"/>
      <c r="F300" s="128" t="str">
        <f>IF(E300 &lt;&gt; "", VLOOKUP(E300, '[2]Internal-logic'!G$1:I$364, 2, FALSE),"")</f>
        <v/>
      </c>
      <c r="G300" s="128" t="str">
        <f>IF(E300 &lt;&gt; "", VLOOKUP(E300, '[2]Internal-logic'!G$1:I$364, 3, FALSE),"")</f>
        <v/>
      </c>
      <c r="H300" s="128"/>
      <c r="I300" s="128"/>
      <c r="J300" s="128"/>
      <c r="K300" s="128"/>
      <c r="Q300" s="128"/>
      <c r="R300" s="128"/>
      <c r="S300" s="128"/>
      <c r="U300" s="128"/>
      <c r="X300" s="128"/>
      <c r="Y300" s="128"/>
      <c r="Z300" s="128"/>
      <c r="AA300" s="128"/>
      <c r="AB300" s="128"/>
      <c r="AC300" s="128"/>
      <c r="AD300" s="128"/>
      <c r="AE300" s="128"/>
      <c r="AF300" s="128"/>
      <c r="AG300" s="128"/>
      <c r="AI300" s="128"/>
      <c r="AJ300" s="128"/>
      <c r="AY300" s="128"/>
      <c r="BN300" s="128"/>
      <c r="BQ300" s="128"/>
      <c r="BR300" s="128"/>
      <c r="BT300" s="128"/>
      <c r="BV300" s="128"/>
      <c r="BX300" s="128"/>
      <c r="CU300" s="128"/>
      <c r="CW300" s="128"/>
      <c r="DN300" s="128"/>
      <c r="DP300" s="128"/>
      <c r="DR300" s="128"/>
      <c r="DV300" s="128"/>
      <c r="DX300" s="128"/>
      <c r="DY300" s="128"/>
      <c r="EA300" s="128"/>
      <c r="EB300" s="128"/>
      <c r="EC300" s="128"/>
      <c r="EG300" s="128"/>
      <c r="EL300" s="128"/>
      <c r="EM300" s="128"/>
      <c r="EO300" s="128"/>
      <c r="EQ300" s="128"/>
      <c r="ES300" s="128"/>
      <c r="EU300" s="128"/>
      <c r="EW300" s="128"/>
      <c r="EY300" s="128"/>
    </row>
    <row r="301" spans="3:155">
      <c r="C301" s="128"/>
      <c r="D301" s="128"/>
      <c r="E301" s="128"/>
      <c r="F301" s="128" t="str">
        <f>IF(E301 &lt;&gt; "", VLOOKUP(E301, '[2]Internal-logic'!G$1:I$364, 2, FALSE),"")</f>
        <v/>
      </c>
      <c r="G301" s="128" t="str">
        <f>IF(E301 &lt;&gt; "", VLOOKUP(E301, '[2]Internal-logic'!G$1:I$364, 3, FALSE),"")</f>
        <v/>
      </c>
      <c r="H301" s="128"/>
      <c r="I301" s="128"/>
      <c r="J301" s="128"/>
      <c r="K301" s="128"/>
      <c r="Q301" s="128"/>
      <c r="R301" s="128"/>
      <c r="S301" s="128"/>
      <c r="U301" s="128"/>
      <c r="X301" s="128"/>
      <c r="Y301" s="128"/>
      <c r="Z301" s="128"/>
      <c r="AA301" s="128"/>
      <c r="AB301" s="128"/>
      <c r="AC301" s="128"/>
      <c r="AD301" s="128"/>
      <c r="AE301" s="128"/>
      <c r="AF301" s="128"/>
      <c r="AG301" s="128"/>
      <c r="AI301" s="128"/>
      <c r="AJ301" s="128"/>
      <c r="AY301" s="128"/>
      <c r="BN301" s="128"/>
      <c r="BQ301" s="128"/>
      <c r="BR301" s="128"/>
      <c r="BT301" s="128"/>
      <c r="BV301" s="128"/>
      <c r="BX301" s="128"/>
      <c r="CU301" s="128"/>
      <c r="CW301" s="128"/>
      <c r="DN301" s="128"/>
      <c r="DP301" s="128"/>
      <c r="DR301" s="128"/>
      <c r="DV301" s="128"/>
      <c r="DX301" s="128"/>
      <c r="DY301" s="128"/>
      <c r="EA301" s="128"/>
      <c r="EB301" s="128"/>
      <c r="EC301" s="128"/>
      <c r="EG301" s="128"/>
      <c r="EL301" s="128"/>
      <c r="EM301" s="128"/>
      <c r="EO301" s="128"/>
      <c r="EQ301" s="128"/>
      <c r="ES301" s="128"/>
      <c r="EU301" s="128"/>
      <c r="EW301" s="128"/>
      <c r="EY301" s="128"/>
    </row>
    <row r="302" spans="3:155">
      <c r="C302" s="128"/>
      <c r="D302" s="128"/>
      <c r="E302" s="128"/>
      <c r="F302" s="128" t="str">
        <f>IF(E302 &lt;&gt; "", VLOOKUP(E302, '[2]Internal-logic'!G$1:I$364, 2, FALSE),"")</f>
        <v/>
      </c>
      <c r="G302" s="128" t="str">
        <f>IF(E302 &lt;&gt; "", VLOOKUP(E302, '[2]Internal-logic'!G$1:I$364, 3, FALSE),"")</f>
        <v/>
      </c>
      <c r="H302" s="128"/>
      <c r="I302" s="128"/>
      <c r="J302" s="128"/>
      <c r="K302" s="128"/>
      <c r="Q302" s="128"/>
      <c r="R302" s="128"/>
      <c r="S302" s="128"/>
      <c r="U302" s="128"/>
      <c r="X302" s="128"/>
      <c r="Y302" s="128"/>
      <c r="Z302" s="128"/>
      <c r="AA302" s="128"/>
      <c r="AB302" s="128"/>
      <c r="AC302" s="128"/>
      <c r="AD302" s="128"/>
      <c r="AE302" s="128"/>
      <c r="AF302" s="128"/>
      <c r="AG302" s="128"/>
      <c r="AI302" s="128"/>
      <c r="AJ302" s="128"/>
      <c r="AY302" s="128"/>
      <c r="BN302" s="128"/>
      <c r="BQ302" s="128"/>
      <c r="BR302" s="128"/>
      <c r="BT302" s="128"/>
      <c r="BV302" s="128"/>
      <c r="BX302" s="128"/>
      <c r="CU302" s="128"/>
      <c r="CW302" s="128"/>
      <c r="DN302" s="128"/>
      <c r="DP302" s="128"/>
      <c r="DR302" s="128"/>
      <c r="DV302" s="128"/>
      <c r="DX302" s="128"/>
      <c r="DY302" s="128"/>
      <c r="EA302" s="128"/>
      <c r="EB302" s="128"/>
      <c r="EC302" s="128"/>
      <c r="EG302" s="128"/>
      <c r="EL302" s="128"/>
      <c r="EM302" s="128"/>
      <c r="EO302" s="128"/>
      <c r="EQ302" s="128"/>
      <c r="ES302" s="128"/>
      <c r="EU302" s="128"/>
      <c r="EW302" s="128"/>
      <c r="EY302" s="128"/>
    </row>
    <row r="303" spans="3:155">
      <c r="C303" s="128"/>
      <c r="D303" s="128"/>
      <c r="E303" s="128"/>
      <c r="F303" s="128" t="str">
        <f>IF(E303 &lt;&gt; "", VLOOKUP(E303, '[2]Internal-logic'!G$1:I$364, 2, FALSE),"")</f>
        <v/>
      </c>
      <c r="G303" s="128" t="str">
        <f>IF(E303 &lt;&gt; "", VLOOKUP(E303, '[2]Internal-logic'!G$1:I$364, 3, FALSE),"")</f>
        <v/>
      </c>
      <c r="H303" s="128"/>
      <c r="I303" s="128"/>
      <c r="J303" s="128"/>
      <c r="K303" s="128"/>
      <c r="Q303" s="128"/>
      <c r="R303" s="128"/>
      <c r="S303" s="128"/>
      <c r="U303" s="128"/>
      <c r="X303" s="128"/>
      <c r="Y303" s="128"/>
      <c r="Z303" s="128"/>
      <c r="AA303" s="128"/>
      <c r="AB303" s="128"/>
      <c r="AC303" s="128"/>
      <c r="AD303" s="128"/>
      <c r="AE303" s="128"/>
      <c r="AF303" s="128"/>
      <c r="AG303" s="128"/>
      <c r="AI303" s="128"/>
      <c r="AJ303" s="128"/>
      <c r="AY303" s="128"/>
      <c r="BN303" s="128"/>
      <c r="BQ303" s="128"/>
      <c r="BR303" s="128"/>
      <c r="BT303" s="128"/>
      <c r="BV303" s="128"/>
      <c r="BX303" s="128"/>
      <c r="CU303" s="128"/>
      <c r="CW303" s="128"/>
      <c r="DN303" s="128"/>
      <c r="DP303" s="128"/>
      <c r="DR303" s="128"/>
      <c r="DV303" s="128"/>
      <c r="DX303" s="128"/>
      <c r="DY303" s="128"/>
      <c r="EA303" s="128"/>
      <c r="EB303" s="128"/>
      <c r="EC303" s="128"/>
      <c r="EG303" s="128"/>
      <c r="EL303" s="128"/>
      <c r="EM303" s="128"/>
      <c r="EO303" s="128"/>
      <c r="EQ303" s="128"/>
      <c r="ES303" s="128"/>
      <c r="EU303" s="128"/>
      <c r="EW303" s="128"/>
      <c r="EY303" s="128"/>
    </row>
    <row r="304" spans="3:155">
      <c r="C304" s="128"/>
      <c r="D304" s="128"/>
      <c r="E304" s="128"/>
      <c r="F304" s="128" t="str">
        <f>IF(E304 &lt;&gt; "", VLOOKUP(E304, '[2]Internal-logic'!G$1:I$364, 2, FALSE),"")</f>
        <v/>
      </c>
      <c r="G304" s="128" t="str">
        <f>IF(E304 &lt;&gt; "", VLOOKUP(E304, '[2]Internal-logic'!G$1:I$364, 3, FALSE),"")</f>
        <v/>
      </c>
      <c r="H304" s="128"/>
      <c r="I304" s="128"/>
      <c r="J304" s="128"/>
      <c r="K304" s="128"/>
      <c r="Q304" s="128"/>
      <c r="R304" s="128"/>
      <c r="S304" s="128"/>
      <c r="U304" s="128"/>
      <c r="X304" s="128"/>
      <c r="Y304" s="128"/>
      <c r="Z304" s="128"/>
      <c r="AA304" s="128"/>
      <c r="AB304" s="128"/>
      <c r="AC304" s="128"/>
      <c r="AD304" s="128"/>
      <c r="AE304" s="128"/>
      <c r="AF304" s="128"/>
      <c r="AG304" s="128"/>
      <c r="AI304" s="128"/>
      <c r="AJ304" s="128"/>
      <c r="AY304" s="128"/>
      <c r="BN304" s="128"/>
      <c r="BQ304" s="128"/>
      <c r="BR304" s="128"/>
      <c r="BT304" s="128"/>
      <c r="BV304" s="128"/>
      <c r="BX304" s="128"/>
      <c r="CU304" s="128"/>
      <c r="CW304" s="128"/>
      <c r="DN304" s="128"/>
      <c r="DP304" s="128"/>
      <c r="DR304" s="128"/>
      <c r="DV304" s="128"/>
      <c r="DX304" s="128"/>
      <c r="DY304" s="128"/>
      <c r="EA304" s="128"/>
      <c r="EB304" s="128"/>
      <c r="EC304" s="128"/>
      <c r="EG304" s="128"/>
      <c r="EL304" s="128"/>
      <c r="EM304" s="128"/>
      <c r="EO304" s="128"/>
      <c r="EQ304" s="128"/>
      <c r="ES304" s="128"/>
      <c r="EU304" s="128"/>
      <c r="EW304" s="128"/>
      <c r="EY304" s="128"/>
    </row>
    <row r="305" spans="3:155">
      <c r="C305" s="128"/>
      <c r="D305" s="128"/>
      <c r="E305" s="128"/>
      <c r="F305" s="128" t="str">
        <f>IF(E305 &lt;&gt; "", VLOOKUP(E305, '[2]Internal-logic'!G$1:I$364, 2, FALSE),"")</f>
        <v/>
      </c>
      <c r="G305" s="128" t="str">
        <f>IF(E305 &lt;&gt; "", VLOOKUP(E305, '[2]Internal-logic'!G$1:I$364, 3, FALSE),"")</f>
        <v/>
      </c>
      <c r="H305" s="128"/>
      <c r="I305" s="128"/>
      <c r="J305" s="128"/>
      <c r="K305" s="128"/>
      <c r="Q305" s="128"/>
      <c r="R305" s="128"/>
      <c r="S305" s="128"/>
      <c r="U305" s="128"/>
      <c r="X305" s="128"/>
      <c r="Y305" s="128"/>
      <c r="Z305" s="128"/>
      <c r="AA305" s="128"/>
      <c r="AB305" s="128"/>
      <c r="AC305" s="128"/>
      <c r="AD305" s="128"/>
      <c r="AE305" s="128"/>
      <c r="AF305" s="128"/>
      <c r="AG305" s="128"/>
      <c r="AI305" s="128"/>
      <c r="AJ305" s="128"/>
      <c r="AY305" s="128"/>
      <c r="BN305" s="128"/>
      <c r="BQ305" s="128"/>
      <c r="BR305" s="128"/>
      <c r="BT305" s="128"/>
      <c r="BV305" s="128"/>
      <c r="BX305" s="128"/>
      <c r="CU305" s="128"/>
      <c r="CW305" s="128"/>
      <c r="DN305" s="128"/>
      <c r="DP305" s="128"/>
      <c r="DR305" s="128"/>
      <c r="DV305" s="128"/>
      <c r="DX305" s="128"/>
      <c r="DY305" s="128"/>
      <c r="EA305" s="128"/>
      <c r="EB305" s="128"/>
      <c r="EC305" s="128"/>
      <c r="EG305" s="128"/>
      <c r="EL305" s="128"/>
      <c r="EM305" s="128"/>
      <c r="EO305" s="128"/>
      <c r="EQ305" s="128"/>
      <c r="ES305" s="128"/>
      <c r="EU305" s="128"/>
      <c r="EW305" s="128"/>
      <c r="EY305" s="128"/>
    </row>
    <row r="306" spans="3:155">
      <c r="C306" s="128"/>
      <c r="D306" s="128"/>
      <c r="E306" s="128"/>
      <c r="F306" s="128" t="str">
        <f>IF(E306 &lt;&gt; "", VLOOKUP(E306, '[2]Internal-logic'!G$1:I$364, 2, FALSE),"")</f>
        <v/>
      </c>
      <c r="G306" s="128" t="str">
        <f>IF(E306 &lt;&gt; "", VLOOKUP(E306, '[2]Internal-logic'!G$1:I$364, 3, FALSE),"")</f>
        <v/>
      </c>
      <c r="H306" s="128"/>
      <c r="I306" s="128"/>
      <c r="J306" s="128"/>
      <c r="K306" s="128"/>
      <c r="Q306" s="128"/>
      <c r="R306" s="128"/>
      <c r="S306" s="128"/>
      <c r="U306" s="128"/>
      <c r="X306" s="128"/>
      <c r="Y306" s="128"/>
      <c r="Z306" s="128"/>
      <c r="AA306" s="128"/>
      <c r="AB306" s="128"/>
      <c r="AC306" s="128"/>
      <c r="AD306" s="128"/>
      <c r="AE306" s="128"/>
      <c r="AF306" s="128"/>
      <c r="AG306" s="128"/>
      <c r="AI306" s="128"/>
      <c r="AJ306" s="128"/>
      <c r="AY306" s="128"/>
      <c r="BN306" s="128"/>
      <c r="BQ306" s="128"/>
      <c r="BR306" s="128"/>
      <c r="BT306" s="128"/>
      <c r="BV306" s="128"/>
      <c r="BX306" s="128"/>
      <c r="CU306" s="128"/>
      <c r="CW306" s="128"/>
      <c r="DN306" s="128"/>
      <c r="DP306" s="128"/>
      <c r="DR306" s="128"/>
      <c r="DV306" s="128"/>
      <c r="DX306" s="128"/>
      <c r="DY306" s="128"/>
      <c r="EA306" s="128"/>
      <c r="EB306" s="128"/>
      <c r="EC306" s="128"/>
      <c r="EG306" s="128"/>
      <c r="EL306" s="128"/>
      <c r="EM306" s="128"/>
      <c r="EO306" s="128"/>
      <c r="EQ306" s="128"/>
      <c r="ES306" s="128"/>
      <c r="EU306" s="128"/>
      <c r="EW306" s="128"/>
      <c r="EY306" s="128"/>
    </row>
    <row r="307" spans="3:155">
      <c r="C307" s="128"/>
      <c r="D307" s="128"/>
      <c r="E307" s="128"/>
      <c r="F307" s="128" t="str">
        <f>IF(E307 &lt;&gt; "", VLOOKUP(E307, '[2]Internal-logic'!G$1:I$364, 2, FALSE),"")</f>
        <v/>
      </c>
      <c r="G307" s="128" t="str">
        <f>IF(E307 &lt;&gt; "", VLOOKUP(E307, '[2]Internal-logic'!G$1:I$364, 3, FALSE),"")</f>
        <v/>
      </c>
      <c r="H307" s="128"/>
      <c r="I307" s="128"/>
      <c r="J307" s="128"/>
      <c r="K307" s="128"/>
      <c r="Q307" s="128"/>
      <c r="R307" s="128"/>
      <c r="S307" s="128"/>
      <c r="U307" s="128"/>
      <c r="X307" s="128"/>
      <c r="Y307" s="128"/>
      <c r="Z307" s="128"/>
      <c r="AA307" s="128"/>
      <c r="AB307" s="128"/>
      <c r="AC307" s="128"/>
      <c r="AD307" s="128"/>
      <c r="AE307" s="128"/>
      <c r="AF307" s="128"/>
      <c r="AG307" s="128"/>
      <c r="AI307" s="128"/>
      <c r="AJ307" s="128"/>
      <c r="AY307" s="128"/>
      <c r="BN307" s="128"/>
      <c r="BQ307" s="128"/>
      <c r="BR307" s="128"/>
      <c r="BT307" s="128"/>
      <c r="BV307" s="128"/>
      <c r="BX307" s="128"/>
      <c r="CU307" s="128"/>
      <c r="CW307" s="128"/>
      <c r="DN307" s="128"/>
      <c r="DP307" s="128"/>
      <c r="DR307" s="128"/>
      <c r="DV307" s="128"/>
      <c r="DX307" s="128"/>
      <c r="DY307" s="128"/>
      <c r="EA307" s="128"/>
      <c r="EB307" s="128"/>
      <c r="EC307" s="128"/>
      <c r="EG307" s="128"/>
      <c r="EL307" s="128"/>
      <c r="EM307" s="128"/>
      <c r="EO307" s="128"/>
      <c r="EQ307" s="128"/>
      <c r="ES307" s="128"/>
      <c r="EU307" s="128"/>
      <c r="EW307" s="128"/>
      <c r="EY307" s="128"/>
    </row>
    <row r="308" spans="3:155">
      <c r="C308" s="128"/>
      <c r="D308" s="128"/>
      <c r="E308" s="128"/>
      <c r="F308" s="128" t="str">
        <f>IF(E308 &lt;&gt; "", VLOOKUP(E308, '[2]Internal-logic'!G$1:I$364, 2, FALSE),"")</f>
        <v/>
      </c>
      <c r="G308" s="128" t="str">
        <f>IF(E308 &lt;&gt; "", VLOOKUP(E308, '[2]Internal-logic'!G$1:I$364, 3, FALSE),"")</f>
        <v/>
      </c>
      <c r="H308" s="128"/>
      <c r="I308" s="128"/>
      <c r="J308" s="128"/>
      <c r="K308" s="128"/>
      <c r="Q308" s="128"/>
      <c r="R308" s="128"/>
      <c r="S308" s="128"/>
      <c r="U308" s="128"/>
      <c r="X308" s="128"/>
      <c r="Y308" s="128"/>
      <c r="Z308" s="128"/>
      <c r="AA308" s="128"/>
      <c r="AB308" s="128"/>
      <c r="AC308" s="128"/>
      <c r="AD308" s="128"/>
      <c r="AE308" s="128"/>
      <c r="AF308" s="128"/>
      <c r="AG308" s="128"/>
      <c r="AI308" s="128"/>
      <c r="AJ308" s="128"/>
      <c r="AY308" s="128"/>
      <c r="BN308" s="128"/>
      <c r="BQ308" s="128"/>
      <c r="BR308" s="128"/>
      <c r="BT308" s="128"/>
      <c r="BV308" s="128"/>
      <c r="BX308" s="128"/>
      <c r="CU308" s="128"/>
      <c r="CW308" s="128"/>
      <c r="DN308" s="128"/>
      <c r="DP308" s="128"/>
      <c r="DR308" s="128"/>
      <c r="DV308" s="128"/>
      <c r="DX308" s="128"/>
      <c r="DY308" s="128"/>
      <c r="EA308" s="128"/>
      <c r="EB308" s="128"/>
      <c r="EC308" s="128"/>
      <c r="EG308" s="128"/>
      <c r="EL308" s="128"/>
      <c r="EM308" s="128"/>
      <c r="EO308" s="128"/>
      <c r="EQ308" s="128"/>
      <c r="ES308" s="128"/>
      <c r="EU308" s="128"/>
      <c r="EW308" s="128"/>
      <c r="EY308" s="128"/>
    </row>
    <row r="309" spans="3:155">
      <c r="C309" s="128"/>
      <c r="D309" s="128"/>
      <c r="E309" s="128"/>
      <c r="F309" s="128" t="str">
        <f>IF(E309 &lt;&gt; "", VLOOKUP(E309, '[2]Internal-logic'!G$1:I$364, 2, FALSE),"")</f>
        <v/>
      </c>
      <c r="G309" s="128" t="str">
        <f>IF(E309 &lt;&gt; "", VLOOKUP(E309, '[2]Internal-logic'!G$1:I$364, 3, FALSE),"")</f>
        <v/>
      </c>
      <c r="H309" s="128"/>
      <c r="I309" s="128"/>
      <c r="J309" s="128"/>
      <c r="K309" s="128"/>
      <c r="Q309" s="128"/>
      <c r="R309" s="128"/>
      <c r="S309" s="128"/>
      <c r="U309" s="128"/>
      <c r="X309" s="128"/>
      <c r="Y309" s="128"/>
      <c r="Z309" s="128"/>
      <c r="AA309" s="128"/>
      <c r="AB309" s="128"/>
      <c r="AC309" s="128"/>
      <c r="AD309" s="128"/>
      <c r="AE309" s="128"/>
      <c r="AF309" s="128"/>
      <c r="AG309" s="128"/>
      <c r="AI309" s="128"/>
      <c r="AJ309" s="128"/>
      <c r="AY309" s="128"/>
      <c r="BN309" s="128"/>
      <c r="BQ309" s="128"/>
      <c r="BR309" s="128"/>
      <c r="BT309" s="128"/>
      <c r="BV309" s="128"/>
      <c r="BX309" s="128"/>
      <c r="CU309" s="128"/>
      <c r="CW309" s="128"/>
      <c r="DN309" s="128"/>
      <c r="DP309" s="128"/>
      <c r="DR309" s="128"/>
      <c r="DV309" s="128"/>
      <c r="DX309" s="128"/>
      <c r="DY309" s="128"/>
      <c r="EA309" s="128"/>
      <c r="EB309" s="128"/>
      <c r="EC309" s="128"/>
      <c r="EG309" s="128"/>
      <c r="EL309" s="128"/>
      <c r="EM309" s="128"/>
      <c r="EO309" s="128"/>
      <c r="EQ309" s="128"/>
      <c r="ES309" s="128"/>
      <c r="EU309" s="128"/>
      <c r="EW309" s="128"/>
      <c r="EY309" s="128"/>
    </row>
    <row r="310" spans="3:155">
      <c r="C310" s="128"/>
      <c r="D310" s="128"/>
      <c r="E310" s="128"/>
      <c r="F310" s="128" t="str">
        <f>IF(E310 &lt;&gt; "", VLOOKUP(E310, '[2]Internal-logic'!G$1:I$364, 2, FALSE),"")</f>
        <v/>
      </c>
      <c r="G310" s="128" t="str">
        <f>IF(E310 &lt;&gt; "", VLOOKUP(E310, '[2]Internal-logic'!G$1:I$364, 3, FALSE),"")</f>
        <v/>
      </c>
      <c r="H310" s="128"/>
      <c r="I310" s="128"/>
      <c r="J310" s="128"/>
      <c r="K310" s="128"/>
      <c r="Q310" s="128"/>
      <c r="R310" s="128"/>
      <c r="S310" s="128"/>
      <c r="U310" s="128"/>
      <c r="X310" s="128"/>
      <c r="Y310" s="128"/>
      <c r="Z310" s="128"/>
      <c r="AA310" s="128"/>
      <c r="AB310" s="128"/>
      <c r="AC310" s="128"/>
      <c r="AD310" s="128"/>
      <c r="AE310" s="128"/>
      <c r="AF310" s="128"/>
      <c r="AG310" s="128"/>
      <c r="AI310" s="128"/>
      <c r="AJ310" s="128"/>
      <c r="AY310" s="128"/>
      <c r="BN310" s="128"/>
      <c r="BQ310" s="128"/>
      <c r="BR310" s="128"/>
      <c r="BT310" s="128"/>
      <c r="BV310" s="128"/>
      <c r="BX310" s="128"/>
      <c r="CU310" s="128"/>
      <c r="CW310" s="128"/>
      <c r="DN310" s="128"/>
      <c r="DP310" s="128"/>
      <c r="DR310" s="128"/>
      <c r="DV310" s="128"/>
      <c r="DX310" s="128"/>
      <c r="DY310" s="128"/>
      <c r="EA310" s="128"/>
      <c r="EB310" s="128"/>
      <c r="EC310" s="128"/>
      <c r="EG310" s="128"/>
      <c r="EL310" s="128"/>
      <c r="EM310" s="128"/>
      <c r="EO310" s="128"/>
      <c r="EQ310" s="128"/>
      <c r="ES310" s="128"/>
      <c r="EU310" s="128"/>
      <c r="EW310" s="128"/>
      <c r="EY310" s="128"/>
    </row>
    <row r="311" spans="3:155">
      <c r="C311" s="128"/>
      <c r="D311" s="128"/>
      <c r="E311" s="128"/>
      <c r="F311" s="128" t="str">
        <f>IF(E311 &lt;&gt; "", VLOOKUP(E311, '[2]Internal-logic'!G$1:I$364, 2, FALSE),"")</f>
        <v/>
      </c>
      <c r="G311" s="128" t="str">
        <f>IF(E311 &lt;&gt; "", VLOOKUP(E311, '[2]Internal-logic'!G$1:I$364, 3, FALSE),"")</f>
        <v/>
      </c>
      <c r="H311" s="128"/>
      <c r="I311" s="128"/>
      <c r="J311" s="128"/>
      <c r="K311" s="128"/>
      <c r="Q311" s="128"/>
      <c r="R311" s="128"/>
      <c r="S311" s="128"/>
      <c r="U311" s="128"/>
      <c r="X311" s="128"/>
      <c r="Y311" s="128"/>
      <c r="Z311" s="128"/>
      <c r="AA311" s="128"/>
      <c r="AB311" s="128"/>
      <c r="AC311" s="128"/>
      <c r="AD311" s="128"/>
      <c r="AE311" s="128"/>
      <c r="AF311" s="128"/>
      <c r="AG311" s="128"/>
      <c r="AI311" s="128"/>
      <c r="AJ311" s="128"/>
      <c r="AY311" s="128"/>
      <c r="BN311" s="128"/>
      <c r="BQ311" s="128"/>
      <c r="BR311" s="128"/>
      <c r="BT311" s="128"/>
      <c r="BV311" s="128"/>
      <c r="BX311" s="128"/>
      <c r="CU311" s="128"/>
      <c r="CW311" s="128"/>
      <c r="DN311" s="128"/>
      <c r="DP311" s="128"/>
      <c r="DR311" s="128"/>
      <c r="DV311" s="128"/>
      <c r="DX311" s="128"/>
      <c r="DY311" s="128"/>
      <c r="EA311" s="128"/>
      <c r="EB311" s="128"/>
      <c r="EC311" s="128"/>
      <c r="EG311" s="128"/>
      <c r="EL311" s="128"/>
      <c r="EM311" s="128"/>
      <c r="EO311" s="128"/>
      <c r="EQ311" s="128"/>
      <c r="ES311" s="128"/>
      <c r="EU311" s="128"/>
      <c r="EW311" s="128"/>
      <c r="EY311" s="128"/>
    </row>
    <row r="312" spans="3:155">
      <c r="C312" s="128"/>
      <c r="D312" s="128"/>
      <c r="E312" s="128"/>
      <c r="F312" s="128" t="str">
        <f>IF(E312 &lt;&gt; "", VLOOKUP(E312, '[2]Internal-logic'!G$1:I$364, 2, FALSE),"")</f>
        <v/>
      </c>
      <c r="G312" s="128" t="str">
        <f>IF(E312 &lt;&gt; "", VLOOKUP(E312, '[2]Internal-logic'!G$1:I$364, 3, FALSE),"")</f>
        <v/>
      </c>
      <c r="H312" s="128"/>
      <c r="I312" s="128"/>
      <c r="J312" s="128"/>
      <c r="K312" s="128"/>
      <c r="Q312" s="128"/>
      <c r="R312" s="128"/>
      <c r="S312" s="128"/>
      <c r="U312" s="128"/>
      <c r="X312" s="128"/>
      <c r="Y312" s="128"/>
      <c r="Z312" s="128"/>
      <c r="AA312" s="128"/>
      <c r="AB312" s="128"/>
      <c r="AC312" s="128"/>
      <c r="AD312" s="128"/>
      <c r="AE312" s="128"/>
      <c r="AF312" s="128"/>
      <c r="AG312" s="128"/>
      <c r="AI312" s="128"/>
      <c r="AJ312" s="128"/>
      <c r="AY312" s="128"/>
      <c r="BN312" s="128"/>
      <c r="BQ312" s="128"/>
      <c r="BR312" s="128"/>
      <c r="BT312" s="128"/>
      <c r="BV312" s="128"/>
      <c r="BX312" s="128"/>
      <c r="CU312" s="128"/>
      <c r="CW312" s="128"/>
      <c r="DN312" s="128"/>
      <c r="DP312" s="128"/>
      <c r="DR312" s="128"/>
      <c r="DV312" s="128"/>
      <c r="DX312" s="128"/>
      <c r="DY312" s="128"/>
      <c r="EA312" s="128"/>
      <c r="EB312" s="128"/>
      <c r="EC312" s="128"/>
      <c r="EG312" s="128"/>
      <c r="EL312" s="128"/>
      <c r="EM312" s="128"/>
      <c r="EO312" s="128"/>
      <c r="EQ312" s="128"/>
      <c r="ES312" s="128"/>
      <c r="EU312" s="128"/>
      <c r="EW312" s="128"/>
      <c r="EY312" s="128"/>
    </row>
    <row r="313" spans="3:155">
      <c r="C313" s="128"/>
      <c r="D313" s="128"/>
      <c r="E313" s="128"/>
      <c r="F313" s="128" t="str">
        <f>IF(E313 &lt;&gt; "", VLOOKUP(E313, '[2]Internal-logic'!G$1:I$364, 2, FALSE),"")</f>
        <v/>
      </c>
      <c r="G313" s="128" t="str">
        <f>IF(E313 &lt;&gt; "", VLOOKUP(E313, '[2]Internal-logic'!G$1:I$364, 3, FALSE),"")</f>
        <v/>
      </c>
      <c r="H313" s="128"/>
      <c r="I313" s="128"/>
      <c r="J313" s="128"/>
      <c r="K313" s="128"/>
      <c r="Q313" s="128"/>
      <c r="R313" s="128"/>
      <c r="S313" s="128"/>
      <c r="U313" s="128"/>
      <c r="X313" s="128"/>
      <c r="Y313" s="128"/>
      <c r="Z313" s="128"/>
      <c r="AA313" s="128"/>
      <c r="AB313" s="128"/>
      <c r="AC313" s="128"/>
      <c r="AD313" s="128"/>
      <c r="AE313" s="128"/>
      <c r="AF313" s="128"/>
      <c r="AG313" s="128"/>
      <c r="AI313" s="128"/>
      <c r="AJ313" s="128"/>
      <c r="AY313" s="128"/>
      <c r="BN313" s="128"/>
      <c r="BQ313" s="128"/>
      <c r="BR313" s="128"/>
      <c r="BT313" s="128"/>
      <c r="BV313" s="128"/>
      <c r="BX313" s="128"/>
      <c r="CU313" s="128"/>
      <c r="CW313" s="128"/>
      <c r="DN313" s="128"/>
      <c r="DP313" s="128"/>
      <c r="DR313" s="128"/>
      <c r="DV313" s="128"/>
      <c r="DX313" s="128"/>
      <c r="DY313" s="128"/>
      <c r="EA313" s="128"/>
      <c r="EB313" s="128"/>
      <c r="EC313" s="128"/>
      <c r="EG313" s="128"/>
      <c r="EL313" s="128"/>
      <c r="EM313" s="128"/>
      <c r="EO313" s="128"/>
      <c r="EQ313" s="128"/>
      <c r="ES313" s="128"/>
      <c r="EU313" s="128"/>
      <c r="EW313" s="128"/>
      <c r="EY313" s="128"/>
    </row>
    <row r="314" spans="3:155">
      <c r="C314" s="128"/>
      <c r="D314" s="128"/>
      <c r="E314" s="128"/>
      <c r="F314" s="128" t="str">
        <f>IF(E314 &lt;&gt; "", VLOOKUP(E314, '[2]Internal-logic'!G$1:I$364, 2, FALSE),"")</f>
        <v/>
      </c>
      <c r="G314" s="128" t="str">
        <f>IF(E314 &lt;&gt; "", VLOOKUP(E314, '[2]Internal-logic'!G$1:I$364, 3, FALSE),"")</f>
        <v/>
      </c>
      <c r="H314" s="128"/>
      <c r="I314" s="128"/>
      <c r="J314" s="128"/>
      <c r="K314" s="128"/>
      <c r="Q314" s="128"/>
      <c r="R314" s="128"/>
      <c r="S314" s="128"/>
      <c r="U314" s="128"/>
      <c r="X314" s="128"/>
      <c r="Y314" s="128"/>
      <c r="Z314" s="128"/>
      <c r="AA314" s="128"/>
      <c r="AB314" s="128"/>
      <c r="AC314" s="128"/>
      <c r="AD314" s="128"/>
      <c r="AE314" s="128"/>
      <c r="AF314" s="128"/>
      <c r="AG314" s="128"/>
      <c r="AI314" s="128"/>
      <c r="AJ314" s="128"/>
      <c r="AY314" s="128"/>
      <c r="BN314" s="128"/>
      <c r="BQ314" s="128"/>
      <c r="BR314" s="128"/>
      <c r="BT314" s="128"/>
      <c r="BV314" s="128"/>
      <c r="BX314" s="128"/>
      <c r="CU314" s="128"/>
      <c r="CW314" s="128"/>
      <c r="DN314" s="128"/>
      <c r="DP314" s="128"/>
      <c r="DR314" s="128"/>
      <c r="DV314" s="128"/>
      <c r="DX314" s="128"/>
      <c r="DY314" s="128"/>
      <c r="EA314" s="128"/>
      <c r="EB314" s="128"/>
      <c r="EC314" s="128"/>
      <c r="EG314" s="128"/>
      <c r="EL314" s="128"/>
      <c r="EM314" s="128"/>
      <c r="EO314" s="128"/>
      <c r="EQ314" s="128"/>
      <c r="ES314" s="128"/>
      <c r="EU314" s="128"/>
      <c r="EW314" s="128"/>
      <c r="EY314" s="128"/>
    </row>
    <row r="315" spans="3:155">
      <c r="C315" s="128"/>
      <c r="D315" s="128"/>
      <c r="E315" s="128"/>
      <c r="F315" s="128" t="str">
        <f>IF(E315 &lt;&gt; "", VLOOKUP(E315, '[2]Internal-logic'!G$1:I$364, 2, FALSE),"")</f>
        <v/>
      </c>
      <c r="G315" s="128" t="str">
        <f>IF(E315 &lt;&gt; "", VLOOKUP(E315, '[2]Internal-logic'!G$1:I$364, 3, FALSE),"")</f>
        <v/>
      </c>
      <c r="H315" s="128"/>
      <c r="I315" s="128"/>
      <c r="J315" s="128"/>
      <c r="K315" s="128"/>
      <c r="Q315" s="128"/>
      <c r="R315" s="128"/>
      <c r="S315" s="128"/>
      <c r="U315" s="128"/>
      <c r="X315" s="128"/>
      <c r="Y315" s="128"/>
      <c r="Z315" s="128"/>
      <c r="AA315" s="128"/>
      <c r="AB315" s="128"/>
      <c r="AC315" s="128"/>
      <c r="AD315" s="128"/>
      <c r="AE315" s="128"/>
      <c r="AF315" s="128"/>
      <c r="AG315" s="128"/>
      <c r="AI315" s="128"/>
      <c r="AJ315" s="128"/>
      <c r="AY315" s="128"/>
      <c r="BN315" s="128"/>
      <c r="BQ315" s="128"/>
      <c r="BR315" s="128"/>
      <c r="BT315" s="128"/>
      <c r="BV315" s="128"/>
      <c r="BX315" s="128"/>
      <c r="CU315" s="128"/>
      <c r="CW315" s="128"/>
      <c r="DN315" s="128"/>
      <c r="DP315" s="128"/>
      <c r="DR315" s="128"/>
      <c r="DV315" s="128"/>
      <c r="DX315" s="128"/>
      <c r="DY315" s="128"/>
      <c r="EA315" s="128"/>
      <c r="EB315" s="128"/>
      <c r="EC315" s="128"/>
      <c r="EG315" s="128"/>
      <c r="EL315" s="128"/>
      <c r="EM315" s="128"/>
      <c r="EO315" s="128"/>
      <c r="EQ315" s="128"/>
      <c r="ES315" s="128"/>
      <c r="EU315" s="128"/>
      <c r="EW315" s="128"/>
      <c r="EY315" s="128"/>
    </row>
    <row r="316" spans="3:155">
      <c r="C316" s="128"/>
      <c r="D316" s="128"/>
      <c r="E316" s="128"/>
      <c r="F316" s="128" t="str">
        <f>IF(E316 &lt;&gt; "", VLOOKUP(E316, '[2]Internal-logic'!G$1:I$364, 2, FALSE),"")</f>
        <v/>
      </c>
      <c r="G316" s="128" t="str">
        <f>IF(E316 &lt;&gt; "", VLOOKUP(E316, '[2]Internal-logic'!G$1:I$364, 3, FALSE),"")</f>
        <v/>
      </c>
      <c r="H316" s="128"/>
      <c r="I316" s="128"/>
      <c r="J316" s="128"/>
      <c r="K316" s="128"/>
      <c r="Q316" s="128"/>
      <c r="R316" s="128"/>
      <c r="S316" s="128"/>
      <c r="U316" s="128"/>
      <c r="X316" s="128"/>
      <c r="Y316" s="128"/>
      <c r="Z316" s="128"/>
      <c r="AA316" s="128"/>
      <c r="AB316" s="128"/>
      <c r="AC316" s="128"/>
      <c r="AD316" s="128"/>
      <c r="AE316" s="128"/>
      <c r="AF316" s="128"/>
      <c r="AG316" s="128"/>
      <c r="AI316" s="128"/>
      <c r="AJ316" s="128"/>
      <c r="AY316" s="128"/>
      <c r="BN316" s="128"/>
      <c r="BQ316" s="128"/>
      <c r="BR316" s="128"/>
      <c r="BT316" s="128"/>
      <c r="BV316" s="128"/>
      <c r="BX316" s="128"/>
      <c r="CU316" s="128"/>
      <c r="CW316" s="128"/>
      <c r="DN316" s="128"/>
      <c r="DP316" s="128"/>
      <c r="DR316" s="128"/>
      <c r="DV316" s="128"/>
      <c r="DX316" s="128"/>
      <c r="DY316" s="128"/>
      <c r="EA316" s="128"/>
      <c r="EB316" s="128"/>
      <c r="EC316" s="128"/>
      <c r="EG316" s="128"/>
      <c r="EL316" s="128"/>
      <c r="EM316" s="128"/>
      <c r="EO316" s="128"/>
      <c r="EQ316" s="128"/>
      <c r="ES316" s="128"/>
      <c r="EU316" s="128"/>
      <c r="EW316" s="128"/>
      <c r="EY316" s="128"/>
    </row>
    <row r="317" spans="3:155">
      <c r="C317" s="128"/>
      <c r="D317" s="128"/>
      <c r="E317" s="128"/>
      <c r="F317" s="128" t="str">
        <f>IF(E317 &lt;&gt; "", VLOOKUP(E317, '[2]Internal-logic'!G$1:I$364, 2, FALSE),"")</f>
        <v/>
      </c>
      <c r="G317" s="128" t="str">
        <f>IF(E317 &lt;&gt; "", VLOOKUP(E317, '[2]Internal-logic'!G$1:I$364, 3, FALSE),"")</f>
        <v/>
      </c>
      <c r="H317" s="128"/>
      <c r="I317" s="128"/>
      <c r="J317" s="128"/>
      <c r="K317" s="128"/>
      <c r="Q317" s="128"/>
      <c r="R317" s="128"/>
      <c r="S317" s="128"/>
      <c r="U317" s="128"/>
      <c r="X317" s="128"/>
      <c r="Y317" s="128"/>
      <c r="Z317" s="128"/>
      <c r="AA317" s="128"/>
      <c r="AB317" s="128"/>
      <c r="AC317" s="128"/>
      <c r="AD317" s="128"/>
      <c r="AE317" s="128"/>
      <c r="AF317" s="128"/>
      <c r="AG317" s="128"/>
      <c r="AI317" s="128"/>
      <c r="AJ317" s="128"/>
      <c r="AY317" s="128"/>
      <c r="BN317" s="128"/>
      <c r="BQ317" s="128"/>
      <c r="BR317" s="128"/>
      <c r="BT317" s="128"/>
      <c r="BV317" s="128"/>
      <c r="BX317" s="128"/>
      <c r="CU317" s="128"/>
      <c r="CW317" s="128"/>
      <c r="DN317" s="128"/>
      <c r="DP317" s="128"/>
      <c r="DR317" s="128"/>
      <c r="DV317" s="128"/>
      <c r="DX317" s="128"/>
      <c r="DY317" s="128"/>
      <c r="EA317" s="128"/>
      <c r="EB317" s="128"/>
      <c r="EC317" s="128"/>
      <c r="EG317" s="128"/>
      <c r="EL317" s="128"/>
      <c r="EM317" s="128"/>
      <c r="EO317" s="128"/>
      <c r="EQ317" s="128"/>
      <c r="ES317" s="128"/>
      <c r="EU317" s="128"/>
      <c r="EW317" s="128"/>
      <c r="EY317" s="128"/>
    </row>
    <row r="318" spans="3:155">
      <c r="C318" s="128"/>
      <c r="D318" s="128"/>
      <c r="E318" s="128"/>
      <c r="F318" s="128" t="str">
        <f>IF(E318 &lt;&gt; "", VLOOKUP(E318, '[2]Internal-logic'!G$1:I$364, 2, FALSE),"")</f>
        <v/>
      </c>
      <c r="G318" s="128" t="str">
        <f>IF(E318 &lt;&gt; "", VLOOKUP(E318, '[2]Internal-logic'!G$1:I$364, 3, FALSE),"")</f>
        <v/>
      </c>
      <c r="H318" s="128"/>
      <c r="I318" s="128"/>
      <c r="J318" s="128"/>
      <c r="K318" s="128"/>
      <c r="Q318" s="128"/>
      <c r="R318" s="128"/>
      <c r="S318" s="128"/>
      <c r="U318" s="128"/>
      <c r="X318" s="128"/>
      <c r="Y318" s="128"/>
      <c r="Z318" s="128"/>
      <c r="AA318" s="128"/>
      <c r="AB318" s="128"/>
      <c r="AC318" s="128"/>
      <c r="AD318" s="128"/>
      <c r="AE318" s="128"/>
      <c r="AF318" s="128"/>
      <c r="AG318" s="128"/>
      <c r="AI318" s="128"/>
      <c r="AJ318" s="128"/>
      <c r="AY318" s="128"/>
      <c r="BN318" s="128"/>
      <c r="BQ318" s="128"/>
      <c r="BR318" s="128"/>
      <c r="BT318" s="128"/>
      <c r="BV318" s="128"/>
      <c r="BX318" s="128"/>
      <c r="CU318" s="128"/>
      <c r="CW318" s="128"/>
      <c r="DN318" s="128"/>
      <c r="DP318" s="128"/>
      <c r="DR318" s="128"/>
      <c r="DV318" s="128"/>
      <c r="DX318" s="128"/>
      <c r="DY318" s="128"/>
      <c r="EA318" s="128"/>
      <c r="EB318" s="128"/>
      <c r="EC318" s="128"/>
      <c r="EG318" s="128"/>
      <c r="EL318" s="128"/>
      <c r="EM318" s="128"/>
      <c r="EO318" s="128"/>
      <c r="EQ318" s="128"/>
      <c r="ES318" s="128"/>
      <c r="EU318" s="128"/>
      <c r="EW318" s="128"/>
      <c r="EY318" s="128"/>
    </row>
    <row r="319" spans="3:155">
      <c r="C319" s="128"/>
      <c r="D319" s="128"/>
      <c r="E319" s="128"/>
      <c r="F319" s="128" t="str">
        <f>IF(E319 &lt;&gt; "", VLOOKUP(E319, '[2]Internal-logic'!G$1:I$364, 2, FALSE),"")</f>
        <v/>
      </c>
      <c r="G319" s="128" t="str">
        <f>IF(E319 &lt;&gt; "", VLOOKUP(E319, '[2]Internal-logic'!G$1:I$364, 3, FALSE),"")</f>
        <v/>
      </c>
      <c r="H319" s="128"/>
      <c r="I319" s="128"/>
      <c r="J319" s="128"/>
      <c r="K319" s="128"/>
      <c r="Q319" s="128"/>
      <c r="R319" s="128"/>
      <c r="S319" s="128"/>
      <c r="U319" s="128"/>
      <c r="X319" s="128"/>
      <c r="Y319" s="128"/>
      <c r="Z319" s="128"/>
      <c r="AA319" s="128"/>
      <c r="AB319" s="128"/>
      <c r="AC319" s="128"/>
      <c r="AD319" s="128"/>
      <c r="AE319" s="128"/>
      <c r="AF319" s="128"/>
      <c r="AG319" s="128"/>
      <c r="AI319" s="128"/>
      <c r="AJ319" s="128"/>
      <c r="AY319" s="128"/>
      <c r="BN319" s="128"/>
      <c r="BQ319" s="128"/>
      <c r="BR319" s="128"/>
      <c r="BT319" s="128"/>
      <c r="BV319" s="128"/>
      <c r="BX319" s="128"/>
      <c r="CU319" s="128"/>
      <c r="CW319" s="128"/>
      <c r="DN319" s="128"/>
      <c r="DP319" s="128"/>
      <c r="DR319" s="128"/>
      <c r="DV319" s="128"/>
      <c r="DX319" s="128"/>
      <c r="DY319" s="128"/>
      <c r="EA319" s="128"/>
      <c r="EB319" s="128"/>
      <c r="EC319" s="128"/>
      <c r="EG319" s="128"/>
      <c r="EL319" s="128"/>
      <c r="EM319" s="128"/>
      <c r="EO319" s="128"/>
      <c r="EQ319" s="128"/>
      <c r="ES319" s="128"/>
      <c r="EU319" s="128"/>
      <c r="EW319" s="128"/>
      <c r="EY319" s="128"/>
    </row>
    <row r="320" spans="3:155">
      <c r="C320" s="128"/>
      <c r="D320" s="128"/>
      <c r="E320" s="128"/>
      <c r="F320" s="128" t="str">
        <f>IF(E320 &lt;&gt; "", VLOOKUP(E320, '[2]Internal-logic'!G$1:I$364, 2, FALSE),"")</f>
        <v/>
      </c>
      <c r="G320" s="128" t="str">
        <f>IF(E320 &lt;&gt; "", VLOOKUP(E320, '[2]Internal-logic'!G$1:I$364, 3, FALSE),"")</f>
        <v/>
      </c>
      <c r="H320" s="128"/>
      <c r="I320" s="128"/>
      <c r="J320" s="128"/>
      <c r="K320" s="128"/>
      <c r="Q320" s="128"/>
      <c r="R320" s="128"/>
      <c r="S320" s="128"/>
      <c r="U320" s="128"/>
      <c r="X320" s="128"/>
      <c r="Y320" s="128"/>
      <c r="Z320" s="128"/>
      <c r="AA320" s="128"/>
      <c r="AB320" s="128"/>
      <c r="AC320" s="128"/>
      <c r="AD320" s="128"/>
      <c r="AE320" s="128"/>
      <c r="AF320" s="128"/>
      <c r="AG320" s="128"/>
      <c r="AI320" s="128"/>
      <c r="AJ320" s="128"/>
      <c r="AY320" s="128"/>
      <c r="BN320" s="128"/>
      <c r="BQ320" s="128"/>
      <c r="BR320" s="128"/>
      <c r="BT320" s="128"/>
      <c r="BV320" s="128"/>
      <c r="BX320" s="128"/>
      <c r="CU320" s="128"/>
      <c r="CW320" s="128"/>
      <c r="DN320" s="128"/>
      <c r="DP320" s="128"/>
      <c r="DR320" s="128"/>
      <c r="DV320" s="128"/>
      <c r="DX320" s="128"/>
      <c r="DY320" s="128"/>
      <c r="EA320" s="128"/>
      <c r="EB320" s="128"/>
      <c r="EC320" s="128"/>
      <c r="EG320" s="128"/>
      <c r="EL320" s="128"/>
      <c r="EM320" s="128"/>
      <c r="EO320" s="128"/>
      <c r="EQ320" s="128"/>
      <c r="ES320" s="128"/>
      <c r="EU320" s="128"/>
      <c r="EW320" s="128"/>
      <c r="EY320" s="128"/>
    </row>
    <row r="321" spans="3:155">
      <c r="C321" s="128"/>
      <c r="D321" s="128"/>
      <c r="E321" s="128"/>
      <c r="F321" s="128" t="str">
        <f>IF(E321 &lt;&gt; "", VLOOKUP(E321, '[2]Internal-logic'!G$1:I$364, 2, FALSE),"")</f>
        <v/>
      </c>
      <c r="G321" s="128" t="str">
        <f>IF(E321 &lt;&gt; "", VLOOKUP(E321, '[2]Internal-logic'!G$1:I$364, 3, FALSE),"")</f>
        <v/>
      </c>
      <c r="H321" s="128"/>
      <c r="I321" s="128"/>
      <c r="J321" s="128"/>
      <c r="K321" s="128"/>
      <c r="Q321" s="128"/>
      <c r="R321" s="128"/>
      <c r="S321" s="128"/>
      <c r="U321" s="128"/>
      <c r="X321" s="128"/>
      <c r="Y321" s="128"/>
      <c r="Z321" s="128"/>
      <c r="AA321" s="128"/>
      <c r="AB321" s="128"/>
      <c r="AC321" s="128"/>
      <c r="AD321" s="128"/>
      <c r="AE321" s="128"/>
      <c r="AF321" s="128"/>
      <c r="AG321" s="128"/>
      <c r="AI321" s="128"/>
      <c r="AJ321" s="128"/>
      <c r="AY321" s="128"/>
      <c r="BN321" s="128"/>
      <c r="BQ321" s="128"/>
      <c r="BR321" s="128"/>
      <c r="BT321" s="128"/>
      <c r="BV321" s="128"/>
      <c r="BX321" s="128"/>
      <c r="CU321" s="128"/>
      <c r="CW321" s="128"/>
      <c r="DN321" s="128"/>
      <c r="DP321" s="128"/>
      <c r="DR321" s="128"/>
      <c r="DV321" s="128"/>
      <c r="DX321" s="128"/>
      <c r="DY321" s="128"/>
      <c r="EA321" s="128"/>
      <c r="EB321" s="128"/>
      <c r="EC321" s="128"/>
      <c r="EG321" s="128"/>
      <c r="EL321" s="128"/>
      <c r="EM321" s="128"/>
      <c r="EO321" s="128"/>
      <c r="EQ321" s="128"/>
      <c r="ES321" s="128"/>
      <c r="EU321" s="128"/>
      <c r="EW321" s="128"/>
      <c r="EY321" s="128"/>
    </row>
    <row r="322" spans="3:155">
      <c r="C322" s="128"/>
      <c r="D322" s="128"/>
      <c r="E322" s="128"/>
      <c r="F322" s="128" t="str">
        <f>IF(E322 &lt;&gt; "", VLOOKUP(E322, '[2]Internal-logic'!G$1:I$364, 2, FALSE),"")</f>
        <v/>
      </c>
      <c r="G322" s="128" t="str">
        <f>IF(E322 &lt;&gt; "", VLOOKUP(E322, '[2]Internal-logic'!G$1:I$364, 3, FALSE),"")</f>
        <v/>
      </c>
      <c r="H322" s="128"/>
      <c r="I322" s="128"/>
      <c r="J322" s="128"/>
      <c r="K322" s="128"/>
      <c r="Q322" s="128"/>
      <c r="R322" s="128"/>
      <c r="S322" s="128"/>
      <c r="U322" s="128"/>
      <c r="X322" s="128"/>
      <c r="Y322" s="128"/>
      <c r="Z322" s="128"/>
      <c r="AA322" s="128"/>
      <c r="AB322" s="128"/>
      <c r="AC322" s="128"/>
      <c r="AD322" s="128"/>
      <c r="AE322" s="128"/>
      <c r="AF322" s="128"/>
      <c r="AG322" s="128"/>
      <c r="AI322" s="128"/>
      <c r="AJ322" s="128"/>
      <c r="AY322" s="128"/>
      <c r="BN322" s="128"/>
      <c r="BQ322" s="128"/>
      <c r="BR322" s="128"/>
      <c r="BT322" s="128"/>
      <c r="BV322" s="128"/>
      <c r="BX322" s="128"/>
      <c r="CU322" s="128"/>
      <c r="CW322" s="128"/>
      <c r="DN322" s="128"/>
      <c r="DP322" s="128"/>
      <c r="DR322" s="128"/>
      <c r="DV322" s="128"/>
      <c r="DX322" s="128"/>
      <c r="DY322" s="128"/>
      <c r="EA322" s="128"/>
      <c r="EB322" s="128"/>
      <c r="EC322" s="128"/>
      <c r="EG322" s="128"/>
      <c r="EL322" s="128"/>
      <c r="EM322" s="128"/>
      <c r="EO322" s="128"/>
      <c r="EQ322" s="128"/>
      <c r="ES322" s="128"/>
      <c r="EU322" s="128"/>
      <c r="EW322" s="128"/>
      <c r="EY322" s="128"/>
    </row>
    <row r="323" spans="3:155">
      <c r="C323" s="128"/>
      <c r="D323" s="128"/>
      <c r="E323" s="128"/>
      <c r="F323" s="128" t="str">
        <f>IF(E323 &lt;&gt; "", VLOOKUP(E323, '[2]Internal-logic'!G$1:I$364, 2, FALSE),"")</f>
        <v/>
      </c>
      <c r="G323" s="128" t="str">
        <f>IF(E323 &lt;&gt; "", VLOOKUP(E323, '[2]Internal-logic'!G$1:I$364, 3, FALSE),"")</f>
        <v/>
      </c>
      <c r="H323" s="128"/>
      <c r="I323" s="128"/>
      <c r="J323" s="128"/>
      <c r="K323" s="128"/>
      <c r="Q323" s="128"/>
      <c r="R323" s="128"/>
      <c r="S323" s="128"/>
      <c r="U323" s="128"/>
      <c r="X323" s="128"/>
      <c r="Y323" s="128"/>
      <c r="Z323" s="128"/>
      <c r="AA323" s="128"/>
      <c r="AB323" s="128"/>
      <c r="AC323" s="128"/>
      <c r="AD323" s="128"/>
      <c r="AE323" s="128"/>
      <c r="AF323" s="128"/>
      <c r="AG323" s="128"/>
      <c r="AI323" s="128"/>
      <c r="AJ323" s="128"/>
      <c r="AY323" s="128"/>
      <c r="BN323" s="128"/>
      <c r="BQ323" s="128"/>
      <c r="BR323" s="128"/>
      <c r="BT323" s="128"/>
      <c r="BV323" s="128"/>
      <c r="BX323" s="128"/>
      <c r="CU323" s="128"/>
      <c r="CW323" s="128"/>
      <c r="DN323" s="128"/>
      <c r="DP323" s="128"/>
      <c r="DR323" s="128"/>
      <c r="DV323" s="128"/>
      <c r="DX323" s="128"/>
      <c r="DY323" s="128"/>
      <c r="EA323" s="128"/>
      <c r="EB323" s="128"/>
      <c r="EC323" s="128"/>
      <c r="EG323" s="128"/>
      <c r="EL323" s="128"/>
      <c r="EM323" s="128"/>
      <c r="EO323" s="128"/>
      <c r="EQ323" s="128"/>
      <c r="ES323" s="128"/>
      <c r="EU323" s="128"/>
      <c r="EW323" s="128"/>
      <c r="EY323" s="128"/>
    </row>
    <row r="324" spans="3:155">
      <c r="C324" s="128"/>
      <c r="D324" s="128"/>
      <c r="E324" s="128"/>
      <c r="F324" s="128" t="str">
        <f>IF(E324 &lt;&gt; "", VLOOKUP(E324, '[2]Internal-logic'!G$1:I$364, 2, FALSE),"")</f>
        <v/>
      </c>
      <c r="G324" s="128" t="str">
        <f>IF(E324 &lt;&gt; "", VLOOKUP(E324, '[2]Internal-logic'!G$1:I$364, 3, FALSE),"")</f>
        <v/>
      </c>
      <c r="H324" s="128"/>
      <c r="I324" s="128"/>
      <c r="J324" s="128"/>
      <c r="K324" s="128"/>
      <c r="Q324" s="128"/>
      <c r="R324" s="128"/>
      <c r="S324" s="128"/>
      <c r="U324" s="128"/>
      <c r="X324" s="128"/>
      <c r="Y324" s="128"/>
      <c r="Z324" s="128"/>
      <c r="AA324" s="128"/>
      <c r="AB324" s="128"/>
      <c r="AC324" s="128"/>
      <c r="AD324" s="128"/>
      <c r="AE324" s="128"/>
      <c r="AF324" s="128"/>
      <c r="AG324" s="128"/>
      <c r="AI324" s="128"/>
      <c r="AJ324" s="128"/>
      <c r="AY324" s="128"/>
      <c r="BN324" s="128"/>
      <c r="BQ324" s="128"/>
      <c r="BR324" s="128"/>
      <c r="BT324" s="128"/>
      <c r="BV324" s="128"/>
      <c r="BX324" s="128"/>
      <c r="CU324" s="128"/>
      <c r="CW324" s="128"/>
      <c r="DN324" s="128"/>
      <c r="DP324" s="128"/>
      <c r="DR324" s="128"/>
      <c r="DV324" s="128"/>
      <c r="DX324" s="128"/>
      <c r="DY324" s="128"/>
      <c r="EA324" s="128"/>
      <c r="EB324" s="128"/>
      <c r="EC324" s="128"/>
      <c r="EG324" s="128"/>
      <c r="EL324" s="128"/>
      <c r="EM324" s="128"/>
      <c r="EO324" s="128"/>
      <c r="EQ324" s="128"/>
      <c r="ES324" s="128"/>
      <c r="EU324" s="128"/>
      <c r="EW324" s="128"/>
      <c r="EY324" s="128"/>
    </row>
    <row r="325" spans="3:155">
      <c r="C325" s="128"/>
      <c r="D325" s="128"/>
      <c r="E325" s="128"/>
      <c r="F325" s="128" t="str">
        <f>IF(E325 &lt;&gt; "", VLOOKUP(E325, '[2]Internal-logic'!G$1:I$364, 2, FALSE),"")</f>
        <v/>
      </c>
      <c r="G325" s="128" t="str">
        <f>IF(E325 &lt;&gt; "", VLOOKUP(E325, '[2]Internal-logic'!G$1:I$364, 3, FALSE),"")</f>
        <v/>
      </c>
      <c r="H325" s="128"/>
      <c r="I325" s="128"/>
      <c r="J325" s="128"/>
      <c r="K325" s="128"/>
      <c r="Q325" s="128"/>
      <c r="R325" s="128"/>
      <c r="S325" s="128"/>
      <c r="U325" s="128"/>
      <c r="X325" s="128"/>
      <c r="Y325" s="128"/>
      <c r="Z325" s="128"/>
      <c r="AA325" s="128"/>
      <c r="AB325" s="128"/>
      <c r="AC325" s="128"/>
      <c r="AD325" s="128"/>
      <c r="AE325" s="128"/>
      <c r="AF325" s="128"/>
      <c r="AG325" s="128"/>
      <c r="AI325" s="128"/>
      <c r="AJ325" s="128"/>
      <c r="AY325" s="128"/>
      <c r="BN325" s="128"/>
      <c r="BQ325" s="128"/>
      <c r="BR325" s="128"/>
      <c r="BT325" s="128"/>
      <c r="BV325" s="128"/>
      <c r="BX325" s="128"/>
      <c r="CU325" s="128"/>
      <c r="CW325" s="128"/>
      <c r="DN325" s="128"/>
      <c r="DP325" s="128"/>
      <c r="DR325" s="128"/>
      <c r="DV325" s="128"/>
      <c r="DX325" s="128"/>
      <c r="DY325" s="128"/>
      <c r="EA325" s="128"/>
      <c r="EB325" s="128"/>
      <c r="EC325" s="128"/>
      <c r="EG325" s="128"/>
      <c r="EL325" s="128"/>
      <c r="EM325" s="128"/>
      <c r="EO325" s="128"/>
      <c r="EQ325" s="128"/>
      <c r="ES325" s="128"/>
      <c r="EU325" s="128"/>
      <c r="EW325" s="128"/>
      <c r="EY325" s="128"/>
    </row>
    <row r="326" spans="3:155">
      <c r="C326" s="128"/>
      <c r="D326" s="128"/>
      <c r="E326" s="128"/>
      <c r="F326" s="128" t="str">
        <f>IF(E326 &lt;&gt; "", VLOOKUP(E326, '[2]Internal-logic'!G$1:I$364, 2, FALSE),"")</f>
        <v/>
      </c>
      <c r="G326" s="128" t="str">
        <f>IF(E326 &lt;&gt; "", VLOOKUP(E326, '[2]Internal-logic'!G$1:I$364, 3, FALSE),"")</f>
        <v/>
      </c>
      <c r="H326" s="128"/>
      <c r="I326" s="128"/>
      <c r="J326" s="128"/>
      <c r="K326" s="128"/>
      <c r="Q326" s="128"/>
      <c r="R326" s="128"/>
      <c r="S326" s="128"/>
      <c r="U326" s="128"/>
      <c r="X326" s="128"/>
      <c r="Y326" s="128"/>
      <c r="Z326" s="128"/>
      <c r="AA326" s="128"/>
      <c r="AB326" s="128"/>
      <c r="AC326" s="128"/>
      <c r="AD326" s="128"/>
      <c r="AE326" s="128"/>
      <c r="AF326" s="128"/>
      <c r="AG326" s="128"/>
      <c r="AI326" s="128"/>
      <c r="AJ326" s="128"/>
      <c r="AY326" s="128"/>
      <c r="BN326" s="128"/>
      <c r="BQ326" s="128"/>
      <c r="BR326" s="128"/>
      <c r="BT326" s="128"/>
      <c r="BV326" s="128"/>
      <c r="BX326" s="128"/>
      <c r="CU326" s="128"/>
      <c r="CW326" s="128"/>
      <c r="DN326" s="128"/>
      <c r="DP326" s="128"/>
      <c r="DR326" s="128"/>
      <c r="DV326" s="128"/>
      <c r="DX326" s="128"/>
      <c r="DY326" s="128"/>
      <c r="EA326" s="128"/>
      <c r="EB326" s="128"/>
      <c r="EC326" s="128"/>
      <c r="EG326" s="128"/>
      <c r="EL326" s="128"/>
      <c r="EM326" s="128"/>
      <c r="EO326" s="128"/>
      <c r="EQ326" s="128"/>
      <c r="ES326" s="128"/>
      <c r="EU326" s="128"/>
      <c r="EW326" s="128"/>
      <c r="EY326" s="128"/>
    </row>
    <row r="327" spans="3:155">
      <c r="C327" s="128"/>
      <c r="D327" s="128"/>
      <c r="E327" s="128"/>
      <c r="F327" s="128" t="str">
        <f>IF(E327 &lt;&gt; "", VLOOKUP(E327, '[2]Internal-logic'!G$1:I$364, 2, FALSE),"")</f>
        <v/>
      </c>
      <c r="G327" s="128" t="str">
        <f>IF(E327 &lt;&gt; "", VLOOKUP(E327, '[2]Internal-logic'!G$1:I$364, 3, FALSE),"")</f>
        <v/>
      </c>
      <c r="H327" s="128"/>
      <c r="I327" s="128"/>
      <c r="J327" s="128"/>
      <c r="K327" s="128"/>
      <c r="Q327" s="128"/>
      <c r="R327" s="128"/>
      <c r="S327" s="128"/>
      <c r="U327" s="128"/>
      <c r="X327" s="128"/>
      <c r="Y327" s="128"/>
      <c r="Z327" s="128"/>
      <c r="AA327" s="128"/>
      <c r="AB327" s="128"/>
      <c r="AC327" s="128"/>
      <c r="AD327" s="128"/>
      <c r="AE327" s="128"/>
      <c r="AF327" s="128"/>
      <c r="AG327" s="128"/>
      <c r="AI327" s="128"/>
      <c r="AJ327" s="128"/>
      <c r="AY327" s="128"/>
      <c r="BN327" s="128"/>
      <c r="BQ327" s="128"/>
      <c r="BR327" s="128"/>
      <c r="BT327" s="128"/>
      <c r="BV327" s="128"/>
      <c r="BX327" s="128"/>
      <c r="CU327" s="128"/>
      <c r="CW327" s="128"/>
      <c r="DN327" s="128"/>
      <c r="DP327" s="128"/>
      <c r="DR327" s="128"/>
      <c r="DV327" s="128"/>
      <c r="DX327" s="128"/>
      <c r="DY327" s="128"/>
      <c r="EA327" s="128"/>
      <c r="EB327" s="128"/>
      <c r="EC327" s="128"/>
      <c r="EG327" s="128"/>
      <c r="EL327" s="128"/>
      <c r="EM327" s="128"/>
      <c r="EO327" s="128"/>
      <c r="EQ327" s="128"/>
      <c r="ES327" s="128"/>
      <c r="EU327" s="128"/>
      <c r="EW327" s="128"/>
      <c r="EY327" s="128"/>
    </row>
    <row r="328" spans="3:155">
      <c r="C328" s="128"/>
      <c r="D328" s="128"/>
      <c r="E328" s="128"/>
      <c r="F328" s="128" t="str">
        <f>IF(E328 &lt;&gt; "", VLOOKUP(E328, '[2]Internal-logic'!G$1:I$364, 2, FALSE),"")</f>
        <v/>
      </c>
      <c r="G328" s="128" t="str">
        <f>IF(E328 &lt;&gt; "", VLOOKUP(E328, '[2]Internal-logic'!G$1:I$364, 3, FALSE),"")</f>
        <v/>
      </c>
      <c r="H328" s="128"/>
      <c r="I328" s="128"/>
      <c r="J328" s="128"/>
      <c r="K328" s="128"/>
      <c r="Q328" s="128"/>
      <c r="R328" s="128"/>
      <c r="S328" s="128"/>
      <c r="U328" s="128"/>
      <c r="X328" s="128"/>
      <c r="Y328" s="128"/>
      <c r="Z328" s="128"/>
      <c r="AA328" s="128"/>
      <c r="AB328" s="128"/>
      <c r="AC328" s="128"/>
      <c r="AD328" s="128"/>
      <c r="AE328" s="128"/>
      <c r="AF328" s="128"/>
      <c r="AG328" s="128"/>
      <c r="AI328" s="128"/>
      <c r="AJ328" s="128"/>
      <c r="AY328" s="128"/>
      <c r="BN328" s="128"/>
      <c r="BQ328" s="128"/>
      <c r="BR328" s="128"/>
      <c r="BT328" s="128"/>
      <c r="BV328" s="128"/>
      <c r="BX328" s="128"/>
      <c r="CU328" s="128"/>
      <c r="CW328" s="128"/>
      <c r="DN328" s="128"/>
      <c r="DP328" s="128"/>
      <c r="DR328" s="128"/>
      <c r="DV328" s="128"/>
      <c r="DX328" s="128"/>
      <c r="DY328" s="128"/>
      <c r="EA328" s="128"/>
      <c r="EB328" s="128"/>
      <c r="EC328" s="128"/>
      <c r="EG328" s="128"/>
      <c r="EL328" s="128"/>
      <c r="EM328" s="128"/>
      <c r="EO328" s="128"/>
      <c r="EQ328" s="128"/>
      <c r="ES328" s="128"/>
      <c r="EU328" s="128"/>
      <c r="EW328" s="128"/>
      <c r="EY328" s="128"/>
    </row>
    <row r="329" spans="3:155">
      <c r="C329" s="128"/>
      <c r="D329" s="128"/>
      <c r="E329" s="128"/>
      <c r="F329" s="128" t="str">
        <f>IF(E329 &lt;&gt; "", VLOOKUP(E329, '[2]Internal-logic'!G$1:I$364, 2, FALSE),"")</f>
        <v/>
      </c>
      <c r="G329" s="128" t="str">
        <f>IF(E329 &lt;&gt; "", VLOOKUP(E329, '[2]Internal-logic'!G$1:I$364, 3, FALSE),"")</f>
        <v/>
      </c>
      <c r="H329" s="128"/>
      <c r="I329" s="128"/>
      <c r="J329" s="128"/>
      <c r="K329" s="128"/>
      <c r="Q329" s="128"/>
      <c r="R329" s="128"/>
      <c r="S329" s="128"/>
      <c r="U329" s="128"/>
      <c r="X329" s="128"/>
      <c r="Y329" s="128"/>
      <c r="Z329" s="128"/>
      <c r="AA329" s="128"/>
      <c r="AB329" s="128"/>
      <c r="AC329" s="128"/>
      <c r="AD329" s="128"/>
      <c r="AE329" s="128"/>
      <c r="AF329" s="128"/>
      <c r="AG329" s="128"/>
      <c r="AI329" s="128"/>
      <c r="AJ329" s="128"/>
      <c r="AY329" s="128"/>
      <c r="BN329" s="128"/>
      <c r="BQ329" s="128"/>
      <c r="BR329" s="128"/>
      <c r="BT329" s="128"/>
      <c r="BV329" s="128"/>
      <c r="BX329" s="128"/>
      <c r="CU329" s="128"/>
      <c r="CW329" s="128"/>
      <c r="DN329" s="128"/>
      <c r="DP329" s="128"/>
      <c r="DR329" s="128"/>
      <c r="DV329" s="128"/>
      <c r="DX329" s="128"/>
      <c r="DY329" s="128"/>
      <c r="EA329" s="128"/>
      <c r="EB329" s="128"/>
      <c r="EC329" s="128"/>
      <c r="EG329" s="128"/>
      <c r="EL329" s="128"/>
      <c r="EM329" s="128"/>
      <c r="EO329" s="128"/>
      <c r="EQ329" s="128"/>
      <c r="ES329" s="128"/>
      <c r="EU329" s="128"/>
      <c r="EW329" s="128"/>
      <c r="EY329" s="128"/>
    </row>
    <row r="330" spans="3:155">
      <c r="C330" s="128"/>
      <c r="D330" s="128"/>
      <c r="E330" s="128"/>
      <c r="F330" s="128" t="str">
        <f>IF(E330 &lt;&gt; "", VLOOKUP(E330, '[2]Internal-logic'!G$1:I$364, 2, FALSE),"")</f>
        <v/>
      </c>
      <c r="G330" s="128" t="str">
        <f>IF(E330 &lt;&gt; "", VLOOKUP(E330, '[2]Internal-logic'!G$1:I$364, 3, FALSE),"")</f>
        <v/>
      </c>
      <c r="H330" s="128"/>
      <c r="I330" s="128"/>
      <c r="J330" s="128"/>
      <c r="K330" s="128"/>
      <c r="Q330" s="128"/>
      <c r="R330" s="128"/>
      <c r="S330" s="128"/>
      <c r="U330" s="128"/>
      <c r="X330" s="128"/>
      <c r="Y330" s="128"/>
      <c r="Z330" s="128"/>
      <c r="AA330" s="128"/>
      <c r="AB330" s="128"/>
      <c r="AC330" s="128"/>
      <c r="AD330" s="128"/>
      <c r="AE330" s="128"/>
      <c r="AF330" s="128"/>
      <c r="AG330" s="128"/>
      <c r="AI330" s="128"/>
      <c r="AJ330" s="128"/>
      <c r="AY330" s="128"/>
      <c r="BN330" s="128"/>
      <c r="BQ330" s="128"/>
      <c r="BR330" s="128"/>
      <c r="BT330" s="128"/>
      <c r="BV330" s="128"/>
      <c r="BX330" s="128"/>
      <c r="CU330" s="128"/>
      <c r="CW330" s="128"/>
      <c r="DN330" s="128"/>
      <c r="DP330" s="128"/>
      <c r="DR330" s="128"/>
      <c r="DV330" s="128"/>
      <c r="DX330" s="128"/>
      <c r="DY330" s="128"/>
      <c r="EA330" s="128"/>
      <c r="EB330" s="128"/>
      <c r="EC330" s="128"/>
      <c r="EG330" s="128"/>
      <c r="EL330" s="128"/>
      <c r="EM330" s="128"/>
      <c r="EO330" s="128"/>
      <c r="EQ330" s="128"/>
      <c r="ES330" s="128"/>
      <c r="EU330" s="128"/>
      <c r="EW330" s="128"/>
      <c r="EY330" s="128"/>
    </row>
    <row r="331" spans="3:155">
      <c r="C331" s="128"/>
      <c r="D331" s="128"/>
      <c r="E331" s="128"/>
      <c r="F331" s="128" t="str">
        <f>IF(E331 &lt;&gt; "", VLOOKUP(E331, '[2]Internal-logic'!G$1:I$364, 2, FALSE),"")</f>
        <v/>
      </c>
      <c r="G331" s="128" t="str">
        <f>IF(E331 &lt;&gt; "", VLOOKUP(E331, '[2]Internal-logic'!G$1:I$364, 3, FALSE),"")</f>
        <v/>
      </c>
      <c r="H331" s="128"/>
      <c r="I331" s="128"/>
      <c r="J331" s="128"/>
      <c r="K331" s="128"/>
      <c r="Q331" s="128"/>
      <c r="R331" s="128"/>
      <c r="S331" s="128"/>
      <c r="U331" s="128"/>
      <c r="X331" s="128"/>
      <c r="Y331" s="128"/>
      <c r="Z331" s="128"/>
      <c r="AA331" s="128"/>
      <c r="AB331" s="128"/>
      <c r="AC331" s="128"/>
      <c r="AD331" s="128"/>
      <c r="AE331" s="128"/>
      <c r="AF331" s="128"/>
      <c r="AG331" s="128"/>
      <c r="AI331" s="128"/>
      <c r="AJ331" s="128"/>
      <c r="AY331" s="128"/>
      <c r="BN331" s="128"/>
      <c r="BQ331" s="128"/>
      <c r="BR331" s="128"/>
      <c r="BT331" s="128"/>
      <c r="BV331" s="128"/>
      <c r="BX331" s="128"/>
      <c r="CU331" s="128"/>
      <c r="CW331" s="128"/>
      <c r="DN331" s="128"/>
      <c r="DP331" s="128"/>
      <c r="DR331" s="128"/>
      <c r="DV331" s="128"/>
      <c r="DX331" s="128"/>
      <c r="DY331" s="128"/>
      <c r="EA331" s="128"/>
      <c r="EB331" s="128"/>
      <c r="EC331" s="128"/>
      <c r="EG331" s="128"/>
      <c r="EL331" s="128"/>
      <c r="EM331" s="128"/>
      <c r="EO331" s="128"/>
      <c r="EQ331" s="128"/>
      <c r="ES331" s="128"/>
      <c r="EU331" s="128"/>
      <c r="EW331" s="128"/>
      <c r="EY331" s="128"/>
    </row>
    <row r="332" spans="3:155">
      <c r="C332" s="128"/>
      <c r="D332" s="128"/>
      <c r="E332" s="128"/>
      <c r="F332" s="128" t="str">
        <f>IF(E332 &lt;&gt; "", VLOOKUP(E332, '[2]Internal-logic'!G$1:I$364, 2, FALSE),"")</f>
        <v/>
      </c>
      <c r="G332" s="128" t="str">
        <f>IF(E332 &lt;&gt; "", VLOOKUP(E332, '[2]Internal-logic'!G$1:I$364, 3, FALSE),"")</f>
        <v/>
      </c>
      <c r="H332" s="128"/>
      <c r="I332" s="128"/>
      <c r="J332" s="128"/>
      <c r="K332" s="128"/>
      <c r="Q332" s="128"/>
      <c r="R332" s="128"/>
      <c r="S332" s="128"/>
      <c r="U332" s="128"/>
      <c r="X332" s="128"/>
      <c r="Y332" s="128"/>
      <c r="Z332" s="128"/>
      <c r="AA332" s="128"/>
      <c r="AB332" s="128"/>
      <c r="AC332" s="128"/>
      <c r="AD332" s="128"/>
      <c r="AE332" s="128"/>
      <c r="AF332" s="128"/>
      <c r="AG332" s="128"/>
      <c r="AI332" s="128"/>
      <c r="AJ332" s="128"/>
      <c r="AY332" s="128"/>
      <c r="BN332" s="128"/>
      <c r="BQ332" s="128"/>
      <c r="BR332" s="128"/>
      <c r="BT332" s="128"/>
      <c r="BV332" s="128"/>
      <c r="BX332" s="128"/>
      <c r="CU332" s="128"/>
      <c r="CW332" s="128"/>
      <c r="DN332" s="128"/>
      <c r="DP332" s="128"/>
      <c r="DR332" s="128"/>
      <c r="DV332" s="128"/>
      <c r="DX332" s="128"/>
      <c r="DY332" s="128"/>
      <c r="EA332" s="128"/>
      <c r="EB332" s="128"/>
      <c r="EC332" s="128"/>
      <c r="EG332" s="128"/>
      <c r="EL332" s="128"/>
      <c r="EM332" s="128"/>
      <c r="EO332" s="128"/>
      <c r="EQ332" s="128"/>
      <c r="ES332" s="128"/>
      <c r="EU332" s="128"/>
      <c r="EW332" s="128"/>
      <c r="EY332" s="128"/>
    </row>
    <row r="333" spans="3:155">
      <c r="C333" s="128"/>
      <c r="D333" s="128"/>
      <c r="E333" s="128"/>
      <c r="F333" s="128" t="str">
        <f>IF(E333 &lt;&gt; "", VLOOKUP(E333, '[2]Internal-logic'!G$1:I$364, 2, FALSE),"")</f>
        <v/>
      </c>
      <c r="G333" s="128" t="str">
        <f>IF(E333 &lt;&gt; "", VLOOKUP(E333, '[2]Internal-logic'!G$1:I$364, 3, FALSE),"")</f>
        <v/>
      </c>
      <c r="H333" s="128"/>
      <c r="I333" s="128"/>
      <c r="J333" s="128"/>
      <c r="K333" s="128"/>
      <c r="Q333" s="128"/>
      <c r="R333" s="128"/>
      <c r="S333" s="128"/>
      <c r="U333" s="128"/>
      <c r="X333" s="128"/>
      <c r="Y333" s="128"/>
      <c r="Z333" s="128"/>
      <c r="AA333" s="128"/>
      <c r="AB333" s="128"/>
      <c r="AC333" s="128"/>
      <c r="AD333" s="128"/>
      <c r="AE333" s="128"/>
      <c r="AF333" s="128"/>
      <c r="AG333" s="128"/>
      <c r="AI333" s="128"/>
      <c r="AJ333" s="128"/>
      <c r="AY333" s="128"/>
      <c r="BN333" s="128"/>
      <c r="BQ333" s="128"/>
      <c r="BR333" s="128"/>
      <c r="BT333" s="128"/>
      <c r="BV333" s="128"/>
      <c r="BX333" s="128"/>
      <c r="CU333" s="128"/>
      <c r="CW333" s="128"/>
      <c r="DN333" s="128"/>
      <c r="DP333" s="128"/>
      <c r="DR333" s="128"/>
      <c r="DV333" s="128"/>
      <c r="DX333" s="128"/>
      <c r="DY333" s="128"/>
      <c r="EA333" s="128"/>
      <c r="EB333" s="128"/>
      <c r="EC333" s="128"/>
      <c r="EG333" s="128"/>
      <c r="EL333" s="128"/>
      <c r="EM333" s="128"/>
      <c r="EO333" s="128"/>
      <c r="EQ333" s="128"/>
      <c r="ES333" s="128"/>
      <c r="EU333" s="128"/>
      <c r="EW333" s="128"/>
      <c r="EY333" s="128"/>
    </row>
    <row r="334" spans="3:155">
      <c r="C334" s="128"/>
      <c r="D334" s="128"/>
      <c r="E334" s="128"/>
      <c r="F334" s="128" t="str">
        <f>IF(E334 &lt;&gt; "", VLOOKUP(E334, '[2]Internal-logic'!G$1:I$364, 2, FALSE),"")</f>
        <v/>
      </c>
      <c r="G334" s="128" t="str">
        <f>IF(E334 &lt;&gt; "", VLOOKUP(E334, '[2]Internal-logic'!G$1:I$364, 3, FALSE),"")</f>
        <v/>
      </c>
      <c r="H334" s="128"/>
      <c r="I334" s="128"/>
      <c r="J334" s="128"/>
      <c r="K334" s="128"/>
      <c r="Q334" s="128"/>
      <c r="R334" s="128"/>
      <c r="S334" s="128"/>
      <c r="U334" s="128"/>
      <c r="X334" s="128"/>
      <c r="Y334" s="128"/>
      <c r="Z334" s="128"/>
      <c r="AA334" s="128"/>
      <c r="AB334" s="128"/>
      <c r="AC334" s="128"/>
      <c r="AD334" s="128"/>
      <c r="AE334" s="128"/>
      <c r="AF334" s="128"/>
      <c r="AG334" s="128"/>
      <c r="AI334" s="128"/>
      <c r="AJ334" s="128"/>
      <c r="AY334" s="128"/>
      <c r="BN334" s="128"/>
      <c r="BQ334" s="128"/>
      <c r="BR334" s="128"/>
      <c r="BT334" s="128"/>
      <c r="BV334" s="128"/>
      <c r="BX334" s="128"/>
      <c r="CU334" s="128"/>
      <c r="CW334" s="128"/>
      <c r="DN334" s="128"/>
      <c r="DP334" s="128"/>
      <c r="DR334" s="128"/>
      <c r="DV334" s="128"/>
      <c r="DX334" s="128"/>
      <c r="DY334" s="128"/>
      <c r="EA334" s="128"/>
      <c r="EB334" s="128"/>
      <c r="EC334" s="128"/>
      <c r="EG334" s="128"/>
      <c r="EL334" s="128"/>
      <c r="EM334" s="128"/>
      <c r="EO334" s="128"/>
      <c r="EQ334" s="128"/>
      <c r="ES334" s="128"/>
      <c r="EU334" s="128"/>
      <c r="EW334" s="128"/>
      <c r="EY334" s="128"/>
    </row>
    <row r="335" spans="3:155">
      <c r="C335" s="128"/>
      <c r="D335" s="128"/>
      <c r="E335" s="128"/>
      <c r="F335" s="128" t="str">
        <f>IF(E335 &lt;&gt; "", VLOOKUP(E335, '[2]Internal-logic'!G$1:I$364, 2, FALSE),"")</f>
        <v/>
      </c>
      <c r="G335" s="128" t="str">
        <f>IF(E335 &lt;&gt; "", VLOOKUP(E335, '[2]Internal-logic'!G$1:I$364, 3, FALSE),"")</f>
        <v/>
      </c>
      <c r="H335" s="128"/>
      <c r="I335" s="128"/>
      <c r="J335" s="128"/>
      <c r="K335" s="128"/>
      <c r="Q335" s="128"/>
      <c r="R335" s="128"/>
      <c r="S335" s="128"/>
      <c r="U335" s="128"/>
      <c r="X335" s="128"/>
      <c r="Y335" s="128"/>
      <c r="Z335" s="128"/>
      <c r="AA335" s="128"/>
      <c r="AB335" s="128"/>
      <c r="AC335" s="128"/>
      <c r="AD335" s="128"/>
      <c r="AE335" s="128"/>
      <c r="AF335" s="128"/>
      <c r="AG335" s="128"/>
      <c r="AI335" s="128"/>
      <c r="AJ335" s="128"/>
      <c r="AY335" s="128"/>
      <c r="BN335" s="128"/>
      <c r="BQ335" s="128"/>
      <c r="BR335" s="128"/>
      <c r="BT335" s="128"/>
      <c r="BV335" s="128"/>
      <c r="BX335" s="128"/>
      <c r="CU335" s="128"/>
      <c r="CW335" s="128"/>
      <c r="DN335" s="128"/>
      <c r="DP335" s="128"/>
      <c r="DR335" s="128"/>
      <c r="DV335" s="128"/>
      <c r="DX335" s="128"/>
      <c r="DY335" s="128"/>
      <c r="EA335" s="128"/>
      <c r="EB335" s="128"/>
      <c r="EC335" s="128"/>
      <c r="EG335" s="128"/>
      <c r="EL335" s="128"/>
      <c r="EM335" s="128"/>
      <c r="EO335" s="128"/>
      <c r="EQ335" s="128"/>
      <c r="ES335" s="128"/>
      <c r="EU335" s="128"/>
      <c r="EW335" s="128"/>
      <c r="EY335" s="128"/>
    </row>
    <row r="336" spans="3:155">
      <c r="C336" s="128"/>
      <c r="D336" s="128"/>
      <c r="E336" s="128"/>
      <c r="F336" s="128" t="str">
        <f>IF(E336 &lt;&gt; "", VLOOKUP(E336, '[2]Internal-logic'!G$1:I$364, 2, FALSE),"")</f>
        <v/>
      </c>
      <c r="G336" s="128" t="str">
        <f>IF(E336 &lt;&gt; "", VLOOKUP(E336, '[2]Internal-logic'!G$1:I$364, 3, FALSE),"")</f>
        <v/>
      </c>
      <c r="H336" s="128"/>
      <c r="I336" s="128"/>
      <c r="J336" s="128"/>
      <c r="K336" s="128"/>
      <c r="Q336" s="128"/>
      <c r="R336" s="128"/>
      <c r="S336" s="128"/>
      <c r="U336" s="128"/>
      <c r="X336" s="128"/>
      <c r="Y336" s="128"/>
      <c r="Z336" s="128"/>
      <c r="AA336" s="128"/>
      <c r="AB336" s="128"/>
      <c r="AC336" s="128"/>
      <c r="AD336" s="128"/>
      <c r="AE336" s="128"/>
      <c r="AF336" s="128"/>
      <c r="AG336" s="128"/>
      <c r="AI336" s="128"/>
      <c r="AJ336" s="128"/>
      <c r="AY336" s="128"/>
      <c r="BN336" s="128"/>
      <c r="BQ336" s="128"/>
      <c r="BR336" s="128"/>
      <c r="BT336" s="128"/>
      <c r="BV336" s="128"/>
      <c r="BX336" s="128"/>
      <c r="CU336" s="128"/>
      <c r="CW336" s="128"/>
      <c r="DN336" s="128"/>
      <c r="DP336" s="128"/>
      <c r="DR336" s="128"/>
      <c r="DV336" s="128"/>
      <c r="DX336" s="128"/>
      <c r="DY336" s="128"/>
      <c r="EA336" s="128"/>
      <c r="EB336" s="128"/>
      <c r="EC336" s="128"/>
      <c r="EG336" s="128"/>
      <c r="EL336" s="128"/>
      <c r="EM336" s="128"/>
      <c r="EO336" s="128"/>
      <c r="EQ336" s="128"/>
      <c r="ES336" s="128"/>
      <c r="EU336" s="128"/>
      <c r="EW336" s="128"/>
      <c r="EY336" s="128"/>
    </row>
    <row r="337" spans="3:155">
      <c r="C337" s="128"/>
      <c r="D337" s="128"/>
      <c r="E337" s="128"/>
      <c r="F337" s="128" t="str">
        <f>IF(E337 &lt;&gt; "", VLOOKUP(E337, '[2]Internal-logic'!G$1:I$364, 2, FALSE),"")</f>
        <v/>
      </c>
      <c r="G337" s="128" t="str">
        <f>IF(E337 &lt;&gt; "", VLOOKUP(E337, '[2]Internal-logic'!G$1:I$364, 3, FALSE),"")</f>
        <v/>
      </c>
      <c r="H337" s="128"/>
      <c r="I337" s="128"/>
      <c r="J337" s="128"/>
      <c r="K337" s="128"/>
      <c r="Q337" s="128"/>
      <c r="R337" s="128"/>
      <c r="S337" s="128"/>
      <c r="U337" s="128"/>
      <c r="X337" s="128"/>
      <c r="Y337" s="128"/>
      <c r="Z337" s="128"/>
      <c r="AA337" s="128"/>
      <c r="AB337" s="128"/>
      <c r="AC337" s="128"/>
      <c r="AD337" s="128"/>
      <c r="AE337" s="128"/>
      <c r="AF337" s="128"/>
      <c r="AG337" s="128"/>
      <c r="AI337" s="128"/>
      <c r="AJ337" s="128"/>
      <c r="AY337" s="128"/>
      <c r="BN337" s="128"/>
      <c r="BQ337" s="128"/>
      <c r="BR337" s="128"/>
      <c r="BT337" s="128"/>
      <c r="BV337" s="128"/>
      <c r="BX337" s="128"/>
      <c r="CU337" s="128"/>
      <c r="CW337" s="128"/>
      <c r="DN337" s="128"/>
      <c r="DP337" s="128"/>
      <c r="DR337" s="128"/>
      <c r="DV337" s="128"/>
      <c r="DX337" s="128"/>
      <c r="DY337" s="128"/>
      <c r="EA337" s="128"/>
      <c r="EB337" s="128"/>
      <c r="EC337" s="128"/>
      <c r="EG337" s="128"/>
      <c r="EL337" s="128"/>
      <c r="EM337" s="128"/>
      <c r="EO337" s="128"/>
      <c r="EQ337" s="128"/>
      <c r="ES337" s="128"/>
      <c r="EU337" s="128"/>
      <c r="EW337" s="128"/>
      <c r="EY337" s="128"/>
    </row>
    <row r="338" spans="3:155">
      <c r="C338" s="128"/>
      <c r="D338" s="128"/>
      <c r="E338" s="128"/>
      <c r="F338" s="128" t="str">
        <f>IF(E338 &lt;&gt; "", VLOOKUP(E338, '[2]Internal-logic'!G$1:I$364, 2, FALSE),"")</f>
        <v/>
      </c>
      <c r="G338" s="128" t="str">
        <f>IF(E338 &lt;&gt; "", VLOOKUP(E338, '[2]Internal-logic'!G$1:I$364, 3, FALSE),"")</f>
        <v/>
      </c>
      <c r="H338" s="128"/>
      <c r="I338" s="128"/>
      <c r="J338" s="128"/>
      <c r="K338" s="128"/>
      <c r="Q338" s="128"/>
      <c r="R338" s="128"/>
      <c r="S338" s="128"/>
      <c r="U338" s="128"/>
      <c r="X338" s="128"/>
      <c r="Y338" s="128"/>
      <c r="Z338" s="128"/>
      <c r="AA338" s="128"/>
      <c r="AB338" s="128"/>
      <c r="AC338" s="128"/>
      <c r="AD338" s="128"/>
      <c r="AE338" s="128"/>
      <c r="AF338" s="128"/>
      <c r="AG338" s="128"/>
      <c r="AI338" s="128"/>
      <c r="AJ338" s="128"/>
      <c r="AY338" s="128"/>
      <c r="BN338" s="128"/>
      <c r="BQ338" s="128"/>
      <c r="BR338" s="128"/>
      <c r="BT338" s="128"/>
      <c r="BV338" s="128"/>
      <c r="BX338" s="128"/>
      <c r="CU338" s="128"/>
      <c r="CW338" s="128"/>
      <c r="DN338" s="128"/>
      <c r="DP338" s="128"/>
      <c r="DR338" s="128"/>
      <c r="DV338" s="128"/>
      <c r="DX338" s="128"/>
      <c r="DY338" s="128"/>
      <c r="EA338" s="128"/>
      <c r="EB338" s="128"/>
      <c r="EC338" s="128"/>
      <c r="EG338" s="128"/>
      <c r="EL338" s="128"/>
      <c r="EM338" s="128"/>
      <c r="EO338" s="128"/>
      <c r="EQ338" s="128"/>
      <c r="ES338" s="128"/>
      <c r="EU338" s="128"/>
      <c r="EW338" s="128"/>
      <c r="EY338" s="128"/>
    </row>
    <row r="339" spans="3:155">
      <c r="C339" s="128"/>
      <c r="D339" s="128"/>
      <c r="E339" s="128"/>
      <c r="F339" s="128" t="str">
        <f>IF(E339 &lt;&gt; "", VLOOKUP(E339, '[2]Internal-logic'!G$1:I$364, 2, FALSE),"")</f>
        <v/>
      </c>
      <c r="G339" s="128" t="str">
        <f>IF(E339 &lt;&gt; "", VLOOKUP(E339, '[2]Internal-logic'!G$1:I$364, 3, FALSE),"")</f>
        <v/>
      </c>
      <c r="H339" s="128"/>
      <c r="I339" s="128"/>
      <c r="J339" s="128"/>
      <c r="K339" s="128"/>
      <c r="Q339" s="128"/>
      <c r="R339" s="128"/>
      <c r="S339" s="128"/>
      <c r="U339" s="128"/>
      <c r="X339" s="128"/>
      <c r="Y339" s="128"/>
      <c r="Z339" s="128"/>
      <c r="AA339" s="128"/>
      <c r="AB339" s="128"/>
      <c r="AC339" s="128"/>
      <c r="AD339" s="128"/>
      <c r="AE339" s="128"/>
      <c r="AF339" s="128"/>
      <c r="AG339" s="128"/>
      <c r="AI339" s="128"/>
      <c r="AJ339" s="128"/>
      <c r="AY339" s="128"/>
      <c r="BN339" s="128"/>
      <c r="BQ339" s="128"/>
      <c r="BR339" s="128"/>
      <c r="BT339" s="128"/>
      <c r="BV339" s="128"/>
      <c r="BX339" s="128"/>
      <c r="CU339" s="128"/>
      <c r="CW339" s="128"/>
      <c r="DN339" s="128"/>
      <c r="DP339" s="128"/>
      <c r="DR339" s="128"/>
      <c r="DV339" s="128"/>
      <c r="DX339" s="128"/>
      <c r="DY339" s="128"/>
      <c r="EA339" s="128"/>
      <c r="EB339" s="128"/>
      <c r="EC339" s="128"/>
      <c r="EG339" s="128"/>
      <c r="EL339" s="128"/>
      <c r="EM339" s="128"/>
      <c r="EO339" s="128"/>
      <c r="EQ339" s="128"/>
      <c r="ES339" s="128"/>
      <c r="EU339" s="128"/>
      <c r="EW339" s="128"/>
      <c r="EY339" s="128"/>
    </row>
    <row r="340" spans="3:155">
      <c r="C340" s="128"/>
      <c r="D340" s="128"/>
      <c r="E340" s="128"/>
      <c r="F340" s="128" t="str">
        <f>IF(E340 &lt;&gt; "", VLOOKUP(E340, '[2]Internal-logic'!G$1:I$364, 2, FALSE),"")</f>
        <v/>
      </c>
      <c r="G340" s="128" t="str">
        <f>IF(E340 &lt;&gt; "", VLOOKUP(E340, '[2]Internal-logic'!G$1:I$364, 3, FALSE),"")</f>
        <v/>
      </c>
      <c r="H340" s="128"/>
      <c r="I340" s="128"/>
      <c r="J340" s="128"/>
      <c r="K340" s="128"/>
      <c r="Q340" s="128"/>
      <c r="R340" s="128"/>
      <c r="S340" s="128"/>
      <c r="U340" s="128"/>
      <c r="X340" s="128"/>
      <c r="Y340" s="128"/>
      <c r="Z340" s="128"/>
      <c r="AA340" s="128"/>
      <c r="AB340" s="128"/>
      <c r="AC340" s="128"/>
      <c r="AD340" s="128"/>
      <c r="AE340" s="128"/>
      <c r="AF340" s="128"/>
      <c r="AG340" s="128"/>
      <c r="AI340" s="128"/>
      <c r="AJ340" s="128"/>
      <c r="AY340" s="128"/>
      <c r="BN340" s="128"/>
      <c r="BQ340" s="128"/>
      <c r="BR340" s="128"/>
      <c r="BT340" s="128"/>
      <c r="BV340" s="128"/>
      <c r="BX340" s="128"/>
      <c r="CU340" s="128"/>
      <c r="CW340" s="128"/>
      <c r="DN340" s="128"/>
      <c r="DP340" s="128"/>
      <c r="DR340" s="128"/>
      <c r="DV340" s="128"/>
      <c r="DX340" s="128"/>
      <c r="DY340" s="128"/>
      <c r="EA340" s="128"/>
      <c r="EB340" s="128"/>
      <c r="EC340" s="128"/>
      <c r="EG340" s="128"/>
      <c r="EL340" s="128"/>
      <c r="EM340" s="128"/>
      <c r="EO340" s="128"/>
      <c r="EQ340" s="128"/>
      <c r="ES340" s="128"/>
      <c r="EU340" s="128"/>
      <c r="EW340" s="128"/>
      <c r="EY340" s="128"/>
    </row>
    <row r="341" spans="3:155">
      <c r="C341" s="128"/>
      <c r="D341" s="128"/>
      <c r="E341" s="128"/>
      <c r="F341" s="128" t="str">
        <f>IF(E341 &lt;&gt; "", VLOOKUP(E341, '[2]Internal-logic'!G$1:I$364, 2, FALSE),"")</f>
        <v/>
      </c>
      <c r="G341" s="128" t="str">
        <f>IF(E341 &lt;&gt; "", VLOOKUP(E341, '[2]Internal-logic'!G$1:I$364, 3, FALSE),"")</f>
        <v/>
      </c>
      <c r="H341" s="128"/>
      <c r="I341" s="128"/>
      <c r="J341" s="128"/>
      <c r="K341" s="128"/>
      <c r="Q341" s="128"/>
      <c r="R341" s="128"/>
      <c r="S341" s="128"/>
      <c r="U341" s="128"/>
      <c r="X341" s="128"/>
      <c r="Y341" s="128"/>
      <c r="Z341" s="128"/>
      <c r="AA341" s="128"/>
      <c r="AB341" s="128"/>
      <c r="AC341" s="128"/>
      <c r="AD341" s="128"/>
      <c r="AE341" s="128"/>
      <c r="AF341" s="128"/>
      <c r="AG341" s="128"/>
      <c r="AI341" s="128"/>
      <c r="AJ341" s="128"/>
      <c r="AY341" s="128"/>
      <c r="BN341" s="128"/>
      <c r="BQ341" s="128"/>
      <c r="BR341" s="128"/>
      <c r="BT341" s="128"/>
      <c r="BV341" s="128"/>
      <c r="BX341" s="128"/>
      <c r="CU341" s="128"/>
      <c r="CW341" s="128"/>
      <c r="DN341" s="128"/>
      <c r="DP341" s="128"/>
      <c r="DR341" s="128"/>
      <c r="DV341" s="128"/>
      <c r="DX341" s="128"/>
      <c r="DY341" s="128"/>
      <c r="EA341" s="128"/>
      <c r="EB341" s="128"/>
      <c r="EC341" s="128"/>
      <c r="EG341" s="128"/>
      <c r="EL341" s="128"/>
      <c r="EM341" s="128"/>
      <c r="EO341" s="128"/>
      <c r="EQ341" s="128"/>
      <c r="ES341" s="128"/>
      <c r="EU341" s="128"/>
      <c r="EW341" s="128"/>
      <c r="EY341" s="128"/>
    </row>
    <row r="342" spans="3:155">
      <c r="C342" s="128"/>
      <c r="D342" s="128"/>
      <c r="E342" s="128"/>
      <c r="F342" s="128" t="str">
        <f>IF(E342 &lt;&gt; "", VLOOKUP(E342, '[2]Internal-logic'!G$1:I$364, 2, FALSE),"")</f>
        <v/>
      </c>
      <c r="G342" s="128" t="str">
        <f>IF(E342 &lt;&gt; "", VLOOKUP(E342, '[2]Internal-logic'!G$1:I$364, 3, FALSE),"")</f>
        <v/>
      </c>
      <c r="H342" s="128"/>
      <c r="I342" s="128"/>
      <c r="J342" s="128"/>
      <c r="K342" s="128"/>
      <c r="Q342" s="128"/>
      <c r="R342" s="128"/>
      <c r="S342" s="128"/>
      <c r="U342" s="128"/>
      <c r="X342" s="128"/>
      <c r="Y342" s="128"/>
      <c r="Z342" s="128"/>
      <c r="AA342" s="128"/>
      <c r="AB342" s="128"/>
      <c r="AC342" s="128"/>
      <c r="AD342" s="128"/>
      <c r="AE342" s="128"/>
      <c r="AF342" s="128"/>
      <c r="AG342" s="128"/>
      <c r="AI342" s="128"/>
      <c r="AJ342" s="128"/>
      <c r="AY342" s="128"/>
      <c r="BN342" s="128"/>
      <c r="BQ342" s="128"/>
      <c r="BR342" s="128"/>
      <c r="BT342" s="128"/>
      <c r="BV342" s="128"/>
      <c r="BX342" s="128"/>
      <c r="CU342" s="128"/>
      <c r="CW342" s="128"/>
      <c r="DN342" s="128"/>
      <c r="DP342" s="128"/>
      <c r="DR342" s="128"/>
      <c r="DV342" s="128"/>
      <c r="DX342" s="128"/>
      <c r="DY342" s="128"/>
      <c r="EA342" s="128"/>
      <c r="EB342" s="128"/>
      <c r="EC342" s="128"/>
      <c r="EG342" s="128"/>
      <c r="EL342" s="128"/>
      <c r="EM342" s="128"/>
      <c r="EO342" s="128"/>
      <c r="EQ342" s="128"/>
      <c r="ES342" s="128"/>
      <c r="EU342" s="128"/>
      <c r="EW342" s="128"/>
      <c r="EY342" s="128"/>
    </row>
    <row r="343" spans="3:155">
      <c r="C343" s="128"/>
      <c r="D343" s="128"/>
      <c r="E343" s="128"/>
      <c r="F343" s="128" t="str">
        <f>IF(E343 &lt;&gt; "", VLOOKUP(E343, '[2]Internal-logic'!G$1:I$364, 2, FALSE),"")</f>
        <v/>
      </c>
      <c r="G343" s="128" t="str">
        <f>IF(E343 &lt;&gt; "", VLOOKUP(E343, '[2]Internal-logic'!G$1:I$364, 3, FALSE),"")</f>
        <v/>
      </c>
      <c r="H343" s="128"/>
      <c r="I343" s="128"/>
      <c r="J343" s="128"/>
      <c r="K343" s="128"/>
      <c r="Q343" s="128"/>
      <c r="R343" s="128"/>
      <c r="S343" s="128"/>
      <c r="U343" s="128"/>
      <c r="X343" s="128"/>
      <c r="Y343" s="128"/>
      <c r="Z343" s="128"/>
      <c r="AA343" s="128"/>
      <c r="AB343" s="128"/>
      <c r="AC343" s="128"/>
      <c r="AD343" s="128"/>
      <c r="AE343" s="128"/>
      <c r="AF343" s="128"/>
      <c r="AG343" s="128"/>
      <c r="AI343" s="128"/>
      <c r="AJ343" s="128"/>
      <c r="AY343" s="128"/>
      <c r="BN343" s="128"/>
      <c r="BQ343" s="128"/>
      <c r="BR343" s="128"/>
      <c r="BT343" s="128"/>
      <c r="BV343" s="128"/>
      <c r="BX343" s="128"/>
      <c r="CU343" s="128"/>
      <c r="CW343" s="128"/>
      <c r="DN343" s="128"/>
      <c r="DP343" s="128"/>
      <c r="DR343" s="128"/>
      <c r="DV343" s="128"/>
      <c r="DX343" s="128"/>
      <c r="DY343" s="128"/>
      <c r="EA343" s="128"/>
      <c r="EB343" s="128"/>
      <c r="EC343" s="128"/>
      <c r="EG343" s="128"/>
      <c r="EL343" s="128"/>
      <c r="EM343" s="128"/>
      <c r="EO343" s="128"/>
      <c r="EQ343" s="128"/>
      <c r="ES343" s="128"/>
      <c r="EU343" s="128"/>
      <c r="EW343" s="128"/>
      <c r="EY343" s="128"/>
    </row>
    <row r="344" spans="3:155">
      <c r="C344" s="128"/>
      <c r="D344" s="128"/>
      <c r="E344" s="128"/>
      <c r="F344" s="128" t="str">
        <f>IF(E344 &lt;&gt; "", VLOOKUP(E344, '[2]Internal-logic'!G$1:I$364, 2, FALSE),"")</f>
        <v/>
      </c>
      <c r="G344" s="128" t="str">
        <f>IF(E344 &lt;&gt; "", VLOOKUP(E344, '[2]Internal-logic'!G$1:I$364, 3, FALSE),"")</f>
        <v/>
      </c>
      <c r="H344" s="128"/>
      <c r="I344" s="128"/>
      <c r="J344" s="128"/>
      <c r="K344" s="128"/>
      <c r="Q344" s="128"/>
      <c r="R344" s="128"/>
      <c r="S344" s="128"/>
      <c r="U344" s="128"/>
      <c r="X344" s="128"/>
      <c r="Y344" s="128"/>
      <c r="Z344" s="128"/>
      <c r="AA344" s="128"/>
      <c r="AB344" s="128"/>
      <c r="AC344" s="128"/>
      <c r="AD344" s="128"/>
      <c r="AE344" s="128"/>
      <c r="AF344" s="128"/>
      <c r="AG344" s="128"/>
      <c r="AI344" s="128"/>
      <c r="AJ344" s="128"/>
      <c r="AY344" s="128"/>
      <c r="BN344" s="128"/>
      <c r="BQ344" s="128"/>
      <c r="BR344" s="128"/>
      <c r="BT344" s="128"/>
      <c r="BV344" s="128"/>
      <c r="BX344" s="128"/>
      <c r="CU344" s="128"/>
      <c r="CW344" s="128"/>
      <c r="DN344" s="128"/>
      <c r="DP344" s="128"/>
      <c r="DR344" s="128"/>
      <c r="DV344" s="128"/>
      <c r="DX344" s="128"/>
      <c r="DY344" s="128"/>
      <c r="EA344" s="128"/>
      <c r="EB344" s="128"/>
      <c r="EC344" s="128"/>
      <c r="EG344" s="128"/>
      <c r="EL344" s="128"/>
      <c r="EM344" s="128"/>
      <c r="EO344" s="128"/>
      <c r="EQ344" s="128"/>
      <c r="ES344" s="128"/>
      <c r="EU344" s="128"/>
      <c r="EW344" s="128"/>
      <c r="EY344" s="128"/>
    </row>
    <row r="345" spans="3:155">
      <c r="C345" s="128"/>
      <c r="D345" s="128"/>
      <c r="E345" s="128"/>
      <c r="F345" s="128" t="str">
        <f>IF(E345 &lt;&gt; "", VLOOKUP(E345, '[2]Internal-logic'!G$1:I$364, 2, FALSE),"")</f>
        <v/>
      </c>
      <c r="G345" s="128" t="str">
        <f>IF(E345 &lt;&gt; "", VLOOKUP(E345, '[2]Internal-logic'!G$1:I$364, 3, FALSE),"")</f>
        <v/>
      </c>
      <c r="H345" s="128"/>
      <c r="I345" s="128"/>
      <c r="J345" s="128"/>
      <c r="K345" s="128"/>
      <c r="Q345" s="128"/>
      <c r="R345" s="128"/>
      <c r="S345" s="128"/>
      <c r="U345" s="128"/>
      <c r="X345" s="128"/>
      <c r="Y345" s="128"/>
      <c r="Z345" s="128"/>
      <c r="AA345" s="128"/>
      <c r="AB345" s="128"/>
      <c r="AC345" s="128"/>
      <c r="AD345" s="128"/>
      <c r="AE345" s="128"/>
      <c r="AF345" s="128"/>
      <c r="AG345" s="128"/>
      <c r="AI345" s="128"/>
      <c r="AJ345" s="128"/>
      <c r="AY345" s="128"/>
      <c r="BN345" s="128"/>
      <c r="BQ345" s="128"/>
      <c r="BR345" s="128"/>
      <c r="BT345" s="128"/>
      <c r="BV345" s="128"/>
      <c r="BX345" s="128"/>
      <c r="CU345" s="128"/>
      <c r="CW345" s="128"/>
      <c r="DN345" s="128"/>
      <c r="DP345" s="128"/>
      <c r="DR345" s="128"/>
      <c r="DV345" s="128"/>
      <c r="DX345" s="128"/>
      <c r="DY345" s="128"/>
      <c r="EA345" s="128"/>
      <c r="EB345" s="128"/>
      <c r="EC345" s="128"/>
      <c r="EG345" s="128"/>
      <c r="EL345" s="128"/>
      <c r="EM345" s="128"/>
      <c r="EO345" s="128"/>
      <c r="EQ345" s="128"/>
      <c r="ES345" s="128"/>
      <c r="EU345" s="128"/>
      <c r="EW345" s="128"/>
      <c r="EY345" s="128"/>
    </row>
    <row r="346" spans="3:155">
      <c r="C346" s="128"/>
      <c r="D346" s="128"/>
      <c r="E346" s="128"/>
      <c r="F346" s="128" t="str">
        <f>IF(E346 &lt;&gt; "", VLOOKUP(E346, '[2]Internal-logic'!G$1:I$364, 2, FALSE),"")</f>
        <v/>
      </c>
      <c r="G346" s="128" t="str">
        <f>IF(E346 &lt;&gt; "", VLOOKUP(E346, '[2]Internal-logic'!G$1:I$364, 3, FALSE),"")</f>
        <v/>
      </c>
      <c r="H346" s="128"/>
      <c r="I346" s="128"/>
      <c r="J346" s="128"/>
      <c r="K346" s="128"/>
      <c r="Q346" s="128"/>
      <c r="R346" s="128"/>
      <c r="S346" s="128"/>
      <c r="U346" s="128"/>
      <c r="X346" s="128"/>
      <c r="Y346" s="128"/>
      <c r="Z346" s="128"/>
      <c r="AA346" s="128"/>
      <c r="AB346" s="128"/>
      <c r="AC346" s="128"/>
      <c r="AD346" s="128"/>
      <c r="AE346" s="128"/>
      <c r="AF346" s="128"/>
      <c r="AG346" s="128"/>
      <c r="AI346" s="128"/>
      <c r="AJ346" s="128"/>
      <c r="AY346" s="128"/>
      <c r="BN346" s="128"/>
      <c r="BQ346" s="128"/>
      <c r="BR346" s="128"/>
      <c r="BT346" s="128"/>
      <c r="BV346" s="128"/>
      <c r="BX346" s="128"/>
      <c r="CU346" s="128"/>
      <c r="CW346" s="128"/>
      <c r="DN346" s="128"/>
      <c r="DP346" s="128"/>
      <c r="DR346" s="128"/>
      <c r="DV346" s="128"/>
      <c r="DX346" s="128"/>
      <c r="DY346" s="128"/>
      <c r="EA346" s="128"/>
      <c r="EB346" s="128"/>
      <c r="EC346" s="128"/>
      <c r="EG346" s="128"/>
      <c r="EL346" s="128"/>
      <c r="EM346" s="128"/>
      <c r="EO346" s="128"/>
      <c r="EQ346" s="128"/>
      <c r="ES346" s="128"/>
      <c r="EU346" s="128"/>
      <c r="EW346" s="128"/>
      <c r="EY346" s="128"/>
    </row>
    <row r="347" spans="3:155">
      <c r="C347" s="128"/>
      <c r="D347" s="128"/>
      <c r="E347" s="128"/>
      <c r="F347" s="128" t="str">
        <f>IF(E347 &lt;&gt; "", VLOOKUP(E347, '[2]Internal-logic'!G$1:I$364, 2, FALSE),"")</f>
        <v/>
      </c>
      <c r="G347" s="128" t="str">
        <f>IF(E347 &lt;&gt; "", VLOOKUP(E347, '[2]Internal-logic'!G$1:I$364, 3, FALSE),"")</f>
        <v/>
      </c>
      <c r="H347" s="128"/>
      <c r="I347" s="128"/>
      <c r="J347" s="128"/>
      <c r="K347" s="128"/>
      <c r="Q347" s="128"/>
      <c r="R347" s="128"/>
      <c r="S347" s="128"/>
      <c r="U347" s="128"/>
      <c r="X347" s="128"/>
      <c r="Y347" s="128"/>
      <c r="Z347" s="128"/>
      <c r="AA347" s="128"/>
      <c r="AB347" s="128"/>
      <c r="AC347" s="128"/>
      <c r="AD347" s="128"/>
      <c r="AE347" s="128"/>
      <c r="AF347" s="128"/>
      <c r="AG347" s="128"/>
      <c r="AI347" s="128"/>
      <c r="AJ347" s="128"/>
      <c r="AY347" s="128"/>
      <c r="BN347" s="128"/>
      <c r="BQ347" s="128"/>
      <c r="BR347" s="128"/>
      <c r="BT347" s="128"/>
      <c r="BV347" s="128"/>
      <c r="BX347" s="128"/>
      <c r="CU347" s="128"/>
      <c r="CW347" s="128"/>
      <c r="DN347" s="128"/>
      <c r="DP347" s="128"/>
      <c r="DR347" s="128"/>
      <c r="DV347" s="128"/>
      <c r="DX347" s="128"/>
      <c r="DY347" s="128"/>
      <c r="EA347" s="128"/>
      <c r="EB347" s="128"/>
      <c r="EC347" s="128"/>
      <c r="EG347" s="128"/>
      <c r="EL347" s="128"/>
      <c r="EM347" s="128"/>
      <c r="EO347" s="128"/>
      <c r="EQ347" s="128"/>
      <c r="ES347" s="128"/>
      <c r="EU347" s="128"/>
      <c r="EW347" s="128"/>
      <c r="EY347" s="128"/>
    </row>
    <row r="348" spans="3:155">
      <c r="C348" s="128"/>
      <c r="D348" s="128"/>
      <c r="E348" s="128"/>
      <c r="F348" s="128" t="str">
        <f>IF(E348 &lt;&gt; "", VLOOKUP(E348, '[2]Internal-logic'!G$1:I$364, 2, FALSE),"")</f>
        <v/>
      </c>
      <c r="G348" s="128" t="str">
        <f>IF(E348 &lt;&gt; "", VLOOKUP(E348, '[2]Internal-logic'!G$1:I$364, 3, FALSE),"")</f>
        <v/>
      </c>
      <c r="H348" s="128"/>
      <c r="I348" s="128"/>
      <c r="J348" s="128"/>
      <c r="K348" s="128"/>
      <c r="Q348" s="128"/>
      <c r="R348" s="128"/>
      <c r="S348" s="128"/>
      <c r="U348" s="128"/>
      <c r="X348" s="128"/>
      <c r="Y348" s="128"/>
      <c r="Z348" s="128"/>
      <c r="AA348" s="128"/>
      <c r="AB348" s="128"/>
      <c r="AC348" s="128"/>
      <c r="AD348" s="128"/>
      <c r="AE348" s="128"/>
      <c r="AF348" s="128"/>
      <c r="AG348" s="128"/>
      <c r="AI348" s="128"/>
      <c r="AJ348" s="128"/>
      <c r="AY348" s="128"/>
      <c r="BN348" s="128"/>
      <c r="BQ348" s="128"/>
      <c r="BR348" s="128"/>
      <c r="BT348" s="128"/>
      <c r="BV348" s="128"/>
      <c r="BX348" s="128"/>
      <c r="CU348" s="128"/>
      <c r="CW348" s="128"/>
      <c r="DN348" s="128"/>
      <c r="DP348" s="128"/>
      <c r="DR348" s="128"/>
      <c r="DV348" s="128"/>
      <c r="DX348" s="128"/>
      <c r="DY348" s="128"/>
      <c r="EA348" s="128"/>
      <c r="EB348" s="128"/>
      <c r="EC348" s="128"/>
      <c r="EG348" s="128"/>
      <c r="EL348" s="128"/>
      <c r="EM348" s="128"/>
      <c r="EO348" s="128"/>
      <c r="EQ348" s="128"/>
      <c r="ES348" s="128"/>
      <c r="EU348" s="128"/>
      <c r="EW348" s="128"/>
      <c r="EY348" s="128"/>
    </row>
    <row r="349" spans="3:155">
      <c r="C349" s="128"/>
      <c r="D349" s="128"/>
      <c r="E349" s="128"/>
      <c r="F349" s="128" t="str">
        <f>IF(E349 &lt;&gt; "", VLOOKUP(E349, '[2]Internal-logic'!G$1:I$364, 2, FALSE),"")</f>
        <v/>
      </c>
      <c r="G349" s="128" t="str">
        <f>IF(E349 &lt;&gt; "", VLOOKUP(E349, '[2]Internal-logic'!G$1:I$364, 3, FALSE),"")</f>
        <v/>
      </c>
      <c r="H349" s="128"/>
      <c r="I349" s="128"/>
      <c r="J349" s="128"/>
      <c r="K349" s="128"/>
      <c r="Q349" s="128"/>
      <c r="R349" s="128"/>
      <c r="S349" s="128"/>
      <c r="U349" s="128"/>
      <c r="X349" s="128"/>
      <c r="Y349" s="128"/>
      <c r="Z349" s="128"/>
      <c r="AA349" s="128"/>
      <c r="AB349" s="128"/>
      <c r="AC349" s="128"/>
      <c r="AD349" s="128"/>
      <c r="AE349" s="128"/>
      <c r="AF349" s="128"/>
      <c r="AG349" s="128"/>
      <c r="AI349" s="128"/>
      <c r="AJ349" s="128"/>
      <c r="AY349" s="128"/>
      <c r="BN349" s="128"/>
      <c r="BQ349" s="128"/>
      <c r="BR349" s="128"/>
      <c r="BT349" s="128"/>
      <c r="BV349" s="128"/>
      <c r="BX349" s="128"/>
      <c r="CU349" s="128"/>
      <c r="CW349" s="128"/>
      <c r="DN349" s="128"/>
      <c r="DP349" s="128"/>
      <c r="DR349" s="128"/>
      <c r="DV349" s="128"/>
      <c r="DX349" s="128"/>
      <c r="DY349" s="128"/>
      <c r="EA349" s="128"/>
      <c r="EB349" s="128"/>
      <c r="EC349" s="128"/>
      <c r="EG349" s="128"/>
      <c r="EL349" s="128"/>
      <c r="EM349" s="128"/>
      <c r="EO349" s="128"/>
      <c r="EQ349" s="128"/>
      <c r="ES349" s="128"/>
      <c r="EU349" s="128"/>
      <c r="EW349" s="128"/>
      <c r="EY349" s="128"/>
    </row>
    <row r="350" spans="3:155">
      <c r="C350" s="128"/>
      <c r="D350" s="128"/>
      <c r="E350" s="128"/>
      <c r="F350" s="128" t="str">
        <f>IF(E350 &lt;&gt; "", VLOOKUP(E350, '[2]Internal-logic'!G$1:I$364, 2, FALSE),"")</f>
        <v/>
      </c>
      <c r="G350" s="128" t="str">
        <f>IF(E350 &lt;&gt; "", VLOOKUP(E350, '[2]Internal-logic'!G$1:I$364, 3, FALSE),"")</f>
        <v/>
      </c>
      <c r="H350" s="128"/>
      <c r="I350" s="128"/>
      <c r="J350" s="128"/>
      <c r="K350" s="128"/>
      <c r="Q350" s="128"/>
      <c r="R350" s="128"/>
      <c r="S350" s="128"/>
      <c r="U350" s="128"/>
      <c r="X350" s="128"/>
      <c r="Y350" s="128"/>
      <c r="Z350" s="128"/>
      <c r="AA350" s="128"/>
      <c r="AB350" s="128"/>
      <c r="AC350" s="128"/>
      <c r="AD350" s="128"/>
      <c r="AE350" s="128"/>
      <c r="AF350" s="128"/>
      <c r="AG350" s="128"/>
      <c r="AI350" s="128"/>
      <c r="AJ350" s="128"/>
      <c r="AY350" s="128"/>
      <c r="BN350" s="128"/>
      <c r="BQ350" s="128"/>
      <c r="BR350" s="128"/>
      <c r="BT350" s="128"/>
      <c r="BV350" s="128"/>
      <c r="BX350" s="128"/>
      <c r="CU350" s="128"/>
      <c r="CW350" s="128"/>
      <c r="DN350" s="128"/>
      <c r="DP350" s="128"/>
      <c r="DR350" s="128"/>
      <c r="DV350" s="128"/>
      <c r="DX350" s="128"/>
      <c r="DY350" s="128"/>
      <c r="EA350" s="128"/>
      <c r="EB350" s="128"/>
      <c r="EC350" s="128"/>
      <c r="EG350" s="128"/>
      <c r="EL350" s="128"/>
      <c r="EM350" s="128"/>
      <c r="EO350" s="128"/>
      <c r="EQ350" s="128"/>
      <c r="ES350" s="128"/>
      <c r="EU350" s="128"/>
      <c r="EW350" s="128"/>
      <c r="EY350" s="128"/>
    </row>
    <row r="351" spans="3:155">
      <c r="C351" s="128"/>
      <c r="D351" s="128"/>
      <c r="E351" s="128"/>
      <c r="F351" s="128" t="str">
        <f>IF(E351 &lt;&gt; "", VLOOKUP(E351, '[2]Internal-logic'!G$1:I$364, 2, FALSE),"")</f>
        <v/>
      </c>
      <c r="G351" s="128" t="str">
        <f>IF(E351 &lt;&gt; "", VLOOKUP(E351, '[2]Internal-logic'!G$1:I$364, 3, FALSE),"")</f>
        <v/>
      </c>
      <c r="H351" s="128"/>
      <c r="I351" s="128"/>
      <c r="J351" s="128"/>
      <c r="K351" s="128"/>
      <c r="Q351" s="128"/>
      <c r="R351" s="128"/>
      <c r="S351" s="128"/>
      <c r="U351" s="128"/>
      <c r="X351" s="128"/>
      <c r="Y351" s="128"/>
      <c r="Z351" s="128"/>
      <c r="AA351" s="128"/>
      <c r="AB351" s="128"/>
      <c r="AC351" s="128"/>
      <c r="AD351" s="128"/>
      <c r="AE351" s="128"/>
      <c r="AF351" s="128"/>
      <c r="AG351" s="128"/>
      <c r="AI351" s="128"/>
      <c r="AJ351" s="128"/>
      <c r="AY351" s="128"/>
      <c r="BN351" s="128"/>
      <c r="BQ351" s="128"/>
      <c r="BR351" s="128"/>
      <c r="BT351" s="128"/>
      <c r="BV351" s="128"/>
      <c r="BX351" s="128"/>
      <c r="CU351" s="128"/>
      <c r="CW351" s="128"/>
      <c r="DN351" s="128"/>
      <c r="DP351" s="128"/>
      <c r="DR351" s="128"/>
      <c r="DV351" s="128"/>
      <c r="DX351" s="128"/>
      <c r="DY351" s="128"/>
      <c r="EA351" s="128"/>
      <c r="EB351" s="128"/>
      <c r="EC351" s="128"/>
      <c r="EG351" s="128"/>
      <c r="EL351" s="128"/>
      <c r="EM351" s="128"/>
      <c r="EO351" s="128"/>
      <c r="EQ351" s="128"/>
      <c r="ES351" s="128"/>
      <c r="EU351" s="128"/>
      <c r="EW351" s="128"/>
      <c r="EY351" s="128"/>
    </row>
    <row r="352" spans="3:155">
      <c r="C352" s="128"/>
      <c r="D352" s="128"/>
      <c r="E352" s="128"/>
      <c r="F352" s="128" t="str">
        <f>IF(E352 &lt;&gt; "", VLOOKUP(E352, '[2]Internal-logic'!G$1:I$364, 2, FALSE),"")</f>
        <v/>
      </c>
      <c r="G352" s="128" t="str">
        <f>IF(E352 &lt;&gt; "", VLOOKUP(E352, '[2]Internal-logic'!G$1:I$364, 3, FALSE),"")</f>
        <v/>
      </c>
      <c r="H352" s="128"/>
      <c r="I352" s="128"/>
      <c r="J352" s="128"/>
      <c r="K352" s="128"/>
      <c r="Q352" s="128"/>
      <c r="R352" s="128"/>
      <c r="S352" s="128"/>
      <c r="U352" s="128"/>
      <c r="X352" s="128"/>
      <c r="Y352" s="128"/>
      <c r="Z352" s="128"/>
      <c r="AA352" s="128"/>
      <c r="AB352" s="128"/>
      <c r="AC352" s="128"/>
      <c r="AD352" s="128"/>
      <c r="AE352" s="128"/>
      <c r="AF352" s="128"/>
      <c r="AG352" s="128"/>
      <c r="AI352" s="128"/>
      <c r="AJ352" s="128"/>
      <c r="AY352" s="128"/>
      <c r="BN352" s="128"/>
      <c r="BQ352" s="128"/>
      <c r="BR352" s="128"/>
      <c r="BT352" s="128"/>
      <c r="BV352" s="128"/>
      <c r="BX352" s="128"/>
      <c r="CU352" s="128"/>
      <c r="CW352" s="128"/>
      <c r="DN352" s="128"/>
      <c r="DP352" s="128"/>
      <c r="DR352" s="128"/>
      <c r="DV352" s="128"/>
      <c r="DX352" s="128"/>
      <c r="DY352" s="128"/>
      <c r="EA352" s="128"/>
      <c r="EB352" s="128"/>
      <c r="EC352" s="128"/>
      <c r="EG352" s="128"/>
      <c r="EL352" s="128"/>
      <c r="EM352" s="128"/>
      <c r="EO352" s="128"/>
      <c r="EQ352" s="128"/>
      <c r="ES352" s="128"/>
      <c r="EU352" s="128"/>
      <c r="EW352" s="128"/>
      <c r="EY352" s="128"/>
    </row>
    <row r="353" spans="3:155">
      <c r="C353" s="128"/>
      <c r="D353" s="128"/>
      <c r="E353" s="128"/>
      <c r="F353" s="128" t="str">
        <f>IF(E353 &lt;&gt; "", VLOOKUP(E353, '[2]Internal-logic'!G$1:I$364, 2, FALSE),"")</f>
        <v/>
      </c>
      <c r="G353" s="128" t="str">
        <f>IF(E353 &lt;&gt; "", VLOOKUP(E353, '[2]Internal-logic'!G$1:I$364, 3, FALSE),"")</f>
        <v/>
      </c>
      <c r="H353" s="128"/>
      <c r="I353" s="128"/>
      <c r="J353" s="128"/>
      <c r="K353" s="128"/>
      <c r="Q353" s="128"/>
      <c r="R353" s="128"/>
      <c r="S353" s="128"/>
      <c r="U353" s="128"/>
      <c r="X353" s="128"/>
      <c r="Y353" s="128"/>
      <c r="Z353" s="128"/>
      <c r="AA353" s="128"/>
      <c r="AB353" s="128"/>
      <c r="AC353" s="128"/>
      <c r="AD353" s="128"/>
      <c r="AE353" s="128"/>
      <c r="AF353" s="128"/>
      <c r="AG353" s="128"/>
      <c r="AI353" s="128"/>
      <c r="AJ353" s="128"/>
      <c r="AY353" s="128"/>
      <c r="BN353" s="128"/>
      <c r="BQ353" s="128"/>
      <c r="BR353" s="128"/>
      <c r="BT353" s="128"/>
      <c r="BV353" s="128"/>
      <c r="BX353" s="128"/>
      <c r="CU353" s="128"/>
      <c r="CW353" s="128"/>
      <c r="DN353" s="128"/>
      <c r="DP353" s="128"/>
      <c r="DR353" s="128"/>
      <c r="DV353" s="128"/>
      <c r="DX353" s="128"/>
      <c r="DY353" s="128"/>
      <c r="EA353" s="128"/>
      <c r="EB353" s="128"/>
      <c r="EC353" s="128"/>
      <c r="EG353" s="128"/>
      <c r="EL353" s="128"/>
      <c r="EM353" s="128"/>
      <c r="EO353" s="128"/>
      <c r="EQ353" s="128"/>
      <c r="ES353" s="128"/>
      <c r="EU353" s="128"/>
      <c r="EW353" s="128"/>
      <c r="EY353" s="128"/>
    </row>
    <row r="354" spans="3:155">
      <c r="C354" s="128"/>
      <c r="D354" s="128"/>
      <c r="E354" s="128"/>
      <c r="F354" s="128" t="str">
        <f>IF(E354 &lt;&gt; "", VLOOKUP(E354, '[2]Internal-logic'!G$1:I$364, 2, FALSE),"")</f>
        <v/>
      </c>
      <c r="G354" s="128" t="str">
        <f>IF(E354 &lt;&gt; "", VLOOKUP(E354, '[2]Internal-logic'!G$1:I$364, 3, FALSE),"")</f>
        <v/>
      </c>
      <c r="H354" s="128"/>
      <c r="I354" s="128"/>
      <c r="J354" s="128"/>
      <c r="K354" s="128"/>
      <c r="Q354" s="128"/>
      <c r="R354" s="128"/>
      <c r="S354" s="128"/>
      <c r="U354" s="128"/>
      <c r="X354" s="128"/>
      <c r="Y354" s="128"/>
      <c r="Z354" s="128"/>
      <c r="AA354" s="128"/>
      <c r="AB354" s="128"/>
      <c r="AC354" s="128"/>
      <c r="AD354" s="128"/>
      <c r="AE354" s="128"/>
      <c r="AF354" s="128"/>
      <c r="AG354" s="128"/>
      <c r="AI354" s="128"/>
      <c r="AJ354" s="128"/>
      <c r="AY354" s="128"/>
      <c r="BN354" s="128"/>
      <c r="BQ354" s="128"/>
      <c r="BR354" s="128"/>
      <c r="BT354" s="128"/>
      <c r="BV354" s="128"/>
      <c r="BX354" s="128"/>
      <c r="CU354" s="128"/>
      <c r="CW354" s="128"/>
      <c r="DN354" s="128"/>
      <c r="DP354" s="128"/>
      <c r="DR354" s="128"/>
      <c r="DV354" s="128"/>
      <c r="DX354" s="128"/>
      <c r="DY354" s="128"/>
      <c r="EA354" s="128"/>
      <c r="EB354" s="128"/>
      <c r="EC354" s="128"/>
      <c r="EG354" s="128"/>
      <c r="EL354" s="128"/>
      <c r="EM354" s="128"/>
      <c r="EO354" s="128"/>
      <c r="EQ354" s="128"/>
      <c r="ES354" s="128"/>
      <c r="EU354" s="128"/>
      <c r="EW354" s="128"/>
      <c r="EY354" s="128"/>
    </row>
    <row r="355" spans="3:155">
      <c r="C355" s="128"/>
      <c r="D355" s="128"/>
      <c r="E355" s="128"/>
      <c r="F355" s="128" t="str">
        <f>IF(E355 &lt;&gt; "", VLOOKUP(E355, '[2]Internal-logic'!G$1:I$364, 2, FALSE),"")</f>
        <v/>
      </c>
      <c r="G355" s="128" t="str">
        <f>IF(E355 &lt;&gt; "", VLOOKUP(E355, '[2]Internal-logic'!G$1:I$364, 3, FALSE),"")</f>
        <v/>
      </c>
      <c r="H355" s="128"/>
      <c r="I355" s="128"/>
      <c r="J355" s="128"/>
      <c r="K355" s="128"/>
      <c r="Q355" s="128"/>
      <c r="R355" s="128"/>
      <c r="S355" s="128"/>
      <c r="U355" s="128"/>
      <c r="X355" s="128"/>
      <c r="Y355" s="128"/>
      <c r="Z355" s="128"/>
      <c r="AA355" s="128"/>
      <c r="AB355" s="128"/>
      <c r="AC355" s="128"/>
      <c r="AD355" s="128"/>
      <c r="AE355" s="128"/>
      <c r="AF355" s="128"/>
      <c r="AG355" s="128"/>
      <c r="AI355" s="128"/>
      <c r="AJ355" s="128"/>
      <c r="AY355" s="128"/>
      <c r="BN355" s="128"/>
      <c r="BQ355" s="128"/>
      <c r="BR355" s="128"/>
      <c r="BT355" s="128"/>
      <c r="BV355" s="128"/>
      <c r="BX355" s="128"/>
      <c r="CU355" s="128"/>
      <c r="CW355" s="128"/>
      <c r="DN355" s="128"/>
      <c r="DP355" s="128"/>
      <c r="DR355" s="128"/>
      <c r="DV355" s="128"/>
      <c r="DX355" s="128"/>
      <c r="DY355" s="128"/>
      <c r="EA355" s="128"/>
      <c r="EB355" s="128"/>
      <c r="EC355" s="128"/>
      <c r="EG355" s="128"/>
      <c r="EL355" s="128"/>
      <c r="EM355" s="128"/>
      <c r="EO355" s="128"/>
      <c r="EQ355" s="128"/>
      <c r="ES355" s="128"/>
      <c r="EU355" s="128"/>
      <c r="EW355" s="128"/>
      <c r="EY355" s="128"/>
    </row>
    <row r="356" spans="3:155">
      <c r="C356" s="128"/>
      <c r="D356" s="128"/>
      <c r="E356" s="128"/>
      <c r="F356" s="128" t="str">
        <f>IF(E356 &lt;&gt; "", VLOOKUP(E356, '[2]Internal-logic'!G$1:I$364, 2, FALSE),"")</f>
        <v/>
      </c>
      <c r="G356" s="128" t="str">
        <f>IF(E356 &lt;&gt; "", VLOOKUP(E356, '[2]Internal-logic'!G$1:I$364, 3, FALSE),"")</f>
        <v/>
      </c>
      <c r="H356" s="128"/>
      <c r="I356" s="128"/>
      <c r="J356" s="128"/>
      <c r="K356" s="128"/>
      <c r="Q356" s="128"/>
      <c r="R356" s="128"/>
      <c r="S356" s="128"/>
      <c r="U356" s="128"/>
      <c r="X356" s="128"/>
      <c r="Y356" s="128"/>
      <c r="Z356" s="128"/>
      <c r="AA356" s="128"/>
      <c r="AB356" s="128"/>
      <c r="AC356" s="128"/>
      <c r="AD356" s="128"/>
      <c r="AE356" s="128"/>
      <c r="AF356" s="128"/>
      <c r="AG356" s="128"/>
      <c r="AI356" s="128"/>
      <c r="AJ356" s="128"/>
      <c r="AY356" s="128"/>
      <c r="BN356" s="128"/>
      <c r="BQ356" s="128"/>
      <c r="BR356" s="128"/>
      <c r="BT356" s="128"/>
      <c r="BV356" s="128"/>
      <c r="BX356" s="128"/>
      <c r="CU356" s="128"/>
      <c r="CW356" s="128"/>
      <c r="DN356" s="128"/>
      <c r="DP356" s="128"/>
      <c r="DR356" s="128"/>
      <c r="DV356" s="128"/>
      <c r="DX356" s="128"/>
      <c r="DY356" s="128"/>
      <c r="EA356" s="128"/>
      <c r="EB356" s="128"/>
      <c r="EC356" s="128"/>
      <c r="EG356" s="128"/>
      <c r="EL356" s="128"/>
      <c r="EM356" s="128"/>
      <c r="EO356" s="128"/>
      <c r="EQ356" s="128"/>
      <c r="ES356" s="128"/>
      <c r="EU356" s="128"/>
      <c r="EW356" s="128"/>
      <c r="EY356" s="128"/>
    </row>
    <row r="357" spans="3:155">
      <c r="C357" s="128"/>
      <c r="D357" s="128"/>
      <c r="E357" s="128"/>
      <c r="F357" s="128" t="str">
        <f>IF(E357 &lt;&gt; "", VLOOKUP(E357, '[2]Internal-logic'!G$1:I$364, 2, FALSE),"")</f>
        <v/>
      </c>
      <c r="G357" s="128" t="str">
        <f>IF(E357 &lt;&gt; "", VLOOKUP(E357, '[2]Internal-logic'!G$1:I$364, 3, FALSE),"")</f>
        <v/>
      </c>
      <c r="H357" s="128"/>
      <c r="I357" s="128"/>
      <c r="J357" s="128"/>
      <c r="K357" s="128"/>
      <c r="Q357" s="128"/>
      <c r="R357" s="128"/>
      <c r="S357" s="128"/>
      <c r="U357" s="128"/>
      <c r="X357" s="128"/>
      <c r="Y357" s="128"/>
      <c r="Z357" s="128"/>
      <c r="AA357" s="128"/>
      <c r="AB357" s="128"/>
      <c r="AC357" s="128"/>
      <c r="AD357" s="128"/>
      <c r="AE357" s="128"/>
      <c r="AF357" s="128"/>
      <c r="AG357" s="128"/>
      <c r="AI357" s="128"/>
      <c r="AJ357" s="128"/>
      <c r="AY357" s="128"/>
      <c r="BN357" s="128"/>
      <c r="BQ357" s="128"/>
      <c r="BR357" s="128"/>
      <c r="BT357" s="128"/>
      <c r="BV357" s="128"/>
      <c r="BX357" s="128"/>
      <c r="CU357" s="128"/>
      <c r="CW357" s="128"/>
      <c r="DN357" s="128"/>
      <c r="DP357" s="128"/>
      <c r="DR357" s="128"/>
      <c r="DV357" s="128"/>
      <c r="DX357" s="128"/>
      <c r="DY357" s="128"/>
      <c r="EA357" s="128"/>
      <c r="EB357" s="128"/>
      <c r="EC357" s="128"/>
      <c r="EG357" s="128"/>
      <c r="EL357" s="128"/>
      <c r="EM357" s="128"/>
      <c r="EO357" s="128"/>
      <c r="EQ357" s="128"/>
      <c r="ES357" s="128"/>
      <c r="EU357" s="128"/>
      <c r="EW357" s="128"/>
      <c r="EY357" s="128"/>
    </row>
    <row r="358" spans="3:155">
      <c r="C358" s="128"/>
      <c r="D358" s="128"/>
      <c r="E358" s="128"/>
      <c r="F358" s="128" t="str">
        <f>IF(E358 &lt;&gt; "", VLOOKUP(E358, '[2]Internal-logic'!G$1:I$364, 2, FALSE),"")</f>
        <v/>
      </c>
      <c r="G358" s="128" t="str">
        <f>IF(E358 &lt;&gt; "", VLOOKUP(E358, '[2]Internal-logic'!G$1:I$364, 3, FALSE),"")</f>
        <v/>
      </c>
      <c r="H358" s="128"/>
      <c r="I358" s="128"/>
      <c r="J358" s="128"/>
      <c r="K358" s="128"/>
      <c r="Q358" s="128"/>
      <c r="R358" s="128"/>
      <c r="S358" s="128"/>
      <c r="U358" s="128"/>
      <c r="X358" s="128"/>
      <c r="Y358" s="128"/>
      <c r="Z358" s="128"/>
      <c r="AA358" s="128"/>
      <c r="AB358" s="128"/>
      <c r="AC358" s="128"/>
      <c r="AD358" s="128"/>
      <c r="AE358" s="128"/>
      <c r="AF358" s="128"/>
      <c r="AG358" s="128"/>
      <c r="AI358" s="128"/>
      <c r="AJ358" s="128"/>
      <c r="AY358" s="128"/>
      <c r="BN358" s="128"/>
      <c r="BQ358" s="128"/>
      <c r="BR358" s="128"/>
      <c r="BT358" s="128"/>
      <c r="BV358" s="128"/>
      <c r="BX358" s="128"/>
      <c r="CU358" s="128"/>
      <c r="CW358" s="128"/>
      <c r="DN358" s="128"/>
      <c r="DP358" s="128"/>
      <c r="DR358" s="128"/>
      <c r="DV358" s="128"/>
      <c r="DX358" s="128"/>
      <c r="DY358" s="128"/>
      <c r="EA358" s="128"/>
      <c r="EB358" s="128"/>
      <c r="EC358" s="128"/>
      <c r="EG358" s="128"/>
      <c r="EL358" s="128"/>
      <c r="EM358" s="128"/>
      <c r="EO358" s="128"/>
      <c r="EQ358" s="128"/>
      <c r="ES358" s="128"/>
      <c r="EU358" s="128"/>
      <c r="EW358" s="128"/>
      <c r="EY358" s="128"/>
    </row>
    <row r="359" spans="3:155">
      <c r="C359" s="128"/>
      <c r="D359" s="128"/>
      <c r="E359" s="128"/>
      <c r="F359" s="128" t="str">
        <f>IF(E359 &lt;&gt; "", VLOOKUP(E359, '[2]Internal-logic'!G$1:I$364, 2, FALSE),"")</f>
        <v/>
      </c>
      <c r="G359" s="128" t="str">
        <f>IF(E359 &lt;&gt; "", VLOOKUP(E359, '[2]Internal-logic'!G$1:I$364, 3, FALSE),"")</f>
        <v/>
      </c>
      <c r="H359" s="128"/>
      <c r="I359" s="128"/>
      <c r="J359" s="128"/>
      <c r="K359" s="128"/>
      <c r="Q359" s="128"/>
      <c r="R359" s="128"/>
      <c r="S359" s="128"/>
      <c r="U359" s="128"/>
      <c r="X359" s="128"/>
      <c r="Y359" s="128"/>
      <c r="Z359" s="128"/>
      <c r="AA359" s="128"/>
      <c r="AB359" s="128"/>
      <c r="AC359" s="128"/>
      <c r="AD359" s="128"/>
      <c r="AE359" s="128"/>
      <c r="AF359" s="128"/>
      <c r="AG359" s="128"/>
      <c r="AI359" s="128"/>
      <c r="AJ359" s="128"/>
      <c r="AY359" s="128"/>
      <c r="BN359" s="128"/>
      <c r="BQ359" s="128"/>
      <c r="BR359" s="128"/>
      <c r="BT359" s="128"/>
      <c r="BV359" s="128"/>
      <c r="BX359" s="128"/>
      <c r="CU359" s="128"/>
      <c r="CW359" s="128"/>
      <c r="DN359" s="128"/>
      <c r="DP359" s="128"/>
      <c r="DR359" s="128"/>
      <c r="DV359" s="128"/>
      <c r="DX359" s="128"/>
      <c r="DY359" s="128"/>
      <c r="EA359" s="128"/>
      <c r="EB359" s="128"/>
      <c r="EC359" s="128"/>
      <c r="EG359" s="128"/>
      <c r="EL359" s="128"/>
      <c r="EM359" s="128"/>
      <c r="EO359" s="128"/>
      <c r="EQ359" s="128"/>
      <c r="ES359" s="128"/>
      <c r="EU359" s="128"/>
      <c r="EW359" s="128"/>
      <c r="EY359" s="128"/>
    </row>
    <row r="360" spans="3:155">
      <c r="C360" s="128"/>
      <c r="D360" s="128"/>
      <c r="E360" s="128"/>
      <c r="F360" s="128" t="str">
        <f>IF(E360 &lt;&gt; "", VLOOKUP(E360, '[2]Internal-logic'!G$1:I$364, 2, FALSE),"")</f>
        <v/>
      </c>
      <c r="G360" s="128" t="str">
        <f>IF(E360 &lt;&gt; "", VLOOKUP(E360, '[2]Internal-logic'!G$1:I$364, 3, FALSE),"")</f>
        <v/>
      </c>
      <c r="H360" s="128"/>
      <c r="I360" s="128"/>
      <c r="J360" s="128"/>
      <c r="K360" s="128"/>
      <c r="Q360" s="128"/>
      <c r="R360" s="128"/>
      <c r="S360" s="128"/>
      <c r="U360" s="128"/>
      <c r="X360" s="128"/>
      <c r="Y360" s="128"/>
      <c r="Z360" s="128"/>
      <c r="AA360" s="128"/>
      <c r="AB360" s="128"/>
      <c r="AC360" s="128"/>
      <c r="AD360" s="128"/>
      <c r="AE360" s="128"/>
      <c r="AF360" s="128"/>
      <c r="AG360" s="128"/>
      <c r="AI360" s="128"/>
      <c r="AJ360" s="128"/>
      <c r="AY360" s="128"/>
      <c r="BN360" s="128"/>
      <c r="BQ360" s="128"/>
      <c r="BR360" s="128"/>
      <c r="BT360" s="128"/>
      <c r="BV360" s="128"/>
      <c r="BX360" s="128"/>
      <c r="CU360" s="128"/>
      <c r="CW360" s="128"/>
      <c r="DN360" s="128"/>
      <c r="DP360" s="128"/>
      <c r="DR360" s="128"/>
      <c r="DV360" s="128"/>
      <c r="DX360" s="128"/>
      <c r="DY360" s="128"/>
      <c r="EA360" s="128"/>
      <c r="EB360" s="128"/>
      <c r="EC360" s="128"/>
      <c r="EG360" s="128"/>
      <c r="EL360" s="128"/>
      <c r="EM360" s="128"/>
      <c r="EO360" s="128"/>
      <c r="EQ360" s="128"/>
      <c r="ES360" s="128"/>
      <c r="EU360" s="128"/>
      <c r="EW360" s="128"/>
      <c r="EY360" s="128"/>
    </row>
    <row r="361" spans="3:155">
      <c r="C361" s="128"/>
      <c r="D361" s="128"/>
      <c r="E361" s="128"/>
      <c r="F361" s="128" t="str">
        <f>IF(E361 &lt;&gt; "", VLOOKUP(E361, '[2]Internal-logic'!G$1:I$364, 2, FALSE),"")</f>
        <v/>
      </c>
      <c r="G361" s="128" t="str">
        <f>IF(E361 &lt;&gt; "", VLOOKUP(E361, '[2]Internal-logic'!G$1:I$364, 3, FALSE),"")</f>
        <v/>
      </c>
      <c r="H361" s="128"/>
      <c r="I361" s="128"/>
      <c r="J361" s="128"/>
      <c r="K361" s="128"/>
      <c r="Q361" s="128"/>
      <c r="R361" s="128"/>
      <c r="S361" s="128"/>
      <c r="U361" s="128"/>
      <c r="X361" s="128"/>
      <c r="Y361" s="128"/>
      <c r="Z361" s="128"/>
      <c r="AA361" s="128"/>
      <c r="AB361" s="128"/>
      <c r="AC361" s="128"/>
      <c r="AD361" s="128"/>
      <c r="AE361" s="128"/>
      <c r="AF361" s="128"/>
      <c r="AG361" s="128"/>
      <c r="AI361" s="128"/>
      <c r="AJ361" s="128"/>
      <c r="AY361" s="128"/>
      <c r="BN361" s="128"/>
      <c r="BQ361" s="128"/>
      <c r="BR361" s="128"/>
      <c r="BT361" s="128"/>
      <c r="BV361" s="128"/>
      <c r="BX361" s="128"/>
      <c r="CU361" s="128"/>
      <c r="CW361" s="128"/>
      <c r="DN361" s="128"/>
      <c r="DP361" s="128"/>
      <c r="DR361" s="128"/>
      <c r="DV361" s="128"/>
      <c r="DX361" s="128"/>
      <c r="DY361" s="128"/>
      <c r="EA361" s="128"/>
      <c r="EB361" s="128"/>
      <c r="EC361" s="128"/>
      <c r="EG361" s="128"/>
      <c r="EL361" s="128"/>
      <c r="EM361" s="128"/>
      <c r="EO361" s="128"/>
      <c r="EQ361" s="128"/>
      <c r="ES361" s="128"/>
      <c r="EU361" s="128"/>
      <c r="EW361" s="128"/>
      <c r="EY361" s="128"/>
    </row>
    <row r="362" spans="3:155">
      <c r="C362" s="128"/>
      <c r="D362" s="128"/>
      <c r="E362" s="128"/>
      <c r="F362" s="128" t="str">
        <f>IF(E362 &lt;&gt; "", VLOOKUP(E362, '[2]Internal-logic'!G$1:I$364, 2, FALSE),"")</f>
        <v/>
      </c>
      <c r="G362" s="128" t="str">
        <f>IF(E362 &lt;&gt; "", VLOOKUP(E362, '[2]Internal-logic'!G$1:I$364, 3, FALSE),"")</f>
        <v/>
      </c>
      <c r="H362" s="128"/>
      <c r="I362" s="128"/>
      <c r="J362" s="128"/>
      <c r="K362" s="128"/>
      <c r="Q362" s="128"/>
      <c r="R362" s="128"/>
      <c r="S362" s="128"/>
      <c r="U362" s="128"/>
      <c r="X362" s="128"/>
      <c r="Y362" s="128"/>
      <c r="Z362" s="128"/>
      <c r="AA362" s="128"/>
      <c r="AB362" s="128"/>
      <c r="AC362" s="128"/>
      <c r="AD362" s="128"/>
      <c r="AE362" s="128"/>
      <c r="AF362" s="128"/>
      <c r="AG362" s="128"/>
      <c r="AI362" s="128"/>
      <c r="AJ362" s="128"/>
      <c r="AY362" s="128"/>
      <c r="BN362" s="128"/>
      <c r="BQ362" s="128"/>
      <c r="BR362" s="128"/>
      <c r="BT362" s="128"/>
      <c r="BV362" s="128"/>
      <c r="BX362" s="128"/>
      <c r="CU362" s="128"/>
      <c r="CW362" s="128"/>
      <c r="DN362" s="128"/>
      <c r="DP362" s="128"/>
      <c r="DR362" s="128"/>
      <c r="DV362" s="128"/>
      <c r="DX362" s="128"/>
      <c r="DY362" s="128"/>
      <c r="EA362" s="128"/>
      <c r="EB362" s="128"/>
      <c r="EC362" s="128"/>
      <c r="EG362" s="128"/>
      <c r="EL362" s="128"/>
      <c r="EM362" s="128"/>
      <c r="EO362" s="128"/>
      <c r="EQ362" s="128"/>
      <c r="ES362" s="128"/>
      <c r="EU362" s="128"/>
      <c r="EW362" s="128"/>
      <c r="EY362" s="128"/>
    </row>
    <row r="363" spans="3:155">
      <c r="C363" s="128"/>
      <c r="D363" s="128"/>
      <c r="E363" s="128"/>
      <c r="F363" s="128" t="str">
        <f>IF(E363 &lt;&gt; "", VLOOKUP(E363, '[2]Internal-logic'!G$1:I$364, 2, FALSE),"")</f>
        <v/>
      </c>
      <c r="G363" s="128" t="str">
        <f>IF(E363 &lt;&gt; "", VLOOKUP(E363, '[2]Internal-logic'!G$1:I$364, 3, FALSE),"")</f>
        <v/>
      </c>
      <c r="H363" s="128"/>
      <c r="I363" s="128"/>
      <c r="J363" s="128"/>
      <c r="K363" s="128"/>
      <c r="Q363" s="128"/>
      <c r="R363" s="128"/>
      <c r="S363" s="128"/>
      <c r="U363" s="128"/>
      <c r="X363" s="128"/>
      <c r="Y363" s="128"/>
      <c r="Z363" s="128"/>
      <c r="AA363" s="128"/>
      <c r="AB363" s="128"/>
      <c r="AC363" s="128"/>
      <c r="AD363" s="128"/>
      <c r="AE363" s="128"/>
      <c r="AF363" s="128"/>
      <c r="AG363" s="128"/>
      <c r="AI363" s="128"/>
      <c r="AJ363" s="128"/>
      <c r="AY363" s="128"/>
      <c r="BN363" s="128"/>
      <c r="BQ363" s="128"/>
      <c r="BR363" s="128"/>
      <c r="BT363" s="128"/>
      <c r="BV363" s="128"/>
      <c r="BX363" s="128"/>
      <c r="CU363" s="128"/>
      <c r="CW363" s="128"/>
      <c r="DN363" s="128"/>
      <c r="DP363" s="128"/>
      <c r="DR363" s="128"/>
      <c r="DV363" s="128"/>
      <c r="DX363" s="128"/>
      <c r="DY363" s="128"/>
      <c r="EA363" s="128"/>
      <c r="EB363" s="128"/>
      <c r="EC363" s="128"/>
      <c r="EG363" s="128"/>
      <c r="EL363" s="128"/>
      <c r="EM363" s="128"/>
      <c r="EO363" s="128"/>
      <c r="EQ363" s="128"/>
      <c r="ES363" s="128"/>
      <c r="EU363" s="128"/>
      <c r="EW363" s="128"/>
      <c r="EY363" s="128"/>
    </row>
    <row r="364" spans="3:155">
      <c r="C364" s="128"/>
      <c r="D364" s="128"/>
      <c r="E364" s="128"/>
      <c r="F364" s="128" t="str">
        <f>IF(E364 &lt;&gt; "", VLOOKUP(E364, '[2]Internal-logic'!G$1:I$364, 2, FALSE),"")</f>
        <v/>
      </c>
      <c r="G364" s="128" t="str">
        <f>IF(E364 &lt;&gt; "", VLOOKUP(E364, '[2]Internal-logic'!G$1:I$364, 3, FALSE),"")</f>
        <v/>
      </c>
      <c r="H364" s="128"/>
      <c r="I364" s="128"/>
      <c r="J364" s="128"/>
      <c r="K364" s="128"/>
      <c r="Q364" s="128"/>
      <c r="R364" s="128"/>
      <c r="S364" s="128"/>
      <c r="U364" s="128"/>
      <c r="X364" s="128"/>
      <c r="Y364" s="128"/>
      <c r="Z364" s="128"/>
      <c r="AA364" s="128"/>
      <c r="AB364" s="128"/>
      <c r="AC364" s="128"/>
      <c r="AD364" s="128"/>
      <c r="AE364" s="128"/>
      <c r="AF364" s="128"/>
      <c r="AG364" s="128"/>
      <c r="AI364" s="128"/>
      <c r="AJ364" s="128"/>
      <c r="AY364" s="128"/>
      <c r="BN364" s="128"/>
      <c r="BQ364" s="128"/>
      <c r="BR364" s="128"/>
      <c r="BT364" s="128"/>
      <c r="BV364" s="128"/>
      <c r="BX364" s="128"/>
      <c r="CU364" s="128"/>
      <c r="CW364" s="128"/>
      <c r="DN364" s="128"/>
      <c r="DP364" s="128"/>
      <c r="DR364" s="128"/>
      <c r="DV364" s="128"/>
      <c r="DX364" s="128"/>
      <c r="DY364" s="128"/>
      <c r="EA364" s="128"/>
      <c r="EB364" s="128"/>
      <c r="EC364" s="128"/>
      <c r="EG364" s="128"/>
      <c r="EL364" s="128"/>
      <c r="EM364" s="128"/>
      <c r="EO364" s="128"/>
      <c r="EQ364" s="128"/>
      <c r="ES364" s="128"/>
      <c r="EU364" s="128"/>
      <c r="EW364" s="128"/>
      <c r="EY364" s="128"/>
    </row>
    <row r="365" spans="3:155">
      <c r="C365" s="128"/>
      <c r="D365" s="128"/>
      <c r="E365" s="128"/>
      <c r="F365" s="128" t="str">
        <f>IF(E365 &lt;&gt; "", VLOOKUP(E365, '[2]Internal-logic'!G$1:I$364, 2, FALSE),"")</f>
        <v/>
      </c>
      <c r="G365" s="128" t="str">
        <f>IF(E365 &lt;&gt; "", VLOOKUP(E365, '[2]Internal-logic'!G$1:I$364, 3, FALSE),"")</f>
        <v/>
      </c>
      <c r="H365" s="128"/>
      <c r="I365" s="128"/>
      <c r="J365" s="128"/>
      <c r="K365" s="128"/>
      <c r="Q365" s="128"/>
      <c r="R365" s="128"/>
      <c r="S365" s="128"/>
      <c r="U365" s="128"/>
      <c r="X365" s="128"/>
      <c r="Y365" s="128"/>
      <c r="Z365" s="128"/>
      <c r="AA365" s="128"/>
      <c r="AB365" s="128"/>
      <c r="AC365" s="128"/>
      <c r="AD365" s="128"/>
      <c r="AE365" s="128"/>
      <c r="AF365" s="128"/>
      <c r="AG365" s="128"/>
      <c r="AI365" s="128"/>
      <c r="AJ365" s="128"/>
      <c r="AY365" s="128"/>
      <c r="BN365" s="128"/>
      <c r="BQ365" s="128"/>
      <c r="BR365" s="128"/>
      <c r="BT365" s="128"/>
      <c r="BV365" s="128"/>
      <c r="BX365" s="128"/>
      <c r="CU365" s="128"/>
      <c r="CW365" s="128"/>
      <c r="DN365" s="128"/>
      <c r="DP365" s="128"/>
      <c r="DR365" s="128"/>
      <c r="DV365" s="128"/>
      <c r="DX365" s="128"/>
      <c r="DY365" s="128"/>
      <c r="EA365" s="128"/>
      <c r="EB365" s="128"/>
      <c r="EC365" s="128"/>
      <c r="EG365" s="128"/>
      <c r="EL365" s="128"/>
      <c r="EM365" s="128"/>
      <c r="EO365" s="128"/>
      <c r="EQ365" s="128"/>
      <c r="ES365" s="128"/>
      <c r="EU365" s="128"/>
      <c r="EW365" s="128"/>
      <c r="EY365" s="128"/>
    </row>
    <row r="366" spans="3:155">
      <c r="C366" s="128"/>
      <c r="D366" s="128"/>
      <c r="E366" s="128"/>
      <c r="F366" s="128" t="str">
        <f>IF(E366 &lt;&gt; "", VLOOKUP(E366, '[2]Internal-logic'!G$1:I$364, 2, FALSE),"")</f>
        <v/>
      </c>
      <c r="G366" s="128" t="str">
        <f>IF(E366 &lt;&gt; "", VLOOKUP(E366, '[2]Internal-logic'!G$1:I$364, 3, FALSE),"")</f>
        <v/>
      </c>
      <c r="H366" s="128"/>
      <c r="I366" s="128"/>
      <c r="J366" s="128"/>
      <c r="K366" s="128"/>
      <c r="Q366" s="128"/>
      <c r="R366" s="128"/>
      <c r="S366" s="128"/>
      <c r="U366" s="128"/>
      <c r="X366" s="128"/>
      <c r="Y366" s="128"/>
      <c r="Z366" s="128"/>
      <c r="AA366" s="128"/>
      <c r="AB366" s="128"/>
      <c r="AC366" s="128"/>
      <c r="AD366" s="128"/>
      <c r="AE366" s="128"/>
      <c r="AF366" s="128"/>
      <c r="AG366" s="128"/>
      <c r="AI366" s="128"/>
      <c r="AJ366" s="128"/>
      <c r="AY366" s="128"/>
      <c r="BN366" s="128"/>
      <c r="BQ366" s="128"/>
      <c r="BR366" s="128"/>
      <c r="BT366" s="128"/>
      <c r="BV366" s="128"/>
      <c r="BX366" s="128"/>
      <c r="CU366" s="128"/>
      <c r="CW366" s="128"/>
      <c r="DN366" s="128"/>
      <c r="DP366" s="128"/>
      <c r="DR366" s="128"/>
      <c r="DV366" s="128"/>
      <c r="DX366" s="128"/>
      <c r="DY366" s="128"/>
      <c r="EA366" s="128"/>
      <c r="EB366" s="128"/>
      <c r="EC366" s="128"/>
      <c r="EG366" s="128"/>
      <c r="EL366" s="128"/>
      <c r="EM366" s="128"/>
      <c r="EO366" s="128"/>
      <c r="EQ366" s="128"/>
      <c r="ES366" s="128"/>
      <c r="EU366" s="128"/>
      <c r="EW366" s="128"/>
      <c r="EY366" s="128"/>
    </row>
    <row r="367" spans="3:155">
      <c r="C367" s="128"/>
      <c r="D367" s="128"/>
      <c r="E367" s="128"/>
      <c r="F367" s="128" t="str">
        <f>IF(E367 &lt;&gt; "", VLOOKUP(E367, '[2]Internal-logic'!G$1:I$364, 2, FALSE),"")</f>
        <v/>
      </c>
      <c r="G367" s="128" t="str">
        <f>IF(E367 &lt;&gt; "", VLOOKUP(E367, '[2]Internal-logic'!G$1:I$364, 3, FALSE),"")</f>
        <v/>
      </c>
      <c r="H367" s="128"/>
      <c r="I367" s="128"/>
      <c r="J367" s="128"/>
      <c r="K367" s="128"/>
      <c r="Q367" s="128"/>
      <c r="R367" s="128"/>
      <c r="S367" s="128"/>
      <c r="U367" s="128"/>
      <c r="X367" s="128"/>
      <c r="Y367" s="128"/>
      <c r="Z367" s="128"/>
      <c r="AA367" s="128"/>
      <c r="AB367" s="128"/>
      <c r="AC367" s="128"/>
      <c r="AD367" s="128"/>
      <c r="AE367" s="128"/>
      <c r="AF367" s="128"/>
      <c r="AG367" s="128"/>
      <c r="AI367" s="128"/>
      <c r="AJ367" s="128"/>
      <c r="AY367" s="128"/>
      <c r="BN367" s="128"/>
      <c r="BQ367" s="128"/>
      <c r="BR367" s="128"/>
      <c r="BT367" s="128"/>
      <c r="BV367" s="128"/>
      <c r="BX367" s="128"/>
      <c r="CU367" s="128"/>
      <c r="CW367" s="128"/>
      <c r="DN367" s="128"/>
      <c r="DP367" s="128"/>
      <c r="DR367" s="128"/>
      <c r="DV367" s="128"/>
      <c r="DX367" s="128"/>
      <c r="DY367" s="128"/>
      <c r="EA367" s="128"/>
      <c r="EB367" s="128"/>
      <c r="EC367" s="128"/>
      <c r="EG367" s="128"/>
      <c r="EL367" s="128"/>
      <c r="EM367" s="128"/>
      <c r="EO367" s="128"/>
      <c r="EQ367" s="128"/>
      <c r="ES367" s="128"/>
      <c r="EU367" s="128"/>
      <c r="EW367" s="128"/>
      <c r="EY367" s="128"/>
    </row>
    <row r="368" spans="3:155">
      <c r="C368" s="128"/>
      <c r="D368" s="128"/>
      <c r="E368" s="128"/>
      <c r="F368" s="128" t="str">
        <f>IF(E368 &lt;&gt; "", VLOOKUP(E368, '[2]Internal-logic'!G$1:I$364, 2, FALSE),"")</f>
        <v/>
      </c>
      <c r="G368" s="128" t="str">
        <f>IF(E368 &lt;&gt; "", VLOOKUP(E368, '[2]Internal-logic'!G$1:I$364, 3, FALSE),"")</f>
        <v/>
      </c>
      <c r="H368" s="128"/>
      <c r="I368" s="128"/>
      <c r="J368" s="128"/>
      <c r="K368" s="128"/>
      <c r="Q368" s="128"/>
      <c r="R368" s="128"/>
      <c r="S368" s="128"/>
      <c r="U368" s="128"/>
      <c r="X368" s="128"/>
      <c r="Y368" s="128"/>
      <c r="Z368" s="128"/>
      <c r="AA368" s="128"/>
      <c r="AB368" s="128"/>
      <c r="AC368" s="128"/>
      <c r="AD368" s="128"/>
      <c r="AE368" s="128"/>
      <c r="AF368" s="128"/>
      <c r="AG368" s="128"/>
      <c r="AI368" s="128"/>
      <c r="AJ368" s="128"/>
      <c r="AY368" s="128"/>
      <c r="BN368" s="128"/>
      <c r="BQ368" s="128"/>
      <c r="BR368" s="128"/>
      <c r="BT368" s="128"/>
      <c r="BV368" s="128"/>
      <c r="BX368" s="128"/>
      <c r="CU368" s="128"/>
      <c r="CW368" s="128"/>
      <c r="DN368" s="128"/>
      <c r="DP368" s="128"/>
      <c r="DR368" s="128"/>
      <c r="DV368" s="128"/>
      <c r="DX368" s="128"/>
      <c r="DY368" s="128"/>
      <c r="EA368" s="128"/>
      <c r="EB368" s="128"/>
      <c r="EC368" s="128"/>
      <c r="EG368" s="128"/>
      <c r="EL368" s="128"/>
      <c r="EM368" s="128"/>
      <c r="EO368" s="128"/>
      <c r="EQ368" s="128"/>
      <c r="ES368" s="128"/>
      <c r="EU368" s="128"/>
      <c r="EW368" s="128"/>
      <c r="EY368" s="128"/>
    </row>
    <row r="369" spans="3:155">
      <c r="C369" s="128"/>
      <c r="D369" s="128"/>
      <c r="E369" s="128"/>
      <c r="F369" s="128" t="str">
        <f>IF(E369 &lt;&gt; "", VLOOKUP(E369, '[2]Internal-logic'!G$1:I$364, 2, FALSE),"")</f>
        <v/>
      </c>
      <c r="G369" s="128" t="str">
        <f>IF(E369 &lt;&gt; "", VLOOKUP(E369, '[2]Internal-logic'!G$1:I$364, 3, FALSE),"")</f>
        <v/>
      </c>
      <c r="H369" s="128"/>
      <c r="I369" s="128"/>
      <c r="J369" s="128"/>
      <c r="K369" s="128"/>
      <c r="Q369" s="128"/>
      <c r="R369" s="128"/>
      <c r="S369" s="128"/>
      <c r="U369" s="128"/>
      <c r="X369" s="128"/>
      <c r="Y369" s="128"/>
      <c r="Z369" s="128"/>
      <c r="AA369" s="128"/>
      <c r="AB369" s="128"/>
      <c r="AC369" s="128"/>
      <c r="AD369" s="128"/>
      <c r="AE369" s="128"/>
      <c r="AF369" s="128"/>
      <c r="AG369" s="128"/>
      <c r="AI369" s="128"/>
      <c r="AJ369" s="128"/>
      <c r="AY369" s="128"/>
      <c r="BN369" s="128"/>
      <c r="BQ369" s="128"/>
      <c r="BR369" s="128"/>
      <c r="BT369" s="128"/>
      <c r="BV369" s="128"/>
      <c r="BX369" s="128"/>
      <c r="CU369" s="128"/>
      <c r="CW369" s="128"/>
      <c r="DN369" s="128"/>
      <c r="DP369" s="128"/>
      <c r="DR369" s="128"/>
      <c r="DV369" s="128"/>
      <c r="DX369" s="128"/>
      <c r="DY369" s="128"/>
      <c r="EA369" s="128"/>
      <c r="EB369" s="128"/>
      <c r="EC369" s="128"/>
      <c r="EG369" s="128"/>
      <c r="EL369" s="128"/>
      <c r="EM369" s="128"/>
      <c r="EO369" s="128"/>
      <c r="EQ369" s="128"/>
      <c r="ES369" s="128"/>
      <c r="EU369" s="128"/>
      <c r="EW369" s="128"/>
      <c r="EY369" s="128"/>
    </row>
    <row r="370" spans="3:155">
      <c r="C370" s="128"/>
      <c r="D370" s="128"/>
      <c r="E370" s="128"/>
      <c r="F370" s="128" t="str">
        <f>IF(E370 &lt;&gt; "", VLOOKUP(E370, '[2]Internal-logic'!G$1:I$364, 2, FALSE),"")</f>
        <v/>
      </c>
      <c r="G370" s="128" t="str">
        <f>IF(E370 &lt;&gt; "", VLOOKUP(E370, '[2]Internal-logic'!G$1:I$364, 3, FALSE),"")</f>
        <v/>
      </c>
      <c r="H370" s="128"/>
      <c r="I370" s="128"/>
      <c r="J370" s="128"/>
      <c r="K370" s="128"/>
      <c r="Q370" s="128"/>
      <c r="R370" s="128"/>
      <c r="S370" s="128"/>
      <c r="U370" s="128"/>
      <c r="X370" s="128"/>
      <c r="Y370" s="128"/>
      <c r="Z370" s="128"/>
      <c r="AA370" s="128"/>
      <c r="AB370" s="128"/>
      <c r="AC370" s="128"/>
      <c r="AD370" s="128"/>
      <c r="AE370" s="128"/>
      <c r="AF370" s="128"/>
      <c r="AG370" s="128"/>
      <c r="AI370" s="128"/>
      <c r="AJ370" s="128"/>
      <c r="AY370" s="128"/>
      <c r="BN370" s="128"/>
      <c r="BQ370" s="128"/>
      <c r="BR370" s="128"/>
      <c r="BT370" s="128"/>
      <c r="BV370" s="128"/>
      <c r="BX370" s="128"/>
      <c r="CU370" s="128"/>
      <c r="CW370" s="128"/>
      <c r="DN370" s="128"/>
      <c r="DP370" s="128"/>
      <c r="DR370" s="128"/>
      <c r="DV370" s="128"/>
      <c r="DX370" s="128"/>
      <c r="DY370" s="128"/>
      <c r="EA370" s="128"/>
      <c r="EB370" s="128"/>
      <c r="EC370" s="128"/>
      <c r="EG370" s="128"/>
      <c r="EL370" s="128"/>
      <c r="EM370" s="128"/>
      <c r="EO370" s="128"/>
      <c r="EQ370" s="128"/>
      <c r="ES370" s="128"/>
      <c r="EU370" s="128"/>
      <c r="EW370" s="128"/>
      <c r="EY370" s="128"/>
    </row>
    <row r="371" spans="3:155">
      <c r="C371" s="128"/>
      <c r="D371" s="128"/>
      <c r="E371" s="128"/>
      <c r="F371" s="128" t="str">
        <f>IF(E371 &lt;&gt; "", VLOOKUP(E371, '[2]Internal-logic'!G$1:I$364, 2, FALSE),"")</f>
        <v/>
      </c>
      <c r="G371" s="128" t="str">
        <f>IF(E371 &lt;&gt; "", VLOOKUP(E371, '[2]Internal-logic'!G$1:I$364, 3, FALSE),"")</f>
        <v/>
      </c>
      <c r="H371" s="128"/>
      <c r="I371" s="128"/>
      <c r="J371" s="128"/>
      <c r="K371" s="128"/>
      <c r="Q371" s="128"/>
      <c r="R371" s="128"/>
      <c r="S371" s="128"/>
      <c r="U371" s="128"/>
      <c r="X371" s="128"/>
      <c r="Y371" s="128"/>
      <c r="Z371" s="128"/>
      <c r="AA371" s="128"/>
      <c r="AB371" s="128"/>
      <c r="AC371" s="128"/>
      <c r="AD371" s="128"/>
      <c r="AE371" s="128"/>
      <c r="AF371" s="128"/>
      <c r="AG371" s="128"/>
      <c r="AI371" s="128"/>
      <c r="AJ371" s="128"/>
      <c r="AY371" s="128"/>
      <c r="BN371" s="128"/>
      <c r="BQ371" s="128"/>
      <c r="BR371" s="128"/>
      <c r="BT371" s="128"/>
      <c r="BV371" s="128"/>
      <c r="BX371" s="128"/>
      <c r="CU371" s="128"/>
      <c r="CW371" s="128"/>
      <c r="DN371" s="128"/>
      <c r="DP371" s="128"/>
      <c r="DR371" s="128"/>
      <c r="DV371" s="128"/>
      <c r="DX371" s="128"/>
      <c r="DY371" s="128"/>
      <c r="EA371" s="128"/>
      <c r="EB371" s="128"/>
      <c r="EC371" s="128"/>
      <c r="EG371" s="128"/>
      <c r="EL371" s="128"/>
      <c r="EM371" s="128"/>
      <c r="EO371" s="128"/>
      <c r="EQ371" s="128"/>
      <c r="ES371" s="128"/>
      <c r="EU371" s="128"/>
      <c r="EW371" s="128"/>
      <c r="EY371" s="128"/>
    </row>
    <row r="372" spans="3:155">
      <c r="C372" s="128"/>
      <c r="D372" s="128"/>
      <c r="E372" s="128"/>
      <c r="F372" s="128" t="str">
        <f>IF(E372 &lt;&gt; "", VLOOKUP(E372, '[2]Internal-logic'!G$1:I$364, 2, FALSE),"")</f>
        <v/>
      </c>
      <c r="G372" s="128" t="str">
        <f>IF(E372 &lt;&gt; "", VLOOKUP(E372, '[2]Internal-logic'!G$1:I$364, 3, FALSE),"")</f>
        <v/>
      </c>
      <c r="H372" s="128"/>
      <c r="I372" s="128"/>
      <c r="J372" s="128"/>
      <c r="K372" s="128"/>
      <c r="Q372" s="128"/>
      <c r="R372" s="128"/>
      <c r="S372" s="128"/>
      <c r="U372" s="128"/>
      <c r="X372" s="128"/>
      <c r="Y372" s="128"/>
      <c r="Z372" s="128"/>
      <c r="AA372" s="128"/>
      <c r="AB372" s="128"/>
      <c r="AC372" s="128"/>
      <c r="AD372" s="128"/>
      <c r="AE372" s="128"/>
      <c r="AF372" s="128"/>
      <c r="AG372" s="128"/>
      <c r="AI372" s="128"/>
      <c r="AJ372" s="128"/>
      <c r="AY372" s="128"/>
      <c r="BN372" s="128"/>
      <c r="BQ372" s="128"/>
      <c r="BR372" s="128"/>
      <c r="BT372" s="128"/>
      <c r="BV372" s="128"/>
      <c r="BX372" s="128"/>
      <c r="CU372" s="128"/>
      <c r="CW372" s="128"/>
      <c r="DN372" s="128"/>
      <c r="DP372" s="128"/>
      <c r="DR372" s="128"/>
      <c r="DV372" s="128"/>
      <c r="DX372" s="128"/>
      <c r="DY372" s="128"/>
      <c r="EA372" s="128"/>
      <c r="EB372" s="128"/>
      <c r="EC372" s="128"/>
      <c r="EG372" s="128"/>
      <c r="EL372" s="128"/>
      <c r="EM372" s="128"/>
      <c r="EO372" s="128"/>
      <c r="EQ372" s="128"/>
      <c r="ES372" s="128"/>
      <c r="EU372" s="128"/>
      <c r="EW372" s="128"/>
      <c r="EY372" s="128"/>
    </row>
    <row r="373" spans="3:155">
      <c r="C373" s="128"/>
      <c r="D373" s="128"/>
      <c r="E373" s="128"/>
      <c r="F373" s="128" t="str">
        <f>IF(E373 &lt;&gt; "", VLOOKUP(E373, '[2]Internal-logic'!G$1:I$364, 2, FALSE),"")</f>
        <v/>
      </c>
      <c r="G373" s="128" t="str">
        <f>IF(E373 &lt;&gt; "", VLOOKUP(E373, '[2]Internal-logic'!G$1:I$364, 3, FALSE),"")</f>
        <v/>
      </c>
      <c r="H373" s="128"/>
      <c r="I373" s="128"/>
      <c r="J373" s="128"/>
      <c r="K373" s="128"/>
      <c r="Q373" s="128"/>
      <c r="R373" s="128"/>
      <c r="S373" s="128"/>
      <c r="U373" s="128"/>
      <c r="X373" s="128"/>
      <c r="Y373" s="128"/>
      <c r="Z373" s="128"/>
      <c r="AA373" s="128"/>
      <c r="AB373" s="128"/>
      <c r="AC373" s="128"/>
      <c r="AD373" s="128"/>
      <c r="AE373" s="128"/>
      <c r="AF373" s="128"/>
      <c r="AG373" s="128"/>
      <c r="AI373" s="128"/>
      <c r="AJ373" s="128"/>
      <c r="AY373" s="128"/>
      <c r="BN373" s="128"/>
      <c r="BQ373" s="128"/>
      <c r="BR373" s="128"/>
      <c r="BT373" s="128"/>
      <c r="BV373" s="128"/>
      <c r="BX373" s="128"/>
      <c r="CU373" s="128"/>
      <c r="CW373" s="128"/>
      <c r="DN373" s="128"/>
      <c r="DP373" s="128"/>
      <c r="DR373" s="128"/>
      <c r="DV373" s="128"/>
      <c r="DX373" s="128"/>
      <c r="DY373" s="128"/>
      <c r="EA373" s="128"/>
      <c r="EB373" s="128"/>
      <c r="EC373" s="128"/>
      <c r="EG373" s="128"/>
      <c r="EL373" s="128"/>
      <c r="EM373" s="128"/>
      <c r="EO373" s="128"/>
      <c r="EQ373" s="128"/>
      <c r="ES373" s="128"/>
      <c r="EU373" s="128"/>
      <c r="EW373" s="128"/>
      <c r="EY373" s="128"/>
    </row>
    <row r="374" spans="3:155">
      <c r="C374" s="128"/>
      <c r="D374" s="128"/>
      <c r="E374" s="128"/>
      <c r="F374" s="128" t="str">
        <f>IF(E374 &lt;&gt; "", VLOOKUP(E374, '[2]Internal-logic'!G$1:I$364, 2, FALSE),"")</f>
        <v/>
      </c>
      <c r="G374" s="128" t="str">
        <f>IF(E374 &lt;&gt; "", VLOOKUP(E374, '[2]Internal-logic'!G$1:I$364, 3, FALSE),"")</f>
        <v/>
      </c>
      <c r="H374" s="128"/>
      <c r="I374" s="128"/>
      <c r="J374" s="128"/>
      <c r="K374" s="128"/>
      <c r="Q374" s="128"/>
      <c r="R374" s="128"/>
      <c r="S374" s="128"/>
      <c r="U374" s="128"/>
      <c r="X374" s="128"/>
      <c r="Y374" s="128"/>
      <c r="Z374" s="128"/>
      <c r="AA374" s="128"/>
      <c r="AB374" s="128"/>
      <c r="AC374" s="128"/>
      <c r="AD374" s="128"/>
      <c r="AE374" s="128"/>
      <c r="AF374" s="128"/>
      <c r="AG374" s="128"/>
      <c r="AI374" s="128"/>
      <c r="AJ374" s="128"/>
      <c r="AY374" s="128"/>
      <c r="BN374" s="128"/>
      <c r="BQ374" s="128"/>
      <c r="BR374" s="128"/>
      <c r="BT374" s="128"/>
      <c r="BV374" s="128"/>
      <c r="BX374" s="128"/>
      <c r="CU374" s="128"/>
      <c r="CW374" s="128"/>
      <c r="DN374" s="128"/>
      <c r="DP374" s="128"/>
      <c r="DR374" s="128"/>
      <c r="DV374" s="128"/>
      <c r="DX374" s="128"/>
      <c r="DY374" s="128"/>
      <c r="EA374" s="128"/>
      <c r="EB374" s="128"/>
      <c r="EC374" s="128"/>
      <c r="EG374" s="128"/>
      <c r="EL374" s="128"/>
      <c r="EM374" s="128"/>
      <c r="EO374" s="128"/>
      <c r="EQ374" s="128"/>
      <c r="ES374" s="128"/>
      <c r="EU374" s="128"/>
      <c r="EW374" s="128"/>
      <c r="EY374" s="128"/>
    </row>
    <row r="375" spans="3:155">
      <c r="C375" s="128"/>
      <c r="D375" s="128"/>
      <c r="E375" s="128"/>
      <c r="F375" s="128" t="str">
        <f>IF(E375 &lt;&gt; "", VLOOKUP(E375, '[2]Internal-logic'!G$1:I$364, 2, FALSE),"")</f>
        <v/>
      </c>
      <c r="G375" s="128" t="str">
        <f>IF(E375 &lt;&gt; "", VLOOKUP(E375, '[2]Internal-logic'!G$1:I$364, 3, FALSE),"")</f>
        <v/>
      </c>
      <c r="H375" s="128"/>
      <c r="I375" s="128"/>
      <c r="J375" s="128"/>
      <c r="K375" s="128"/>
      <c r="Q375" s="128"/>
      <c r="R375" s="128"/>
      <c r="S375" s="128"/>
      <c r="U375" s="128"/>
      <c r="X375" s="128"/>
      <c r="Y375" s="128"/>
      <c r="Z375" s="128"/>
      <c r="AA375" s="128"/>
      <c r="AB375" s="128"/>
      <c r="AC375" s="128"/>
      <c r="AD375" s="128"/>
      <c r="AE375" s="128"/>
      <c r="AF375" s="128"/>
      <c r="AG375" s="128"/>
      <c r="AI375" s="128"/>
      <c r="AJ375" s="128"/>
      <c r="AY375" s="128"/>
      <c r="BN375" s="128"/>
      <c r="BQ375" s="128"/>
      <c r="BR375" s="128"/>
      <c r="BT375" s="128"/>
      <c r="BV375" s="128"/>
      <c r="BX375" s="128"/>
      <c r="CU375" s="128"/>
      <c r="CW375" s="128"/>
      <c r="DN375" s="128"/>
      <c r="DP375" s="128"/>
      <c r="DR375" s="128"/>
      <c r="DV375" s="128"/>
      <c r="DX375" s="128"/>
      <c r="DY375" s="128"/>
      <c r="EA375" s="128"/>
      <c r="EB375" s="128"/>
      <c r="EC375" s="128"/>
      <c r="EG375" s="128"/>
      <c r="EL375" s="128"/>
      <c r="EM375" s="128"/>
      <c r="EO375" s="128"/>
      <c r="EQ375" s="128"/>
      <c r="ES375" s="128"/>
      <c r="EU375" s="128"/>
      <c r="EW375" s="128"/>
      <c r="EY375" s="128"/>
    </row>
    <row r="376" spans="3:155">
      <c r="C376" s="128"/>
      <c r="D376" s="128"/>
      <c r="E376" s="128"/>
      <c r="F376" s="128" t="str">
        <f>IF(E376 &lt;&gt; "", VLOOKUP(E376, '[2]Internal-logic'!G$1:I$364, 2, FALSE),"")</f>
        <v/>
      </c>
      <c r="G376" s="128" t="str">
        <f>IF(E376 &lt;&gt; "", VLOOKUP(E376, '[2]Internal-logic'!G$1:I$364, 3, FALSE),"")</f>
        <v/>
      </c>
      <c r="H376" s="128"/>
      <c r="I376" s="128"/>
      <c r="J376" s="128"/>
      <c r="K376" s="128"/>
      <c r="Q376" s="128"/>
      <c r="R376" s="128"/>
      <c r="S376" s="128"/>
      <c r="U376" s="128"/>
      <c r="X376" s="128"/>
      <c r="Y376" s="128"/>
      <c r="Z376" s="128"/>
      <c r="AA376" s="128"/>
      <c r="AB376" s="128"/>
      <c r="AC376" s="128"/>
      <c r="AD376" s="128"/>
      <c r="AE376" s="128"/>
      <c r="AF376" s="128"/>
      <c r="AG376" s="128"/>
      <c r="AI376" s="128"/>
      <c r="AJ376" s="128"/>
      <c r="AY376" s="128"/>
      <c r="BN376" s="128"/>
      <c r="BQ376" s="128"/>
      <c r="BR376" s="128"/>
      <c r="BT376" s="128"/>
      <c r="BV376" s="128"/>
      <c r="BX376" s="128"/>
      <c r="CU376" s="128"/>
      <c r="CW376" s="128"/>
      <c r="DN376" s="128"/>
      <c r="DP376" s="128"/>
      <c r="DR376" s="128"/>
      <c r="DV376" s="128"/>
      <c r="DX376" s="128"/>
      <c r="DY376" s="128"/>
      <c r="EA376" s="128"/>
      <c r="EB376" s="128"/>
      <c r="EC376" s="128"/>
      <c r="EG376" s="128"/>
      <c r="EL376" s="128"/>
      <c r="EM376" s="128"/>
      <c r="EO376" s="128"/>
      <c r="EQ376" s="128"/>
      <c r="ES376" s="128"/>
      <c r="EU376" s="128"/>
      <c r="EW376" s="128"/>
      <c r="EY376" s="128"/>
    </row>
    <row r="377" spans="3:155">
      <c r="C377" s="128"/>
      <c r="D377" s="128"/>
      <c r="E377" s="128"/>
      <c r="F377" s="128" t="str">
        <f>IF(E377 &lt;&gt; "", VLOOKUP(E377, '[2]Internal-logic'!G$1:I$364, 2, FALSE),"")</f>
        <v/>
      </c>
      <c r="G377" s="128" t="str">
        <f>IF(E377 &lt;&gt; "", VLOOKUP(E377, '[2]Internal-logic'!G$1:I$364, 3, FALSE),"")</f>
        <v/>
      </c>
      <c r="H377" s="128"/>
      <c r="I377" s="128"/>
      <c r="J377" s="128"/>
      <c r="K377" s="128"/>
      <c r="Q377" s="128"/>
      <c r="R377" s="128"/>
      <c r="S377" s="128"/>
      <c r="U377" s="128"/>
      <c r="X377" s="128"/>
      <c r="Y377" s="128"/>
      <c r="Z377" s="128"/>
      <c r="AA377" s="128"/>
      <c r="AB377" s="128"/>
      <c r="AC377" s="128"/>
      <c r="AD377" s="128"/>
      <c r="AE377" s="128"/>
      <c r="AF377" s="128"/>
      <c r="AG377" s="128"/>
      <c r="AI377" s="128"/>
      <c r="AJ377" s="128"/>
      <c r="AY377" s="128"/>
      <c r="BN377" s="128"/>
      <c r="BQ377" s="128"/>
      <c r="BR377" s="128"/>
      <c r="BT377" s="128"/>
      <c r="BV377" s="128"/>
      <c r="BX377" s="128"/>
      <c r="CU377" s="128"/>
      <c r="CW377" s="128"/>
      <c r="DN377" s="128"/>
      <c r="DP377" s="128"/>
      <c r="DR377" s="128"/>
      <c r="DV377" s="128"/>
      <c r="DX377" s="128"/>
      <c r="DY377" s="128"/>
      <c r="EA377" s="128"/>
      <c r="EB377" s="128"/>
      <c r="EC377" s="128"/>
      <c r="EG377" s="128"/>
      <c r="EL377" s="128"/>
      <c r="EM377" s="128"/>
      <c r="EO377" s="128"/>
      <c r="EQ377" s="128"/>
      <c r="ES377" s="128"/>
      <c r="EU377" s="128"/>
      <c r="EW377" s="128"/>
      <c r="EY377" s="128"/>
    </row>
    <row r="378" spans="3:155">
      <c r="C378" s="128"/>
      <c r="D378" s="128"/>
      <c r="E378" s="128"/>
      <c r="F378" s="128" t="str">
        <f>IF(E378 &lt;&gt; "", VLOOKUP(E378, '[2]Internal-logic'!G$1:I$364, 2, FALSE),"")</f>
        <v/>
      </c>
      <c r="G378" s="128" t="str">
        <f>IF(E378 &lt;&gt; "", VLOOKUP(E378, '[2]Internal-logic'!G$1:I$364, 3, FALSE),"")</f>
        <v/>
      </c>
      <c r="H378" s="128"/>
      <c r="I378" s="128"/>
      <c r="J378" s="128"/>
      <c r="K378" s="128"/>
      <c r="Q378" s="128"/>
      <c r="R378" s="128"/>
      <c r="S378" s="128"/>
      <c r="U378" s="128"/>
      <c r="X378" s="128"/>
      <c r="Y378" s="128"/>
      <c r="Z378" s="128"/>
      <c r="AA378" s="128"/>
      <c r="AB378" s="128"/>
      <c r="AC378" s="128"/>
      <c r="AD378" s="128"/>
      <c r="AE378" s="128"/>
      <c r="AF378" s="128"/>
      <c r="AG378" s="128"/>
      <c r="AI378" s="128"/>
      <c r="AJ378" s="128"/>
      <c r="AY378" s="128"/>
      <c r="BN378" s="128"/>
      <c r="BQ378" s="128"/>
      <c r="BR378" s="128"/>
      <c r="BT378" s="128"/>
      <c r="BV378" s="128"/>
      <c r="BX378" s="128"/>
      <c r="CU378" s="128"/>
      <c r="CW378" s="128"/>
      <c r="DN378" s="128"/>
      <c r="DP378" s="128"/>
      <c r="DR378" s="128"/>
      <c r="DV378" s="128"/>
      <c r="DX378" s="128"/>
      <c r="DY378" s="128"/>
      <c r="EA378" s="128"/>
      <c r="EB378" s="128"/>
      <c r="EC378" s="128"/>
      <c r="EG378" s="128"/>
      <c r="EL378" s="128"/>
      <c r="EM378" s="128"/>
      <c r="EO378" s="128"/>
      <c r="EQ378" s="128"/>
      <c r="ES378" s="128"/>
      <c r="EU378" s="128"/>
      <c r="EW378" s="128"/>
      <c r="EY378" s="128"/>
    </row>
    <row r="379" spans="3:155">
      <c r="C379" s="128"/>
      <c r="D379" s="128"/>
      <c r="E379" s="128"/>
      <c r="F379" s="128" t="str">
        <f>IF(E379 &lt;&gt; "", VLOOKUP(E379, '[2]Internal-logic'!G$1:I$364, 2, FALSE),"")</f>
        <v/>
      </c>
      <c r="G379" s="128" t="str">
        <f>IF(E379 &lt;&gt; "", VLOOKUP(E379, '[2]Internal-logic'!G$1:I$364, 3, FALSE),"")</f>
        <v/>
      </c>
      <c r="H379" s="128"/>
      <c r="I379" s="128"/>
      <c r="J379" s="128"/>
      <c r="K379" s="128"/>
      <c r="Q379" s="128"/>
      <c r="R379" s="128"/>
      <c r="S379" s="128"/>
      <c r="U379" s="128"/>
      <c r="X379" s="128"/>
      <c r="Y379" s="128"/>
      <c r="Z379" s="128"/>
      <c r="AA379" s="128"/>
      <c r="AB379" s="128"/>
      <c r="AC379" s="128"/>
      <c r="AD379" s="128"/>
      <c r="AE379" s="128"/>
      <c r="AF379" s="128"/>
      <c r="AG379" s="128"/>
      <c r="AI379" s="128"/>
      <c r="AJ379" s="128"/>
      <c r="AY379" s="128"/>
      <c r="BN379" s="128"/>
      <c r="BQ379" s="128"/>
      <c r="BR379" s="128"/>
      <c r="BT379" s="128"/>
      <c r="BV379" s="128"/>
      <c r="BX379" s="128"/>
      <c r="CU379" s="128"/>
      <c r="CW379" s="128"/>
      <c r="DN379" s="128"/>
      <c r="DP379" s="128"/>
      <c r="DR379" s="128"/>
      <c r="DV379" s="128"/>
      <c r="DX379" s="128"/>
      <c r="DY379" s="128"/>
      <c r="EA379" s="128"/>
      <c r="EB379" s="128"/>
      <c r="EC379" s="128"/>
      <c r="EG379" s="128"/>
      <c r="EL379" s="128"/>
      <c r="EM379" s="128"/>
      <c r="EO379" s="128"/>
      <c r="EQ379" s="128"/>
      <c r="ES379" s="128"/>
      <c r="EU379" s="128"/>
      <c r="EW379" s="128"/>
      <c r="EY379" s="128"/>
    </row>
    <row r="380" spans="3:155">
      <c r="C380" s="128"/>
      <c r="D380" s="128"/>
      <c r="E380" s="128"/>
      <c r="F380" s="128" t="str">
        <f>IF(E380 &lt;&gt; "", VLOOKUP(E380, '[2]Internal-logic'!G$1:I$364, 2, FALSE),"")</f>
        <v/>
      </c>
      <c r="G380" s="128" t="str">
        <f>IF(E380 &lt;&gt; "", VLOOKUP(E380, '[2]Internal-logic'!G$1:I$364, 3, FALSE),"")</f>
        <v/>
      </c>
      <c r="H380" s="128"/>
      <c r="I380" s="128"/>
      <c r="J380" s="128"/>
      <c r="K380" s="128"/>
      <c r="Q380" s="128"/>
      <c r="R380" s="128"/>
      <c r="S380" s="128"/>
      <c r="U380" s="128"/>
      <c r="X380" s="128"/>
      <c r="Y380" s="128"/>
      <c r="Z380" s="128"/>
      <c r="AA380" s="128"/>
      <c r="AB380" s="128"/>
      <c r="AC380" s="128"/>
      <c r="AD380" s="128"/>
      <c r="AE380" s="128"/>
      <c r="AF380" s="128"/>
      <c r="AG380" s="128"/>
      <c r="AI380" s="128"/>
      <c r="AJ380" s="128"/>
      <c r="AY380" s="128"/>
      <c r="BN380" s="128"/>
      <c r="BQ380" s="128"/>
      <c r="BR380" s="128"/>
      <c r="BT380" s="128"/>
      <c r="BV380" s="128"/>
      <c r="BX380" s="128"/>
      <c r="CU380" s="128"/>
      <c r="CW380" s="128"/>
      <c r="DN380" s="128"/>
      <c r="DP380" s="128"/>
      <c r="DR380" s="128"/>
      <c r="DV380" s="128"/>
      <c r="DX380" s="128"/>
      <c r="DY380" s="128"/>
      <c r="EA380" s="128"/>
      <c r="EB380" s="128"/>
      <c r="EC380" s="128"/>
      <c r="EG380" s="128"/>
      <c r="EL380" s="128"/>
      <c r="EM380" s="128"/>
      <c r="EO380" s="128"/>
      <c r="EQ380" s="128"/>
      <c r="ES380" s="128"/>
      <c r="EU380" s="128"/>
      <c r="EW380" s="128"/>
      <c r="EY380" s="128"/>
    </row>
    <row r="381" spans="3:155">
      <c r="C381" s="128"/>
      <c r="D381" s="128"/>
      <c r="E381" s="128"/>
      <c r="F381" s="128" t="str">
        <f>IF(E381 &lt;&gt; "", VLOOKUP(E381, '[2]Internal-logic'!G$1:I$364, 2, FALSE),"")</f>
        <v/>
      </c>
      <c r="G381" s="128" t="str">
        <f>IF(E381 &lt;&gt; "", VLOOKUP(E381, '[2]Internal-logic'!G$1:I$364, 3, FALSE),"")</f>
        <v/>
      </c>
      <c r="H381" s="128"/>
      <c r="I381" s="128"/>
      <c r="J381" s="128"/>
      <c r="K381" s="128"/>
      <c r="Q381" s="128"/>
      <c r="R381" s="128"/>
      <c r="S381" s="128"/>
      <c r="U381" s="128"/>
      <c r="X381" s="128"/>
      <c r="Y381" s="128"/>
      <c r="Z381" s="128"/>
      <c r="AA381" s="128"/>
      <c r="AB381" s="128"/>
      <c r="AC381" s="128"/>
      <c r="AD381" s="128"/>
      <c r="AE381" s="128"/>
      <c r="AF381" s="128"/>
      <c r="AG381" s="128"/>
      <c r="AI381" s="128"/>
      <c r="AJ381" s="128"/>
      <c r="AY381" s="128"/>
      <c r="BN381" s="128"/>
      <c r="BQ381" s="128"/>
      <c r="BR381" s="128"/>
      <c r="BT381" s="128"/>
      <c r="BV381" s="128"/>
      <c r="BX381" s="128"/>
      <c r="CU381" s="128"/>
      <c r="CW381" s="128"/>
      <c r="DN381" s="128"/>
      <c r="DP381" s="128"/>
      <c r="DR381" s="128"/>
      <c r="DV381" s="128"/>
      <c r="DX381" s="128"/>
      <c r="DY381" s="128"/>
      <c r="EA381" s="128"/>
      <c r="EB381" s="128"/>
      <c r="EC381" s="128"/>
      <c r="EG381" s="128"/>
      <c r="EL381" s="128"/>
      <c r="EM381" s="128"/>
      <c r="EO381" s="128"/>
      <c r="EQ381" s="128"/>
      <c r="ES381" s="128"/>
      <c r="EU381" s="128"/>
      <c r="EW381" s="128"/>
      <c r="EY381" s="128"/>
    </row>
    <row r="382" spans="3:155">
      <c r="C382" s="128"/>
      <c r="D382" s="128"/>
      <c r="E382" s="128"/>
      <c r="F382" s="128" t="str">
        <f>IF(E382 &lt;&gt; "", VLOOKUP(E382, '[2]Internal-logic'!G$1:I$364, 2, FALSE),"")</f>
        <v/>
      </c>
      <c r="G382" s="128" t="str">
        <f>IF(E382 &lt;&gt; "", VLOOKUP(E382, '[2]Internal-logic'!G$1:I$364, 3, FALSE),"")</f>
        <v/>
      </c>
      <c r="H382" s="128"/>
      <c r="I382" s="128"/>
      <c r="J382" s="128"/>
      <c r="K382" s="128"/>
      <c r="Q382" s="128"/>
      <c r="R382" s="128"/>
      <c r="S382" s="128"/>
      <c r="U382" s="128"/>
      <c r="X382" s="128"/>
      <c r="Y382" s="128"/>
      <c r="Z382" s="128"/>
      <c r="AA382" s="128"/>
      <c r="AB382" s="128"/>
      <c r="AC382" s="128"/>
      <c r="AD382" s="128"/>
      <c r="AE382" s="128"/>
      <c r="AF382" s="128"/>
      <c r="AG382" s="128"/>
      <c r="AI382" s="128"/>
      <c r="AJ382" s="128"/>
      <c r="AY382" s="128"/>
      <c r="BN382" s="128"/>
      <c r="BQ382" s="128"/>
      <c r="BR382" s="128"/>
      <c r="BT382" s="128"/>
      <c r="BV382" s="128"/>
      <c r="BX382" s="128"/>
      <c r="CU382" s="128"/>
      <c r="CW382" s="128"/>
      <c r="DN382" s="128"/>
      <c r="DP382" s="128"/>
      <c r="DR382" s="128"/>
      <c r="DV382" s="128"/>
      <c r="DX382" s="128"/>
      <c r="DY382" s="128"/>
      <c r="EA382" s="128"/>
      <c r="EB382" s="128"/>
      <c r="EC382" s="128"/>
      <c r="EG382" s="128"/>
      <c r="EL382" s="128"/>
      <c r="EM382" s="128"/>
      <c r="EO382" s="128"/>
      <c r="EQ382" s="128"/>
      <c r="ES382" s="128"/>
      <c r="EU382" s="128"/>
      <c r="EW382" s="128"/>
      <c r="EY382" s="128"/>
    </row>
    <row r="383" spans="3:155">
      <c r="C383" s="128"/>
      <c r="D383" s="128"/>
      <c r="E383" s="128"/>
      <c r="F383" s="128" t="str">
        <f>IF(E383 &lt;&gt; "", VLOOKUP(E383, '[2]Internal-logic'!G$1:I$364, 2, FALSE),"")</f>
        <v/>
      </c>
      <c r="G383" s="128" t="str">
        <f>IF(E383 &lt;&gt; "", VLOOKUP(E383, '[2]Internal-logic'!G$1:I$364, 3, FALSE),"")</f>
        <v/>
      </c>
      <c r="H383" s="128"/>
      <c r="I383" s="128"/>
      <c r="J383" s="128"/>
      <c r="K383" s="128"/>
      <c r="Q383" s="128"/>
      <c r="R383" s="128"/>
      <c r="S383" s="128"/>
      <c r="U383" s="128"/>
      <c r="X383" s="128"/>
      <c r="Y383" s="128"/>
      <c r="Z383" s="128"/>
      <c r="AA383" s="128"/>
      <c r="AB383" s="128"/>
      <c r="AC383" s="128"/>
      <c r="AD383" s="128"/>
      <c r="AE383" s="128"/>
      <c r="AF383" s="128"/>
      <c r="AG383" s="128"/>
      <c r="AI383" s="128"/>
      <c r="AJ383" s="128"/>
      <c r="AY383" s="128"/>
      <c r="BN383" s="128"/>
      <c r="BQ383" s="128"/>
      <c r="BR383" s="128"/>
      <c r="BT383" s="128"/>
      <c r="BV383" s="128"/>
      <c r="BX383" s="128"/>
      <c r="CU383" s="128"/>
      <c r="CW383" s="128"/>
      <c r="DN383" s="128"/>
      <c r="DP383" s="128"/>
      <c r="DR383" s="128"/>
      <c r="DV383" s="128"/>
      <c r="DX383" s="128"/>
      <c r="DY383" s="128"/>
      <c r="EA383" s="128"/>
      <c r="EB383" s="128"/>
      <c r="EC383" s="128"/>
      <c r="EG383" s="128"/>
      <c r="EL383" s="128"/>
      <c r="EM383" s="128"/>
      <c r="EO383" s="128"/>
      <c r="EQ383" s="128"/>
      <c r="ES383" s="128"/>
      <c r="EU383" s="128"/>
      <c r="EW383" s="128"/>
      <c r="EY383" s="128"/>
    </row>
    <row r="384" spans="3:155">
      <c r="C384" s="128"/>
      <c r="D384" s="128"/>
      <c r="E384" s="128"/>
      <c r="F384" s="128" t="str">
        <f>IF(E384 &lt;&gt; "", VLOOKUP(E384, '[2]Internal-logic'!G$1:I$364, 2, FALSE),"")</f>
        <v/>
      </c>
      <c r="G384" s="128" t="str">
        <f>IF(E384 &lt;&gt; "", VLOOKUP(E384, '[2]Internal-logic'!G$1:I$364, 3, FALSE),"")</f>
        <v/>
      </c>
      <c r="H384" s="128"/>
      <c r="I384" s="128"/>
      <c r="J384" s="128"/>
      <c r="K384" s="128"/>
      <c r="Q384" s="128"/>
      <c r="R384" s="128"/>
      <c r="S384" s="128"/>
      <c r="U384" s="128"/>
      <c r="X384" s="128"/>
      <c r="Y384" s="128"/>
      <c r="Z384" s="128"/>
      <c r="AA384" s="128"/>
      <c r="AB384" s="128"/>
      <c r="AC384" s="128"/>
      <c r="AD384" s="128"/>
      <c r="AE384" s="128"/>
      <c r="AF384" s="128"/>
      <c r="AG384" s="128"/>
      <c r="AI384" s="128"/>
      <c r="AJ384" s="128"/>
      <c r="AY384" s="128"/>
      <c r="BN384" s="128"/>
      <c r="BQ384" s="128"/>
      <c r="BR384" s="128"/>
      <c r="BT384" s="128"/>
      <c r="BV384" s="128"/>
      <c r="BX384" s="128"/>
      <c r="CU384" s="128"/>
      <c r="CW384" s="128"/>
      <c r="DN384" s="128"/>
      <c r="DP384" s="128"/>
      <c r="DR384" s="128"/>
      <c r="DV384" s="128"/>
      <c r="DX384" s="128"/>
      <c r="DY384" s="128"/>
      <c r="EA384" s="128"/>
      <c r="EB384" s="128"/>
      <c r="EC384" s="128"/>
      <c r="EG384" s="128"/>
      <c r="EL384" s="128"/>
      <c r="EM384" s="128"/>
      <c r="EO384" s="128"/>
      <c r="EQ384" s="128"/>
      <c r="ES384" s="128"/>
      <c r="EU384" s="128"/>
      <c r="EW384" s="128"/>
      <c r="EY384" s="128"/>
    </row>
    <row r="385" spans="3:155">
      <c r="C385" s="128"/>
      <c r="D385" s="128"/>
      <c r="E385" s="128"/>
      <c r="F385" s="128" t="str">
        <f>IF(E385 &lt;&gt; "", VLOOKUP(E385, '[2]Internal-logic'!G$1:I$364, 2, FALSE),"")</f>
        <v/>
      </c>
      <c r="G385" s="128" t="str">
        <f>IF(E385 &lt;&gt; "", VLOOKUP(E385, '[2]Internal-logic'!G$1:I$364, 3, FALSE),"")</f>
        <v/>
      </c>
      <c r="H385" s="128"/>
      <c r="I385" s="128"/>
      <c r="J385" s="128"/>
      <c r="K385" s="128"/>
      <c r="Q385" s="128"/>
      <c r="R385" s="128"/>
      <c r="S385" s="128"/>
      <c r="U385" s="128"/>
      <c r="X385" s="128"/>
      <c r="Y385" s="128"/>
      <c r="Z385" s="128"/>
      <c r="AA385" s="128"/>
      <c r="AB385" s="128"/>
      <c r="AC385" s="128"/>
      <c r="AD385" s="128"/>
      <c r="AE385" s="128"/>
      <c r="AF385" s="128"/>
      <c r="AG385" s="128"/>
      <c r="AI385" s="128"/>
      <c r="AJ385" s="128"/>
      <c r="AY385" s="128"/>
      <c r="BN385" s="128"/>
      <c r="BQ385" s="128"/>
      <c r="BR385" s="128"/>
      <c r="BT385" s="128"/>
      <c r="BV385" s="128"/>
      <c r="BX385" s="128"/>
      <c r="CU385" s="128"/>
      <c r="CW385" s="128"/>
      <c r="DN385" s="128"/>
      <c r="DP385" s="128"/>
      <c r="DR385" s="128"/>
      <c r="DV385" s="128"/>
      <c r="DX385" s="128"/>
      <c r="DY385" s="128"/>
      <c r="EA385" s="128"/>
      <c r="EB385" s="128"/>
      <c r="EC385" s="128"/>
      <c r="EG385" s="128"/>
      <c r="EL385" s="128"/>
      <c r="EM385" s="128"/>
      <c r="EO385" s="128"/>
      <c r="EQ385" s="128"/>
      <c r="ES385" s="128"/>
      <c r="EU385" s="128"/>
      <c r="EW385" s="128"/>
      <c r="EY385" s="128"/>
    </row>
    <row r="386" spans="3:155">
      <c r="C386" s="128"/>
      <c r="D386" s="128"/>
      <c r="E386" s="128"/>
      <c r="F386" s="128" t="str">
        <f>IF(E386 &lt;&gt; "", VLOOKUP(E386, '[2]Internal-logic'!G$1:I$364, 2, FALSE),"")</f>
        <v/>
      </c>
      <c r="G386" s="128" t="str">
        <f>IF(E386 &lt;&gt; "", VLOOKUP(E386, '[2]Internal-logic'!G$1:I$364, 3, FALSE),"")</f>
        <v/>
      </c>
      <c r="H386" s="128"/>
      <c r="I386" s="128"/>
      <c r="J386" s="128"/>
      <c r="K386" s="128"/>
      <c r="Q386" s="128"/>
      <c r="R386" s="128"/>
      <c r="S386" s="128"/>
      <c r="U386" s="128"/>
      <c r="X386" s="128"/>
      <c r="Y386" s="128"/>
      <c r="Z386" s="128"/>
      <c r="AA386" s="128"/>
      <c r="AB386" s="128"/>
      <c r="AC386" s="128"/>
      <c r="AD386" s="128"/>
      <c r="AE386" s="128"/>
      <c r="AF386" s="128"/>
      <c r="AG386" s="128"/>
      <c r="AI386" s="128"/>
      <c r="AJ386" s="128"/>
      <c r="AY386" s="128"/>
      <c r="BN386" s="128"/>
      <c r="BQ386" s="128"/>
      <c r="BR386" s="128"/>
      <c r="BT386" s="128"/>
      <c r="BV386" s="128"/>
      <c r="BX386" s="128"/>
      <c r="CU386" s="128"/>
      <c r="CW386" s="128"/>
      <c r="DN386" s="128"/>
      <c r="DP386" s="128"/>
      <c r="DR386" s="128"/>
      <c r="DV386" s="128"/>
      <c r="DX386" s="128"/>
      <c r="DY386" s="128"/>
      <c r="EA386" s="128"/>
      <c r="EB386" s="128"/>
      <c r="EC386" s="128"/>
      <c r="EG386" s="128"/>
      <c r="EL386" s="128"/>
      <c r="EM386" s="128"/>
      <c r="EO386" s="128"/>
      <c r="EQ386" s="128"/>
      <c r="ES386" s="128"/>
      <c r="EU386" s="128"/>
      <c r="EW386" s="128"/>
      <c r="EY386" s="128"/>
    </row>
    <row r="387" spans="3:155">
      <c r="C387" s="128"/>
      <c r="D387" s="128"/>
      <c r="E387" s="128"/>
      <c r="F387" s="128" t="str">
        <f>IF(E387 &lt;&gt; "", VLOOKUP(E387, '[2]Internal-logic'!G$1:I$364, 2, FALSE),"")</f>
        <v/>
      </c>
      <c r="G387" s="128" t="str">
        <f>IF(E387 &lt;&gt; "", VLOOKUP(E387, '[2]Internal-logic'!G$1:I$364, 3, FALSE),"")</f>
        <v/>
      </c>
      <c r="H387" s="128"/>
      <c r="I387" s="128"/>
      <c r="J387" s="128"/>
      <c r="K387" s="128"/>
      <c r="Q387" s="128"/>
      <c r="R387" s="128"/>
      <c r="S387" s="128"/>
      <c r="U387" s="128"/>
      <c r="X387" s="128"/>
      <c r="Y387" s="128"/>
      <c r="Z387" s="128"/>
      <c r="AA387" s="128"/>
      <c r="AB387" s="128"/>
      <c r="AC387" s="128"/>
      <c r="AD387" s="128"/>
      <c r="AE387" s="128"/>
      <c r="AF387" s="128"/>
      <c r="AG387" s="128"/>
      <c r="AI387" s="128"/>
      <c r="AJ387" s="128"/>
      <c r="AY387" s="128"/>
      <c r="BN387" s="128"/>
      <c r="BQ387" s="128"/>
      <c r="BR387" s="128"/>
      <c r="BT387" s="128"/>
      <c r="BV387" s="128"/>
      <c r="BX387" s="128"/>
      <c r="CU387" s="128"/>
      <c r="CW387" s="128"/>
      <c r="DN387" s="128"/>
      <c r="DP387" s="128"/>
      <c r="DR387" s="128"/>
      <c r="DV387" s="128"/>
      <c r="DX387" s="128"/>
      <c r="DY387" s="128"/>
      <c r="EA387" s="128"/>
      <c r="EB387" s="128"/>
      <c r="EC387" s="128"/>
      <c r="EG387" s="128"/>
      <c r="EL387" s="128"/>
      <c r="EM387" s="128"/>
      <c r="EO387" s="128"/>
      <c r="EQ387" s="128"/>
      <c r="ES387" s="128"/>
      <c r="EU387" s="128"/>
      <c r="EW387" s="128"/>
      <c r="EY387" s="128"/>
    </row>
    <row r="388" spans="3:155">
      <c r="C388" s="128"/>
      <c r="D388" s="128"/>
      <c r="E388" s="128"/>
      <c r="F388" s="128" t="str">
        <f>IF(E388 &lt;&gt; "", VLOOKUP(E388, '[2]Internal-logic'!G$1:I$364, 2, FALSE),"")</f>
        <v/>
      </c>
      <c r="G388" s="128" t="str">
        <f>IF(E388 &lt;&gt; "", VLOOKUP(E388, '[2]Internal-logic'!G$1:I$364, 3, FALSE),"")</f>
        <v/>
      </c>
      <c r="H388" s="128"/>
      <c r="I388" s="128"/>
      <c r="J388" s="128"/>
      <c r="K388" s="128"/>
      <c r="Q388" s="128"/>
      <c r="R388" s="128"/>
      <c r="S388" s="128"/>
      <c r="U388" s="128"/>
      <c r="X388" s="128"/>
      <c r="Y388" s="128"/>
      <c r="Z388" s="128"/>
      <c r="AA388" s="128"/>
      <c r="AB388" s="128"/>
      <c r="AC388" s="128"/>
      <c r="AD388" s="128"/>
      <c r="AE388" s="128"/>
      <c r="AF388" s="128"/>
      <c r="AG388" s="128"/>
      <c r="AI388" s="128"/>
      <c r="AJ388" s="128"/>
      <c r="AY388" s="128"/>
      <c r="BN388" s="128"/>
      <c r="BQ388" s="128"/>
      <c r="BR388" s="128"/>
      <c r="BT388" s="128"/>
      <c r="BV388" s="128"/>
      <c r="BX388" s="128"/>
      <c r="CU388" s="128"/>
      <c r="CW388" s="128"/>
      <c r="DN388" s="128"/>
      <c r="DP388" s="128"/>
      <c r="DR388" s="128"/>
      <c r="DV388" s="128"/>
      <c r="DX388" s="128"/>
      <c r="DY388" s="128"/>
      <c r="EA388" s="128"/>
      <c r="EB388" s="128"/>
      <c r="EC388" s="128"/>
      <c r="EG388" s="128"/>
      <c r="EL388" s="128"/>
      <c r="EM388" s="128"/>
      <c r="EO388" s="128"/>
      <c r="EQ388" s="128"/>
      <c r="ES388" s="128"/>
      <c r="EU388" s="128"/>
      <c r="EW388" s="128"/>
      <c r="EY388" s="128"/>
    </row>
    <row r="389" spans="3:155">
      <c r="C389" s="128"/>
      <c r="D389" s="128"/>
      <c r="E389" s="128"/>
      <c r="F389" s="128" t="str">
        <f>IF(E389 &lt;&gt; "", VLOOKUP(E389, '[2]Internal-logic'!G$1:I$364, 2, FALSE),"")</f>
        <v/>
      </c>
      <c r="G389" s="128" t="str">
        <f>IF(E389 &lt;&gt; "", VLOOKUP(E389, '[2]Internal-logic'!G$1:I$364, 3, FALSE),"")</f>
        <v/>
      </c>
      <c r="H389" s="128"/>
      <c r="I389" s="128"/>
      <c r="J389" s="128"/>
      <c r="K389" s="128"/>
      <c r="Q389" s="128"/>
      <c r="R389" s="128"/>
      <c r="S389" s="128"/>
      <c r="U389" s="128"/>
      <c r="X389" s="128"/>
      <c r="Y389" s="128"/>
      <c r="Z389" s="128"/>
      <c r="AA389" s="128"/>
      <c r="AB389" s="128"/>
      <c r="AC389" s="128"/>
      <c r="AD389" s="128"/>
      <c r="AE389" s="128"/>
      <c r="AF389" s="128"/>
      <c r="AG389" s="128"/>
      <c r="AI389" s="128"/>
      <c r="AJ389" s="128"/>
      <c r="AY389" s="128"/>
      <c r="BN389" s="128"/>
      <c r="BQ389" s="128"/>
      <c r="BR389" s="128"/>
      <c r="BT389" s="128"/>
      <c r="BV389" s="128"/>
      <c r="BX389" s="128"/>
      <c r="CU389" s="128"/>
      <c r="CW389" s="128"/>
      <c r="DN389" s="128"/>
      <c r="DP389" s="128"/>
      <c r="DR389" s="128"/>
      <c r="DV389" s="128"/>
      <c r="DX389" s="128"/>
      <c r="DY389" s="128"/>
      <c r="EA389" s="128"/>
      <c r="EB389" s="128"/>
      <c r="EC389" s="128"/>
      <c r="EG389" s="128"/>
      <c r="EL389" s="128"/>
      <c r="EM389" s="128"/>
      <c r="EO389" s="128"/>
      <c r="EQ389" s="128"/>
      <c r="ES389" s="128"/>
      <c r="EU389" s="128"/>
      <c r="EW389" s="128"/>
      <c r="EY389" s="128"/>
    </row>
    <row r="390" spans="3:155">
      <c r="C390" s="128"/>
      <c r="D390" s="128"/>
      <c r="E390" s="128"/>
      <c r="F390" s="128" t="str">
        <f>IF(E390 &lt;&gt; "", VLOOKUP(E390, '[2]Internal-logic'!G$1:I$364, 2, FALSE),"")</f>
        <v/>
      </c>
      <c r="G390" s="128" t="str">
        <f>IF(E390 &lt;&gt; "", VLOOKUP(E390, '[2]Internal-logic'!G$1:I$364, 3, FALSE),"")</f>
        <v/>
      </c>
      <c r="H390" s="128"/>
      <c r="I390" s="128"/>
      <c r="J390" s="128"/>
      <c r="K390" s="128"/>
      <c r="Q390" s="128"/>
      <c r="R390" s="128"/>
      <c r="S390" s="128"/>
      <c r="U390" s="128"/>
      <c r="X390" s="128"/>
      <c r="Y390" s="128"/>
      <c r="Z390" s="128"/>
      <c r="AA390" s="128"/>
      <c r="AB390" s="128"/>
      <c r="AC390" s="128"/>
      <c r="AD390" s="128"/>
      <c r="AE390" s="128"/>
      <c r="AF390" s="128"/>
      <c r="AG390" s="128"/>
      <c r="AI390" s="128"/>
      <c r="AJ390" s="128"/>
      <c r="AY390" s="128"/>
      <c r="BN390" s="128"/>
      <c r="BQ390" s="128"/>
      <c r="BR390" s="128"/>
      <c r="BT390" s="128"/>
      <c r="BV390" s="128"/>
      <c r="BX390" s="128"/>
      <c r="CU390" s="128"/>
      <c r="CW390" s="128"/>
      <c r="DN390" s="128"/>
      <c r="DP390" s="128"/>
      <c r="DR390" s="128"/>
      <c r="DV390" s="128"/>
      <c r="DX390" s="128"/>
      <c r="DY390" s="128"/>
      <c r="EA390" s="128"/>
      <c r="EB390" s="128"/>
      <c r="EC390" s="128"/>
      <c r="EG390" s="128"/>
      <c r="EL390" s="128"/>
      <c r="EM390" s="128"/>
      <c r="EO390" s="128"/>
      <c r="EQ390" s="128"/>
      <c r="ES390" s="128"/>
      <c r="EU390" s="128"/>
      <c r="EW390" s="128"/>
      <c r="EY390" s="128"/>
    </row>
    <row r="391" spans="3:155">
      <c r="C391" s="128"/>
      <c r="D391" s="128"/>
      <c r="E391" s="128"/>
      <c r="F391" s="128" t="str">
        <f>IF(E391 &lt;&gt; "", VLOOKUP(E391, '[2]Internal-logic'!G$1:I$364, 2, FALSE),"")</f>
        <v/>
      </c>
      <c r="G391" s="128" t="str">
        <f>IF(E391 &lt;&gt; "", VLOOKUP(E391, '[2]Internal-logic'!G$1:I$364, 3, FALSE),"")</f>
        <v/>
      </c>
      <c r="H391" s="128"/>
      <c r="I391" s="128"/>
      <c r="J391" s="128"/>
      <c r="K391" s="128"/>
      <c r="Q391" s="128"/>
      <c r="R391" s="128"/>
      <c r="S391" s="128"/>
      <c r="U391" s="128"/>
      <c r="X391" s="128"/>
      <c r="Y391" s="128"/>
      <c r="Z391" s="128"/>
      <c r="AA391" s="128"/>
      <c r="AB391" s="128"/>
      <c r="AC391" s="128"/>
      <c r="AD391" s="128"/>
      <c r="AE391" s="128"/>
      <c r="AF391" s="128"/>
      <c r="AG391" s="128"/>
      <c r="AI391" s="128"/>
      <c r="AJ391" s="128"/>
      <c r="AY391" s="128"/>
      <c r="BN391" s="128"/>
      <c r="BQ391" s="128"/>
      <c r="BR391" s="128"/>
      <c r="BT391" s="128"/>
      <c r="BV391" s="128"/>
      <c r="BX391" s="128"/>
      <c r="CU391" s="128"/>
      <c r="CW391" s="128"/>
      <c r="DN391" s="128"/>
      <c r="DP391" s="128"/>
      <c r="DR391" s="128"/>
      <c r="DV391" s="128"/>
      <c r="DX391" s="128"/>
      <c r="DY391" s="128"/>
      <c r="EA391" s="128"/>
      <c r="EB391" s="128"/>
      <c r="EC391" s="128"/>
      <c r="EG391" s="128"/>
      <c r="EL391" s="128"/>
      <c r="EM391" s="128"/>
      <c r="EO391" s="128"/>
      <c r="EQ391" s="128"/>
      <c r="ES391" s="128"/>
      <c r="EU391" s="128"/>
      <c r="EW391" s="128"/>
      <c r="EY391" s="128"/>
    </row>
    <row r="392" spans="3:155">
      <c r="C392" s="128"/>
      <c r="D392" s="128"/>
      <c r="E392" s="128"/>
      <c r="F392" s="128" t="str">
        <f>IF(E392 &lt;&gt; "", VLOOKUP(E392, '[2]Internal-logic'!G$1:I$364, 2, FALSE),"")</f>
        <v/>
      </c>
      <c r="G392" s="128" t="str">
        <f>IF(E392 &lt;&gt; "", VLOOKUP(E392, '[2]Internal-logic'!G$1:I$364, 3, FALSE),"")</f>
        <v/>
      </c>
      <c r="H392" s="128"/>
      <c r="I392" s="128"/>
      <c r="J392" s="128"/>
      <c r="K392" s="128"/>
      <c r="Q392" s="128"/>
      <c r="R392" s="128"/>
      <c r="S392" s="128"/>
      <c r="U392" s="128"/>
      <c r="X392" s="128"/>
      <c r="Y392" s="128"/>
      <c r="Z392" s="128"/>
      <c r="AA392" s="128"/>
      <c r="AB392" s="128"/>
      <c r="AC392" s="128"/>
      <c r="AD392" s="128"/>
      <c r="AE392" s="128"/>
      <c r="AF392" s="128"/>
      <c r="AG392" s="128"/>
      <c r="AI392" s="128"/>
      <c r="AJ392" s="128"/>
      <c r="AY392" s="128"/>
      <c r="BN392" s="128"/>
      <c r="BQ392" s="128"/>
      <c r="BR392" s="128"/>
      <c r="BT392" s="128"/>
      <c r="BV392" s="128"/>
      <c r="BX392" s="128"/>
      <c r="CU392" s="128"/>
      <c r="CW392" s="128"/>
      <c r="DN392" s="128"/>
      <c r="DP392" s="128"/>
      <c r="DR392" s="128"/>
      <c r="DV392" s="128"/>
      <c r="DX392" s="128"/>
      <c r="DY392" s="128"/>
      <c r="EA392" s="128"/>
      <c r="EB392" s="128"/>
      <c r="EC392" s="128"/>
      <c r="EG392" s="128"/>
      <c r="EL392" s="128"/>
      <c r="EM392" s="128"/>
      <c r="EO392" s="128"/>
      <c r="EQ392" s="128"/>
      <c r="ES392" s="128"/>
      <c r="EU392" s="128"/>
      <c r="EW392" s="128"/>
      <c r="EY392" s="128"/>
    </row>
    <row r="393" spans="3:155">
      <c r="C393" s="128"/>
      <c r="D393" s="128"/>
      <c r="E393" s="128"/>
      <c r="F393" s="128" t="str">
        <f>IF(E393 &lt;&gt; "", VLOOKUP(E393, '[2]Internal-logic'!G$1:I$364, 2, FALSE),"")</f>
        <v/>
      </c>
      <c r="G393" s="128" t="str">
        <f>IF(E393 &lt;&gt; "", VLOOKUP(E393, '[2]Internal-logic'!G$1:I$364, 3, FALSE),"")</f>
        <v/>
      </c>
      <c r="H393" s="128"/>
      <c r="I393" s="128"/>
      <c r="J393" s="128"/>
      <c r="K393" s="128"/>
      <c r="Q393" s="128"/>
      <c r="R393" s="128"/>
      <c r="S393" s="128"/>
      <c r="U393" s="128"/>
      <c r="X393" s="128"/>
      <c r="Y393" s="128"/>
      <c r="Z393" s="128"/>
      <c r="AA393" s="128"/>
      <c r="AB393" s="128"/>
      <c r="AC393" s="128"/>
      <c r="AD393" s="128"/>
      <c r="AE393" s="128"/>
      <c r="AF393" s="128"/>
      <c r="AG393" s="128"/>
      <c r="AI393" s="128"/>
      <c r="AJ393" s="128"/>
      <c r="AY393" s="128"/>
      <c r="BN393" s="128"/>
      <c r="BQ393" s="128"/>
      <c r="BR393" s="128"/>
      <c r="BT393" s="128"/>
      <c r="BV393" s="128"/>
      <c r="BX393" s="128"/>
      <c r="CU393" s="128"/>
      <c r="CW393" s="128"/>
      <c r="DN393" s="128"/>
      <c r="DP393" s="128"/>
      <c r="DR393" s="128"/>
      <c r="DV393" s="128"/>
      <c r="DX393" s="128"/>
      <c r="DY393" s="128"/>
      <c r="EA393" s="128"/>
      <c r="EB393" s="128"/>
      <c r="EC393" s="128"/>
      <c r="EG393" s="128"/>
      <c r="EL393" s="128"/>
      <c r="EM393" s="128"/>
      <c r="EO393" s="128"/>
      <c r="EQ393" s="128"/>
      <c r="ES393" s="128"/>
      <c r="EU393" s="128"/>
      <c r="EW393" s="128"/>
      <c r="EY393" s="128"/>
    </row>
    <row r="394" spans="3:155">
      <c r="C394" s="128"/>
      <c r="D394" s="128"/>
      <c r="E394" s="128"/>
      <c r="F394" s="128" t="str">
        <f>IF(E394 &lt;&gt; "", VLOOKUP(E394, '[2]Internal-logic'!G$1:I$364, 2, FALSE),"")</f>
        <v/>
      </c>
      <c r="G394" s="128" t="str">
        <f>IF(E394 &lt;&gt; "", VLOOKUP(E394, '[2]Internal-logic'!G$1:I$364, 3, FALSE),"")</f>
        <v/>
      </c>
      <c r="H394" s="128"/>
      <c r="I394" s="128"/>
      <c r="J394" s="128"/>
      <c r="K394" s="128"/>
      <c r="Q394" s="128"/>
      <c r="R394" s="128"/>
      <c r="S394" s="128"/>
      <c r="U394" s="128"/>
      <c r="X394" s="128"/>
      <c r="Y394" s="128"/>
      <c r="Z394" s="128"/>
      <c r="AA394" s="128"/>
      <c r="AB394" s="128"/>
      <c r="AC394" s="128"/>
      <c r="AD394" s="128"/>
      <c r="AE394" s="128"/>
      <c r="AF394" s="128"/>
      <c r="AG394" s="128"/>
      <c r="AI394" s="128"/>
      <c r="AJ394" s="128"/>
      <c r="AY394" s="128"/>
      <c r="BN394" s="128"/>
      <c r="BQ394" s="128"/>
      <c r="BR394" s="128"/>
      <c r="BT394" s="128"/>
      <c r="BV394" s="128"/>
      <c r="BX394" s="128"/>
      <c r="CU394" s="128"/>
      <c r="CW394" s="128"/>
      <c r="DN394" s="128"/>
      <c r="DP394" s="128"/>
      <c r="DR394" s="128"/>
      <c r="DV394" s="128"/>
      <c r="DX394" s="128"/>
      <c r="DY394" s="128"/>
      <c r="EA394" s="128"/>
      <c r="EB394" s="128"/>
      <c r="EC394" s="128"/>
      <c r="EG394" s="128"/>
      <c r="EL394" s="128"/>
      <c r="EM394" s="128"/>
      <c r="EO394" s="128"/>
      <c r="EQ394" s="128"/>
      <c r="ES394" s="128"/>
      <c r="EU394" s="128"/>
      <c r="EW394" s="128"/>
      <c r="EY394" s="128"/>
    </row>
    <row r="395" spans="3:155">
      <c r="C395" s="128"/>
      <c r="D395" s="128"/>
      <c r="E395" s="128"/>
      <c r="F395" s="128" t="str">
        <f>IF(E395 &lt;&gt; "", VLOOKUP(E395, '[2]Internal-logic'!G$1:I$364, 2, FALSE),"")</f>
        <v/>
      </c>
      <c r="G395" s="128" t="str">
        <f>IF(E395 &lt;&gt; "", VLOOKUP(E395, '[2]Internal-logic'!G$1:I$364, 3, FALSE),"")</f>
        <v/>
      </c>
      <c r="H395" s="128"/>
      <c r="I395" s="128"/>
      <c r="J395" s="128"/>
      <c r="K395" s="128"/>
      <c r="Q395" s="128"/>
      <c r="R395" s="128"/>
      <c r="S395" s="128"/>
      <c r="U395" s="128"/>
      <c r="X395" s="128"/>
      <c r="Y395" s="128"/>
      <c r="Z395" s="128"/>
      <c r="AA395" s="128"/>
      <c r="AB395" s="128"/>
      <c r="AC395" s="128"/>
      <c r="AD395" s="128"/>
      <c r="AE395" s="128"/>
      <c r="AF395" s="128"/>
      <c r="AG395" s="128"/>
      <c r="AI395" s="128"/>
      <c r="AJ395" s="128"/>
      <c r="AY395" s="128"/>
      <c r="BN395" s="128"/>
      <c r="BQ395" s="128"/>
      <c r="BR395" s="128"/>
      <c r="BT395" s="128"/>
      <c r="BV395" s="128"/>
      <c r="BX395" s="128"/>
      <c r="CU395" s="128"/>
      <c r="CW395" s="128"/>
      <c r="DN395" s="128"/>
      <c r="DP395" s="128"/>
      <c r="DR395" s="128"/>
      <c r="DV395" s="128"/>
      <c r="DX395" s="128"/>
      <c r="DY395" s="128"/>
      <c r="EA395" s="128"/>
      <c r="EB395" s="128"/>
      <c r="EC395" s="128"/>
      <c r="EG395" s="128"/>
      <c r="EL395" s="128"/>
      <c r="EM395" s="128"/>
      <c r="EO395" s="128"/>
      <c r="EQ395" s="128"/>
      <c r="ES395" s="128"/>
      <c r="EU395" s="128"/>
      <c r="EW395" s="128"/>
      <c r="EY395" s="128"/>
    </row>
    <row r="396" spans="3:155">
      <c r="C396" s="128"/>
      <c r="D396" s="128"/>
      <c r="E396" s="128"/>
      <c r="F396" s="128" t="str">
        <f>IF(E396 &lt;&gt; "", VLOOKUP(E396, '[2]Internal-logic'!G$1:I$364, 2, FALSE),"")</f>
        <v/>
      </c>
      <c r="G396" s="128" t="str">
        <f>IF(E396 &lt;&gt; "", VLOOKUP(E396, '[2]Internal-logic'!G$1:I$364, 3, FALSE),"")</f>
        <v/>
      </c>
      <c r="H396" s="128"/>
      <c r="I396" s="128"/>
      <c r="J396" s="128"/>
      <c r="K396" s="128"/>
      <c r="Q396" s="128"/>
      <c r="R396" s="128"/>
      <c r="S396" s="128"/>
      <c r="U396" s="128"/>
      <c r="X396" s="128"/>
      <c r="Y396" s="128"/>
      <c r="Z396" s="128"/>
      <c r="AA396" s="128"/>
      <c r="AB396" s="128"/>
      <c r="AC396" s="128"/>
      <c r="AD396" s="128"/>
      <c r="AE396" s="128"/>
      <c r="AF396" s="128"/>
      <c r="AG396" s="128"/>
      <c r="AI396" s="128"/>
      <c r="AJ396" s="128"/>
      <c r="AY396" s="128"/>
      <c r="BN396" s="128"/>
      <c r="BQ396" s="128"/>
      <c r="BR396" s="128"/>
      <c r="BT396" s="128"/>
      <c r="BV396" s="128"/>
      <c r="BX396" s="128"/>
      <c r="CU396" s="128"/>
      <c r="CW396" s="128"/>
      <c r="DN396" s="128"/>
      <c r="DP396" s="128"/>
      <c r="DR396" s="128"/>
      <c r="DV396" s="128"/>
      <c r="DX396" s="128"/>
      <c r="DY396" s="128"/>
      <c r="EA396" s="128"/>
      <c r="EB396" s="128"/>
      <c r="EC396" s="128"/>
      <c r="EG396" s="128"/>
      <c r="EL396" s="128"/>
      <c r="EM396" s="128"/>
      <c r="EO396" s="128"/>
      <c r="EQ396" s="128"/>
      <c r="ES396" s="128"/>
      <c r="EU396" s="128"/>
      <c r="EW396" s="128"/>
      <c r="EY396" s="128"/>
    </row>
    <row r="397" spans="3:155">
      <c r="C397" s="128"/>
      <c r="D397" s="128"/>
      <c r="E397" s="128"/>
      <c r="F397" s="128" t="str">
        <f>IF(E397 &lt;&gt; "", VLOOKUP(E397, '[2]Internal-logic'!G$1:I$364, 2, FALSE),"")</f>
        <v/>
      </c>
      <c r="G397" s="128" t="str">
        <f>IF(E397 &lt;&gt; "", VLOOKUP(E397, '[2]Internal-logic'!G$1:I$364, 3, FALSE),"")</f>
        <v/>
      </c>
      <c r="H397" s="128"/>
      <c r="I397" s="128"/>
      <c r="J397" s="128"/>
      <c r="K397" s="128"/>
      <c r="Q397" s="128"/>
      <c r="R397" s="128"/>
      <c r="S397" s="128"/>
      <c r="U397" s="128"/>
      <c r="X397" s="128"/>
      <c r="Y397" s="128"/>
      <c r="Z397" s="128"/>
      <c r="AA397" s="128"/>
      <c r="AB397" s="128"/>
      <c r="AC397" s="128"/>
      <c r="AD397" s="128"/>
      <c r="AE397" s="128"/>
      <c r="AF397" s="128"/>
      <c r="AG397" s="128"/>
      <c r="AI397" s="128"/>
      <c r="AJ397" s="128"/>
      <c r="AY397" s="128"/>
      <c r="BN397" s="128"/>
      <c r="BQ397" s="128"/>
      <c r="BR397" s="128"/>
      <c r="BT397" s="128"/>
      <c r="BV397" s="128"/>
      <c r="BX397" s="128"/>
      <c r="CU397" s="128"/>
      <c r="CW397" s="128"/>
      <c r="DN397" s="128"/>
      <c r="DP397" s="128"/>
      <c r="DR397" s="128"/>
      <c r="DV397" s="128"/>
      <c r="DX397" s="128"/>
      <c r="DY397" s="128"/>
      <c r="EA397" s="128"/>
      <c r="EB397" s="128"/>
      <c r="EC397" s="128"/>
      <c r="EG397" s="128"/>
      <c r="EL397" s="128"/>
      <c r="EM397" s="128"/>
      <c r="EO397" s="128"/>
      <c r="EQ397" s="128"/>
      <c r="ES397" s="128"/>
      <c r="EU397" s="128"/>
      <c r="EW397" s="128"/>
      <c r="EY397" s="128"/>
    </row>
    <row r="398" spans="3:155">
      <c r="C398" s="128"/>
      <c r="D398" s="128"/>
      <c r="E398" s="128"/>
      <c r="F398" s="128" t="str">
        <f>IF(E398 &lt;&gt; "", VLOOKUP(E398, '[2]Internal-logic'!G$1:I$364, 2, FALSE),"")</f>
        <v/>
      </c>
      <c r="G398" s="128" t="str">
        <f>IF(E398 &lt;&gt; "", VLOOKUP(E398, '[2]Internal-logic'!G$1:I$364, 3, FALSE),"")</f>
        <v/>
      </c>
      <c r="H398" s="128"/>
      <c r="I398" s="128"/>
      <c r="J398" s="128"/>
      <c r="K398" s="128"/>
      <c r="Q398" s="128"/>
      <c r="R398" s="128"/>
      <c r="S398" s="128"/>
      <c r="U398" s="128"/>
      <c r="X398" s="128"/>
      <c r="Y398" s="128"/>
      <c r="Z398" s="128"/>
      <c r="AA398" s="128"/>
      <c r="AB398" s="128"/>
      <c r="AC398" s="128"/>
      <c r="AD398" s="128"/>
      <c r="AE398" s="128"/>
      <c r="AF398" s="128"/>
      <c r="AG398" s="128"/>
      <c r="AI398" s="128"/>
      <c r="AJ398" s="128"/>
      <c r="AY398" s="128"/>
      <c r="BN398" s="128"/>
      <c r="BQ398" s="128"/>
      <c r="BR398" s="128"/>
      <c r="BT398" s="128"/>
      <c r="BV398" s="128"/>
      <c r="BX398" s="128"/>
      <c r="CU398" s="128"/>
      <c r="CW398" s="128"/>
      <c r="DN398" s="128"/>
      <c r="DP398" s="128"/>
      <c r="DR398" s="128"/>
      <c r="DV398" s="128"/>
      <c r="DX398" s="128"/>
      <c r="DY398" s="128"/>
      <c r="EA398" s="128"/>
      <c r="EB398" s="128"/>
      <c r="EC398" s="128"/>
      <c r="EG398" s="128"/>
      <c r="EL398" s="128"/>
      <c r="EM398" s="128"/>
      <c r="EO398" s="128"/>
      <c r="EQ398" s="128"/>
      <c r="ES398" s="128"/>
      <c r="EU398" s="128"/>
      <c r="EW398" s="128"/>
      <c r="EY398" s="128"/>
    </row>
    <row r="399" spans="3:155">
      <c r="C399" s="128"/>
      <c r="D399" s="128"/>
      <c r="E399" s="128"/>
      <c r="F399" s="128" t="str">
        <f>IF(E399 &lt;&gt; "", VLOOKUP(E399, '[2]Internal-logic'!G$1:I$364, 2, FALSE),"")</f>
        <v/>
      </c>
      <c r="G399" s="128" t="str">
        <f>IF(E399 &lt;&gt; "", VLOOKUP(E399, '[2]Internal-logic'!G$1:I$364, 3, FALSE),"")</f>
        <v/>
      </c>
      <c r="H399" s="128"/>
      <c r="I399" s="128"/>
      <c r="J399" s="128"/>
      <c r="K399" s="128"/>
      <c r="Q399" s="128"/>
      <c r="R399" s="128"/>
      <c r="S399" s="128"/>
      <c r="U399" s="128"/>
      <c r="X399" s="128"/>
      <c r="Y399" s="128"/>
      <c r="Z399" s="128"/>
      <c r="AA399" s="128"/>
      <c r="AB399" s="128"/>
      <c r="AC399" s="128"/>
      <c r="AD399" s="128"/>
      <c r="AE399" s="128"/>
      <c r="AF399" s="128"/>
      <c r="AG399" s="128"/>
      <c r="AI399" s="128"/>
      <c r="AJ399" s="128"/>
      <c r="AY399" s="128"/>
      <c r="BN399" s="128"/>
      <c r="BQ399" s="128"/>
      <c r="BR399" s="128"/>
      <c r="BT399" s="128"/>
      <c r="BV399" s="128"/>
      <c r="BX399" s="128"/>
      <c r="CU399" s="128"/>
      <c r="CW399" s="128"/>
      <c r="DN399" s="128"/>
      <c r="DP399" s="128"/>
      <c r="DR399" s="128"/>
      <c r="DV399" s="128"/>
      <c r="DX399" s="128"/>
      <c r="DY399" s="128"/>
      <c r="EA399" s="128"/>
      <c r="EB399" s="128"/>
      <c r="EC399" s="128"/>
      <c r="EG399" s="128"/>
      <c r="EL399" s="128"/>
      <c r="EM399" s="128"/>
      <c r="EO399" s="128"/>
      <c r="EQ399" s="128"/>
      <c r="ES399" s="128"/>
      <c r="EU399" s="128"/>
      <c r="EW399" s="128"/>
      <c r="EY399" s="128"/>
    </row>
    <row r="400" spans="3:155">
      <c r="C400" s="128"/>
      <c r="D400" s="128"/>
      <c r="E400" s="128"/>
      <c r="F400" s="128" t="str">
        <f>IF(E400 &lt;&gt; "", VLOOKUP(E400, '[2]Internal-logic'!G$1:I$364, 2, FALSE),"")</f>
        <v/>
      </c>
      <c r="G400" s="128" t="str">
        <f>IF(E400 &lt;&gt; "", VLOOKUP(E400, '[2]Internal-logic'!G$1:I$364, 3, FALSE),"")</f>
        <v/>
      </c>
      <c r="H400" s="128"/>
      <c r="I400" s="128"/>
      <c r="J400" s="128"/>
      <c r="K400" s="128"/>
      <c r="Q400" s="128"/>
      <c r="R400" s="128"/>
      <c r="S400" s="128"/>
      <c r="U400" s="128"/>
      <c r="X400" s="128"/>
      <c r="Y400" s="128"/>
      <c r="Z400" s="128"/>
      <c r="AA400" s="128"/>
      <c r="AB400" s="128"/>
      <c r="AC400" s="128"/>
      <c r="AD400" s="128"/>
      <c r="AE400" s="128"/>
      <c r="AF400" s="128"/>
      <c r="AG400" s="128"/>
      <c r="AI400" s="128"/>
      <c r="AJ400" s="128"/>
      <c r="AY400" s="128"/>
      <c r="BN400" s="128"/>
      <c r="BQ400" s="128"/>
      <c r="BR400" s="128"/>
      <c r="BT400" s="128"/>
      <c r="BV400" s="128"/>
      <c r="BX400" s="128"/>
      <c r="CU400" s="128"/>
      <c r="CW400" s="128"/>
      <c r="DN400" s="128"/>
      <c r="DP400" s="128"/>
      <c r="DR400" s="128"/>
      <c r="DV400" s="128"/>
      <c r="DX400" s="128"/>
      <c r="DY400" s="128"/>
      <c r="EA400" s="128"/>
      <c r="EB400" s="128"/>
      <c r="EC400" s="128"/>
      <c r="EG400" s="128"/>
      <c r="EL400" s="128"/>
      <c r="EM400" s="128"/>
      <c r="EO400" s="128"/>
      <c r="EQ400" s="128"/>
      <c r="ES400" s="128"/>
      <c r="EU400" s="128"/>
      <c r="EW400" s="128"/>
      <c r="EY400" s="128"/>
    </row>
    <row r="401" spans="3:155">
      <c r="C401" s="128"/>
      <c r="D401" s="128"/>
      <c r="E401" s="128"/>
      <c r="F401" s="128" t="str">
        <f>IF(E401 &lt;&gt; "", VLOOKUP(E401, '[2]Internal-logic'!G$1:I$364, 2, FALSE),"")</f>
        <v/>
      </c>
      <c r="G401" s="128" t="str">
        <f>IF(E401 &lt;&gt; "", VLOOKUP(E401, '[2]Internal-logic'!G$1:I$364, 3, FALSE),"")</f>
        <v/>
      </c>
      <c r="H401" s="128"/>
      <c r="I401" s="128"/>
      <c r="J401" s="128"/>
      <c r="K401" s="128"/>
      <c r="Q401" s="128"/>
      <c r="R401" s="128"/>
      <c r="S401" s="128"/>
      <c r="U401" s="128"/>
      <c r="X401" s="128"/>
      <c r="Y401" s="128"/>
      <c r="Z401" s="128"/>
      <c r="AA401" s="128"/>
      <c r="AB401" s="128"/>
      <c r="AC401" s="128"/>
      <c r="AD401" s="128"/>
      <c r="AE401" s="128"/>
      <c r="AF401" s="128"/>
      <c r="AG401" s="128"/>
      <c r="AI401" s="128"/>
      <c r="AJ401" s="128"/>
      <c r="AY401" s="128"/>
      <c r="BN401" s="128"/>
      <c r="BQ401" s="128"/>
      <c r="BR401" s="128"/>
      <c r="BT401" s="128"/>
      <c r="BV401" s="128"/>
      <c r="BX401" s="128"/>
      <c r="CU401" s="128"/>
      <c r="CW401" s="128"/>
      <c r="DN401" s="128"/>
      <c r="DP401" s="128"/>
      <c r="DR401" s="128"/>
      <c r="DV401" s="128"/>
      <c r="DX401" s="128"/>
      <c r="DY401" s="128"/>
      <c r="EA401" s="128"/>
      <c r="EB401" s="128"/>
      <c r="EC401" s="128"/>
      <c r="EG401" s="128"/>
      <c r="EL401" s="128"/>
      <c r="EM401" s="128"/>
      <c r="EO401" s="128"/>
      <c r="EQ401" s="128"/>
      <c r="ES401" s="128"/>
      <c r="EU401" s="128"/>
      <c r="EW401" s="128"/>
      <c r="EY401" s="128"/>
    </row>
    <row r="402" spans="3:155">
      <c r="C402" s="128"/>
      <c r="D402" s="128"/>
      <c r="E402" s="128"/>
      <c r="F402" s="128" t="str">
        <f>IF(E402 &lt;&gt; "", VLOOKUP(E402, '[2]Internal-logic'!G$1:I$364, 2, FALSE),"")</f>
        <v/>
      </c>
      <c r="G402" s="128" t="str">
        <f>IF(E402 &lt;&gt; "", VLOOKUP(E402, '[2]Internal-logic'!G$1:I$364, 3, FALSE),"")</f>
        <v/>
      </c>
      <c r="H402" s="128"/>
      <c r="I402" s="128"/>
      <c r="J402" s="128"/>
      <c r="K402" s="128"/>
      <c r="Q402" s="128"/>
      <c r="R402" s="128"/>
      <c r="S402" s="128"/>
      <c r="U402" s="128"/>
      <c r="X402" s="128"/>
      <c r="Y402" s="128"/>
      <c r="Z402" s="128"/>
      <c r="AA402" s="128"/>
      <c r="AB402" s="128"/>
      <c r="AC402" s="128"/>
      <c r="AD402" s="128"/>
      <c r="AE402" s="128"/>
      <c r="AF402" s="128"/>
      <c r="AG402" s="128"/>
      <c r="AI402" s="128"/>
      <c r="AJ402" s="128"/>
      <c r="AY402" s="128"/>
      <c r="BN402" s="128"/>
      <c r="BQ402" s="128"/>
      <c r="BR402" s="128"/>
      <c r="BT402" s="128"/>
      <c r="BV402" s="128"/>
      <c r="BX402" s="128"/>
      <c r="CU402" s="128"/>
      <c r="CW402" s="128"/>
      <c r="DN402" s="128"/>
      <c r="DP402" s="128"/>
      <c r="DR402" s="128"/>
      <c r="DV402" s="128"/>
      <c r="DX402" s="128"/>
      <c r="DY402" s="128"/>
      <c r="EA402" s="128"/>
      <c r="EB402" s="128"/>
      <c r="EC402" s="128"/>
      <c r="EG402" s="128"/>
      <c r="EL402" s="128"/>
      <c r="EM402" s="128"/>
      <c r="EO402" s="128"/>
      <c r="EQ402" s="128"/>
      <c r="ES402" s="128"/>
      <c r="EU402" s="128"/>
      <c r="EW402" s="128"/>
      <c r="EY402" s="128"/>
    </row>
    <row r="403" spans="3:155">
      <c r="C403" s="128"/>
      <c r="D403" s="128"/>
      <c r="E403" s="128"/>
      <c r="F403" s="128" t="str">
        <f>IF(E403 &lt;&gt; "", VLOOKUP(E403, '[2]Internal-logic'!G$1:I$364, 2, FALSE),"")</f>
        <v/>
      </c>
      <c r="G403" s="128" t="str">
        <f>IF(E403 &lt;&gt; "", VLOOKUP(E403, '[2]Internal-logic'!G$1:I$364, 3, FALSE),"")</f>
        <v/>
      </c>
      <c r="H403" s="128"/>
      <c r="I403" s="128"/>
      <c r="J403" s="128"/>
      <c r="K403" s="128"/>
      <c r="Q403" s="128"/>
      <c r="R403" s="128"/>
      <c r="S403" s="128"/>
      <c r="U403" s="128"/>
      <c r="X403" s="128"/>
      <c r="Y403" s="128"/>
      <c r="Z403" s="128"/>
      <c r="AA403" s="128"/>
      <c r="AB403" s="128"/>
      <c r="AC403" s="128"/>
      <c r="AD403" s="128"/>
      <c r="AE403" s="128"/>
      <c r="AF403" s="128"/>
      <c r="AG403" s="128"/>
      <c r="AI403" s="128"/>
      <c r="AJ403" s="128"/>
      <c r="AY403" s="128"/>
      <c r="BN403" s="128"/>
      <c r="BQ403" s="128"/>
      <c r="BR403" s="128"/>
      <c r="BT403" s="128"/>
      <c r="BV403" s="128"/>
      <c r="BX403" s="128"/>
      <c r="CU403" s="128"/>
      <c r="CW403" s="128"/>
      <c r="DN403" s="128"/>
      <c r="DP403" s="128"/>
      <c r="DR403" s="128"/>
      <c r="DV403" s="128"/>
      <c r="DX403" s="128"/>
      <c r="DY403" s="128"/>
      <c r="EA403" s="128"/>
      <c r="EB403" s="128"/>
      <c r="EC403" s="128"/>
      <c r="EG403" s="128"/>
      <c r="EL403" s="128"/>
      <c r="EM403" s="128"/>
      <c r="EO403" s="128"/>
      <c r="EQ403" s="128"/>
      <c r="ES403" s="128"/>
      <c r="EU403" s="128"/>
      <c r="EW403" s="128"/>
      <c r="EY403" s="128"/>
    </row>
    <row r="404" spans="3:155">
      <c r="C404" s="128"/>
      <c r="D404" s="128"/>
      <c r="E404" s="128"/>
      <c r="F404" s="128" t="str">
        <f>IF(E404 &lt;&gt; "", VLOOKUP(E404, '[2]Internal-logic'!G$1:I$364, 2, FALSE),"")</f>
        <v/>
      </c>
      <c r="G404" s="128" t="str">
        <f>IF(E404 &lt;&gt; "", VLOOKUP(E404, '[2]Internal-logic'!G$1:I$364, 3, FALSE),"")</f>
        <v/>
      </c>
      <c r="H404" s="128"/>
      <c r="I404" s="128"/>
      <c r="J404" s="128"/>
      <c r="K404" s="128"/>
      <c r="Q404" s="128"/>
      <c r="R404" s="128"/>
      <c r="S404" s="128"/>
      <c r="U404" s="128"/>
      <c r="X404" s="128"/>
      <c r="Y404" s="128"/>
      <c r="Z404" s="128"/>
      <c r="AA404" s="128"/>
      <c r="AB404" s="128"/>
      <c r="AC404" s="128"/>
      <c r="AD404" s="128"/>
      <c r="AE404" s="128"/>
      <c r="AF404" s="128"/>
      <c r="AG404" s="128"/>
      <c r="AI404" s="128"/>
      <c r="AJ404" s="128"/>
      <c r="AY404" s="128"/>
      <c r="BN404" s="128"/>
      <c r="BQ404" s="128"/>
      <c r="BR404" s="128"/>
      <c r="BT404" s="128"/>
      <c r="BV404" s="128"/>
      <c r="BX404" s="128"/>
      <c r="CU404" s="128"/>
      <c r="CW404" s="128"/>
      <c r="DN404" s="128"/>
      <c r="DP404" s="128"/>
      <c r="DR404" s="128"/>
      <c r="DV404" s="128"/>
      <c r="DX404" s="128"/>
      <c r="DY404" s="128"/>
      <c r="EA404" s="128"/>
      <c r="EB404" s="128"/>
      <c r="EC404" s="128"/>
      <c r="EG404" s="128"/>
      <c r="EL404" s="128"/>
      <c r="EM404" s="128"/>
      <c r="EO404" s="128"/>
      <c r="EQ404" s="128"/>
      <c r="ES404" s="128"/>
      <c r="EU404" s="128"/>
      <c r="EW404" s="128"/>
      <c r="EY404" s="128"/>
    </row>
    <row r="405" spans="3:155">
      <c r="C405" s="128"/>
      <c r="D405" s="128"/>
      <c r="E405" s="128"/>
      <c r="F405" s="128" t="str">
        <f>IF(E405 &lt;&gt; "", VLOOKUP(E405, '[2]Internal-logic'!G$1:I$364, 2, FALSE),"")</f>
        <v/>
      </c>
      <c r="G405" s="128" t="str">
        <f>IF(E405 &lt;&gt; "", VLOOKUP(E405, '[2]Internal-logic'!G$1:I$364, 3, FALSE),"")</f>
        <v/>
      </c>
      <c r="H405" s="128"/>
      <c r="I405" s="128"/>
      <c r="J405" s="128"/>
      <c r="K405" s="128"/>
      <c r="Q405" s="128"/>
      <c r="R405" s="128"/>
      <c r="S405" s="128"/>
      <c r="U405" s="128"/>
      <c r="X405" s="128"/>
      <c r="Y405" s="128"/>
      <c r="Z405" s="128"/>
      <c r="AA405" s="128"/>
      <c r="AB405" s="128"/>
      <c r="AC405" s="128"/>
      <c r="AD405" s="128"/>
      <c r="AE405" s="128"/>
      <c r="AF405" s="128"/>
      <c r="AG405" s="128"/>
      <c r="AI405" s="128"/>
      <c r="AJ405" s="128"/>
      <c r="AY405" s="128"/>
      <c r="BN405" s="128"/>
      <c r="BQ405" s="128"/>
      <c r="BR405" s="128"/>
      <c r="BT405" s="128"/>
      <c r="BV405" s="128"/>
      <c r="BX405" s="128"/>
      <c r="CU405" s="128"/>
      <c r="CW405" s="128"/>
      <c r="DN405" s="128"/>
      <c r="DP405" s="128"/>
      <c r="DR405" s="128"/>
      <c r="DV405" s="128"/>
      <c r="DX405" s="128"/>
      <c r="DY405" s="128"/>
      <c r="EA405" s="128"/>
      <c r="EB405" s="128"/>
      <c r="EC405" s="128"/>
      <c r="EG405" s="128"/>
      <c r="EL405" s="128"/>
      <c r="EM405" s="128"/>
      <c r="EO405" s="128"/>
      <c r="EQ405" s="128"/>
      <c r="ES405" s="128"/>
      <c r="EU405" s="128"/>
      <c r="EW405" s="128"/>
      <c r="EY405" s="128"/>
    </row>
    <row r="406" spans="3:155">
      <c r="C406" s="128"/>
      <c r="D406" s="128"/>
      <c r="E406" s="128"/>
      <c r="F406" s="128" t="str">
        <f>IF(E406 &lt;&gt; "", VLOOKUP(E406, '[2]Internal-logic'!G$1:I$364, 2, FALSE),"")</f>
        <v/>
      </c>
      <c r="G406" s="128" t="str">
        <f>IF(E406 &lt;&gt; "", VLOOKUP(E406, '[2]Internal-logic'!G$1:I$364, 3, FALSE),"")</f>
        <v/>
      </c>
      <c r="H406" s="128"/>
      <c r="I406" s="128"/>
      <c r="J406" s="128"/>
      <c r="K406" s="128"/>
      <c r="Q406" s="128"/>
      <c r="R406" s="128"/>
      <c r="S406" s="128"/>
      <c r="U406" s="128"/>
      <c r="X406" s="128"/>
      <c r="Y406" s="128"/>
      <c r="Z406" s="128"/>
      <c r="AA406" s="128"/>
      <c r="AB406" s="128"/>
      <c r="AC406" s="128"/>
      <c r="AD406" s="128"/>
      <c r="AE406" s="128"/>
      <c r="AF406" s="128"/>
      <c r="AG406" s="128"/>
      <c r="AI406" s="128"/>
      <c r="AJ406" s="128"/>
      <c r="AY406" s="128"/>
      <c r="BN406" s="128"/>
      <c r="BQ406" s="128"/>
      <c r="BR406" s="128"/>
      <c r="BT406" s="128"/>
      <c r="BV406" s="128"/>
      <c r="BX406" s="128"/>
      <c r="CU406" s="128"/>
      <c r="CW406" s="128"/>
      <c r="DN406" s="128"/>
      <c r="DP406" s="128"/>
      <c r="DR406" s="128"/>
      <c r="DV406" s="128"/>
      <c r="DX406" s="128"/>
      <c r="DY406" s="128"/>
      <c r="EA406" s="128"/>
      <c r="EB406" s="128"/>
      <c r="EC406" s="128"/>
      <c r="EG406" s="128"/>
      <c r="EL406" s="128"/>
      <c r="EM406" s="128"/>
      <c r="EO406" s="128"/>
      <c r="EQ406" s="128"/>
      <c r="ES406" s="128"/>
      <c r="EU406" s="128"/>
      <c r="EW406" s="128"/>
      <c r="EY406" s="128"/>
    </row>
    <row r="407" spans="3:155">
      <c r="C407" s="128"/>
      <c r="D407" s="128"/>
      <c r="E407" s="128"/>
      <c r="F407" s="128" t="str">
        <f>IF(E407 &lt;&gt; "", VLOOKUP(E407, '[2]Internal-logic'!G$1:I$364, 2, FALSE),"")</f>
        <v/>
      </c>
      <c r="G407" s="128" t="str">
        <f>IF(E407 &lt;&gt; "", VLOOKUP(E407, '[2]Internal-logic'!G$1:I$364, 3, FALSE),"")</f>
        <v/>
      </c>
      <c r="H407" s="128"/>
      <c r="I407" s="128"/>
      <c r="J407" s="128"/>
      <c r="K407" s="128"/>
      <c r="Q407" s="128"/>
      <c r="R407" s="128"/>
      <c r="S407" s="128"/>
      <c r="U407" s="128"/>
      <c r="X407" s="128"/>
      <c r="Y407" s="128"/>
      <c r="Z407" s="128"/>
      <c r="AA407" s="128"/>
      <c r="AB407" s="128"/>
      <c r="AC407" s="128"/>
      <c r="AD407" s="128"/>
      <c r="AE407" s="128"/>
      <c r="AF407" s="128"/>
      <c r="AG407" s="128"/>
      <c r="AI407" s="128"/>
      <c r="AJ407" s="128"/>
      <c r="AY407" s="128"/>
      <c r="BN407" s="128"/>
      <c r="BQ407" s="128"/>
      <c r="BR407" s="128"/>
      <c r="BT407" s="128"/>
      <c r="BV407" s="128"/>
      <c r="BX407" s="128"/>
      <c r="CU407" s="128"/>
      <c r="CW407" s="128"/>
      <c r="DN407" s="128"/>
      <c r="DP407" s="128"/>
      <c r="DR407" s="128"/>
      <c r="DV407" s="128"/>
      <c r="DX407" s="128"/>
      <c r="DY407" s="128"/>
      <c r="EA407" s="128"/>
      <c r="EB407" s="128"/>
      <c r="EC407" s="128"/>
      <c r="EG407" s="128"/>
      <c r="EL407" s="128"/>
      <c r="EM407" s="128"/>
      <c r="EO407" s="128"/>
      <c r="EQ407" s="128"/>
      <c r="ES407" s="128"/>
      <c r="EU407" s="128"/>
      <c r="EW407" s="128"/>
      <c r="EY407" s="128"/>
    </row>
    <row r="408" spans="3:155">
      <c r="C408" s="128"/>
      <c r="D408" s="128"/>
      <c r="E408" s="128"/>
      <c r="F408" s="128" t="str">
        <f>IF(E408 &lt;&gt; "", VLOOKUP(E408, '[2]Internal-logic'!G$1:I$364, 2, FALSE),"")</f>
        <v/>
      </c>
      <c r="G408" s="128" t="str">
        <f>IF(E408 &lt;&gt; "", VLOOKUP(E408, '[2]Internal-logic'!G$1:I$364, 3, FALSE),"")</f>
        <v/>
      </c>
      <c r="H408" s="128"/>
      <c r="I408" s="128"/>
      <c r="J408" s="128"/>
      <c r="K408" s="128"/>
      <c r="Q408" s="128"/>
      <c r="R408" s="128"/>
      <c r="S408" s="128"/>
      <c r="U408" s="128"/>
      <c r="X408" s="128"/>
      <c r="Y408" s="128"/>
      <c r="Z408" s="128"/>
      <c r="AA408" s="128"/>
      <c r="AB408" s="128"/>
      <c r="AC408" s="128"/>
      <c r="AD408" s="128"/>
      <c r="AE408" s="128"/>
      <c r="AF408" s="128"/>
      <c r="AG408" s="128"/>
      <c r="AI408" s="128"/>
      <c r="AJ408" s="128"/>
      <c r="AY408" s="128"/>
      <c r="BN408" s="128"/>
      <c r="BQ408" s="128"/>
      <c r="BR408" s="128"/>
      <c r="BT408" s="128"/>
      <c r="BV408" s="128"/>
      <c r="BX408" s="128"/>
      <c r="CU408" s="128"/>
      <c r="CW408" s="128"/>
      <c r="DN408" s="128"/>
      <c r="DP408" s="128"/>
      <c r="DR408" s="128"/>
      <c r="DV408" s="128"/>
      <c r="DX408" s="128"/>
      <c r="DY408" s="128"/>
      <c r="EA408" s="128"/>
      <c r="EB408" s="128"/>
      <c r="EC408" s="128"/>
      <c r="EG408" s="128"/>
      <c r="EL408" s="128"/>
      <c r="EM408" s="128"/>
      <c r="EO408" s="128"/>
      <c r="EQ408" s="128"/>
      <c r="ES408" s="128"/>
      <c r="EU408" s="128"/>
      <c r="EW408" s="128"/>
      <c r="EY408" s="128"/>
    </row>
    <row r="409" spans="3:155">
      <c r="C409" s="128"/>
      <c r="D409" s="128"/>
      <c r="E409" s="128"/>
      <c r="F409" s="128" t="str">
        <f>IF(E409 &lt;&gt; "", VLOOKUP(E409, '[2]Internal-logic'!G$1:I$364, 2, FALSE),"")</f>
        <v/>
      </c>
      <c r="G409" s="128" t="str">
        <f>IF(E409 &lt;&gt; "", VLOOKUP(E409, '[2]Internal-logic'!G$1:I$364, 3, FALSE),"")</f>
        <v/>
      </c>
      <c r="H409" s="128"/>
      <c r="I409" s="128"/>
      <c r="J409" s="128"/>
      <c r="K409" s="128"/>
      <c r="Q409" s="128"/>
      <c r="R409" s="128"/>
      <c r="S409" s="128"/>
      <c r="U409" s="128"/>
      <c r="X409" s="128"/>
      <c r="Y409" s="128"/>
      <c r="Z409" s="128"/>
      <c r="AA409" s="128"/>
      <c r="AB409" s="128"/>
      <c r="AC409" s="128"/>
      <c r="AD409" s="128"/>
      <c r="AE409" s="128"/>
      <c r="AF409" s="128"/>
      <c r="AG409" s="128"/>
      <c r="AI409" s="128"/>
      <c r="AJ409" s="128"/>
      <c r="AY409" s="128"/>
      <c r="BN409" s="128"/>
      <c r="BQ409" s="128"/>
      <c r="BR409" s="128"/>
      <c r="BT409" s="128"/>
      <c r="BV409" s="128"/>
      <c r="BX409" s="128"/>
      <c r="CU409" s="128"/>
      <c r="CW409" s="128"/>
      <c r="DN409" s="128"/>
      <c r="DP409" s="128"/>
      <c r="DR409" s="128"/>
      <c r="DV409" s="128"/>
      <c r="DX409" s="128"/>
      <c r="DY409" s="128"/>
      <c r="EA409" s="128"/>
      <c r="EB409" s="128"/>
      <c r="EC409" s="128"/>
      <c r="EG409" s="128"/>
      <c r="EL409" s="128"/>
      <c r="EM409" s="128"/>
      <c r="EO409" s="128"/>
      <c r="EQ409" s="128"/>
      <c r="ES409" s="128"/>
      <c r="EU409" s="128"/>
      <c r="EW409" s="128"/>
      <c r="EY409" s="128"/>
    </row>
    <row r="410" spans="3:155">
      <c r="C410" s="128"/>
      <c r="D410" s="128"/>
      <c r="E410" s="128"/>
      <c r="F410" s="128" t="str">
        <f>IF(E410 &lt;&gt; "", VLOOKUP(E410, '[2]Internal-logic'!G$1:I$364, 2, FALSE),"")</f>
        <v/>
      </c>
      <c r="G410" s="128" t="str">
        <f>IF(E410 &lt;&gt; "", VLOOKUP(E410, '[2]Internal-logic'!G$1:I$364, 3, FALSE),"")</f>
        <v/>
      </c>
      <c r="H410" s="128"/>
      <c r="I410" s="128"/>
      <c r="J410" s="128"/>
      <c r="K410" s="128"/>
      <c r="Q410" s="128"/>
      <c r="R410" s="128"/>
      <c r="S410" s="128"/>
      <c r="U410" s="128"/>
      <c r="X410" s="128"/>
      <c r="Y410" s="128"/>
      <c r="Z410" s="128"/>
      <c r="AA410" s="128"/>
      <c r="AB410" s="128"/>
      <c r="AC410" s="128"/>
      <c r="AD410" s="128"/>
      <c r="AE410" s="128"/>
      <c r="AF410" s="128"/>
      <c r="AG410" s="128"/>
      <c r="AI410" s="128"/>
      <c r="AJ410" s="128"/>
      <c r="AY410" s="128"/>
      <c r="BN410" s="128"/>
      <c r="BQ410" s="128"/>
      <c r="BR410" s="128"/>
      <c r="BT410" s="128"/>
      <c r="BV410" s="128"/>
      <c r="BX410" s="128"/>
      <c r="CU410" s="128"/>
      <c r="CW410" s="128"/>
      <c r="DN410" s="128"/>
      <c r="DP410" s="128"/>
      <c r="DR410" s="128"/>
      <c r="DV410" s="128"/>
      <c r="DX410" s="128"/>
      <c r="DY410" s="128"/>
      <c r="EA410" s="128"/>
      <c r="EB410" s="128"/>
      <c r="EC410" s="128"/>
      <c r="EG410" s="128"/>
      <c r="EL410" s="128"/>
      <c r="EM410" s="128"/>
      <c r="EO410" s="128"/>
      <c r="EQ410" s="128"/>
      <c r="ES410" s="128"/>
      <c r="EU410" s="128"/>
      <c r="EW410" s="128"/>
      <c r="EY410" s="128"/>
    </row>
    <row r="411" spans="3:155">
      <c r="C411" s="128"/>
      <c r="D411" s="128"/>
      <c r="E411" s="128"/>
      <c r="F411" s="128" t="str">
        <f>IF(E411 &lt;&gt; "", VLOOKUP(E411, '[2]Internal-logic'!G$1:I$364, 2, FALSE),"")</f>
        <v/>
      </c>
      <c r="G411" s="128" t="str">
        <f>IF(E411 &lt;&gt; "", VLOOKUP(E411, '[2]Internal-logic'!G$1:I$364, 3, FALSE),"")</f>
        <v/>
      </c>
      <c r="H411" s="128"/>
      <c r="I411" s="128"/>
      <c r="J411" s="128"/>
      <c r="K411" s="128"/>
      <c r="Q411" s="128"/>
      <c r="R411" s="128"/>
      <c r="S411" s="128"/>
      <c r="U411" s="128"/>
      <c r="X411" s="128"/>
      <c r="Y411" s="128"/>
      <c r="Z411" s="128"/>
      <c r="AA411" s="128"/>
      <c r="AB411" s="128"/>
      <c r="AC411" s="128"/>
      <c r="AD411" s="128"/>
      <c r="AE411" s="128"/>
      <c r="AF411" s="128"/>
      <c r="AG411" s="128"/>
      <c r="AI411" s="128"/>
      <c r="AJ411" s="128"/>
      <c r="AY411" s="128"/>
      <c r="BN411" s="128"/>
      <c r="BQ411" s="128"/>
      <c r="BR411" s="128"/>
      <c r="BT411" s="128"/>
      <c r="BV411" s="128"/>
      <c r="BX411" s="128"/>
      <c r="CU411" s="128"/>
      <c r="CW411" s="128"/>
      <c r="DN411" s="128"/>
      <c r="DP411" s="128"/>
      <c r="DR411" s="128"/>
      <c r="DV411" s="128"/>
      <c r="DX411" s="128"/>
      <c r="DY411" s="128"/>
      <c r="EA411" s="128"/>
      <c r="EB411" s="128"/>
      <c r="EC411" s="128"/>
      <c r="EG411" s="128"/>
      <c r="EL411" s="128"/>
      <c r="EM411" s="128"/>
      <c r="EO411" s="128"/>
      <c r="EQ411" s="128"/>
      <c r="ES411" s="128"/>
      <c r="EU411" s="128"/>
      <c r="EW411" s="128"/>
      <c r="EY411" s="128"/>
    </row>
    <row r="412" spans="3:155">
      <c r="C412" s="128"/>
      <c r="D412" s="128"/>
      <c r="E412" s="128"/>
      <c r="F412" s="128" t="str">
        <f>IF(E412 &lt;&gt; "", VLOOKUP(E412, '[2]Internal-logic'!G$1:I$364, 2, FALSE),"")</f>
        <v/>
      </c>
      <c r="G412" s="128" t="str">
        <f>IF(E412 &lt;&gt; "", VLOOKUP(E412, '[2]Internal-logic'!G$1:I$364, 3, FALSE),"")</f>
        <v/>
      </c>
      <c r="H412" s="128"/>
      <c r="I412" s="128"/>
      <c r="J412" s="128"/>
      <c r="K412" s="128"/>
      <c r="Q412" s="128"/>
      <c r="R412" s="128"/>
      <c r="S412" s="128"/>
      <c r="U412" s="128"/>
      <c r="X412" s="128"/>
      <c r="Y412" s="128"/>
      <c r="Z412" s="128"/>
      <c r="AA412" s="128"/>
      <c r="AB412" s="128"/>
      <c r="AC412" s="128"/>
      <c r="AD412" s="128"/>
      <c r="AE412" s="128"/>
      <c r="AF412" s="128"/>
      <c r="AG412" s="128"/>
      <c r="AI412" s="128"/>
      <c r="AJ412" s="128"/>
      <c r="AY412" s="128"/>
      <c r="BN412" s="128"/>
      <c r="BQ412" s="128"/>
      <c r="BR412" s="128"/>
      <c r="BT412" s="128"/>
      <c r="BV412" s="128"/>
      <c r="BX412" s="128"/>
      <c r="CU412" s="128"/>
      <c r="CW412" s="128"/>
      <c r="DN412" s="128"/>
      <c r="DP412" s="128"/>
      <c r="DR412" s="128"/>
      <c r="DV412" s="128"/>
      <c r="DX412" s="128"/>
      <c r="DY412" s="128"/>
      <c r="EA412" s="128"/>
      <c r="EB412" s="128"/>
      <c r="EC412" s="128"/>
      <c r="EG412" s="128"/>
      <c r="EL412" s="128"/>
      <c r="EM412" s="128"/>
      <c r="EO412" s="128"/>
      <c r="EQ412" s="128"/>
      <c r="ES412" s="128"/>
      <c r="EU412" s="128"/>
      <c r="EW412" s="128"/>
      <c r="EY412" s="128"/>
    </row>
    <row r="413" spans="3:155">
      <c r="C413" s="128"/>
      <c r="D413" s="128"/>
      <c r="E413" s="128"/>
      <c r="F413" s="128" t="str">
        <f>IF(E413 &lt;&gt; "", VLOOKUP(E413, '[2]Internal-logic'!G$1:I$364, 2, FALSE),"")</f>
        <v/>
      </c>
      <c r="G413" s="128" t="str">
        <f>IF(E413 &lt;&gt; "", VLOOKUP(E413, '[2]Internal-logic'!G$1:I$364, 3, FALSE),"")</f>
        <v/>
      </c>
      <c r="H413" s="128"/>
      <c r="I413" s="128"/>
      <c r="J413" s="128"/>
      <c r="K413" s="128"/>
      <c r="Q413" s="128"/>
      <c r="R413" s="128"/>
      <c r="S413" s="128"/>
      <c r="U413" s="128"/>
      <c r="X413" s="128"/>
      <c r="Y413" s="128"/>
      <c r="Z413" s="128"/>
      <c r="AA413" s="128"/>
      <c r="AB413" s="128"/>
      <c r="AC413" s="128"/>
      <c r="AD413" s="128"/>
      <c r="AE413" s="128"/>
      <c r="AF413" s="128"/>
      <c r="AG413" s="128"/>
      <c r="AI413" s="128"/>
      <c r="AJ413" s="128"/>
      <c r="AY413" s="128"/>
      <c r="BN413" s="128"/>
      <c r="BQ413" s="128"/>
      <c r="BR413" s="128"/>
      <c r="BT413" s="128"/>
      <c r="BV413" s="128"/>
      <c r="BX413" s="128"/>
      <c r="CU413" s="128"/>
      <c r="CW413" s="128"/>
      <c r="DN413" s="128"/>
      <c r="DP413" s="128"/>
      <c r="DR413" s="128"/>
      <c r="DV413" s="128"/>
      <c r="DX413" s="128"/>
      <c r="DY413" s="128"/>
      <c r="EA413" s="128"/>
      <c r="EB413" s="128"/>
      <c r="EC413" s="128"/>
      <c r="EG413" s="128"/>
      <c r="EL413" s="128"/>
      <c r="EM413" s="128"/>
      <c r="EO413" s="128"/>
      <c r="EQ413" s="128"/>
      <c r="ES413" s="128"/>
      <c r="EU413" s="128"/>
      <c r="EW413" s="128"/>
      <c r="EY413" s="128"/>
    </row>
    <row r="414" spans="3:155">
      <c r="C414" s="128"/>
      <c r="D414" s="128"/>
      <c r="E414" s="128"/>
      <c r="F414" s="128" t="str">
        <f>IF(E414 &lt;&gt; "", VLOOKUP(E414, '[2]Internal-logic'!G$1:I$364, 2, FALSE),"")</f>
        <v/>
      </c>
      <c r="G414" s="128" t="str">
        <f>IF(E414 &lt;&gt; "", VLOOKUP(E414, '[2]Internal-logic'!G$1:I$364, 3, FALSE),"")</f>
        <v/>
      </c>
      <c r="H414" s="128"/>
      <c r="I414" s="128"/>
      <c r="J414" s="128"/>
      <c r="K414" s="128"/>
      <c r="Q414" s="128"/>
      <c r="R414" s="128"/>
      <c r="S414" s="128"/>
      <c r="U414" s="128"/>
      <c r="X414" s="128"/>
      <c r="Y414" s="128"/>
      <c r="Z414" s="128"/>
      <c r="AA414" s="128"/>
      <c r="AB414" s="128"/>
      <c r="AC414" s="128"/>
      <c r="AD414" s="128"/>
      <c r="AE414" s="128"/>
      <c r="AF414" s="128"/>
      <c r="AG414" s="128"/>
      <c r="AI414" s="128"/>
      <c r="AJ414" s="128"/>
      <c r="AY414" s="128"/>
      <c r="BN414" s="128"/>
      <c r="BQ414" s="128"/>
      <c r="BR414" s="128"/>
      <c r="BT414" s="128"/>
      <c r="BV414" s="128"/>
      <c r="BX414" s="128"/>
      <c r="CU414" s="128"/>
      <c r="CW414" s="128"/>
      <c r="DN414" s="128"/>
      <c r="DP414" s="128"/>
      <c r="DR414" s="128"/>
      <c r="DV414" s="128"/>
      <c r="DX414" s="128"/>
      <c r="DY414" s="128"/>
      <c r="EA414" s="128"/>
      <c r="EB414" s="128"/>
      <c r="EC414" s="128"/>
      <c r="EG414" s="128"/>
      <c r="EL414" s="128"/>
      <c r="EM414" s="128"/>
      <c r="EO414" s="128"/>
      <c r="EQ414" s="128"/>
      <c r="ES414" s="128"/>
      <c r="EU414" s="128"/>
      <c r="EW414" s="128"/>
      <c r="EY414" s="128"/>
    </row>
    <row r="415" spans="3:155">
      <c r="C415" s="128"/>
      <c r="D415" s="128"/>
      <c r="E415" s="128"/>
      <c r="F415" s="128" t="str">
        <f>IF(E415 &lt;&gt; "", VLOOKUP(E415, '[2]Internal-logic'!G$1:I$364, 2, FALSE),"")</f>
        <v/>
      </c>
      <c r="G415" s="128" t="str">
        <f>IF(E415 &lt;&gt; "", VLOOKUP(E415, '[2]Internal-logic'!G$1:I$364, 3, FALSE),"")</f>
        <v/>
      </c>
      <c r="H415" s="128"/>
      <c r="I415" s="128"/>
      <c r="J415" s="128"/>
      <c r="K415" s="128"/>
      <c r="Q415" s="128"/>
      <c r="R415" s="128"/>
      <c r="S415" s="128"/>
      <c r="U415" s="128"/>
      <c r="X415" s="128"/>
      <c r="Y415" s="128"/>
      <c r="Z415" s="128"/>
      <c r="AA415" s="128"/>
      <c r="AB415" s="128"/>
      <c r="AC415" s="128"/>
      <c r="AD415" s="128"/>
      <c r="AE415" s="128"/>
      <c r="AF415" s="128"/>
      <c r="AG415" s="128"/>
      <c r="AI415" s="128"/>
      <c r="AJ415" s="128"/>
      <c r="AY415" s="128"/>
      <c r="BN415" s="128"/>
      <c r="BQ415" s="128"/>
      <c r="BR415" s="128"/>
      <c r="BT415" s="128"/>
      <c r="BV415" s="128"/>
      <c r="BX415" s="128"/>
      <c r="CU415" s="128"/>
      <c r="CW415" s="128"/>
      <c r="DN415" s="128"/>
      <c r="DP415" s="128"/>
      <c r="DR415" s="128"/>
      <c r="DV415" s="128"/>
      <c r="DX415" s="128"/>
      <c r="DY415" s="128"/>
      <c r="EA415" s="128"/>
      <c r="EB415" s="128"/>
      <c r="EC415" s="128"/>
      <c r="EG415" s="128"/>
      <c r="EL415" s="128"/>
      <c r="EM415" s="128"/>
      <c r="EO415" s="128"/>
      <c r="EQ415" s="128"/>
      <c r="ES415" s="128"/>
      <c r="EU415" s="128"/>
      <c r="EW415" s="128"/>
      <c r="EY415" s="128"/>
    </row>
    <row r="416" spans="3:155">
      <c r="C416" s="128"/>
      <c r="D416" s="128"/>
      <c r="E416" s="128"/>
      <c r="F416" s="128" t="str">
        <f>IF(E416 &lt;&gt; "", VLOOKUP(E416, '[2]Internal-logic'!G$1:I$364, 2, FALSE),"")</f>
        <v/>
      </c>
      <c r="G416" s="128" t="str">
        <f>IF(E416 &lt;&gt; "", VLOOKUP(E416, '[2]Internal-logic'!G$1:I$364, 3, FALSE),"")</f>
        <v/>
      </c>
      <c r="H416" s="128"/>
      <c r="I416" s="128"/>
      <c r="J416" s="128"/>
      <c r="K416" s="128"/>
      <c r="Q416" s="128"/>
      <c r="R416" s="128"/>
      <c r="S416" s="128"/>
      <c r="U416" s="128"/>
      <c r="X416" s="128"/>
      <c r="Y416" s="128"/>
      <c r="Z416" s="128"/>
      <c r="AA416" s="128"/>
      <c r="AB416" s="128"/>
      <c r="AC416" s="128"/>
      <c r="AD416" s="128"/>
      <c r="AE416" s="128"/>
      <c r="AF416" s="128"/>
      <c r="AG416" s="128"/>
      <c r="AI416" s="128"/>
      <c r="AJ416" s="128"/>
      <c r="AY416" s="128"/>
      <c r="BN416" s="128"/>
      <c r="BQ416" s="128"/>
      <c r="BR416" s="128"/>
      <c r="BT416" s="128"/>
      <c r="BV416" s="128"/>
      <c r="BX416" s="128"/>
      <c r="CU416" s="128"/>
      <c r="CW416" s="128"/>
      <c r="DN416" s="128"/>
      <c r="DP416" s="128"/>
      <c r="DR416" s="128"/>
      <c r="DV416" s="128"/>
      <c r="DX416" s="128"/>
      <c r="DY416" s="128"/>
      <c r="EA416" s="128"/>
      <c r="EB416" s="128"/>
      <c r="EC416" s="128"/>
      <c r="EG416" s="128"/>
      <c r="EL416" s="128"/>
      <c r="EM416" s="128"/>
      <c r="EO416" s="128"/>
      <c r="EQ416" s="128"/>
      <c r="ES416" s="128"/>
      <c r="EU416" s="128"/>
      <c r="EW416" s="128"/>
      <c r="EY416" s="128"/>
    </row>
    <row r="417" spans="3:155">
      <c r="C417" s="128"/>
      <c r="D417" s="128"/>
      <c r="E417" s="128"/>
      <c r="F417" s="128" t="str">
        <f>IF(E417 &lt;&gt; "", VLOOKUP(E417, '[2]Internal-logic'!G$1:I$364, 2, FALSE),"")</f>
        <v/>
      </c>
      <c r="G417" s="128" t="str">
        <f>IF(E417 &lt;&gt; "", VLOOKUP(E417, '[2]Internal-logic'!G$1:I$364, 3, FALSE),"")</f>
        <v/>
      </c>
      <c r="H417" s="128"/>
      <c r="I417" s="128"/>
      <c r="J417" s="128"/>
      <c r="K417" s="128"/>
      <c r="Q417" s="128"/>
      <c r="R417" s="128"/>
      <c r="S417" s="128"/>
      <c r="U417" s="128"/>
      <c r="X417" s="128"/>
      <c r="Y417" s="128"/>
      <c r="Z417" s="128"/>
      <c r="AA417" s="128"/>
      <c r="AB417" s="128"/>
      <c r="AC417" s="128"/>
      <c r="AD417" s="128"/>
      <c r="AE417" s="128"/>
      <c r="AF417" s="128"/>
      <c r="AG417" s="128"/>
      <c r="AI417" s="128"/>
      <c r="AJ417" s="128"/>
      <c r="AY417" s="128"/>
      <c r="BN417" s="128"/>
      <c r="BQ417" s="128"/>
      <c r="BR417" s="128"/>
      <c r="BT417" s="128"/>
      <c r="BV417" s="128"/>
      <c r="BX417" s="128"/>
      <c r="CU417" s="128"/>
      <c r="CW417" s="128"/>
      <c r="DN417" s="128"/>
      <c r="DP417" s="128"/>
      <c r="DR417" s="128"/>
      <c r="DV417" s="128"/>
      <c r="DX417" s="128"/>
      <c r="DY417" s="128"/>
      <c r="EA417" s="128"/>
      <c r="EB417" s="128"/>
      <c r="EC417" s="128"/>
      <c r="EG417" s="128"/>
      <c r="EL417" s="128"/>
      <c r="EM417" s="128"/>
      <c r="EO417" s="128"/>
      <c r="EQ417" s="128"/>
      <c r="ES417" s="128"/>
      <c r="EU417" s="128"/>
      <c r="EW417" s="128"/>
      <c r="EY417" s="128"/>
    </row>
    <row r="418" spans="3:155">
      <c r="C418" s="128"/>
      <c r="D418" s="128"/>
      <c r="E418" s="128"/>
      <c r="F418" s="128" t="str">
        <f>IF(E418 &lt;&gt; "", VLOOKUP(E418, '[2]Internal-logic'!G$1:I$364, 2, FALSE),"")</f>
        <v/>
      </c>
      <c r="G418" s="128" t="str">
        <f>IF(E418 &lt;&gt; "", VLOOKUP(E418, '[2]Internal-logic'!G$1:I$364, 3, FALSE),"")</f>
        <v/>
      </c>
      <c r="H418" s="128"/>
      <c r="I418" s="128"/>
      <c r="J418" s="128"/>
      <c r="K418" s="128"/>
      <c r="Q418" s="128"/>
      <c r="R418" s="128"/>
      <c r="S418" s="128"/>
      <c r="U418" s="128"/>
      <c r="X418" s="128"/>
      <c r="Y418" s="128"/>
      <c r="Z418" s="128"/>
      <c r="AA418" s="128"/>
      <c r="AB418" s="128"/>
      <c r="AC418" s="128"/>
      <c r="AD418" s="128"/>
      <c r="AE418" s="128"/>
      <c r="AF418" s="128"/>
      <c r="AG418" s="128"/>
      <c r="AI418" s="128"/>
      <c r="AJ418" s="128"/>
      <c r="AY418" s="128"/>
      <c r="BN418" s="128"/>
      <c r="BQ418" s="128"/>
      <c r="BR418" s="128"/>
      <c r="BT418" s="128"/>
      <c r="BV418" s="128"/>
      <c r="BX418" s="128"/>
      <c r="CU418" s="128"/>
      <c r="CW418" s="128"/>
      <c r="DN418" s="128"/>
      <c r="DP418" s="128"/>
      <c r="DR418" s="128"/>
      <c r="DV418" s="128"/>
      <c r="DX418" s="128"/>
      <c r="DY418" s="128"/>
      <c r="EA418" s="128"/>
      <c r="EB418" s="128"/>
      <c r="EC418" s="128"/>
      <c r="EG418" s="128"/>
      <c r="EL418" s="128"/>
      <c r="EM418" s="128"/>
      <c r="EO418" s="128"/>
      <c r="EQ418" s="128"/>
      <c r="ES418" s="128"/>
      <c r="EU418" s="128"/>
      <c r="EW418" s="128"/>
      <c r="EY418" s="128"/>
    </row>
    <row r="419" spans="3:155">
      <c r="C419" s="128"/>
      <c r="D419" s="128"/>
      <c r="E419" s="128"/>
      <c r="F419" s="128" t="str">
        <f>IF(E419 &lt;&gt; "", VLOOKUP(E419, '[2]Internal-logic'!G$1:I$364, 2, FALSE),"")</f>
        <v/>
      </c>
      <c r="G419" s="128" t="str">
        <f>IF(E419 &lt;&gt; "", VLOOKUP(E419, '[2]Internal-logic'!G$1:I$364, 3, FALSE),"")</f>
        <v/>
      </c>
      <c r="H419" s="128"/>
      <c r="I419" s="128"/>
      <c r="J419" s="128"/>
      <c r="K419" s="128"/>
      <c r="Q419" s="128"/>
      <c r="R419" s="128"/>
      <c r="S419" s="128"/>
      <c r="U419" s="128"/>
      <c r="X419" s="128"/>
      <c r="Y419" s="128"/>
      <c r="Z419" s="128"/>
      <c r="AA419" s="128"/>
      <c r="AB419" s="128"/>
      <c r="AC419" s="128"/>
      <c r="AD419" s="128"/>
      <c r="AE419" s="128"/>
      <c r="AF419" s="128"/>
      <c r="AG419" s="128"/>
      <c r="AI419" s="128"/>
      <c r="AJ419" s="128"/>
      <c r="AY419" s="128"/>
      <c r="BN419" s="128"/>
      <c r="BQ419" s="128"/>
      <c r="BR419" s="128"/>
      <c r="BT419" s="128"/>
      <c r="BV419" s="128"/>
      <c r="BX419" s="128"/>
      <c r="CU419" s="128"/>
      <c r="CW419" s="128"/>
      <c r="DN419" s="128"/>
      <c r="DP419" s="128"/>
      <c r="DR419" s="128"/>
      <c r="DV419" s="128"/>
      <c r="DX419" s="128"/>
      <c r="DY419" s="128"/>
      <c r="EA419" s="128"/>
      <c r="EB419" s="128"/>
      <c r="EC419" s="128"/>
      <c r="EG419" s="128"/>
      <c r="EL419" s="128"/>
      <c r="EM419" s="128"/>
      <c r="EO419" s="128"/>
      <c r="EQ419" s="128"/>
      <c r="ES419" s="128"/>
      <c r="EU419" s="128"/>
      <c r="EW419" s="128"/>
      <c r="EY419" s="128"/>
    </row>
    <row r="420" spans="3:155">
      <c r="C420" s="128"/>
      <c r="D420" s="128"/>
      <c r="E420" s="128"/>
      <c r="F420" s="128" t="str">
        <f>IF(E420 &lt;&gt; "", VLOOKUP(E420, '[2]Internal-logic'!G$1:I$364, 2, FALSE),"")</f>
        <v/>
      </c>
      <c r="G420" s="128" t="str">
        <f>IF(E420 &lt;&gt; "", VLOOKUP(E420, '[2]Internal-logic'!G$1:I$364, 3, FALSE),"")</f>
        <v/>
      </c>
      <c r="H420" s="128"/>
      <c r="I420" s="128"/>
      <c r="J420" s="128"/>
      <c r="K420" s="128"/>
      <c r="Q420" s="128"/>
      <c r="R420" s="128"/>
      <c r="S420" s="128"/>
      <c r="U420" s="128"/>
      <c r="X420" s="128"/>
      <c r="Y420" s="128"/>
      <c r="Z420" s="128"/>
      <c r="AA420" s="128"/>
      <c r="AB420" s="128"/>
      <c r="AC420" s="128"/>
      <c r="AD420" s="128"/>
      <c r="AE420" s="128"/>
      <c r="AF420" s="128"/>
      <c r="AG420" s="128"/>
      <c r="AI420" s="128"/>
      <c r="AJ420" s="128"/>
      <c r="AY420" s="128"/>
      <c r="BN420" s="128"/>
      <c r="BQ420" s="128"/>
      <c r="BR420" s="128"/>
      <c r="BT420" s="128"/>
      <c r="BV420" s="128"/>
      <c r="BX420" s="128"/>
      <c r="CU420" s="128"/>
      <c r="CW420" s="128"/>
      <c r="DN420" s="128"/>
      <c r="DP420" s="128"/>
      <c r="DR420" s="128"/>
      <c r="DV420" s="128"/>
      <c r="DX420" s="128"/>
      <c r="DY420" s="128"/>
      <c r="EA420" s="128"/>
      <c r="EB420" s="128"/>
      <c r="EC420" s="128"/>
      <c r="EG420" s="128"/>
      <c r="EL420" s="128"/>
      <c r="EM420" s="128"/>
      <c r="EO420" s="128"/>
      <c r="EQ420" s="128"/>
      <c r="ES420" s="128"/>
      <c r="EU420" s="128"/>
      <c r="EW420" s="128"/>
      <c r="EY420" s="128"/>
    </row>
    <row r="421" spans="3:155">
      <c r="C421" s="128"/>
      <c r="D421" s="128"/>
      <c r="E421" s="128"/>
      <c r="F421" s="128" t="str">
        <f>IF(E421 &lt;&gt; "", VLOOKUP(E421, '[2]Internal-logic'!G$1:I$364, 2, FALSE),"")</f>
        <v/>
      </c>
      <c r="G421" s="128" t="str">
        <f>IF(E421 &lt;&gt; "", VLOOKUP(E421, '[2]Internal-logic'!G$1:I$364, 3, FALSE),"")</f>
        <v/>
      </c>
      <c r="H421" s="128"/>
      <c r="I421" s="128"/>
      <c r="J421" s="128"/>
      <c r="K421" s="128"/>
      <c r="Q421" s="128"/>
      <c r="R421" s="128"/>
      <c r="S421" s="128"/>
      <c r="U421" s="128"/>
      <c r="X421" s="128"/>
      <c r="Y421" s="128"/>
      <c r="Z421" s="128"/>
      <c r="AA421" s="128"/>
      <c r="AB421" s="128"/>
      <c r="AC421" s="128"/>
      <c r="AD421" s="128"/>
      <c r="AE421" s="128"/>
      <c r="AF421" s="128"/>
      <c r="AG421" s="128"/>
      <c r="AI421" s="128"/>
      <c r="AJ421" s="128"/>
      <c r="AY421" s="128"/>
      <c r="BN421" s="128"/>
      <c r="BQ421" s="128"/>
      <c r="BR421" s="128"/>
      <c r="BT421" s="128"/>
      <c r="BV421" s="128"/>
      <c r="BX421" s="128"/>
      <c r="CU421" s="128"/>
      <c r="CW421" s="128"/>
      <c r="DN421" s="128"/>
      <c r="DP421" s="128"/>
      <c r="DR421" s="128"/>
      <c r="DV421" s="128"/>
      <c r="DX421" s="128"/>
      <c r="DY421" s="128"/>
      <c r="EA421" s="128"/>
      <c r="EB421" s="128"/>
      <c r="EC421" s="128"/>
      <c r="EG421" s="128"/>
      <c r="EL421" s="128"/>
      <c r="EM421" s="128"/>
      <c r="EO421" s="128"/>
      <c r="EQ421" s="128"/>
      <c r="ES421" s="128"/>
      <c r="EU421" s="128"/>
      <c r="EW421" s="128"/>
      <c r="EY421" s="128"/>
    </row>
    <row r="422" spans="3:155">
      <c r="C422" s="128"/>
      <c r="D422" s="128"/>
      <c r="E422" s="128"/>
      <c r="F422" s="128" t="str">
        <f>IF(E422 &lt;&gt; "", VLOOKUP(E422, '[2]Internal-logic'!G$1:I$364, 2, FALSE),"")</f>
        <v/>
      </c>
      <c r="G422" s="128" t="str">
        <f>IF(E422 &lt;&gt; "", VLOOKUP(E422, '[2]Internal-logic'!G$1:I$364, 3, FALSE),"")</f>
        <v/>
      </c>
      <c r="H422" s="128"/>
      <c r="I422" s="128"/>
      <c r="J422" s="128"/>
      <c r="K422" s="128"/>
      <c r="Q422" s="128"/>
      <c r="R422" s="128"/>
      <c r="S422" s="128"/>
      <c r="U422" s="128"/>
      <c r="X422" s="128"/>
      <c r="Y422" s="128"/>
      <c r="Z422" s="128"/>
      <c r="AA422" s="128"/>
      <c r="AB422" s="128"/>
      <c r="AC422" s="128"/>
      <c r="AD422" s="128"/>
      <c r="AE422" s="128"/>
      <c r="AF422" s="128"/>
      <c r="AG422" s="128"/>
      <c r="AI422" s="128"/>
      <c r="AJ422" s="128"/>
      <c r="AY422" s="128"/>
      <c r="BN422" s="128"/>
      <c r="BQ422" s="128"/>
      <c r="BR422" s="128"/>
      <c r="BT422" s="128"/>
      <c r="BV422" s="128"/>
      <c r="BX422" s="128"/>
      <c r="CU422" s="128"/>
      <c r="CW422" s="128"/>
      <c r="DN422" s="128"/>
      <c r="DP422" s="128"/>
      <c r="DR422" s="128"/>
      <c r="DV422" s="128"/>
      <c r="DX422" s="128"/>
      <c r="DY422" s="128"/>
      <c r="EA422" s="128"/>
      <c r="EB422" s="128"/>
      <c r="EC422" s="128"/>
      <c r="EG422" s="128"/>
      <c r="EL422" s="128"/>
      <c r="EM422" s="128"/>
      <c r="EO422" s="128"/>
      <c r="EQ422" s="128"/>
      <c r="ES422" s="128"/>
      <c r="EU422" s="128"/>
      <c r="EW422" s="128"/>
      <c r="EY422" s="128"/>
    </row>
    <row r="423" spans="3:155">
      <c r="C423" s="128"/>
      <c r="D423" s="128"/>
      <c r="E423" s="128"/>
      <c r="F423" s="128" t="str">
        <f>IF(E423 &lt;&gt; "", VLOOKUP(E423, '[2]Internal-logic'!G$1:I$364, 2, FALSE),"")</f>
        <v/>
      </c>
      <c r="G423" s="128" t="str">
        <f>IF(E423 &lt;&gt; "", VLOOKUP(E423, '[2]Internal-logic'!G$1:I$364, 3, FALSE),"")</f>
        <v/>
      </c>
      <c r="H423" s="128"/>
      <c r="I423" s="128"/>
      <c r="J423" s="128"/>
      <c r="K423" s="128"/>
      <c r="Q423" s="128"/>
      <c r="R423" s="128"/>
      <c r="S423" s="128"/>
      <c r="U423" s="128"/>
      <c r="X423" s="128"/>
      <c r="Y423" s="128"/>
      <c r="Z423" s="128"/>
      <c r="AA423" s="128"/>
      <c r="AB423" s="128"/>
      <c r="AC423" s="128"/>
      <c r="AD423" s="128"/>
      <c r="AE423" s="128"/>
      <c r="AF423" s="128"/>
      <c r="AG423" s="128"/>
      <c r="AI423" s="128"/>
      <c r="AJ423" s="128"/>
      <c r="AY423" s="128"/>
      <c r="BN423" s="128"/>
      <c r="BQ423" s="128"/>
      <c r="BR423" s="128"/>
      <c r="BT423" s="128"/>
      <c r="BV423" s="128"/>
      <c r="BX423" s="128"/>
      <c r="CU423" s="128"/>
      <c r="CW423" s="128"/>
      <c r="DN423" s="128"/>
      <c r="DP423" s="128"/>
      <c r="DR423" s="128"/>
      <c r="DV423" s="128"/>
      <c r="DX423" s="128"/>
      <c r="DY423" s="128"/>
      <c r="EA423" s="128"/>
      <c r="EB423" s="128"/>
      <c r="EC423" s="128"/>
      <c r="EG423" s="128"/>
      <c r="EL423" s="128"/>
      <c r="EM423" s="128"/>
      <c r="EO423" s="128"/>
      <c r="EQ423" s="128"/>
      <c r="ES423" s="128"/>
      <c r="EU423" s="128"/>
      <c r="EW423" s="128"/>
      <c r="EY423" s="128"/>
    </row>
    <row r="424" spans="3:155">
      <c r="C424" s="128"/>
      <c r="D424" s="128"/>
      <c r="E424" s="128"/>
      <c r="F424" s="128" t="str">
        <f>IF(E424 &lt;&gt; "", VLOOKUP(E424, '[2]Internal-logic'!G$1:I$364, 2, FALSE),"")</f>
        <v/>
      </c>
      <c r="G424" s="128" t="str">
        <f>IF(E424 &lt;&gt; "", VLOOKUP(E424, '[2]Internal-logic'!G$1:I$364, 3, FALSE),"")</f>
        <v/>
      </c>
      <c r="H424" s="128"/>
      <c r="I424" s="128"/>
      <c r="J424" s="128"/>
      <c r="K424" s="128"/>
      <c r="Q424" s="128"/>
      <c r="R424" s="128"/>
      <c r="S424" s="128"/>
      <c r="U424" s="128"/>
      <c r="X424" s="128"/>
      <c r="Y424" s="128"/>
      <c r="Z424" s="128"/>
      <c r="AA424" s="128"/>
      <c r="AB424" s="128"/>
      <c r="AC424" s="128"/>
      <c r="AD424" s="128"/>
      <c r="AE424" s="128"/>
      <c r="AF424" s="128"/>
      <c r="AG424" s="128"/>
      <c r="AI424" s="128"/>
      <c r="AJ424" s="128"/>
      <c r="AY424" s="128"/>
      <c r="BN424" s="128"/>
      <c r="BQ424" s="128"/>
      <c r="BR424" s="128"/>
      <c r="BT424" s="128"/>
      <c r="BV424" s="128"/>
      <c r="BX424" s="128"/>
      <c r="CU424" s="128"/>
      <c r="CW424" s="128"/>
      <c r="DN424" s="128"/>
      <c r="DP424" s="128"/>
      <c r="DR424" s="128"/>
      <c r="DV424" s="128"/>
      <c r="DX424" s="128"/>
      <c r="DY424" s="128"/>
      <c r="EA424" s="128"/>
      <c r="EB424" s="128"/>
      <c r="EC424" s="128"/>
      <c r="EG424" s="128"/>
      <c r="EL424" s="128"/>
      <c r="EM424" s="128"/>
      <c r="EO424" s="128"/>
      <c r="EQ424" s="128"/>
      <c r="ES424" s="128"/>
      <c r="EU424" s="128"/>
      <c r="EW424" s="128"/>
      <c r="EY424" s="128"/>
    </row>
    <row r="425" spans="3:155">
      <c r="C425" s="128"/>
      <c r="D425" s="128"/>
      <c r="E425" s="128"/>
      <c r="F425" s="128" t="str">
        <f>IF(E425 &lt;&gt; "", VLOOKUP(E425, '[2]Internal-logic'!G$1:I$364, 2, FALSE),"")</f>
        <v/>
      </c>
      <c r="G425" s="128" t="str">
        <f>IF(E425 &lt;&gt; "", VLOOKUP(E425, '[2]Internal-logic'!G$1:I$364, 3, FALSE),"")</f>
        <v/>
      </c>
      <c r="H425" s="128"/>
      <c r="I425" s="128"/>
      <c r="J425" s="128"/>
      <c r="K425" s="128"/>
      <c r="Q425" s="128"/>
      <c r="R425" s="128"/>
      <c r="S425" s="128"/>
      <c r="U425" s="128"/>
      <c r="X425" s="128"/>
      <c r="Y425" s="128"/>
      <c r="Z425" s="128"/>
      <c r="AA425" s="128"/>
      <c r="AB425" s="128"/>
      <c r="AC425" s="128"/>
      <c r="AD425" s="128"/>
      <c r="AE425" s="128"/>
      <c r="AF425" s="128"/>
      <c r="AG425" s="128"/>
      <c r="AI425" s="128"/>
      <c r="AJ425" s="128"/>
      <c r="AY425" s="128"/>
      <c r="BN425" s="128"/>
      <c r="BQ425" s="128"/>
      <c r="BR425" s="128"/>
      <c r="BT425" s="128"/>
      <c r="BV425" s="128"/>
      <c r="BX425" s="128"/>
      <c r="CU425" s="128"/>
      <c r="CW425" s="128"/>
      <c r="DN425" s="128"/>
      <c r="DP425" s="128"/>
      <c r="DR425" s="128"/>
      <c r="DV425" s="128"/>
      <c r="DX425" s="128"/>
      <c r="DY425" s="128"/>
      <c r="EA425" s="128"/>
      <c r="EB425" s="128"/>
      <c r="EC425" s="128"/>
      <c r="EG425" s="128"/>
      <c r="EL425" s="128"/>
      <c r="EM425" s="128"/>
      <c r="EO425" s="128"/>
      <c r="EQ425" s="128"/>
      <c r="ES425" s="128"/>
      <c r="EU425" s="128"/>
      <c r="EW425" s="128"/>
      <c r="EY425" s="128"/>
    </row>
    <row r="426" spans="3:155">
      <c r="C426" s="128"/>
      <c r="D426" s="128"/>
      <c r="E426" s="128"/>
      <c r="F426" s="128" t="str">
        <f>IF(E426 &lt;&gt; "", VLOOKUP(E426, '[2]Internal-logic'!G$1:I$364, 2, FALSE),"")</f>
        <v/>
      </c>
      <c r="G426" s="128" t="str">
        <f>IF(E426 &lt;&gt; "", VLOOKUP(E426, '[2]Internal-logic'!G$1:I$364, 3, FALSE),"")</f>
        <v/>
      </c>
      <c r="H426" s="128"/>
      <c r="I426" s="128"/>
      <c r="J426" s="128"/>
      <c r="K426" s="128"/>
      <c r="Q426" s="128"/>
      <c r="R426" s="128"/>
      <c r="S426" s="128"/>
      <c r="U426" s="128"/>
      <c r="X426" s="128"/>
      <c r="Y426" s="128"/>
      <c r="Z426" s="128"/>
      <c r="AA426" s="128"/>
      <c r="AB426" s="128"/>
      <c r="AC426" s="128"/>
      <c r="AD426" s="128"/>
      <c r="AE426" s="128"/>
      <c r="AF426" s="128"/>
      <c r="AG426" s="128"/>
      <c r="AI426" s="128"/>
      <c r="AJ426" s="128"/>
      <c r="AY426" s="128"/>
      <c r="BN426" s="128"/>
      <c r="BQ426" s="128"/>
      <c r="BR426" s="128"/>
      <c r="BT426" s="128"/>
      <c r="BV426" s="128"/>
      <c r="BX426" s="128"/>
      <c r="CU426" s="128"/>
      <c r="CW426" s="128"/>
      <c r="DN426" s="128"/>
      <c r="DP426" s="128"/>
      <c r="DR426" s="128"/>
      <c r="DV426" s="128"/>
      <c r="DX426" s="128"/>
      <c r="DY426" s="128"/>
      <c r="EA426" s="128"/>
      <c r="EB426" s="128"/>
      <c r="EC426" s="128"/>
      <c r="EG426" s="128"/>
      <c r="EL426" s="128"/>
      <c r="EM426" s="128"/>
      <c r="EO426" s="128"/>
      <c r="EQ426" s="128"/>
      <c r="ES426" s="128"/>
      <c r="EU426" s="128"/>
      <c r="EW426" s="128"/>
      <c r="EY426" s="128"/>
    </row>
    <row r="427" spans="3:155">
      <c r="C427" s="128"/>
      <c r="D427" s="128"/>
      <c r="E427" s="128"/>
      <c r="F427" s="128" t="str">
        <f>IF(E427 &lt;&gt; "", VLOOKUP(E427, '[2]Internal-logic'!G$1:I$364, 2, FALSE),"")</f>
        <v/>
      </c>
      <c r="G427" s="128" t="str">
        <f>IF(E427 &lt;&gt; "", VLOOKUP(E427, '[2]Internal-logic'!G$1:I$364, 3, FALSE),"")</f>
        <v/>
      </c>
      <c r="H427" s="128"/>
      <c r="I427" s="128"/>
      <c r="J427" s="128"/>
      <c r="K427" s="128"/>
      <c r="Q427" s="128"/>
      <c r="R427" s="128"/>
      <c r="S427" s="128"/>
      <c r="U427" s="128"/>
      <c r="X427" s="128"/>
      <c r="Y427" s="128"/>
      <c r="Z427" s="128"/>
      <c r="AA427" s="128"/>
      <c r="AB427" s="128"/>
      <c r="AC427" s="128"/>
      <c r="AD427" s="128"/>
      <c r="AE427" s="128"/>
      <c r="AF427" s="128"/>
      <c r="AG427" s="128"/>
      <c r="AI427" s="128"/>
      <c r="AJ427" s="128"/>
      <c r="AY427" s="128"/>
      <c r="BN427" s="128"/>
      <c r="BQ427" s="128"/>
      <c r="BR427" s="128"/>
      <c r="BT427" s="128"/>
      <c r="BV427" s="128"/>
      <c r="BX427" s="128"/>
      <c r="CU427" s="128"/>
      <c r="CW427" s="128"/>
      <c r="DN427" s="128"/>
      <c r="DP427" s="128"/>
      <c r="DR427" s="128"/>
      <c r="DV427" s="128"/>
      <c r="DX427" s="128"/>
      <c r="DY427" s="128"/>
      <c r="EA427" s="128"/>
      <c r="EB427" s="128"/>
      <c r="EC427" s="128"/>
      <c r="EG427" s="128"/>
      <c r="EL427" s="128"/>
      <c r="EM427" s="128"/>
      <c r="EO427" s="128"/>
      <c r="EQ427" s="128"/>
      <c r="ES427" s="128"/>
      <c r="EU427" s="128"/>
      <c r="EW427" s="128"/>
      <c r="EY427" s="128"/>
    </row>
    <row r="428" spans="3:155">
      <c r="C428" s="128"/>
      <c r="D428" s="128"/>
      <c r="E428" s="128"/>
      <c r="F428" s="128" t="str">
        <f>IF(E428 &lt;&gt; "", VLOOKUP(E428, '[2]Internal-logic'!G$1:I$364, 2, FALSE),"")</f>
        <v/>
      </c>
      <c r="G428" s="128" t="str">
        <f>IF(E428 &lt;&gt; "", VLOOKUP(E428, '[2]Internal-logic'!G$1:I$364, 3, FALSE),"")</f>
        <v/>
      </c>
      <c r="H428" s="128"/>
      <c r="I428" s="128"/>
      <c r="J428" s="128"/>
      <c r="K428" s="128"/>
      <c r="Q428" s="128"/>
      <c r="R428" s="128"/>
      <c r="S428" s="128"/>
      <c r="U428" s="128"/>
      <c r="X428" s="128"/>
      <c r="Y428" s="128"/>
      <c r="Z428" s="128"/>
      <c r="AA428" s="128"/>
      <c r="AB428" s="128"/>
      <c r="AC428" s="128"/>
      <c r="AD428" s="128"/>
      <c r="AE428" s="128"/>
      <c r="AF428" s="128"/>
      <c r="AG428" s="128"/>
      <c r="AI428" s="128"/>
      <c r="AJ428" s="128"/>
      <c r="AY428" s="128"/>
      <c r="BN428" s="128"/>
      <c r="BQ428" s="128"/>
      <c r="BR428" s="128"/>
      <c r="BT428" s="128"/>
      <c r="BV428" s="128"/>
      <c r="BX428" s="128"/>
      <c r="CU428" s="128"/>
      <c r="CW428" s="128"/>
      <c r="DN428" s="128"/>
      <c r="DP428" s="128"/>
      <c r="DR428" s="128"/>
      <c r="DV428" s="128"/>
      <c r="DX428" s="128"/>
      <c r="DY428" s="128"/>
      <c r="EA428" s="128"/>
      <c r="EB428" s="128"/>
      <c r="EC428" s="128"/>
      <c r="EG428" s="128"/>
      <c r="EL428" s="128"/>
      <c r="EM428" s="128"/>
      <c r="EO428" s="128"/>
      <c r="EQ428" s="128"/>
      <c r="ES428" s="128"/>
      <c r="EU428" s="128"/>
      <c r="EW428" s="128"/>
      <c r="EY428" s="128"/>
    </row>
    <row r="429" spans="3:155">
      <c r="C429" s="128"/>
      <c r="D429" s="128"/>
      <c r="E429" s="128"/>
      <c r="F429" s="128" t="str">
        <f>IF(E429 &lt;&gt; "", VLOOKUP(E429, '[2]Internal-logic'!G$1:I$364, 2, FALSE),"")</f>
        <v/>
      </c>
      <c r="G429" s="128" t="str">
        <f>IF(E429 &lt;&gt; "", VLOOKUP(E429, '[2]Internal-logic'!G$1:I$364, 3, FALSE),"")</f>
        <v/>
      </c>
      <c r="H429" s="128"/>
      <c r="I429" s="128"/>
      <c r="J429" s="128"/>
      <c r="K429" s="128"/>
      <c r="Q429" s="128"/>
      <c r="R429" s="128"/>
      <c r="S429" s="128"/>
      <c r="U429" s="128"/>
      <c r="X429" s="128"/>
      <c r="Y429" s="128"/>
      <c r="Z429" s="128"/>
      <c r="AA429" s="128"/>
      <c r="AB429" s="128"/>
      <c r="AC429" s="128"/>
      <c r="AD429" s="128"/>
      <c r="AE429" s="128"/>
      <c r="AF429" s="128"/>
      <c r="AG429" s="128"/>
      <c r="AI429" s="128"/>
      <c r="AJ429" s="128"/>
      <c r="AY429" s="128"/>
      <c r="BN429" s="128"/>
      <c r="BQ429" s="128"/>
      <c r="BR429" s="128"/>
      <c r="BT429" s="128"/>
      <c r="BV429" s="128"/>
      <c r="BX429" s="128"/>
      <c r="CU429" s="128"/>
      <c r="CW429" s="128"/>
      <c r="DN429" s="128"/>
      <c r="DP429" s="128"/>
      <c r="DR429" s="128"/>
      <c r="DV429" s="128"/>
      <c r="DX429" s="128"/>
      <c r="DY429" s="128"/>
      <c r="EA429" s="128"/>
      <c r="EB429" s="128"/>
      <c r="EC429" s="128"/>
      <c r="EG429" s="128"/>
      <c r="EL429" s="128"/>
      <c r="EM429" s="128"/>
      <c r="EO429" s="128"/>
      <c r="EQ429" s="128"/>
      <c r="ES429" s="128"/>
      <c r="EU429" s="128"/>
      <c r="EW429" s="128"/>
      <c r="EY429" s="128"/>
    </row>
    <row r="430" spans="3:155">
      <c r="C430" s="128"/>
      <c r="D430" s="128"/>
      <c r="E430" s="128"/>
      <c r="F430" s="128" t="str">
        <f>IF(E430 &lt;&gt; "", VLOOKUP(E430, '[2]Internal-logic'!G$1:I$364, 2, FALSE),"")</f>
        <v/>
      </c>
      <c r="G430" s="128" t="str">
        <f>IF(E430 &lt;&gt; "", VLOOKUP(E430, '[2]Internal-logic'!G$1:I$364, 3, FALSE),"")</f>
        <v/>
      </c>
      <c r="H430" s="128"/>
      <c r="I430" s="128"/>
      <c r="J430" s="128"/>
      <c r="K430" s="128"/>
      <c r="Q430" s="128"/>
      <c r="R430" s="128"/>
      <c r="S430" s="128"/>
      <c r="U430" s="128"/>
      <c r="X430" s="128"/>
      <c r="Y430" s="128"/>
      <c r="Z430" s="128"/>
      <c r="AA430" s="128"/>
      <c r="AB430" s="128"/>
      <c r="AC430" s="128"/>
      <c r="AD430" s="128"/>
      <c r="AE430" s="128"/>
      <c r="AF430" s="128"/>
      <c r="AG430" s="128"/>
      <c r="AI430" s="128"/>
      <c r="AJ430" s="128"/>
      <c r="AY430" s="128"/>
      <c r="BN430" s="128"/>
      <c r="BQ430" s="128"/>
      <c r="BR430" s="128"/>
      <c r="BT430" s="128"/>
      <c r="BV430" s="128"/>
      <c r="BX430" s="128"/>
      <c r="CU430" s="128"/>
      <c r="CW430" s="128"/>
      <c r="DN430" s="128"/>
      <c r="DP430" s="128"/>
      <c r="DR430" s="128"/>
      <c r="DV430" s="128"/>
      <c r="DX430" s="128"/>
      <c r="DY430" s="128"/>
      <c r="EA430" s="128"/>
      <c r="EB430" s="128"/>
      <c r="EC430" s="128"/>
      <c r="EG430" s="128"/>
      <c r="EL430" s="128"/>
      <c r="EM430" s="128"/>
      <c r="EO430" s="128"/>
      <c r="EQ430" s="128"/>
      <c r="ES430" s="128"/>
      <c r="EU430" s="128"/>
      <c r="EW430" s="128"/>
      <c r="EY430" s="128"/>
    </row>
    <row r="431" spans="3:155">
      <c r="C431" s="128"/>
      <c r="D431" s="128"/>
      <c r="E431" s="128"/>
      <c r="F431" s="128" t="str">
        <f>IF(E431 &lt;&gt; "", VLOOKUP(E431, '[2]Internal-logic'!G$1:I$364, 2, FALSE),"")</f>
        <v/>
      </c>
      <c r="G431" s="128" t="str">
        <f>IF(E431 &lt;&gt; "", VLOOKUP(E431, '[2]Internal-logic'!G$1:I$364, 3, FALSE),"")</f>
        <v/>
      </c>
      <c r="H431" s="128"/>
      <c r="I431" s="128"/>
      <c r="J431" s="128"/>
      <c r="K431" s="128"/>
      <c r="Q431" s="128"/>
      <c r="R431" s="128"/>
      <c r="S431" s="128"/>
      <c r="U431" s="128"/>
      <c r="X431" s="128"/>
      <c r="Y431" s="128"/>
      <c r="Z431" s="128"/>
      <c r="AA431" s="128"/>
      <c r="AB431" s="128"/>
      <c r="AC431" s="128"/>
      <c r="AD431" s="128"/>
      <c r="AE431" s="128"/>
      <c r="AF431" s="128"/>
      <c r="AG431" s="128"/>
      <c r="AI431" s="128"/>
      <c r="AJ431" s="128"/>
      <c r="AY431" s="128"/>
      <c r="BN431" s="128"/>
      <c r="BQ431" s="128"/>
      <c r="BR431" s="128"/>
      <c r="BT431" s="128"/>
      <c r="BV431" s="128"/>
      <c r="BX431" s="128"/>
      <c r="CU431" s="128"/>
      <c r="CW431" s="128"/>
      <c r="DN431" s="128"/>
      <c r="DP431" s="128"/>
      <c r="DR431" s="128"/>
      <c r="DV431" s="128"/>
      <c r="DX431" s="128"/>
      <c r="DY431" s="128"/>
      <c r="EA431" s="128"/>
      <c r="EB431" s="128"/>
      <c r="EC431" s="128"/>
      <c r="EG431" s="128"/>
      <c r="EL431" s="128"/>
      <c r="EM431" s="128"/>
      <c r="EO431" s="128"/>
      <c r="EQ431" s="128"/>
      <c r="ES431" s="128"/>
      <c r="EU431" s="128"/>
      <c r="EW431" s="128"/>
      <c r="EY431" s="128"/>
    </row>
    <row r="432" spans="3:155">
      <c r="C432" s="128"/>
      <c r="D432" s="128"/>
      <c r="E432" s="128"/>
      <c r="F432" s="128" t="str">
        <f>IF(E432 &lt;&gt; "", VLOOKUP(E432, '[2]Internal-logic'!G$1:I$364, 2, FALSE),"")</f>
        <v/>
      </c>
      <c r="G432" s="128" t="str">
        <f>IF(E432 &lt;&gt; "", VLOOKUP(E432, '[2]Internal-logic'!G$1:I$364, 3, FALSE),"")</f>
        <v/>
      </c>
      <c r="H432" s="128"/>
      <c r="I432" s="128"/>
      <c r="J432" s="128"/>
      <c r="K432" s="128"/>
      <c r="Q432" s="128"/>
      <c r="R432" s="128"/>
      <c r="S432" s="128"/>
      <c r="U432" s="128"/>
      <c r="X432" s="128"/>
      <c r="Y432" s="128"/>
      <c r="Z432" s="128"/>
      <c r="AA432" s="128"/>
      <c r="AB432" s="128"/>
      <c r="AC432" s="128"/>
      <c r="AD432" s="128"/>
      <c r="AE432" s="128"/>
      <c r="AF432" s="128"/>
      <c r="AG432" s="128"/>
      <c r="AI432" s="128"/>
      <c r="AJ432" s="128"/>
      <c r="AY432" s="128"/>
      <c r="BN432" s="128"/>
      <c r="BQ432" s="128"/>
      <c r="BR432" s="128"/>
      <c r="BT432" s="128"/>
      <c r="BV432" s="128"/>
      <c r="BX432" s="128"/>
      <c r="CU432" s="128"/>
      <c r="CW432" s="128"/>
      <c r="DN432" s="128"/>
      <c r="DP432" s="128"/>
      <c r="DR432" s="128"/>
      <c r="DV432" s="128"/>
      <c r="DX432" s="128"/>
      <c r="DY432" s="128"/>
      <c r="EA432" s="128"/>
      <c r="EB432" s="128"/>
      <c r="EC432" s="128"/>
      <c r="EG432" s="128"/>
      <c r="EL432" s="128"/>
      <c r="EM432" s="128"/>
      <c r="EO432" s="128"/>
      <c r="EQ432" s="128"/>
      <c r="ES432" s="128"/>
      <c r="EU432" s="128"/>
      <c r="EW432" s="128"/>
      <c r="EY432" s="128"/>
    </row>
    <row r="433" spans="3:155">
      <c r="C433" s="128"/>
      <c r="D433" s="128"/>
      <c r="E433" s="128"/>
      <c r="F433" s="128" t="str">
        <f>IF(E433 &lt;&gt; "", VLOOKUP(E433, '[2]Internal-logic'!G$1:I$364, 2, FALSE),"")</f>
        <v/>
      </c>
      <c r="G433" s="128" t="str">
        <f>IF(E433 &lt;&gt; "", VLOOKUP(E433, '[2]Internal-logic'!G$1:I$364, 3, FALSE),"")</f>
        <v/>
      </c>
      <c r="H433" s="128"/>
      <c r="I433" s="128"/>
      <c r="J433" s="128"/>
      <c r="K433" s="128"/>
      <c r="Q433" s="128"/>
      <c r="R433" s="128"/>
      <c r="S433" s="128"/>
      <c r="U433" s="128"/>
      <c r="X433" s="128"/>
      <c r="Y433" s="128"/>
      <c r="Z433" s="128"/>
      <c r="AA433" s="128"/>
      <c r="AB433" s="128"/>
      <c r="AC433" s="128"/>
      <c r="AD433" s="128"/>
      <c r="AE433" s="128"/>
      <c r="AF433" s="128"/>
      <c r="AG433" s="128"/>
      <c r="AI433" s="128"/>
      <c r="AJ433" s="128"/>
      <c r="AY433" s="128"/>
      <c r="BN433" s="128"/>
      <c r="BQ433" s="128"/>
      <c r="BR433" s="128"/>
      <c r="BT433" s="128"/>
      <c r="BV433" s="128"/>
      <c r="BX433" s="128"/>
      <c r="CU433" s="128"/>
      <c r="CW433" s="128"/>
      <c r="DN433" s="128"/>
      <c r="DP433" s="128"/>
      <c r="DR433" s="128"/>
      <c r="DV433" s="128"/>
      <c r="DX433" s="128"/>
      <c r="DY433" s="128"/>
      <c r="EA433" s="128"/>
      <c r="EB433" s="128"/>
      <c r="EC433" s="128"/>
      <c r="EG433" s="128"/>
      <c r="EL433" s="128"/>
      <c r="EM433" s="128"/>
      <c r="EO433" s="128"/>
      <c r="EQ433" s="128"/>
      <c r="ES433" s="128"/>
      <c r="EU433" s="128"/>
      <c r="EW433" s="128"/>
      <c r="EY433" s="128"/>
    </row>
    <row r="434" spans="3:155">
      <c r="C434" s="128"/>
      <c r="D434" s="128"/>
      <c r="E434" s="128"/>
      <c r="F434" s="128" t="str">
        <f>IF(E434 &lt;&gt; "", VLOOKUP(E434, '[2]Internal-logic'!G$1:I$364, 2, FALSE),"")</f>
        <v/>
      </c>
      <c r="G434" s="128" t="str">
        <f>IF(E434 &lt;&gt; "", VLOOKUP(E434, '[2]Internal-logic'!G$1:I$364, 3, FALSE),"")</f>
        <v/>
      </c>
      <c r="H434" s="128"/>
      <c r="I434" s="128"/>
      <c r="J434" s="128"/>
      <c r="K434" s="128"/>
      <c r="Q434" s="128"/>
      <c r="R434" s="128"/>
      <c r="S434" s="128"/>
      <c r="U434" s="128"/>
      <c r="X434" s="128"/>
      <c r="Y434" s="128"/>
      <c r="Z434" s="128"/>
      <c r="AA434" s="128"/>
      <c r="AB434" s="128"/>
      <c r="AC434" s="128"/>
      <c r="AD434" s="128"/>
      <c r="AE434" s="128"/>
      <c r="AF434" s="128"/>
      <c r="AG434" s="128"/>
      <c r="AI434" s="128"/>
      <c r="AJ434" s="128"/>
      <c r="AY434" s="128"/>
      <c r="BN434" s="128"/>
      <c r="BQ434" s="128"/>
      <c r="BR434" s="128"/>
      <c r="BT434" s="128"/>
      <c r="BV434" s="128"/>
      <c r="BX434" s="128"/>
      <c r="CU434" s="128"/>
      <c r="CW434" s="128"/>
      <c r="DN434" s="128"/>
      <c r="DP434" s="128"/>
      <c r="DR434" s="128"/>
      <c r="DV434" s="128"/>
      <c r="DX434" s="128"/>
      <c r="DY434" s="128"/>
      <c r="EA434" s="128"/>
      <c r="EB434" s="128"/>
      <c r="EC434" s="128"/>
      <c r="EG434" s="128"/>
      <c r="EL434" s="128"/>
      <c r="EM434" s="128"/>
      <c r="EO434" s="128"/>
      <c r="EQ434" s="128"/>
      <c r="ES434" s="128"/>
      <c r="EU434" s="128"/>
      <c r="EW434" s="128"/>
      <c r="EY434" s="128"/>
    </row>
    <row r="435" spans="3:155">
      <c r="C435" s="128"/>
      <c r="D435" s="128"/>
      <c r="E435" s="128"/>
      <c r="F435" s="128" t="str">
        <f>IF(E435 &lt;&gt; "", VLOOKUP(E435, '[2]Internal-logic'!G$1:I$364, 2, FALSE),"")</f>
        <v/>
      </c>
      <c r="G435" s="128" t="str">
        <f>IF(E435 &lt;&gt; "", VLOOKUP(E435, '[2]Internal-logic'!G$1:I$364, 3, FALSE),"")</f>
        <v/>
      </c>
      <c r="H435" s="128"/>
      <c r="I435" s="128"/>
      <c r="J435" s="128"/>
      <c r="K435" s="128"/>
      <c r="Q435" s="128"/>
      <c r="R435" s="128"/>
      <c r="S435" s="128"/>
      <c r="U435" s="128"/>
      <c r="X435" s="128"/>
      <c r="Y435" s="128"/>
      <c r="Z435" s="128"/>
      <c r="AA435" s="128"/>
      <c r="AB435" s="128"/>
      <c r="AC435" s="128"/>
      <c r="AD435" s="128"/>
      <c r="AE435" s="128"/>
      <c r="AF435" s="128"/>
      <c r="AG435" s="128"/>
      <c r="AI435" s="128"/>
      <c r="AJ435" s="128"/>
      <c r="AY435" s="128"/>
      <c r="BN435" s="128"/>
      <c r="BQ435" s="128"/>
      <c r="BR435" s="128"/>
      <c r="BT435" s="128"/>
      <c r="BV435" s="128"/>
      <c r="BX435" s="128"/>
      <c r="CU435" s="128"/>
      <c r="CW435" s="128"/>
      <c r="DN435" s="128"/>
      <c r="DP435" s="128"/>
      <c r="DR435" s="128"/>
      <c r="DV435" s="128"/>
      <c r="DX435" s="128"/>
      <c r="DY435" s="128"/>
      <c r="EA435" s="128"/>
      <c r="EB435" s="128"/>
      <c r="EC435" s="128"/>
      <c r="EG435" s="128"/>
      <c r="EL435" s="128"/>
      <c r="EM435" s="128"/>
      <c r="EO435" s="128"/>
      <c r="EQ435" s="128"/>
      <c r="ES435" s="128"/>
      <c r="EU435" s="128"/>
      <c r="EW435" s="128"/>
      <c r="EY435" s="128"/>
    </row>
    <row r="436" spans="3:155">
      <c r="C436" s="128"/>
      <c r="D436" s="128"/>
      <c r="E436" s="128"/>
      <c r="F436" s="128" t="str">
        <f>IF(E436 &lt;&gt; "", VLOOKUP(E436, '[2]Internal-logic'!G$1:I$364, 2, FALSE),"")</f>
        <v/>
      </c>
      <c r="G436" s="128" t="str">
        <f>IF(E436 &lt;&gt; "", VLOOKUP(E436, '[2]Internal-logic'!G$1:I$364, 3, FALSE),"")</f>
        <v/>
      </c>
      <c r="H436" s="128"/>
      <c r="I436" s="128"/>
      <c r="J436" s="128"/>
      <c r="K436" s="128"/>
      <c r="Q436" s="128"/>
      <c r="R436" s="128"/>
      <c r="S436" s="128"/>
      <c r="U436" s="128"/>
      <c r="X436" s="128"/>
      <c r="Y436" s="128"/>
      <c r="Z436" s="128"/>
      <c r="AA436" s="128"/>
      <c r="AB436" s="128"/>
      <c r="AC436" s="128"/>
      <c r="AD436" s="128"/>
      <c r="AE436" s="128"/>
      <c r="AF436" s="128"/>
      <c r="AG436" s="128"/>
      <c r="AI436" s="128"/>
      <c r="AJ436" s="128"/>
      <c r="AY436" s="128"/>
      <c r="BN436" s="128"/>
      <c r="BQ436" s="128"/>
      <c r="BR436" s="128"/>
      <c r="BT436" s="128"/>
      <c r="BV436" s="128"/>
      <c r="BX436" s="128"/>
      <c r="CU436" s="128"/>
      <c r="CW436" s="128"/>
      <c r="DN436" s="128"/>
      <c r="DP436" s="128"/>
      <c r="DR436" s="128"/>
      <c r="DV436" s="128"/>
      <c r="DX436" s="128"/>
      <c r="DY436" s="128"/>
      <c r="EA436" s="128"/>
      <c r="EB436" s="128"/>
      <c r="EC436" s="128"/>
      <c r="EG436" s="128"/>
      <c r="EL436" s="128"/>
      <c r="EM436" s="128"/>
      <c r="EO436" s="128"/>
      <c r="EQ436" s="128"/>
      <c r="ES436" s="128"/>
      <c r="EU436" s="128"/>
      <c r="EW436" s="128"/>
      <c r="EY436" s="128"/>
    </row>
    <row r="437" spans="3:155">
      <c r="C437" s="128"/>
      <c r="D437" s="128"/>
      <c r="E437" s="128"/>
      <c r="F437" s="128" t="str">
        <f>IF(E437 &lt;&gt; "", VLOOKUP(E437, '[2]Internal-logic'!G$1:I$364, 2, FALSE),"")</f>
        <v/>
      </c>
      <c r="G437" s="128" t="str">
        <f>IF(E437 &lt;&gt; "", VLOOKUP(E437, '[2]Internal-logic'!G$1:I$364, 3, FALSE),"")</f>
        <v/>
      </c>
      <c r="H437" s="128"/>
      <c r="I437" s="128"/>
      <c r="J437" s="128"/>
      <c r="K437" s="128"/>
      <c r="Q437" s="128"/>
      <c r="R437" s="128"/>
      <c r="S437" s="128"/>
      <c r="U437" s="128"/>
      <c r="X437" s="128"/>
      <c r="Y437" s="128"/>
      <c r="Z437" s="128"/>
      <c r="AA437" s="128"/>
      <c r="AB437" s="128"/>
      <c r="AC437" s="128"/>
      <c r="AD437" s="128"/>
      <c r="AE437" s="128"/>
      <c r="AF437" s="128"/>
      <c r="AG437" s="128"/>
      <c r="AI437" s="128"/>
      <c r="AJ437" s="128"/>
      <c r="AY437" s="128"/>
      <c r="BN437" s="128"/>
      <c r="BQ437" s="128"/>
      <c r="BR437" s="128"/>
      <c r="BT437" s="128"/>
      <c r="BV437" s="128"/>
      <c r="BX437" s="128"/>
      <c r="CU437" s="128"/>
      <c r="CW437" s="128"/>
      <c r="DN437" s="128"/>
      <c r="DP437" s="128"/>
      <c r="DR437" s="128"/>
      <c r="DV437" s="128"/>
      <c r="DX437" s="128"/>
      <c r="DY437" s="128"/>
      <c r="EA437" s="128"/>
      <c r="EB437" s="128"/>
      <c r="EC437" s="128"/>
      <c r="EG437" s="128"/>
      <c r="EL437" s="128"/>
      <c r="EM437" s="128"/>
      <c r="EO437" s="128"/>
      <c r="EQ437" s="128"/>
      <c r="ES437" s="128"/>
      <c r="EU437" s="128"/>
      <c r="EW437" s="128"/>
      <c r="EY437" s="128"/>
    </row>
    <row r="438" spans="3:155">
      <c r="C438" s="128"/>
      <c r="D438" s="128"/>
      <c r="E438" s="128"/>
      <c r="F438" s="128" t="str">
        <f>IF(E438 &lt;&gt; "", VLOOKUP(E438, '[2]Internal-logic'!G$1:I$364, 2, FALSE),"")</f>
        <v/>
      </c>
      <c r="G438" s="128" t="str">
        <f>IF(E438 &lt;&gt; "", VLOOKUP(E438, '[2]Internal-logic'!G$1:I$364, 3, FALSE),"")</f>
        <v/>
      </c>
      <c r="H438" s="128"/>
      <c r="I438" s="128"/>
      <c r="J438" s="128"/>
      <c r="K438" s="128"/>
      <c r="Q438" s="128"/>
      <c r="R438" s="128"/>
      <c r="S438" s="128"/>
      <c r="U438" s="128"/>
      <c r="X438" s="128"/>
      <c r="Y438" s="128"/>
      <c r="Z438" s="128"/>
      <c r="AA438" s="128"/>
      <c r="AB438" s="128"/>
      <c r="AC438" s="128"/>
      <c r="AD438" s="128"/>
      <c r="AE438" s="128"/>
      <c r="AF438" s="128"/>
      <c r="AG438" s="128"/>
      <c r="AI438" s="128"/>
      <c r="AJ438" s="128"/>
      <c r="AY438" s="128"/>
      <c r="BN438" s="128"/>
      <c r="BQ438" s="128"/>
      <c r="BR438" s="128"/>
      <c r="BT438" s="128"/>
      <c r="BV438" s="128"/>
      <c r="BX438" s="128"/>
      <c r="CU438" s="128"/>
      <c r="CW438" s="128"/>
      <c r="DN438" s="128"/>
      <c r="DP438" s="128"/>
      <c r="DR438" s="128"/>
      <c r="DV438" s="128"/>
      <c r="DX438" s="128"/>
      <c r="DY438" s="128"/>
      <c r="EA438" s="128"/>
      <c r="EB438" s="128"/>
      <c r="EC438" s="128"/>
      <c r="EG438" s="128"/>
      <c r="EL438" s="128"/>
      <c r="EM438" s="128"/>
      <c r="EO438" s="128"/>
      <c r="EQ438" s="128"/>
      <c r="ES438" s="128"/>
      <c r="EU438" s="128"/>
      <c r="EW438" s="128"/>
      <c r="EY438" s="128"/>
    </row>
    <row r="439" spans="3:155">
      <c r="C439" s="128"/>
      <c r="D439" s="128"/>
      <c r="E439" s="128"/>
      <c r="F439" s="128" t="str">
        <f>IF(E439 &lt;&gt; "", VLOOKUP(E439, '[2]Internal-logic'!G$1:I$364, 2, FALSE),"")</f>
        <v/>
      </c>
      <c r="G439" s="128" t="str">
        <f>IF(E439 &lt;&gt; "", VLOOKUP(E439, '[2]Internal-logic'!G$1:I$364, 3, FALSE),"")</f>
        <v/>
      </c>
      <c r="H439" s="128"/>
      <c r="I439" s="128"/>
      <c r="J439" s="128"/>
      <c r="K439" s="128"/>
      <c r="Q439" s="128"/>
      <c r="R439" s="128"/>
      <c r="S439" s="128"/>
      <c r="U439" s="128"/>
      <c r="X439" s="128"/>
      <c r="Y439" s="128"/>
      <c r="Z439" s="128"/>
      <c r="AA439" s="128"/>
      <c r="AB439" s="128"/>
      <c r="AC439" s="128"/>
      <c r="AD439" s="128"/>
      <c r="AE439" s="128"/>
      <c r="AF439" s="128"/>
      <c r="AG439" s="128"/>
      <c r="AI439" s="128"/>
      <c r="AJ439" s="128"/>
      <c r="AY439" s="128"/>
      <c r="BN439" s="128"/>
      <c r="BQ439" s="128"/>
      <c r="BR439" s="128"/>
      <c r="BT439" s="128"/>
      <c r="BV439" s="128"/>
      <c r="BX439" s="128"/>
      <c r="CU439" s="128"/>
      <c r="CW439" s="128"/>
      <c r="DN439" s="128"/>
      <c r="DP439" s="128"/>
      <c r="DR439" s="128"/>
      <c r="DV439" s="128"/>
      <c r="DX439" s="128"/>
      <c r="DY439" s="128"/>
      <c r="EA439" s="128"/>
      <c r="EB439" s="128"/>
      <c r="EC439" s="128"/>
      <c r="EG439" s="128"/>
      <c r="EL439" s="128"/>
      <c r="EM439" s="128"/>
      <c r="EO439" s="128"/>
      <c r="EQ439" s="128"/>
      <c r="ES439" s="128"/>
      <c r="EU439" s="128"/>
      <c r="EW439" s="128"/>
      <c r="EY439" s="128"/>
    </row>
    <row r="440" spans="3:155">
      <c r="C440" s="128"/>
      <c r="D440" s="128"/>
      <c r="E440" s="128"/>
      <c r="F440" s="128" t="str">
        <f>IF(E440 &lt;&gt; "", VLOOKUP(E440, '[2]Internal-logic'!G$1:I$364, 2, FALSE),"")</f>
        <v/>
      </c>
      <c r="G440" s="128" t="str">
        <f>IF(E440 &lt;&gt; "", VLOOKUP(E440, '[2]Internal-logic'!G$1:I$364, 3, FALSE),"")</f>
        <v/>
      </c>
      <c r="H440" s="128"/>
      <c r="I440" s="128"/>
      <c r="J440" s="128"/>
      <c r="K440" s="128"/>
      <c r="Q440" s="128"/>
      <c r="R440" s="128"/>
      <c r="S440" s="128"/>
      <c r="U440" s="128"/>
      <c r="X440" s="128"/>
      <c r="Y440" s="128"/>
      <c r="Z440" s="128"/>
      <c r="AA440" s="128"/>
      <c r="AB440" s="128"/>
      <c r="AC440" s="128"/>
      <c r="AD440" s="128"/>
      <c r="AE440" s="128"/>
      <c r="AF440" s="128"/>
      <c r="AG440" s="128"/>
      <c r="AI440" s="128"/>
      <c r="AJ440" s="128"/>
      <c r="AY440" s="128"/>
      <c r="BN440" s="128"/>
      <c r="BQ440" s="128"/>
      <c r="BR440" s="128"/>
      <c r="BT440" s="128"/>
      <c r="BV440" s="128"/>
      <c r="BX440" s="128"/>
      <c r="CU440" s="128"/>
      <c r="CW440" s="128"/>
      <c r="DN440" s="128"/>
      <c r="DP440" s="128"/>
      <c r="DR440" s="128"/>
      <c r="DV440" s="128"/>
      <c r="DX440" s="128"/>
      <c r="DY440" s="128"/>
      <c r="EA440" s="128"/>
      <c r="EB440" s="128"/>
      <c r="EC440" s="128"/>
      <c r="EG440" s="128"/>
      <c r="EL440" s="128"/>
      <c r="EM440" s="128"/>
      <c r="EO440" s="128"/>
      <c r="EQ440" s="128"/>
      <c r="ES440" s="128"/>
      <c r="EU440" s="128"/>
      <c r="EW440" s="128"/>
      <c r="EY440" s="128"/>
    </row>
    <row r="441" spans="3:155">
      <c r="C441" s="128"/>
      <c r="D441" s="128"/>
      <c r="E441" s="128"/>
      <c r="F441" s="128" t="str">
        <f>IF(E441 &lt;&gt; "", VLOOKUP(E441, '[2]Internal-logic'!G$1:I$364, 2, FALSE),"")</f>
        <v/>
      </c>
      <c r="G441" s="128" t="str">
        <f>IF(E441 &lt;&gt; "", VLOOKUP(E441, '[2]Internal-logic'!G$1:I$364, 3, FALSE),"")</f>
        <v/>
      </c>
      <c r="H441" s="128"/>
      <c r="I441" s="128"/>
      <c r="J441" s="128"/>
      <c r="K441" s="128"/>
      <c r="Q441" s="128"/>
      <c r="R441" s="128"/>
      <c r="S441" s="128"/>
      <c r="U441" s="128"/>
      <c r="X441" s="128"/>
      <c r="Y441" s="128"/>
      <c r="Z441" s="128"/>
      <c r="AA441" s="128"/>
      <c r="AB441" s="128"/>
      <c r="AC441" s="128"/>
      <c r="AD441" s="128"/>
      <c r="AE441" s="128"/>
      <c r="AF441" s="128"/>
      <c r="AG441" s="128"/>
      <c r="AI441" s="128"/>
      <c r="AJ441" s="128"/>
      <c r="AY441" s="128"/>
      <c r="BN441" s="128"/>
      <c r="BQ441" s="128"/>
      <c r="BR441" s="128"/>
      <c r="BT441" s="128"/>
      <c r="BV441" s="128"/>
      <c r="BX441" s="128"/>
      <c r="CU441" s="128"/>
      <c r="CW441" s="128"/>
      <c r="DN441" s="128"/>
      <c r="DP441" s="128"/>
      <c r="DR441" s="128"/>
      <c r="DV441" s="128"/>
      <c r="DX441" s="128"/>
      <c r="DY441" s="128"/>
      <c r="EA441" s="128"/>
      <c r="EB441" s="128"/>
      <c r="EC441" s="128"/>
      <c r="EG441" s="128"/>
      <c r="EL441" s="128"/>
      <c r="EM441" s="128"/>
      <c r="EO441" s="128"/>
      <c r="EQ441" s="128"/>
      <c r="ES441" s="128"/>
      <c r="EU441" s="128"/>
      <c r="EW441" s="128"/>
      <c r="EY441" s="128"/>
    </row>
    <row r="442" spans="3:155">
      <c r="C442" s="128"/>
      <c r="D442" s="128"/>
      <c r="E442" s="128"/>
      <c r="F442" s="128" t="str">
        <f>IF(E442 &lt;&gt; "", VLOOKUP(E442, '[2]Internal-logic'!G$1:I$364, 2, FALSE),"")</f>
        <v/>
      </c>
      <c r="G442" s="128" t="str">
        <f>IF(E442 &lt;&gt; "", VLOOKUP(E442, '[2]Internal-logic'!G$1:I$364, 3, FALSE),"")</f>
        <v/>
      </c>
      <c r="H442" s="128"/>
      <c r="I442" s="128"/>
      <c r="J442" s="128"/>
      <c r="K442" s="128"/>
      <c r="Q442" s="128"/>
      <c r="R442" s="128"/>
      <c r="S442" s="128"/>
      <c r="U442" s="128"/>
      <c r="X442" s="128"/>
      <c r="Y442" s="128"/>
      <c r="Z442" s="128"/>
      <c r="AA442" s="128"/>
      <c r="AB442" s="128"/>
      <c r="AC442" s="128"/>
      <c r="AD442" s="128"/>
      <c r="AE442" s="128"/>
      <c r="AF442" s="128"/>
      <c r="AG442" s="128"/>
      <c r="AI442" s="128"/>
      <c r="AJ442" s="128"/>
      <c r="AY442" s="128"/>
      <c r="BN442" s="128"/>
      <c r="BQ442" s="128"/>
      <c r="BR442" s="128"/>
      <c r="BT442" s="128"/>
      <c r="BV442" s="128"/>
      <c r="BX442" s="128"/>
      <c r="CU442" s="128"/>
      <c r="CW442" s="128"/>
      <c r="DN442" s="128"/>
      <c r="DP442" s="128"/>
      <c r="DR442" s="128"/>
      <c r="DV442" s="128"/>
      <c r="DX442" s="128"/>
      <c r="DY442" s="128"/>
      <c r="EA442" s="128"/>
      <c r="EB442" s="128"/>
      <c r="EC442" s="128"/>
      <c r="EG442" s="128"/>
      <c r="EL442" s="128"/>
      <c r="EM442" s="128"/>
      <c r="EO442" s="128"/>
      <c r="EQ442" s="128"/>
      <c r="ES442" s="128"/>
      <c r="EU442" s="128"/>
      <c r="EW442" s="128"/>
      <c r="EY442" s="128"/>
    </row>
    <row r="443" spans="3:155">
      <c r="C443" s="128"/>
      <c r="D443" s="128"/>
      <c r="E443" s="128"/>
      <c r="F443" s="128" t="str">
        <f>IF(E443 &lt;&gt; "", VLOOKUP(E443, '[2]Internal-logic'!G$1:I$364, 2, FALSE),"")</f>
        <v/>
      </c>
      <c r="G443" s="128" t="str">
        <f>IF(E443 &lt;&gt; "", VLOOKUP(E443, '[2]Internal-logic'!G$1:I$364, 3, FALSE),"")</f>
        <v/>
      </c>
      <c r="H443" s="128"/>
      <c r="I443" s="128"/>
      <c r="J443" s="128"/>
      <c r="K443" s="128"/>
      <c r="Q443" s="128"/>
      <c r="R443" s="128"/>
      <c r="S443" s="128"/>
      <c r="U443" s="128"/>
      <c r="X443" s="128"/>
      <c r="Y443" s="128"/>
      <c r="Z443" s="128"/>
      <c r="AA443" s="128"/>
      <c r="AB443" s="128"/>
      <c r="AC443" s="128"/>
      <c r="AD443" s="128"/>
      <c r="AE443" s="128"/>
      <c r="AF443" s="128"/>
      <c r="AG443" s="128"/>
      <c r="AI443" s="128"/>
      <c r="AJ443" s="128"/>
      <c r="AY443" s="128"/>
      <c r="BN443" s="128"/>
      <c r="BQ443" s="128"/>
      <c r="BR443" s="128"/>
      <c r="BT443" s="128"/>
      <c r="BV443" s="128"/>
      <c r="BX443" s="128"/>
      <c r="CU443" s="128"/>
      <c r="CW443" s="128"/>
      <c r="DN443" s="128"/>
      <c r="DP443" s="128"/>
      <c r="DR443" s="128"/>
      <c r="DV443" s="128"/>
      <c r="DX443" s="128"/>
      <c r="DY443" s="128"/>
      <c r="EA443" s="128"/>
      <c r="EB443" s="128"/>
      <c r="EC443" s="128"/>
      <c r="EG443" s="128"/>
      <c r="EL443" s="128"/>
      <c r="EM443" s="128"/>
      <c r="EO443" s="128"/>
      <c r="EQ443" s="128"/>
      <c r="ES443" s="128"/>
      <c r="EU443" s="128"/>
      <c r="EW443" s="128"/>
      <c r="EY443" s="128"/>
    </row>
    <row r="444" spans="3:155">
      <c r="C444" s="128"/>
      <c r="D444" s="128"/>
      <c r="E444" s="128"/>
      <c r="F444" s="128" t="str">
        <f>IF(E444 &lt;&gt; "", VLOOKUP(E444, '[2]Internal-logic'!G$1:I$364, 2, FALSE),"")</f>
        <v/>
      </c>
      <c r="G444" s="128" t="str">
        <f>IF(E444 &lt;&gt; "", VLOOKUP(E444, '[2]Internal-logic'!G$1:I$364, 3, FALSE),"")</f>
        <v/>
      </c>
      <c r="H444" s="128"/>
      <c r="I444" s="128"/>
      <c r="J444" s="128"/>
      <c r="K444" s="128"/>
      <c r="Q444" s="128"/>
      <c r="R444" s="128"/>
      <c r="S444" s="128"/>
      <c r="U444" s="128"/>
      <c r="X444" s="128"/>
      <c r="Y444" s="128"/>
      <c r="Z444" s="128"/>
      <c r="AA444" s="128"/>
      <c r="AB444" s="128"/>
      <c r="AC444" s="128"/>
      <c r="AD444" s="128"/>
      <c r="AE444" s="128"/>
      <c r="AF444" s="128"/>
      <c r="AG444" s="128"/>
      <c r="AI444" s="128"/>
      <c r="AJ444" s="128"/>
      <c r="AY444" s="128"/>
      <c r="BN444" s="128"/>
      <c r="BQ444" s="128"/>
      <c r="BR444" s="128"/>
      <c r="BT444" s="128"/>
      <c r="BV444" s="128"/>
      <c r="BX444" s="128"/>
      <c r="CU444" s="128"/>
      <c r="CW444" s="128"/>
      <c r="DN444" s="128"/>
      <c r="DP444" s="128"/>
      <c r="DR444" s="128"/>
      <c r="DV444" s="128"/>
      <c r="DX444" s="128"/>
      <c r="DY444" s="128"/>
      <c r="EA444" s="128"/>
      <c r="EB444" s="128"/>
      <c r="EC444" s="128"/>
      <c r="EG444" s="128"/>
      <c r="EL444" s="128"/>
      <c r="EM444" s="128"/>
      <c r="EO444" s="128"/>
      <c r="EQ444" s="128"/>
      <c r="ES444" s="128"/>
      <c r="EU444" s="128"/>
      <c r="EW444" s="128"/>
      <c r="EY444" s="128"/>
    </row>
    <row r="445" spans="3:155">
      <c r="C445" s="128"/>
      <c r="D445" s="128"/>
      <c r="E445" s="128"/>
      <c r="F445" s="128" t="str">
        <f>IF(E445 &lt;&gt; "", VLOOKUP(E445, '[2]Internal-logic'!G$1:I$364, 2, FALSE),"")</f>
        <v/>
      </c>
      <c r="G445" s="128" t="str">
        <f>IF(E445 &lt;&gt; "", VLOOKUP(E445, '[2]Internal-logic'!G$1:I$364, 3, FALSE),"")</f>
        <v/>
      </c>
      <c r="H445" s="128"/>
      <c r="I445" s="128"/>
      <c r="J445" s="128"/>
      <c r="K445" s="128"/>
      <c r="Q445" s="128"/>
      <c r="R445" s="128"/>
      <c r="S445" s="128"/>
      <c r="U445" s="128"/>
      <c r="X445" s="128"/>
      <c r="Y445" s="128"/>
      <c r="Z445" s="128"/>
      <c r="AA445" s="128"/>
      <c r="AB445" s="128"/>
      <c r="AC445" s="128"/>
      <c r="AD445" s="128"/>
      <c r="AE445" s="128"/>
      <c r="AF445" s="128"/>
      <c r="AG445" s="128"/>
      <c r="AI445" s="128"/>
      <c r="AJ445" s="128"/>
      <c r="AY445" s="128"/>
      <c r="BN445" s="128"/>
      <c r="BQ445" s="128"/>
      <c r="BR445" s="128"/>
      <c r="BT445" s="128"/>
      <c r="BV445" s="128"/>
      <c r="BX445" s="128"/>
      <c r="CU445" s="128"/>
      <c r="CW445" s="128"/>
      <c r="DN445" s="128"/>
      <c r="DP445" s="128"/>
      <c r="DR445" s="128"/>
      <c r="DV445" s="128"/>
      <c r="DX445" s="128"/>
      <c r="DY445" s="128"/>
      <c r="EA445" s="128"/>
      <c r="EB445" s="128"/>
      <c r="EC445" s="128"/>
      <c r="EG445" s="128"/>
      <c r="EL445" s="128"/>
      <c r="EM445" s="128"/>
      <c r="EO445" s="128"/>
      <c r="EQ445" s="128"/>
      <c r="ES445" s="128"/>
      <c r="EU445" s="128"/>
      <c r="EW445" s="128"/>
      <c r="EY445" s="128"/>
    </row>
    <row r="446" spans="3:155">
      <c r="C446" s="128"/>
      <c r="D446" s="128"/>
      <c r="E446" s="128"/>
      <c r="F446" s="128" t="str">
        <f>IF(E446 &lt;&gt; "", VLOOKUP(E446, '[2]Internal-logic'!G$1:I$364, 2, FALSE),"")</f>
        <v/>
      </c>
      <c r="G446" s="128" t="str">
        <f>IF(E446 &lt;&gt; "", VLOOKUP(E446, '[2]Internal-logic'!G$1:I$364, 3, FALSE),"")</f>
        <v/>
      </c>
      <c r="H446" s="128"/>
      <c r="I446" s="128"/>
      <c r="J446" s="128"/>
      <c r="K446" s="128"/>
      <c r="Q446" s="128"/>
      <c r="R446" s="128"/>
      <c r="S446" s="128"/>
      <c r="U446" s="128"/>
      <c r="X446" s="128"/>
      <c r="Y446" s="128"/>
      <c r="Z446" s="128"/>
      <c r="AA446" s="128"/>
      <c r="AB446" s="128"/>
      <c r="AC446" s="128"/>
      <c r="AD446" s="128"/>
      <c r="AE446" s="128"/>
      <c r="AF446" s="128"/>
      <c r="AG446" s="128"/>
      <c r="AI446" s="128"/>
      <c r="AJ446" s="128"/>
      <c r="AY446" s="128"/>
      <c r="BN446" s="128"/>
      <c r="BQ446" s="128"/>
      <c r="BR446" s="128"/>
      <c r="BT446" s="128"/>
      <c r="BV446" s="128"/>
      <c r="BX446" s="128"/>
      <c r="CU446" s="128"/>
      <c r="CW446" s="128"/>
      <c r="DN446" s="128"/>
      <c r="DP446" s="128"/>
      <c r="DR446" s="128"/>
      <c r="DV446" s="128"/>
      <c r="DX446" s="128"/>
      <c r="DY446" s="128"/>
      <c r="EA446" s="128"/>
      <c r="EB446" s="128"/>
      <c r="EC446" s="128"/>
      <c r="EG446" s="128"/>
      <c r="EL446" s="128"/>
      <c r="EM446" s="128"/>
      <c r="EO446" s="128"/>
      <c r="EQ446" s="128"/>
      <c r="ES446" s="128"/>
      <c r="EU446" s="128"/>
      <c r="EW446" s="128"/>
      <c r="EY446" s="128"/>
    </row>
    <row r="447" spans="3:155">
      <c r="C447" s="128"/>
      <c r="D447" s="128"/>
      <c r="E447" s="128"/>
      <c r="F447" s="128" t="str">
        <f>IF(E447 &lt;&gt; "", VLOOKUP(E447, '[2]Internal-logic'!G$1:I$364, 2, FALSE),"")</f>
        <v/>
      </c>
      <c r="G447" s="128" t="str">
        <f>IF(E447 &lt;&gt; "", VLOOKUP(E447, '[2]Internal-logic'!G$1:I$364, 3, FALSE),"")</f>
        <v/>
      </c>
      <c r="H447" s="128"/>
      <c r="I447" s="128"/>
      <c r="J447" s="128"/>
      <c r="K447" s="128"/>
      <c r="Q447" s="128"/>
      <c r="R447" s="128"/>
      <c r="S447" s="128"/>
      <c r="U447" s="128"/>
      <c r="X447" s="128"/>
      <c r="Y447" s="128"/>
      <c r="Z447" s="128"/>
      <c r="AA447" s="128"/>
      <c r="AB447" s="128"/>
      <c r="AC447" s="128"/>
      <c r="AD447" s="128"/>
      <c r="AE447" s="128"/>
      <c r="AF447" s="128"/>
      <c r="AG447" s="128"/>
      <c r="AI447" s="128"/>
      <c r="AJ447" s="128"/>
      <c r="AY447" s="128"/>
      <c r="BN447" s="128"/>
      <c r="BQ447" s="128"/>
      <c r="BR447" s="128"/>
      <c r="BT447" s="128"/>
      <c r="BV447" s="128"/>
      <c r="BX447" s="128"/>
      <c r="CU447" s="128"/>
      <c r="CW447" s="128"/>
      <c r="DN447" s="128"/>
      <c r="DP447" s="128"/>
      <c r="DR447" s="128"/>
      <c r="DV447" s="128"/>
      <c r="DX447" s="128"/>
      <c r="DY447" s="128"/>
      <c r="EA447" s="128"/>
      <c r="EB447" s="128"/>
      <c r="EC447" s="128"/>
      <c r="EG447" s="128"/>
      <c r="EL447" s="128"/>
      <c r="EM447" s="128"/>
      <c r="EO447" s="128"/>
      <c r="EQ447" s="128"/>
      <c r="ES447" s="128"/>
      <c r="EU447" s="128"/>
      <c r="EW447" s="128"/>
      <c r="EY447" s="128"/>
    </row>
    <row r="448" spans="3:155">
      <c r="C448" s="128"/>
      <c r="D448" s="128"/>
      <c r="E448" s="128"/>
      <c r="F448" s="128" t="str">
        <f>IF(E448 &lt;&gt; "", VLOOKUP(E448, '[2]Internal-logic'!G$1:I$364, 2, FALSE),"")</f>
        <v/>
      </c>
      <c r="G448" s="128" t="str">
        <f>IF(E448 &lt;&gt; "", VLOOKUP(E448, '[2]Internal-logic'!G$1:I$364, 3, FALSE),"")</f>
        <v/>
      </c>
      <c r="H448" s="128"/>
      <c r="I448" s="128"/>
      <c r="J448" s="128"/>
      <c r="K448" s="128"/>
      <c r="Q448" s="128"/>
      <c r="R448" s="128"/>
      <c r="S448" s="128"/>
      <c r="U448" s="128"/>
      <c r="X448" s="128"/>
      <c r="Y448" s="128"/>
      <c r="Z448" s="128"/>
      <c r="AA448" s="128"/>
      <c r="AB448" s="128"/>
      <c r="AC448" s="128"/>
      <c r="AD448" s="128"/>
      <c r="AE448" s="128"/>
      <c r="AF448" s="128"/>
      <c r="AG448" s="128"/>
      <c r="AI448" s="128"/>
      <c r="AJ448" s="128"/>
      <c r="AY448" s="128"/>
      <c r="BN448" s="128"/>
      <c r="BQ448" s="128"/>
      <c r="BR448" s="128"/>
      <c r="BT448" s="128"/>
      <c r="BV448" s="128"/>
      <c r="BX448" s="128"/>
      <c r="CU448" s="128"/>
      <c r="CW448" s="128"/>
      <c r="DN448" s="128"/>
      <c r="DP448" s="128"/>
      <c r="DR448" s="128"/>
      <c r="DV448" s="128"/>
      <c r="DX448" s="128"/>
      <c r="DY448" s="128"/>
      <c r="EA448" s="128"/>
      <c r="EB448" s="128"/>
      <c r="EC448" s="128"/>
      <c r="EG448" s="128"/>
      <c r="EL448" s="128"/>
      <c r="EM448" s="128"/>
      <c r="EO448" s="128"/>
      <c r="EQ448" s="128"/>
      <c r="ES448" s="128"/>
      <c r="EU448" s="128"/>
      <c r="EW448" s="128"/>
      <c r="EY448" s="128"/>
    </row>
    <row r="449" spans="3:155">
      <c r="C449" s="128"/>
      <c r="D449" s="128"/>
      <c r="E449" s="128"/>
      <c r="F449" s="128" t="str">
        <f>IF(E449 &lt;&gt; "", VLOOKUP(E449, '[2]Internal-logic'!G$1:I$364, 2, FALSE),"")</f>
        <v/>
      </c>
      <c r="G449" s="128" t="str">
        <f>IF(E449 &lt;&gt; "", VLOOKUP(E449, '[2]Internal-logic'!G$1:I$364, 3, FALSE),"")</f>
        <v/>
      </c>
      <c r="H449" s="128"/>
      <c r="I449" s="128"/>
      <c r="J449" s="128"/>
      <c r="K449" s="128"/>
      <c r="Q449" s="128"/>
      <c r="R449" s="128"/>
      <c r="S449" s="128"/>
      <c r="U449" s="128"/>
      <c r="X449" s="128"/>
      <c r="Y449" s="128"/>
      <c r="Z449" s="128"/>
      <c r="AA449" s="128"/>
      <c r="AB449" s="128"/>
      <c r="AC449" s="128"/>
      <c r="AD449" s="128"/>
      <c r="AE449" s="128"/>
      <c r="AF449" s="128"/>
      <c r="AG449" s="128"/>
      <c r="AI449" s="128"/>
      <c r="AJ449" s="128"/>
      <c r="AY449" s="128"/>
      <c r="BN449" s="128"/>
      <c r="BQ449" s="128"/>
      <c r="BR449" s="128"/>
      <c r="BT449" s="128"/>
      <c r="BV449" s="128"/>
      <c r="BX449" s="128"/>
      <c r="CU449" s="128"/>
      <c r="CW449" s="128"/>
      <c r="DN449" s="128"/>
      <c r="DP449" s="128"/>
      <c r="DR449" s="128"/>
      <c r="DV449" s="128"/>
      <c r="DX449" s="128"/>
      <c r="DY449" s="128"/>
      <c r="EA449" s="128"/>
      <c r="EB449" s="128"/>
      <c r="EC449" s="128"/>
      <c r="EG449" s="128"/>
      <c r="EL449" s="128"/>
      <c r="EM449" s="128"/>
      <c r="EO449" s="128"/>
      <c r="EQ449" s="128"/>
      <c r="ES449" s="128"/>
      <c r="EU449" s="128"/>
      <c r="EW449" s="128"/>
      <c r="EY449" s="128"/>
    </row>
    <row r="450" spans="3:155">
      <c r="C450" s="128"/>
      <c r="D450" s="128"/>
      <c r="E450" s="128"/>
      <c r="F450" s="128" t="str">
        <f>IF(E450 &lt;&gt; "", VLOOKUP(E450, '[2]Internal-logic'!G$1:I$364, 2, FALSE),"")</f>
        <v/>
      </c>
      <c r="G450" s="128" t="str">
        <f>IF(E450 &lt;&gt; "", VLOOKUP(E450, '[2]Internal-logic'!G$1:I$364, 3, FALSE),"")</f>
        <v/>
      </c>
      <c r="H450" s="128"/>
      <c r="I450" s="128"/>
      <c r="J450" s="128"/>
      <c r="K450" s="128"/>
      <c r="Q450" s="128"/>
      <c r="R450" s="128"/>
      <c r="S450" s="128"/>
      <c r="U450" s="128"/>
      <c r="X450" s="128"/>
      <c r="Y450" s="128"/>
      <c r="Z450" s="128"/>
      <c r="AA450" s="128"/>
      <c r="AB450" s="128"/>
      <c r="AC450" s="128"/>
      <c r="AD450" s="128"/>
      <c r="AE450" s="128"/>
      <c r="AF450" s="128"/>
      <c r="AG450" s="128"/>
      <c r="AI450" s="128"/>
      <c r="AJ450" s="128"/>
      <c r="AY450" s="128"/>
      <c r="BN450" s="128"/>
      <c r="BQ450" s="128"/>
      <c r="BR450" s="128"/>
      <c r="BT450" s="128"/>
      <c r="BV450" s="128"/>
      <c r="BX450" s="128"/>
      <c r="CU450" s="128"/>
      <c r="CW450" s="128"/>
      <c r="DN450" s="128"/>
      <c r="DP450" s="128"/>
      <c r="DR450" s="128"/>
      <c r="DV450" s="128"/>
      <c r="DX450" s="128"/>
      <c r="DY450" s="128"/>
      <c r="EA450" s="128"/>
      <c r="EB450" s="128"/>
      <c r="EC450" s="128"/>
      <c r="EG450" s="128"/>
      <c r="EL450" s="128"/>
      <c r="EM450" s="128"/>
      <c r="EO450" s="128"/>
      <c r="EQ450" s="128"/>
      <c r="ES450" s="128"/>
      <c r="EU450" s="128"/>
      <c r="EW450" s="128"/>
      <c r="EY450" s="128"/>
    </row>
    <row r="451" spans="3:155">
      <c r="C451" s="128"/>
      <c r="D451" s="128"/>
      <c r="E451" s="128"/>
      <c r="F451" s="128" t="str">
        <f>IF(E451 &lt;&gt; "", VLOOKUP(E451, '[2]Internal-logic'!G$1:I$364, 2, FALSE),"")</f>
        <v/>
      </c>
      <c r="G451" s="128" t="str">
        <f>IF(E451 &lt;&gt; "", VLOOKUP(E451, '[2]Internal-logic'!G$1:I$364, 3, FALSE),"")</f>
        <v/>
      </c>
      <c r="H451" s="128"/>
      <c r="I451" s="128"/>
      <c r="J451" s="128"/>
      <c r="K451" s="128"/>
      <c r="Q451" s="128"/>
      <c r="R451" s="128"/>
      <c r="S451" s="128"/>
      <c r="U451" s="128"/>
      <c r="X451" s="128"/>
      <c r="Y451" s="128"/>
      <c r="Z451" s="128"/>
      <c r="AA451" s="128"/>
      <c r="AB451" s="128"/>
      <c r="AC451" s="128"/>
      <c r="AD451" s="128"/>
      <c r="AE451" s="128"/>
      <c r="AF451" s="128"/>
      <c r="AG451" s="128"/>
      <c r="AI451" s="128"/>
      <c r="AJ451" s="128"/>
      <c r="AY451" s="128"/>
      <c r="BN451" s="128"/>
      <c r="BQ451" s="128"/>
      <c r="BR451" s="128"/>
      <c r="BT451" s="128"/>
      <c r="BV451" s="128"/>
      <c r="BX451" s="128"/>
      <c r="CU451" s="128"/>
      <c r="CW451" s="128"/>
      <c r="DN451" s="128"/>
      <c r="DP451" s="128"/>
      <c r="DR451" s="128"/>
      <c r="DV451" s="128"/>
      <c r="DX451" s="128"/>
      <c r="DY451" s="128"/>
      <c r="EA451" s="128"/>
      <c r="EB451" s="128"/>
      <c r="EC451" s="128"/>
      <c r="EG451" s="128"/>
      <c r="EL451" s="128"/>
      <c r="EM451" s="128"/>
      <c r="EO451" s="128"/>
      <c r="EQ451" s="128"/>
      <c r="ES451" s="128"/>
      <c r="EU451" s="128"/>
      <c r="EW451" s="128"/>
      <c r="EY451" s="128"/>
    </row>
    <row r="452" spans="3:155">
      <c r="C452" s="128"/>
      <c r="D452" s="128"/>
      <c r="E452" s="128"/>
      <c r="F452" s="128" t="str">
        <f>IF(E452 &lt;&gt; "", VLOOKUP(E452, '[2]Internal-logic'!G$1:I$364, 2, FALSE),"")</f>
        <v/>
      </c>
      <c r="G452" s="128" t="str">
        <f>IF(E452 &lt;&gt; "", VLOOKUP(E452, '[2]Internal-logic'!G$1:I$364, 3, FALSE),"")</f>
        <v/>
      </c>
      <c r="H452" s="128"/>
      <c r="I452" s="128"/>
      <c r="J452" s="128"/>
      <c r="K452" s="128"/>
      <c r="Q452" s="128"/>
      <c r="R452" s="128"/>
      <c r="S452" s="128"/>
      <c r="U452" s="128"/>
      <c r="X452" s="128"/>
      <c r="Y452" s="128"/>
      <c r="Z452" s="128"/>
      <c r="AA452" s="128"/>
      <c r="AB452" s="128"/>
      <c r="AC452" s="128"/>
      <c r="AD452" s="128"/>
      <c r="AE452" s="128"/>
      <c r="AF452" s="128"/>
      <c r="AG452" s="128"/>
      <c r="AI452" s="128"/>
      <c r="AJ452" s="128"/>
      <c r="AY452" s="128"/>
      <c r="BN452" s="128"/>
      <c r="BQ452" s="128"/>
      <c r="BR452" s="128"/>
      <c r="BT452" s="128"/>
      <c r="BV452" s="128"/>
      <c r="BX452" s="128"/>
      <c r="CU452" s="128"/>
      <c r="CW452" s="128"/>
      <c r="DN452" s="128"/>
      <c r="DP452" s="128"/>
      <c r="DR452" s="128"/>
      <c r="DV452" s="128"/>
      <c r="DX452" s="128"/>
      <c r="DY452" s="128"/>
      <c r="EA452" s="128"/>
      <c r="EB452" s="128"/>
      <c r="EC452" s="128"/>
      <c r="EG452" s="128"/>
      <c r="EL452" s="128"/>
      <c r="EM452" s="128"/>
      <c r="EO452" s="128"/>
      <c r="EQ452" s="128"/>
      <c r="ES452" s="128"/>
      <c r="EU452" s="128"/>
      <c r="EW452" s="128"/>
      <c r="EY452" s="128"/>
    </row>
    <row r="453" spans="3:155">
      <c r="C453" s="128"/>
      <c r="D453" s="128"/>
      <c r="E453" s="128"/>
      <c r="F453" s="128" t="str">
        <f>IF(E453 &lt;&gt; "", VLOOKUP(E453, '[2]Internal-logic'!G$1:I$364, 2, FALSE),"")</f>
        <v/>
      </c>
      <c r="G453" s="128" t="str">
        <f>IF(E453 &lt;&gt; "", VLOOKUP(E453, '[2]Internal-logic'!G$1:I$364, 3, FALSE),"")</f>
        <v/>
      </c>
      <c r="H453" s="128"/>
      <c r="I453" s="128"/>
      <c r="J453" s="128"/>
      <c r="K453" s="128"/>
      <c r="Q453" s="128"/>
      <c r="R453" s="128"/>
      <c r="S453" s="128"/>
      <c r="U453" s="128"/>
      <c r="X453" s="128"/>
      <c r="Y453" s="128"/>
      <c r="Z453" s="128"/>
      <c r="AA453" s="128"/>
      <c r="AB453" s="128"/>
      <c r="AC453" s="128"/>
      <c r="AD453" s="128"/>
      <c r="AE453" s="128"/>
      <c r="AF453" s="128"/>
      <c r="AG453" s="128"/>
      <c r="AI453" s="128"/>
      <c r="AJ453" s="128"/>
      <c r="AY453" s="128"/>
      <c r="BN453" s="128"/>
      <c r="BQ453" s="128"/>
      <c r="BR453" s="128"/>
      <c r="BT453" s="128"/>
      <c r="BV453" s="128"/>
      <c r="BX453" s="128"/>
      <c r="CU453" s="128"/>
      <c r="CW453" s="128"/>
      <c r="DN453" s="128"/>
      <c r="DP453" s="128"/>
      <c r="DR453" s="128"/>
      <c r="DV453" s="128"/>
      <c r="DX453" s="128"/>
      <c r="DY453" s="128"/>
      <c r="EA453" s="128"/>
      <c r="EB453" s="128"/>
      <c r="EC453" s="128"/>
      <c r="EG453" s="128"/>
      <c r="EL453" s="128"/>
      <c r="EM453" s="128"/>
      <c r="EO453" s="128"/>
      <c r="EQ453" s="128"/>
      <c r="ES453" s="128"/>
      <c r="EU453" s="128"/>
      <c r="EW453" s="128"/>
      <c r="EY453" s="128"/>
    </row>
    <row r="454" spans="3:155">
      <c r="C454" s="128"/>
      <c r="D454" s="128"/>
      <c r="E454" s="128"/>
      <c r="F454" s="128" t="str">
        <f>IF(E454 &lt;&gt; "", VLOOKUP(E454, '[2]Internal-logic'!G$1:I$364, 2, FALSE),"")</f>
        <v/>
      </c>
      <c r="G454" s="128" t="str">
        <f>IF(E454 &lt;&gt; "", VLOOKUP(E454, '[2]Internal-logic'!G$1:I$364, 3, FALSE),"")</f>
        <v/>
      </c>
      <c r="H454" s="128"/>
      <c r="I454" s="128"/>
      <c r="J454" s="128"/>
      <c r="K454" s="128"/>
      <c r="Q454" s="128"/>
      <c r="R454" s="128"/>
      <c r="S454" s="128"/>
      <c r="U454" s="128"/>
      <c r="X454" s="128"/>
      <c r="Y454" s="128"/>
      <c r="Z454" s="128"/>
      <c r="AA454" s="128"/>
      <c r="AB454" s="128"/>
      <c r="AC454" s="128"/>
      <c r="AD454" s="128"/>
      <c r="AE454" s="128"/>
      <c r="AF454" s="128"/>
      <c r="AG454" s="128"/>
      <c r="AI454" s="128"/>
      <c r="AJ454" s="128"/>
      <c r="AY454" s="128"/>
      <c r="BN454" s="128"/>
      <c r="BQ454" s="128"/>
      <c r="BR454" s="128"/>
      <c r="BT454" s="128"/>
      <c r="BV454" s="128"/>
      <c r="BX454" s="128"/>
      <c r="CU454" s="128"/>
      <c r="CW454" s="128"/>
      <c r="DN454" s="128"/>
      <c r="DP454" s="128"/>
      <c r="DR454" s="128"/>
      <c r="DV454" s="128"/>
      <c r="DX454" s="128"/>
      <c r="DY454" s="128"/>
      <c r="EA454" s="128"/>
      <c r="EB454" s="128"/>
      <c r="EC454" s="128"/>
      <c r="EG454" s="128"/>
      <c r="EL454" s="128"/>
      <c r="EM454" s="128"/>
      <c r="EO454" s="128"/>
      <c r="EQ454" s="128"/>
      <c r="ES454" s="128"/>
      <c r="EU454" s="128"/>
      <c r="EW454" s="128"/>
      <c r="EY454" s="128"/>
    </row>
    <row r="455" spans="3:155">
      <c r="C455" s="128"/>
      <c r="D455" s="128"/>
      <c r="E455" s="128"/>
      <c r="F455" s="128" t="str">
        <f>IF(E455 &lt;&gt; "", VLOOKUP(E455, '[2]Internal-logic'!G$1:I$364, 2, FALSE),"")</f>
        <v/>
      </c>
      <c r="G455" s="128" t="str">
        <f>IF(E455 &lt;&gt; "", VLOOKUP(E455, '[2]Internal-logic'!G$1:I$364, 3, FALSE),"")</f>
        <v/>
      </c>
      <c r="H455" s="128"/>
      <c r="I455" s="128"/>
      <c r="J455" s="128"/>
      <c r="K455" s="128"/>
      <c r="Q455" s="128"/>
      <c r="R455" s="128"/>
      <c r="S455" s="128"/>
      <c r="U455" s="128"/>
      <c r="X455" s="128"/>
      <c r="Y455" s="128"/>
      <c r="Z455" s="128"/>
      <c r="AA455" s="128"/>
      <c r="AB455" s="128"/>
      <c r="AC455" s="128"/>
      <c r="AD455" s="128"/>
      <c r="AE455" s="128"/>
      <c r="AF455" s="128"/>
      <c r="AG455" s="128"/>
      <c r="AI455" s="128"/>
      <c r="AJ455" s="128"/>
      <c r="AY455" s="128"/>
      <c r="BN455" s="128"/>
      <c r="BQ455" s="128"/>
      <c r="BR455" s="128"/>
      <c r="BT455" s="128"/>
      <c r="BV455" s="128"/>
      <c r="BX455" s="128"/>
      <c r="CU455" s="128"/>
      <c r="CW455" s="128"/>
      <c r="DN455" s="128"/>
      <c r="DP455" s="128"/>
      <c r="DR455" s="128"/>
      <c r="DV455" s="128"/>
      <c r="DX455" s="128"/>
      <c r="DY455" s="128"/>
      <c r="EA455" s="128"/>
      <c r="EB455" s="128"/>
      <c r="EC455" s="128"/>
      <c r="EG455" s="128"/>
      <c r="EL455" s="128"/>
      <c r="EM455" s="128"/>
      <c r="EO455" s="128"/>
      <c r="EQ455" s="128"/>
      <c r="ES455" s="128"/>
      <c r="EU455" s="128"/>
      <c r="EW455" s="128"/>
      <c r="EY455" s="128"/>
    </row>
    <row r="456" spans="3:155">
      <c r="C456" s="128"/>
      <c r="D456" s="128"/>
      <c r="E456" s="128"/>
      <c r="F456" s="128" t="str">
        <f>IF(E456 &lt;&gt; "", VLOOKUP(E456, '[2]Internal-logic'!G$1:I$364, 2, FALSE),"")</f>
        <v/>
      </c>
      <c r="G456" s="128" t="str">
        <f>IF(E456 &lt;&gt; "", VLOOKUP(E456, '[2]Internal-logic'!G$1:I$364, 3, FALSE),"")</f>
        <v/>
      </c>
      <c r="H456" s="128"/>
      <c r="I456" s="128"/>
      <c r="J456" s="128"/>
      <c r="K456" s="128"/>
      <c r="Q456" s="128"/>
      <c r="R456" s="128"/>
      <c r="S456" s="128"/>
      <c r="U456" s="128"/>
      <c r="X456" s="128"/>
      <c r="Y456" s="128"/>
      <c r="Z456" s="128"/>
      <c r="AA456" s="128"/>
      <c r="AB456" s="128"/>
      <c r="AC456" s="128"/>
      <c r="AD456" s="128"/>
      <c r="AE456" s="128"/>
      <c r="AF456" s="128"/>
      <c r="AG456" s="128"/>
      <c r="AI456" s="128"/>
      <c r="AJ456" s="128"/>
      <c r="AY456" s="128"/>
      <c r="BN456" s="128"/>
      <c r="BQ456" s="128"/>
      <c r="BR456" s="128"/>
      <c r="BT456" s="128"/>
      <c r="BV456" s="128"/>
      <c r="BX456" s="128"/>
      <c r="CU456" s="128"/>
      <c r="CW456" s="128"/>
      <c r="DN456" s="128"/>
      <c r="DP456" s="128"/>
      <c r="DR456" s="128"/>
      <c r="DV456" s="128"/>
      <c r="DX456" s="128"/>
      <c r="DY456" s="128"/>
      <c r="EA456" s="128"/>
      <c r="EB456" s="128"/>
      <c r="EC456" s="128"/>
      <c r="EG456" s="128"/>
      <c r="EL456" s="128"/>
      <c r="EM456" s="128"/>
      <c r="EO456" s="128"/>
      <c r="EQ456" s="128"/>
      <c r="ES456" s="128"/>
      <c r="EU456" s="128"/>
      <c r="EW456" s="128"/>
      <c r="EY456" s="128"/>
    </row>
    <row r="457" spans="3:155">
      <c r="C457" s="128"/>
      <c r="D457" s="128"/>
      <c r="E457" s="128"/>
      <c r="F457" s="128" t="str">
        <f>IF(E457 &lt;&gt; "", VLOOKUP(E457, '[2]Internal-logic'!G$1:I$364, 2, FALSE),"")</f>
        <v/>
      </c>
      <c r="G457" s="128" t="str">
        <f>IF(E457 &lt;&gt; "", VLOOKUP(E457, '[2]Internal-logic'!G$1:I$364, 3, FALSE),"")</f>
        <v/>
      </c>
      <c r="H457" s="128"/>
      <c r="I457" s="128"/>
      <c r="J457" s="128"/>
      <c r="K457" s="128"/>
      <c r="Q457" s="128"/>
      <c r="R457" s="128"/>
      <c r="S457" s="128"/>
      <c r="U457" s="128"/>
      <c r="X457" s="128"/>
      <c r="Y457" s="128"/>
      <c r="Z457" s="128"/>
      <c r="AA457" s="128"/>
      <c r="AB457" s="128"/>
      <c r="AC457" s="128"/>
      <c r="AD457" s="128"/>
      <c r="AE457" s="128"/>
      <c r="AF457" s="128"/>
      <c r="AG457" s="128"/>
      <c r="AI457" s="128"/>
      <c r="AJ457" s="128"/>
      <c r="AY457" s="128"/>
      <c r="BN457" s="128"/>
      <c r="BQ457" s="128"/>
      <c r="BR457" s="128"/>
      <c r="BT457" s="128"/>
      <c r="BV457" s="128"/>
      <c r="BX457" s="128"/>
      <c r="CU457" s="128"/>
      <c r="CW457" s="128"/>
      <c r="DN457" s="128"/>
      <c r="DP457" s="128"/>
      <c r="DR457" s="128"/>
      <c r="DV457" s="128"/>
      <c r="DX457" s="128"/>
      <c r="DY457" s="128"/>
      <c r="EA457" s="128"/>
      <c r="EB457" s="128"/>
      <c r="EC457" s="128"/>
      <c r="EG457" s="128"/>
      <c r="EL457" s="128"/>
      <c r="EM457" s="128"/>
      <c r="EO457" s="128"/>
      <c r="EQ457" s="128"/>
      <c r="ES457" s="128"/>
      <c r="EU457" s="128"/>
      <c r="EW457" s="128"/>
      <c r="EY457" s="128"/>
    </row>
    <row r="458" spans="3:155">
      <c r="C458" s="128"/>
      <c r="D458" s="128"/>
      <c r="E458" s="128"/>
      <c r="F458" s="128" t="str">
        <f>IF(E458 &lt;&gt; "", VLOOKUP(E458, '[2]Internal-logic'!G$1:I$364, 2, FALSE),"")</f>
        <v/>
      </c>
      <c r="G458" s="128" t="str">
        <f>IF(E458 &lt;&gt; "", VLOOKUP(E458, '[2]Internal-logic'!G$1:I$364, 3, FALSE),"")</f>
        <v/>
      </c>
      <c r="H458" s="128"/>
      <c r="I458" s="128"/>
      <c r="J458" s="128"/>
      <c r="K458" s="128"/>
      <c r="Q458" s="128"/>
      <c r="R458" s="128"/>
      <c r="S458" s="128"/>
      <c r="U458" s="128"/>
      <c r="X458" s="128"/>
      <c r="Y458" s="128"/>
      <c r="Z458" s="128"/>
      <c r="AA458" s="128"/>
      <c r="AB458" s="128"/>
      <c r="AC458" s="128"/>
      <c r="AD458" s="128"/>
      <c r="AE458" s="128"/>
      <c r="AF458" s="128"/>
      <c r="AG458" s="128"/>
      <c r="AI458" s="128"/>
      <c r="AJ458" s="128"/>
      <c r="AY458" s="128"/>
      <c r="BN458" s="128"/>
      <c r="BQ458" s="128"/>
      <c r="BR458" s="128"/>
      <c r="BT458" s="128"/>
      <c r="BV458" s="128"/>
      <c r="BX458" s="128"/>
      <c r="CU458" s="128"/>
      <c r="CW458" s="128"/>
      <c r="DN458" s="128"/>
      <c r="DP458" s="128"/>
      <c r="DR458" s="128"/>
      <c r="DV458" s="128"/>
      <c r="DX458" s="128"/>
      <c r="DY458" s="128"/>
      <c r="EA458" s="128"/>
      <c r="EB458" s="128"/>
      <c r="EC458" s="128"/>
      <c r="EG458" s="128"/>
      <c r="EL458" s="128"/>
      <c r="EM458" s="128"/>
      <c r="EO458" s="128"/>
      <c r="EQ458" s="128"/>
      <c r="ES458" s="128"/>
      <c r="EU458" s="128"/>
      <c r="EW458" s="128"/>
      <c r="EY458" s="128"/>
    </row>
    <row r="459" spans="3:155">
      <c r="C459" s="128"/>
      <c r="D459" s="128"/>
      <c r="E459" s="128"/>
      <c r="F459" s="128" t="str">
        <f>IF(E459 &lt;&gt; "", VLOOKUP(E459, '[2]Internal-logic'!G$1:I$364, 2, FALSE),"")</f>
        <v/>
      </c>
      <c r="G459" s="128" t="str">
        <f>IF(E459 &lt;&gt; "", VLOOKUP(E459, '[2]Internal-logic'!G$1:I$364, 3, FALSE),"")</f>
        <v/>
      </c>
      <c r="H459" s="128"/>
      <c r="I459" s="128"/>
      <c r="J459" s="128"/>
      <c r="K459" s="128"/>
      <c r="Q459" s="128"/>
      <c r="R459" s="128"/>
      <c r="S459" s="128"/>
      <c r="U459" s="128"/>
      <c r="X459" s="128"/>
      <c r="Y459" s="128"/>
      <c r="Z459" s="128"/>
      <c r="AA459" s="128"/>
      <c r="AB459" s="128"/>
      <c r="AC459" s="128"/>
      <c r="AD459" s="128"/>
      <c r="AE459" s="128"/>
      <c r="AF459" s="128"/>
      <c r="AG459" s="128"/>
      <c r="AI459" s="128"/>
      <c r="AJ459" s="128"/>
      <c r="AY459" s="128"/>
      <c r="BN459" s="128"/>
      <c r="BQ459" s="128"/>
      <c r="BR459" s="128"/>
      <c r="BT459" s="128"/>
      <c r="BV459" s="128"/>
      <c r="BX459" s="128"/>
      <c r="CU459" s="128"/>
      <c r="CW459" s="128"/>
      <c r="DN459" s="128"/>
      <c r="DP459" s="128"/>
      <c r="DR459" s="128"/>
      <c r="DV459" s="128"/>
      <c r="DX459" s="128"/>
      <c r="DY459" s="128"/>
      <c r="EA459" s="128"/>
      <c r="EB459" s="128"/>
      <c r="EC459" s="128"/>
      <c r="EG459" s="128"/>
      <c r="EL459" s="128"/>
      <c r="EM459" s="128"/>
      <c r="EO459" s="128"/>
      <c r="EQ459" s="128"/>
      <c r="ES459" s="128"/>
      <c r="EU459" s="128"/>
      <c r="EW459" s="128"/>
      <c r="EY459" s="128"/>
    </row>
    <row r="460" spans="3:155">
      <c r="C460" s="128"/>
      <c r="D460" s="128"/>
      <c r="E460" s="128"/>
      <c r="F460" s="128" t="str">
        <f>IF(E460 &lt;&gt; "", VLOOKUP(E460, '[2]Internal-logic'!G$1:I$364, 2, FALSE),"")</f>
        <v/>
      </c>
      <c r="G460" s="128" t="str">
        <f>IF(E460 &lt;&gt; "", VLOOKUP(E460, '[2]Internal-logic'!G$1:I$364, 3, FALSE),"")</f>
        <v/>
      </c>
      <c r="H460" s="128"/>
      <c r="I460" s="128"/>
      <c r="J460" s="128"/>
      <c r="K460" s="128"/>
      <c r="Q460" s="128"/>
      <c r="R460" s="128"/>
      <c r="S460" s="128"/>
      <c r="U460" s="128"/>
      <c r="X460" s="128"/>
      <c r="Y460" s="128"/>
      <c r="Z460" s="128"/>
      <c r="AA460" s="128"/>
      <c r="AB460" s="128"/>
      <c r="AC460" s="128"/>
      <c r="AD460" s="128"/>
      <c r="AE460" s="128"/>
      <c r="AF460" s="128"/>
      <c r="AG460" s="128"/>
      <c r="AI460" s="128"/>
      <c r="AJ460" s="128"/>
      <c r="AY460" s="128"/>
      <c r="BN460" s="128"/>
      <c r="BQ460" s="128"/>
      <c r="BR460" s="128"/>
      <c r="BT460" s="128"/>
      <c r="BV460" s="128"/>
      <c r="BX460" s="128"/>
      <c r="CU460" s="128"/>
      <c r="CW460" s="128"/>
      <c r="DN460" s="128"/>
      <c r="DP460" s="128"/>
      <c r="DR460" s="128"/>
      <c r="DV460" s="128"/>
      <c r="DX460" s="128"/>
      <c r="DY460" s="128"/>
      <c r="EA460" s="128"/>
      <c r="EB460" s="128"/>
      <c r="EC460" s="128"/>
      <c r="EG460" s="128"/>
      <c r="EL460" s="128"/>
      <c r="EM460" s="128"/>
      <c r="EO460" s="128"/>
      <c r="EQ460" s="128"/>
      <c r="ES460" s="128"/>
      <c r="EU460" s="128"/>
      <c r="EW460" s="128"/>
      <c r="EY460" s="128"/>
    </row>
    <row r="461" spans="3:155">
      <c r="C461" s="128"/>
      <c r="D461" s="128"/>
      <c r="E461" s="128"/>
      <c r="F461" s="128" t="str">
        <f>IF(E461 &lt;&gt; "", VLOOKUP(E461, '[2]Internal-logic'!G$1:I$364, 2, FALSE),"")</f>
        <v/>
      </c>
      <c r="G461" s="128" t="str">
        <f>IF(E461 &lt;&gt; "", VLOOKUP(E461, '[2]Internal-logic'!G$1:I$364, 3, FALSE),"")</f>
        <v/>
      </c>
      <c r="H461" s="128"/>
      <c r="I461" s="128"/>
      <c r="J461" s="128"/>
      <c r="K461" s="128"/>
      <c r="Q461" s="128"/>
      <c r="R461" s="128"/>
      <c r="S461" s="128"/>
      <c r="U461" s="128"/>
      <c r="X461" s="128"/>
      <c r="Y461" s="128"/>
      <c r="Z461" s="128"/>
      <c r="AA461" s="128"/>
      <c r="AB461" s="128"/>
      <c r="AC461" s="128"/>
      <c r="AD461" s="128"/>
      <c r="AE461" s="128"/>
      <c r="AF461" s="128"/>
      <c r="AG461" s="128"/>
      <c r="AI461" s="128"/>
      <c r="AJ461" s="128"/>
      <c r="AY461" s="128"/>
      <c r="BN461" s="128"/>
      <c r="BQ461" s="128"/>
      <c r="BR461" s="128"/>
      <c r="BT461" s="128"/>
      <c r="BV461" s="128"/>
      <c r="BX461" s="128"/>
      <c r="CU461" s="128"/>
      <c r="CW461" s="128"/>
      <c r="DN461" s="128"/>
      <c r="DP461" s="128"/>
      <c r="DR461" s="128"/>
      <c r="DV461" s="128"/>
      <c r="DX461" s="128"/>
      <c r="DY461" s="128"/>
      <c r="EA461" s="128"/>
      <c r="EB461" s="128"/>
      <c r="EC461" s="128"/>
      <c r="EG461" s="128"/>
      <c r="EL461" s="128"/>
      <c r="EM461" s="128"/>
      <c r="EO461" s="128"/>
      <c r="EQ461" s="128"/>
      <c r="ES461" s="128"/>
      <c r="EU461" s="128"/>
      <c r="EW461" s="128"/>
      <c r="EY461" s="128"/>
    </row>
    <row r="462" spans="3:155">
      <c r="C462" s="128"/>
      <c r="D462" s="128"/>
      <c r="E462" s="128"/>
      <c r="F462" s="128" t="str">
        <f>IF(E462 &lt;&gt; "", VLOOKUP(E462, '[2]Internal-logic'!G$1:I$364, 2, FALSE),"")</f>
        <v/>
      </c>
      <c r="G462" s="128" t="str">
        <f>IF(E462 &lt;&gt; "", VLOOKUP(E462, '[2]Internal-logic'!G$1:I$364, 3, FALSE),"")</f>
        <v/>
      </c>
      <c r="H462" s="128"/>
      <c r="I462" s="128"/>
      <c r="J462" s="128"/>
      <c r="K462" s="128"/>
      <c r="Q462" s="128"/>
      <c r="R462" s="128"/>
      <c r="S462" s="128"/>
      <c r="U462" s="128"/>
      <c r="X462" s="128"/>
      <c r="Y462" s="128"/>
      <c r="Z462" s="128"/>
      <c r="AA462" s="128"/>
      <c r="AB462" s="128"/>
      <c r="AC462" s="128"/>
      <c r="AD462" s="128"/>
      <c r="AE462" s="128"/>
      <c r="AF462" s="128"/>
      <c r="AG462" s="128"/>
      <c r="AI462" s="128"/>
      <c r="AJ462" s="128"/>
      <c r="AY462" s="128"/>
      <c r="BN462" s="128"/>
      <c r="BQ462" s="128"/>
      <c r="BR462" s="128"/>
      <c r="BT462" s="128"/>
      <c r="BV462" s="128"/>
      <c r="BX462" s="128"/>
      <c r="CU462" s="128"/>
      <c r="CW462" s="128"/>
      <c r="DN462" s="128"/>
      <c r="DP462" s="128"/>
      <c r="DR462" s="128"/>
      <c r="DV462" s="128"/>
      <c r="DX462" s="128"/>
      <c r="DY462" s="128"/>
      <c r="EA462" s="128"/>
      <c r="EB462" s="128"/>
      <c r="EC462" s="128"/>
      <c r="EG462" s="128"/>
      <c r="EL462" s="128"/>
      <c r="EM462" s="128"/>
      <c r="EO462" s="128"/>
      <c r="EQ462" s="128"/>
      <c r="ES462" s="128"/>
      <c r="EU462" s="128"/>
      <c r="EW462" s="128"/>
      <c r="EY462" s="128"/>
    </row>
    <row r="463" spans="3:155">
      <c r="C463" s="128"/>
      <c r="D463" s="128"/>
      <c r="E463" s="128"/>
      <c r="F463" s="128" t="str">
        <f>IF(E463 &lt;&gt; "", VLOOKUP(E463, '[2]Internal-logic'!G$1:I$364, 2, FALSE),"")</f>
        <v/>
      </c>
      <c r="G463" s="128" t="str">
        <f>IF(E463 &lt;&gt; "", VLOOKUP(E463, '[2]Internal-logic'!G$1:I$364, 3, FALSE),"")</f>
        <v/>
      </c>
      <c r="H463" s="128"/>
      <c r="I463" s="128"/>
      <c r="J463" s="128"/>
      <c r="K463" s="128"/>
      <c r="Q463" s="128"/>
      <c r="R463" s="128"/>
      <c r="S463" s="128"/>
      <c r="U463" s="128"/>
      <c r="X463" s="128"/>
      <c r="Y463" s="128"/>
      <c r="Z463" s="128"/>
      <c r="AA463" s="128"/>
      <c r="AB463" s="128"/>
      <c r="AC463" s="128"/>
      <c r="AD463" s="128"/>
      <c r="AE463" s="128"/>
      <c r="AF463" s="128"/>
      <c r="AG463" s="128"/>
      <c r="AI463" s="128"/>
      <c r="AJ463" s="128"/>
      <c r="AY463" s="128"/>
      <c r="BN463" s="128"/>
      <c r="BQ463" s="128"/>
      <c r="BR463" s="128"/>
      <c r="BT463" s="128"/>
      <c r="BV463" s="128"/>
      <c r="BX463" s="128"/>
      <c r="CU463" s="128"/>
      <c r="CW463" s="128"/>
      <c r="DN463" s="128"/>
      <c r="DP463" s="128"/>
      <c r="DR463" s="128"/>
      <c r="DV463" s="128"/>
      <c r="DX463" s="128"/>
      <c r="DY463" s="128"/>
      <c r="EA463" s="128"/>
      <c r="EB463" s="128"/>
      <c r="EC463" s="128"/>
      <c r="EG463" s="128"/>
      <c r="EL463" s="128"/>
      <c r="EM463" s="128"/>
      <c r="EO463" s="128"/>
      <c r="EQ463" s="128"/>
      <c r="ES463" s="128"/>
      <c r="EU463" s="128"/>
      <c r="EW463" s="128"/>
      <c r="EY463" s="128"/>
    </row>
    <row r="464" spans="3:155">
      <c r="C464" s="128"/>
      <c r="D464" s="128"/>
      <c r="E464" s="128"/>
      <c r="F464" s="128" t="str">
        <f>IF(E464 &lt;&gt; "", VLOOKUP(E464, '[2]Internal-logic'!G$1:I$364, 2, FALSE),"")</f>
        <v/>
      </c>
      <c r="G464" s="128" t="str">
        <f>IF(E464 &lt;&gt; "", VLOOKUP(E464, '[2]Internal-logic'!G$1:I$364, 3, FALSE),"")</f>
        <v/>
      </c>
      <c r="H464" s="128"/>
      <c r="I464" s="128"/>
      <c r="J464" s="128"/>
      <c r="K464" s="128"/>
      <c r="Q464" s="128"/>
      <c r="R464" s="128"/>
      <c r="S464" s="128"/>
      <c r="U464" s="128"/>
      <c r="X464" s="128"/>
      <c r="Y464" s="128"/>
      <c r="Z464" s="128"/>
      <c r="AA464" s="128"/>
      <c r="AB464" s="128"/>
      <c r="AC464" s="128"/>
      <c r="AD464" s="128"/>
      <c r="AE464" s="128"/>
      <c r="AF464" s="128"/>
      <c r="AG464" s="128"/>
      <c r="AI464" s="128"/>
      <c r="AJ464" s="128"/>
      <c r="AY464" s="128"/>
      <c r="BN464" s="128"/>
      <c r="BQ464" s="128"/>
      <c r="BR464" s="128"/>
      <c r="BT464" s="128"/>
      <c r="BV464" s="128"/>
      <c r="BX464" s="128"/>
      <c r="CU464" s="128"/>
      <c r="CW464" s="128"/>
      <c r="DN464" s="128"/>
      <c r="DP464" s="128"/>
      <c r="DR464" s="128"/>
      <c r="DV464" s="128"/>
      <c r="DX464" s="128"/>
      <c r="DY464" s="128"/>
      <c r="EA464" s="128"/>
      <c r="EB464" s="128"/>
      <c r="EC464" s="128"/>
      <c r="EG464" s="128"/>
      <c r="EL464" s="128"/>
      <c r="EM464" s="128"/>
      <c r="EO464" s="128"/>
      <c r="EQ464" s="128"/>
      <c r="ES464" s="128"/>
      <c r="EU464" s="128"/>
      <c r="EW464" s="128"/>
      <c r="EY464" s="128"/>
    </row>
    <row r="465" spans="3:155">
      <c r="C465" s="128"/>
      <c r="D465" s="128"/>
      <c r="E465" s="128"/>
      <c r="F465" s="128" t="str">
        <f>IF(E465 &lt;&gt; "", VLOOKUP(E465, '[2]Internal-logic'!G$1:I$364, 2, FALSE),"")</f>
        <v/>
      </c>
      <c r="G465" s="128" t="str">
        <f>IF(E465 &lt;&gt; "", VLOOKUP(E465, '[2]Internal-logic'!G$1:I$364, 3, FALSE),"")</f>
        <v/>
      </c>
      <c r="H465" s="128"/>
      <c r="I465" s="128"/>
      <c r="J465" s="128"/>
      <c r="K465" s="128"/>
      <c r="Q465" s="128"/>
      <c r="R465" s="128"/>
      <c r="S465" s="128"/>
      <c r="U465" s="128"/>
      <c r="X465" s="128"/>
      <c r="Y465" s="128"/>
      <c r="Z465" s="128"/>
      <c r="AA465" s="128"/>
      <c r="AB465" s="128"/>
      <c r="AC465" s="128"/>
      <c r="AD465" s="128"/>
      <c r="AE465" s="128"/>
      <c r="AF465" s="128"/>
      <c r="AG465" s="128"/>
      <c r="AI465" s="128"/>
      <c r="AJ465" s="128"/>
      <c r="AY465" s="128"/>
      <c r="BN465" s="128"/>
      <c r="BQ465" s="128"/>
      <c r="BR465" s="128"/>
      <c r="BT465" s="128"/>
      <c r="BV465" s="128"/>
      <c r="BX465" s="128"/>
      <c r="CU465" s="128"/>
      <c r="CW465" s="128"/>
      <c r="DN465" s="128"/>
      <c r="DP465" s="128"/>
      <c r="DR465" s="128"/>
      <c r="DV465" s="128"/>
      <c r="DX465" s="128"/>
      <c r="DY465" s="128"/>
      <c r="EA465" s="128"/>
      <c r="EB465" s="128"/>
      <c r="EC465" s="128"/>
      <c r="EG465" s="128"/>
      <c r="EL465" s="128"/>
      <c r="EM465" s="128"/>
      <c r="EO465" s="128"/>
      <c r="EQ465" s="128"/>
      <c r="ES465" s="128"/>
      <c r="EU465" s="128"/>
      <c r="EW465" s="128"/>
      <c r="EY465" s="128"/>
    </row>
    <row r="466" spans="3:155">
      <c r="C466" s="128"/>
      <c r="D466" s="128"/>
      <c r="E466" s="128"/>
      <c r="F466" s="128" t="str">
        <f>IF(E466 &lt;&gt; "", VLOOKUP(E466, '[2]Internal-logic'!G$1:I$364, 2, FALSE),"")</f>
        <v/>
      </c>
      <c r="G466" s="128" t="str">
        <f>IF(E466 &lt;&gt; "", VLOOKUP(E466, '[2]Internal-logic'!G$1:I$364, 3, FALSE),"")</f>
        <v/>
      </c>
      <c r="H466" s="128"/>
      <c r="I466" s="128"/>
      <c r="J466" s="128"/>
      <c r="K466" s="128"/>
      <c r="Q466" s="128"/>
      <c r="R466" s="128"/>
      <c r="S466" s="128"/>
      <c r="U466" s="128"/>
      <c r="X466" s="128"/>
      <c r="Y466" s="128"/>
      <c r="Z466" s="128"/>
      <c r="AA466" s="128"/>
      <c r="AB466" s="128"/>
      <c r="AC466" s="128"/>
      <c r="AD466" s="128"/>
      <c r="AE466" s="128"/>
      <c r="AF466" s="128"/>
      <c r="AG466" s="128"/>
      <c r="AI466" s="128"/>
      <c r="AJ466" s="128"/>
      <c r="AY466" s="128"/>
      <c r="BN466" s="128"/>
      <c r="BQ466" s="128"/>
      <c r="BR466" s="128"/>
      <c r="BT466" s="128"/>
      <c r="BV466" s="128"/>
      <c r="BX466" s="128"/>
      <c r="CU466" s="128"/>
      <c r="CW466" s="128"/>
      <c r="DN466" s="128"/>
      <c r="DP466" s="128"/>
      <c r="DR466" s="128"/>
      <c r="DV466" s="128"/>
      <c r="DX466" s="128"/>
      <c r="DY466" s="128"/>
      <c r="EA466" s="128"/>
      <c r="EB466" s="128"/>
      <c r="EC466" s="128"/>
      <c r="EG466" s="128"/>
      <c r="EL466" s="128"/>
      <c r="EM466" s="128"/>
      <c r="EO466" s="128"/>
      <c r="EQ466" s="128"/>
      <c r="ES466" s="128"/>
      <c r="EU466" s="128"/>
      <c r="EW466" s="128"/>
      <c r="EY466" s="128"/>
    </row>
    <row r="467" spans="3:155">
      <c r="C467" s="128"/>
      <c r="D467" s="128"/>
      <c r="E467" s="128"/>
      <c r="F467" s="128" t="str">
        <f>IF(E467 &lt;&gt; "", VLOOKUP(E467, '[2]Internal-logic'!G$1:I$364, 2, FALSE),"")</f>
        <v/>
      </c>
      <c r="G467" s="128" t="str">
        <f>IF(E467 &lt;&gt; "", VLOOKUP(E467, '[2]Internal-logic'!G$1:I$364, 3, FALSE),"")</f>
        <v/>
      </c>
      <c r="H467" s="128"/>
      <c r="I467" s="128"/>
      <c r="J467" s="128"/>
      <c r="K467" s="128"/>
      <c r="Q467" s="128"/>
      <c r="R467" s="128"/>
      <c r="S467" s="128"/>
      <c r="U467" s="128"/>
      <c r="X467" s="128"/>
      <c r="Y467" s="128"/>
      <c r="Z467" s="128"/>
      <c r="AA467" s="128"/>
      <c r="AB467" s="128"/>
      <c r="AC467" s="128"/>
      <c r="AD467" s="128"/>
      <c r="AE467" s="128"/>
      <c r="AF467" s="128"/>
      <c r="AG467" s="128"/>
      <c r="AI467" s="128"/>
      <c r="AJ467" s="128"/>
      <c r="AY467" s="128"/>
      <c r="BN467" s="128"/>
      <c r="BQ467" s="128"/>
      <c r="BR467" s="128"/>
      <c r="BT467" s="128"/>
      <c r="BV467" s="128"/>
      <c r="BX467" s="128"/>
      <c r="CU467" s="128"/>
      <c r="CW467" s="128"/>
      <c r="DN467" s="128"/>
      <c r="DP467" s="128"/>
      <c r="DR467" s="128"/>
      <c r="DV467" s="128"/>
      <c r="DX467" s="128"/>
      <c r="DY467" s="128"/>
      <c r="EA467" s="128"/>
      <c r="EB467" s="128"/>
      <c r="EC467" s="128"/>
      <c r="EG467" s="128"/>
      <c r="EL467" s="128"/>
      <c r="EM467" s="128"/>
      <c r="EO467" s="128"/>
      <c r="EQ467" s="128"/>
      <c r="ES467" s="128"/>
      <c r="EU467" s="128"/>
      <c r="EW467" s="128"/>
      <c r="EY467" s="128"/>
    </row>
    <row r="468" spans="3:155">
      <c r="C468" s="128"/>
      <c r="D468" s="128"/>
      <c r="E468" s="128"/>
      <c r="F468" s="128" t="str">
        <f>IF(E468 &lt;&gt; "", VLOOKUP(E468, '[2]Internal-logic'!G$1:I$364, 2, FALSE),"")</f>
        <v/>
      </c>
      <c r="G468" s="128" t="str">
        <f>IF(E468 &lt;&gt; "", VLOOKUP(E468, '[2]Internal-logic'!G$1:I$364, 3, FALSE),"")</f>
        <v/>
      </c>
      <c r="H468" s="128"/>
      <c r="I468" s="128"/>
      <c r="J468" s="128"/>
      <c r="K468" s="128"/>
      <c r="Q468" s="128"/>
      <c r="R468" s="128"/>
      <c r="S468" s="128"/>
      <c r="U468" s="128"/>
      <c r="X468" s="128"/>
      <c r="Y468" s="128"/>
      <c r="Z468" s="128"/>
      <c r="AA468" s="128"/>
      <c r="AB468" s="128"/>
      <c r="AC468" s="128"/>
      <c r="AD468" s="128"/>
      <c r="AE468" s="128"/>
      <c r="AF468" s="128"/>
      <c r="AG468" s="128"/>
      <c r="AI468" s="128"/>
      <c r="AJ468" s="128"/>
      <c r="AY468" s="128"/>
      <c r="BN468" s="128"/>
      <c r="BQ468" s="128"/>
      <c r="BR468" s="128"/>
      <c r="BT468" s="128"/>
      <c r="BV468" s="128"/>
      <c r="BX468" s="128"/>
      <c r="CU468" s="128"/>
      <c r="CW468" s="128"/>
      <c r="DN468" s="128"/>
      <c r="DP468" s="128"/>
      <c r="DR468" s="128"/>
      <c r="DV468" s="128"/>
      <c r="DX468" s="128"/>
      <c r="DY468" s="128"/>
      <c r="EA468" s="128"/>
      <c r="EB468" s="128"/>
      <c r="EC468" s="128"/>
      <c r="EG468" s="128"/>
      <c r="EL468" s="128"/>
      <c r="EM468" s="128"/>
      <c r="EO468" s="128"/>
      <c r="EQ468" s="128"/>
      <c r="ES468" s="128"/>
      <c r="EU468" s="128"/>
      <c r="EW468" s="128"/>
      <c r="EY468" s="128"/>
    </row>
    <row r="469" spans="3:155">
      <c r="C469" s="128"/>
      <c r="D469" s="128"/>
      <c r="E469" s="128"/>
      <c r="F469" s="128" t="str">
        <f>IF(E469 &lt;&gt; "", VLOOKUP(E469, '[2]Internal-logic'!G$1:I$364, 2, FALSE),"")</f>
        <v/>
      </c>
      <c r="G469" s="128" t="str">
        <f>IF(E469 &lt;&gt; "", VLOOKUP(E469, '[2]Internal-logic'!G$1:I$364, 3, FALSE),"")</f>
        <v/>
      </c>
      <c r="H469" s="128"/>
      <c r="I469" s="128"/>
      <c r="J469" s="128"/>
      <c r="K469" s="128"/>
      <c r="Q469" s="128"/>
      <c r="R469" s="128"/>
      <c r="S469" s="128"/>
      <c r="U469" s="128"/>
      <c r="X469" s="128"/>
      <c r="Y469" s="128"/>
      <c r="Z469" s="128"/>
      <c r="AA469" s="128"/>
      <c r="AB469" s="128"/>
      <c r="AC469" s="128"/>
      <c r="AD469" s="128"/>
      <c r="AE469" s="128"/>
      <c r="AF469" s="128"/>
      <c r="AG469" s="128"/>
      <c r="AI469" s="128"/>
      <c r="AJ469" s="128"/>
      <c r="AY469" s="128"/>
      <c r="BN469" s="128"/>
      <c r="BQ469" s="128"/>
      <c r="BR469" s="128"/>
      <c r="BT469" s="128"/>
      <c r="BV469" s="128"/>
      <c r="BX469" s="128"/>
      <c r="CU469" s="128"/>
      <c r="CW469" s="128"/>
      <c r="DN469" s="128"/>
      <c r="DP469" s="128"/>
      <c r="DR469" s="128"/>
      <c r="DV469" s="128"/>
      <c r="DX469" s="128"/>
      <c r="DY469" s="128"/>
      <c r="EA469" s="128"/>
      <c r="EB469" s="128"/>
      <c r="EC469" s="128"/>
      <c r="EG469" s="128"/>
      <c r="EL469" s="128"/>
      <c r="EM469" s="128"/>
      <c r="EO469" s="128"/>
      <c r="EQ469" s="128"/>
      <c r="ES469" s="128"/>
      <c r="EU469" s="128"/>
      <c r="EW469" s="128"/>
      <c r="EY469" s="128"/>
    </row>
    <row r="470" spans="3:155">
      <c r="C470" s="128"/>
      <c r="D470" s="128"/>
      <c r="E470" s="128"/>
      <c r="F470" s="128" t="str">
        <f>IF(E470 &lt;&gt; "", VLOOKUP(E470, '[2]Internal-logic'!G$1:I$364, 2, FALSE),"")</f>
        <v/>
      </c>
      <c r="G470" s="128" t="str">
        <f>IF(E470 &lt;&gt; "", VLOOKUP(E470, '[2]Internal-logic'!G$1:I$364, 3, FALSE),"")</f>
        <v/>
      </c>
      <c r="H470" s="128"/>
      <c r="I470" s="128"/>
      <c r="J470" s="128"/>
      <c r="K470" s="128"/>
      <c r="Q470" s="128"/>
      <c r="R470" s="128"/>
      <c r="S470" s="128"/>
      <c r="U470" s="128"/>
      <c r="X470" s="128"/>
      <c r="Y470" s="128"/>
      <c r="Z470" s="128"/>
      <c r="AA470" s="128"/>
      <c r="AB470" s="128"/>
      <c r="AC470" s="128"/>
      <c r="AD470" s="128"/>
      <c r="AE470" s="128"/>
      <c r="AF470" s="128"/>
      <c r="AG470" s="128"/>
      <c r="AI470" s="128"/>
      <c r="AJ470" s="128"/>
      <c r="AY470" s="128"/>
      <c r="BN470" s="128"/>
      <c r="BQ470" s="128"/>
      <c r="BR470" s="128"/>
      <c r="BT470" s="128"/>
      <c r="BV470" s="128"/>
      <c r="BX470" s="128"/>
      <c r="CU470" s="128"/>
      <c r="CW470" s="128"/>
      <c r="DN470" s="128"/>
      <c r="DP470" s="128"/>
      <c r="DR470" s="128"/>
      <c r="DV470" s="128"/>
      <c r="DX470" s="128"/>
      <c r="DY470" s="128"/>
      <c r="EA470" s="128"/>
      <c r="EB470" s="128"/>
      <c r="EC470" s="128"/>
      <c r="EG470" s="128"/>
      <c r="EL470" s="128"/>
      <c r="EM470" s="128"/>
      <c r="EO470" s="128"/>
      <c r="EQ470" s="128"/>
      <c r="ES470" s="128"/>
      <c r="EU470" s="128"/>
      <c r="EW470" s="128"/>
      <c r="EY470" s="128"/>
    </row>
    <row r="471" spans="3:155">
      <c r="C471" s="128"/>
      <c r="D471" s="128"/>
      <c r="E471" s="128"/>
      <c r="F471" s="128" t="str">
        <f>IF(E471 &lt;&gt; "", VLOOKUP(E471, '[2]Internal-logic'!G$1:I$364, 2, FALSE),"")</f>
        <v/>
      </c>
      <c r="G471" s="128" t="str">
        <f>IF(E471 &lt;&gt; "", VLOOKUP(E471, '[2]Internal-logic'!G$1:I$364, 3, FALSE),"")</f>
        <v/>
      </c>
      <c r="H471" s="128"/>
      <c r="I471" s="128"/>
      <c r="J471" s="128"/>
      <c r="K471" s="128"/>
      <c r="Q471" s="128"/>
      <c r="R471" s="128"/>
      <c r="S471" s="128"/>
      <c r="U471" s="128"/>
      <c r="X471" s="128"/>
      <c r="Y471" s="128"/>
      <c r="Z471" s="128"/>
      <c r="AA471" s="128"/>
      <c r="AB471" s="128"/>
      <c r="AC471" s="128"/>
      <c r="AD471" s="128"/>
      <c r="AE471" s="128"/>
      <c r="AF471" s="128"/>
      <c r="AG471" s="128"/>
      <c r="AI471" s="128"/>
      <c r="AJ471" s="128"/>
      <c r="AY471" s="128"/>
      <c r="BN471" s="128"/>
      <c r="BQ471" s="128"/>
      <c r="BR471" s="128"/>
      <c r="BT471" s="128"/>
      <c r="BV471" s="128"/>
      <c r="BX471" s="128"/>
      <c r="CU471" s="128"/>
      <c r="CW471" s="128"/>
      <c r="DN471" s="128"/>
      <c r="DP471" s="128"/>
      <c r="DR471" s="128"/>
      <c r="DV471" s="128"/>
      <c r="DX471" s="128"/>
      <c r="DY471" s="128"/>
      <c r="EA471" s="128"/>
      <c r="EB471" s="128"/>
      <c r="EC471" s="128"/>
      <c r="EG471" s="128"/>
      <c r="EL471" s="128"/>
      <c r="EM471" s="128"/>
      <c r="EO471" s="128"/>
      <c r="EQ471" s="128"/>
      <c r="ES471" s="128"/>
      <c r="EU471" s="128"/>
      <c r="EW471" s="128"/>
      <c r="EY471" s="128"/>
    </row>
    <row r="472" spans="3:155">
      <c r="C472" s="128"/>
      <c r="D472" s="128"/>
      <c r="E472" s="128"/>
      <c r="F472" s="128" t="str">
        <f>IF(E472 &lt;&gt; "", VLOOKUP(E472, '[2]Internal-logic'!G$1:I$364, 2, FALSE),"")</f>
        <v/>
      </c>
      <c r="G472" s="128" t="str">
        <f>IF(E472 &lt;&gt; "", VLOOKUP(E472, '[2]Internal-logic'!G$1:I$364, 3, FALSE),"")</f>
        <v/>
      </c>
      <c r="H472" s="128"/>
      <c r="I472" s="128"/>
      <c r="J472" s="128"/>
      <c r="K472" s="128"/>
      <c r="Q472" s="128"/>
      <c r="R472" s="128"/>
      <c r="S472" s="128"/>
      <c r="U472" s="128"/>
      <c r="X472" s="128"/>
      <c r="Y472" s="128"/>
      <c r="Z472" s="128"/>
      <c r="AA472" s="128"/>
      <c r="AB472" s="128"/>
      <c r="AC472" s="128"/>
      <c r="AD472" s="128"/>
      <c r="AE472" s="128"/>
      <c r="AF472" s="128"/>
      <c r="AG472" s="128"/>
      <c r="AI472" s="128"/>
      <c r="AJ472" s="128"/>
      <c r="AY472" s="128"/>
      <c r="BN472" s="128"/>
      <c r="BQ472" s="128"/>
      <c r="BR472" s="128"/>
      <c r="BT472" s="128"/>
      <c r="BV472" s="128"/>
      <c r="BX472" s="128"/>
      <c r="CU472" s="128"/>
      <c r="CW472" s="128"/>
      <c r="DN472" s="128"/>
      <c r="DP472" s="128"/>
      <c r="DR472" s="128"/>
      <c r="DV472" s="128"/>
      <c r="DX472" s="128"/>
      <c r="DY472" s="128"/>
      <c r="EA472" s="128"/>
      <c r="EB472" s="128"/>
      <c r="EC472" s="128"/>
      <c r="EG472" s="128"/>
      <c r="EL472" s="128"/>
      <c r="EM472" s="128"/>
      <c r="EO472" s="128"/>
      <c r="EQ472" s="128"/>
      <c r="ES472" s="128"/>
      <c r="EU472" s="128"/>
      <c r="EW472" s="128"/>
      <c r="EY472" s="128"/>
    </row>
    <row r="473" spans="3:155">
      <c r="C473" s="128"/>
      <c r="D473" s="128"/>
      <c r="E473" s="128"/>
      <c r="F473" s="128" t="str">
        <f>IF(E473 &lt;&gt; "", VLOOKUP(E473, '[2]Internal-logic'!G$1:I$364, 2, FALSE),"")</f>
        <v/>
      </c>
      <c r="G473" s="128" t="str">
        <f>IF(E473 &lt;&gt; "", VLOOKUP(E473, '[2]Internal-logic'!G$1:I$364, 3, FALSE),"")</f>
        <v/>
      </c>
      <c r="H473" s="128"/>
      <c r="I473" s="128"/>
      <c r="J473" s="128"/>
      <c r="K473" s="128"/>
      <c r="Q473" s="128"/>
      <c r="R473" s="128"/>
      <c r="S473" s="128"/>
      <c r="U473" s="128"/>
      <c r="X473" s="128"/>
      <c r="Y473" s="128"/>
      <c r="Z473" s="128"/>
      <c r="AA473" s="128"/>
      <c r="AB473" s="128"/>
      <c r="AC473" s="128"/>
      <c r="AD473" s="128"/>
      <c r="AE473" s="128"/>
      <c r="AF473" s="128"/>
      <c r="AG473" s="128"/>
      <c r="AI473" s="128"/>
      <c r="AJ473" s="128"/>
      <c r="AY473" s="128"/>
      <c r="BN473" s="128"/>
      <c r="BQ473" s="128"/>
      <c r="BR473" s="128"/>
      <c r="BT473" s="128"/>
      <c r="BV473" s="128"/>
      <c r="BX473" s="128"/>
      <c r="CU473" s="128"/>
      <c r="CW473" s="128"/>
      <c r="DN473" s="128"/>
      <c r="DP473" s="128"/>
      <c r="DR473" s="128"/>
      <c r="DV473" s="128"/>
      <c r="DX473" s="128"/>
      <c r="DY473" s="128"/>
      <c r="EA473" s="128"/>
      <c r="EB473" s="128"/>
      <c r="EC473" s="128"/>
      <c r="EG473" s="128"/>
      <c r="EL473" s="128"/>
      <c r="EM473" s="128"/>
      <c r="EO473" s="128"/>
      <c r="EQ473" s="128"/>
      <c r="ES473" s="128"/>
      <c r="EU473" s="128"/>
      <c r="EW473" s="128"/>
      <c r="EY473" s="128"/>
    </row>
    <row r="474" spans="3:155">
      <c r="C474" s="128"/>
      <c r="D474" s="128"/>
      <c r="E474" s="128"/>
      <c r="F474" s="128" t="str">
        <f>IF(E474 &lt;&gt; "", VLOOKUP(E474, '[2]Internal-logic'!G$1:I$364, 2, FALSE),"")</f>
        <v/>
      </c>
      <c r="G474" s="128" t="str">
        <f>IF(E474 &lt;&gt; "", VLOOKUP(E474, '[2]Internal-logic'!G$1:I$364, 3, FALSE),"")</f>
        <v/>
      </c>
      <c r="H474" s="128"/>
      <c r="I474" s="128"/>
      <c r="J474" s="128"/>
      <c r="K474" s="128"/>
      <c r="Q474" s="128"/>
      <c r="R474" s="128"/>
      <c r="S474" s="128"/>
      <c r="U474" s="128"/>
      <c r="X474" s="128"/>
      <c r="Y474" s="128"/>
      <c r="Z474" s="128"/>
      <c r="AA474" s="128"/>
      <c r="AB474" s="128"/>
      <c r="AC474" s="128"/>
      <c r="AD474" s="128"/>
      <c r="AE474" s="128"/>
      <c r="AF474" s="128"/>
      <c r="AG474" s="128"/>
      <c r="AI474" s="128"/>
      <c r="AJ474" s="128"/>
      <c r="AY474" s="128"/>
      <c r="BN474" s="128"/>
      <c r="BQ474" s="128"/>
      <c r="BR474" s="128"/>
      <c r="BT474" s="128"/>
      <c r="BV474" s="128"/>
      <c r="BX474" s="128"/>
      <c r="CU474" s="128"/>
      <c r="CW474" s="128"/>
      <c r="DN474" s="128"/>
      <c r="DP474" s="128"/>
      <c r="DR474" s="128"/>
      <c r="DV474" s="128"/>
      <c r="DX474" s="128"/>
      <c r="DY474" s="128"/>
      <c r="EA474" s="128"/>
      <c r="EB474" s="128"/>
      <c r="EC474" s="128"/>
      <c r="EG474" s="128"/>
      <c r="EL474" s="128"/>
      <c r="EM474" s="128"/>
      <c r="EO474" s="128"/>
      <c r="EQ474" s="128"/>
      <c r="ES474" s="128"/>
      <c r="EU474" s="128"/>
      <c r="EW474" s="128"/>
      <c r="EY474" s="128"/>
    </row>
    <row r="475" spans="3:155">
      <c r="C475" s="128"/>
      <c r="D475" s="128"/>
      <c r="E475" s="128"/>
      <c r="F475" s="128" t="str">
        <f>IF(E475 &lt;&gt; "", VLOOKUP(E475, '[2]Internal-logic'!G$1:I$364, 2, FALSE),"")</f>
        <v/>
      </c>
      <c r="G475" s="128" t="str">
        <f>IF(E475 &lt;&gt; "", VLOOKUP(E475, '[2]Internal-logic'!G$1:I$364, 3, FALSE),"")</f>
        <v/>
      </c>
      <c r="H475" s="128"/>
      <c r="I475" s="128"/>
      <c r="J475" s="128"/>
      <c r="K475" s="128"/>
      <c r="Q475" s="128"/>
      <c r="R475" s="128"/>
      <c r="S475" s="128"/>
      <c r="U475" s="128"/>
      <c r="X475" s="128"/>
      <c r="Y475" s="128"/>
      <c r="Z475" s="128"/>
      <c r="AA475" s="128"/>
      <c r="AB475" s="128"/>
      <c r="AC475" s="128"/>
      <c r="AD475" s="128"/>
      <c r="AE475" s="128"/>
      <c r="AF475" s="128"/>
      <c r="AG475" s="128"/>
      <c r="AI475" s="128"/>
      <c r="AJ475" s="128"/>
      <c r="AY475" s="128"/>
      <c r="BN475" s="128"/>
      <c r="BQ475" s="128"/>
      <c r="BR475" s="128"/>
      <c r="BT475" s="128"/>
      <c r="BV475" s="128"/>
      <c r="BX475" s="128"/>
      <c r="CU475" s="128"/>
      <c r="CW475" s="128"/>
      <c r="DN475" s="128"/>
      <c r="DP475" s="128"/>
      <c r="DR475" s="128"/>
      <c r="DV475" s="128"/>
      <c r="DX475" s="128"/>
      <c r="DY475" s="128"/>
      <c r="EA475" s="128"/>
      <c r="EB475" s="128"/>
      <c r="EC475" s="128"/>
      <c r="EG475" s="128"/>
      <c r="EL475" s="128"/>
      <c r="EM475" s="128"/>
      <c r="EO475" s="128"/>
      <c r="EQ475" s="128"/>
      <c r="ES475" s="128"/>
      <c r="EU475" s="128"/>
      <c r="EW475" s="128"/>
      <c r="EY475" s="128"/>
    </row>
    <row r="476" spans="3:155">
      <c r="C476" s="128"/>
      <c r="D476" s="128"/>
      <c r="E476" s="128"/>
      <c r="F476" s="128" t="str">
        <f>IF(E476 &lt;&gt; "", VLOOKUP(E476, '[2]Internal-logic'!G$1:I$364, 2, FALSE),"")</f>
        <v/>
      </c>
      <c r="G476" s="128" t="str">
        <f>IF(E476 &lt;&gt; "", VLOOKUP(E476, '[2]Internal-logic'!G$1:I$364, 3, FALSE),"")</f>
        <v/>
      </c>
      <c r="H476" s="128"/>
      <c r="I476" s="128"/>
      <c r="J476" s="128"/>
      <c r="K476" s="128"/>
      <c r="Q476" s="128"/>
      <c r="R476" s="128"/>
      <c r="S476" s="128"/>
      <c r="U476" s="128"/>
      <c r="X476" s="128"/>
      <c r="Y476" s="128"/>
      <c r="Z476" s="128"/>
      <c r="AA476" s="128"/>
      <c r="AB476" s="128"/>
      <c r="AC476" s="128"/>
      <c r="AD476" s="128"/>
      <c r="AE476" s="128"/>
      <c r="AF476" s="128"/>
      <c r="AG476" s="128"/>
      <c r="AI476" s="128"/>
      <c r="AJ476" s="128"/>
      <c r="AY476" s="128"/>
      <c r="BN476" s="128"/>
      <c r="BQ476" s="128"/>
      <c r="BR476" s="128"/>
      <c r="BT476" s="128"/>
      <c r="BV476" s="128"/>
      <c r="BX476" s="128"/>
      <c r="CU476" s="128"/>
      <c r="CW476" s="128"/>
      <c r="DN476" s="128"/>
      <c r="DP476" s="128"/>
      <c r="DR476" s="128"/>
      <c r="DV476" s="128"/>
      <c r="DX476" s="128"/>
      <c r="DY476" s="128"/>
      <c r="EA476" s="128"/>
      <c r="EB476" s="128"/>
      <c r="EC476" s="128"/>
      <c r="EG476" s="128"/>
      <c r="EL476" s="128"/>
      <c r="EM476" s="128"/>
      <c r="EO476" s="128"/>
      <c r="EQ476" s="128"/>
      <c r="ES476" s="128"/>
      <c r="EU476" s="128"/>
      <c r="EW476" s="128"/>
      <c r="EY476" s="128"/>
    </row>
    <row r="477" spans="3:155">
      <c r="C477" s="128"/>
      <c r="D477" s="128"/>
      <c r="E477" s="128"/>
      <c r="F477" s="128" t="str">
        <f>IF(E477 &lt;&gt; "", VLOOKUP(E477, '[2]Internal-logic'!G$1:I$364, 2, FALSE),"")</f>
        <v/>
      </c>
      <c r="G477" s="128" t="str">
        <f>IF(E477 &lt;&gt; "", VLOOKUP(E477, '[2]Internal-logic'!G$1:I$364, 3, FALSE),"")</f>
        <v/>
      </c>
      <c r="H477" s="128"/>
      <c r="I477" s="128"/>
      <c r="J477" s="128"/>
      <c r="K477" s="128"/>
      <c r="Q477" s="128"/>
      <c r="R477" s="128"/>
      <c r="S477" s="128"/>
      <c r="U477" s="128"/>
      <c r="X477" s="128"/>
      <c r="Y477" s="128"/>
      <c r="Z477" s="128"/>
      <c r="AA477" s="128"/>
      <c r="AB477" s="128"/>
      <c r="AC477" s="128"/>
      <c r="AD477" s="128"/>
      <c r="AE477" s="128"/>
      <c r="AF477" s="128"/>
      <c r="AG477" s="128"/>
      <c r="AI477" s="128"/>
      <c r="AJ477" s="128"/>
      <c r="AY477" s="128"/>
      <c r="BN477" s="128"/>
      <c r="BQ477" s="128"/>
      <c r="BR477" s="128"/>
      <c r="BT477" s="128"/>
      <c r="BV477" s="128"/>
      <c r="BX477" s="128"/>
      <c r="CU477" s="128"/>
      <c r="CW477" s="128"/>
      <c r="DN477" s="128"/>
      <c r="DP477" s="128"/>
      <c r="DR477" s="128"/>
      <c r="DV477" s="128"/>
      <c r="DX477" s="128"/>
      <c r="DY477" s="128"/>
      <c r="EA477" s="128"/>
      <c r="EB477" s="128"/>
      <c r="EC477" s="128"/>
      <c r="EG477" s="128"/>
      <c r="EL477" s="128"/>
      <c r="EM477" s="128"/>
      <c r="EO477" s="128"/>
      <c r="EQ477" s="128"/>
      <c r="ES477" s="128"/>
      <c r="EU477" s="128"/>
      <c r="EW477" s="128"/>
      <c r="EY477" s="128"/>
    </row>
    <row r="478" spans="3:155">
      <c r="C478" s="128"/>
      <c r="D478" s="128"/>
      <c r="E478" s="128"/>
      <c r="F478" s="128" t="str">
        <f>IF(E478 &lt;&gt; "", VLOOKUP(E478, '[2]Internal-logic'!G$1:I$364, 2, FALSE),"")</f>
        <v/>
      </c>
      <c r="G478" s="128" t="str">
        <f>IF(E478 &lt;&gt; "", VLOOKUP(E478, '[2]Internal-logic'!G$1:I$364, 3, FALSE),"")</f>
        <v/>
      </c>
      <c r="H478" s="128"/>
      <c r="I478" s="128"/>
      <c r="J478" s="128"/>
      <c r="K478" s="128"/>
      <c r="Q478" s="128"/>
      <c r="R478" s="128"/>
      <c r="S478" s="128"/>
      <c r="U478" s="128"/>
      <c r="X478" s="128"/>
      <c r="Y478" s="128"/>
      <c r="Z478" s="128"/>
      <c r="AA478" s="128"/>
      <c r="AB478" s="128"/>
      <c r="AC478" s="128"/>
      <c r="AD478" s="128"/>
      <c r="AE478" s="128"/>
      <c r="AF478" s="128"/>
      <c r="AG478" s="128"/>
      <c r="AI478" s="128"/>
      <c r="AJ478" s="128"/>
      <c r="AY478" s="128"/>
      <c r="BN478" s="128"/>
      <c r="BQ478" s="128"/>
      <c r="BR478" s="128"/>
      <c r="BT478" s="128"/>
      <c r="BV478" s="128"/>
      <c r="BX478" s="128"/>
      <c r="CU478" s="128"/>
      <c r="CW478" s="128"/>
      <c r="DN478" s="128"/>
      <c r="DP478" s="128"/>
      <c r="DR478" s="128"/>
      <c r="DV478" s="128"/>
      <c r="DX478" s="128"/>
      <c r="DY478" s="128"/>
      <c r="EA478" s="128"/>
      <c r="EB478" s="128"/>
      <c r="EC478" s="128"/>
      <c r="EG478" s="128"/>
      <c r="EL478" s="128"/>
      <c r="EM478" s="128"/>
      <c r="EO478" s="128"/>
      <c r="EQ478" s="128"/>
      <c r="ES478" s="128"/>
      <c r="EU478" s="128"/>
      <c r="EW478" s="128"/>
      <c r="EY478" s="128"/>
    </row>
    <row r="479" spans="3:155">
      <c r="C479" s="128"/>
      <c r="D479" s="128"/>
      <c r="E479" s="128"/>
      <c r="F479" s="128" t="str">
        <f>IF(E479 &lt;&gt; "", VLOOKUP(E479, '[2]Internal-logic'!G$1:I$364, 2, FALSE),"")</f>
        <v/>
      </c>
      <c r="G479" s="128" t="str">
        <f>IF(E479 &lt;&gt; "", VLOOKUP(E479, '[2]Internal-logic'!G$1:I$364, 3, FALSE),"")</f>
        <v/>
      </c>
      <c r="H479" s="128"/>
      <c r="I479" s="128"/>
      <c r="J479" s="128"/>
      <c r="K479" s="128"/>
      <c r="Q479" s="128"/>
      <c r="R479" s="128"/>
      <c r="S479" s="128"/>
      <c r="U479" s="128"/>
      <c r="X479" s="128"/>
      <c r="Y479" s="128"/>
      <c r="Z479" s="128"/>
      <c r="AA479" s="128"/>
      <c r="AB479" s="128"/>
      <c r="AC479" s="128"/>
      <c r="AD479" s="128"/>
      <c r="AE479" s="128"/>
      <c r="AF479" s="128"/>
      <c r="AG479" s="128"/>
      <c r="AI479" s="128"/>
      <c r="AJ479" s="128"/>
      <c r="AY479" s="128"/>
      <c r="BN479" s="128"/>
      <c r="BQ479" s="128"/>
      <c r="BR479" s="128"/>
      <c r="BT479" s="128"/>
      <c r="BV479" s="128"/>
      <c r="BX479" s="128"/>
      <c r="CU479" s="128"/>
      <c r="CW479" s="128"/>
      <c r="DN479" s="128"/>
      <c r="DP479" s="128"/>
      <c r="DR479" s="128"/>
      <c r="DV479" s="128"/>
      <c r="DX479" s="128"/>
      <c r="DY479" s="128"/>
      <c r="EA479" s="128"/>
      <c r="EB479" s="128"/>
      <c r="EC479" s="128"/>
      <c r="EG479" s="128"/>
      <c r="EL479" s="128"/>
      <c r="EM479" s="128"/>
      <c r="EO479" s="128"/>
      <c r="EQ479" s="128"/>
      <c r="ES479" s="128"/>
      <c r="EU479" s="128"/>
      <c r="EW479" s="128"/>
      <c r="EY479" s="128"/>
    </row>
    <row r="480" spans="3:155">
      <c r="C480" s="128"/>
      <c r="D480" s="128"/>
      <c r="E480" s="128"/>
      <c r="F480" s="128" t="str">
        <f>IF(E480 &lt;&gt; "", VLOOKUP(E480, '[2]Internal-logic'!G$1:I$364, 2, FALSE),"")</f>
        <v/>
      </c>
      <c r="G480" s="128" t="str">
        <f>IF(E480 &lt;&gt; "", VLOOKUP(E480, '[2]Internal-logic'!G$1:I$364, 3, FALSE),"")</f>
        <v/>
      </c>
      <c r="H480" s="128"/>
      <c r="I480" s="128"/>
      <c r="J480" s="128"/>
      <c r="K480" s="128"/>
      <c r="Q480" s="128"/>
      <c r="R480" s="128"/>
      <c r="S480" s="128"/>
      <c r="U480" s="128"/>
      <c r="X480" s="128"/>
      <c r="Y480" s="128"/>
      <c r="Z480" s="128"/>
      <c r="AA480" s="128"/>
      <c r="AB480" s="128"/>
      <c r="AC480" s="128"/>
      <c r="AD480" s="128"/>
      <c r="AE480" s="128"/>
      <c r="AF480" s="128"/>
      <c r="AG480" s="128"/>
      <c r="AI480" s="128"/>
      <c r="AJ480" s="128"/>
      <c r="AY480" s="128"/>
      <c r="BN480" s="128"/>
      <c r="BQ480" s="128"/>
      <c r="BR480" s="128"/>
      <c r="BT480" s="128"/>
      <c r="BV480" s="128"/>
      <c r="BX480" s="128"/>
      <c r="CU480" s="128"/>
      <c r="CW480" s="128"/>
      <c r="DN480" s="128"/>
      <c r="DP480" s="128"/>
      <c r="DR480" s="128"/>
      <c r="DV480" s="128"/>
      <c r="DX480" s="128"/>
      <c r="DY480" s="128"/>
      <c r="EA480" s="128"/>
      <c r="EB480" s="128"/>
      <c r="EC480" s="128"/>
      <c r="EG480" s="128"/>
      <c r="EL480" s="128"/>
      <c r="EM480" s="128"/>
      <c r="EO480" s="128"/>
      <c r="EQ480" s="128"/>
      <c r="ES480" s="128"/>
      <c r="EU480" s="128"/>
      <c r="EW480" s="128"/>
      <c r="EY480" s="128"/>
    </row>
    <row r="481" spans="3:155">
      <c r="C481" s="128"/>
      <c r="D481" s="128"/>
      <c r="E481" s="128"/>
      <c r="F481" s="128" t="str">
        <f>IF(E481 &lt;&gt; "", VLOOKUP(E481, '[2]Internal-logic'!G$1:I$364, 2, FALSE),"")</f>
        <v/>
      </c>
      <c r="G481" s="128" t="str">
        <f>IF(E481 &lt;&gt; "", VLOOKUP(E481, '[2]Internal-logic'!G$1:I$364, 3, FALSE),"")</f>
        <v/>
      </c>
      <c r="H481" s="128"/>
      <c r="I481" s="128"/>
      <c r="J481" s="128"/>
      <c r="K481" s="128"/>
      <c r="Q481" s="128"/>
      <c r="R481" s="128"/>
      <c r="S481" s="128"/>
      <c r="U481" s="128"/>
      <c r="X481" s="128"/>
      <c r="Y481" s="128"/>
      <c r="Z481" s="128"/>
      <c r="AA481" s="128"/>
      <c r="AB481" s="128"/>
      <c r="AC481" s="128"/>
      <c r="AD481" s="128"/>
      <c r="AE481" s="128"/>
      <c r="AF481" s="128"/>
      <c r="AG481" s="128"/>
      <c r="AI481" s="128"/>
      <c r="AJ481" s="128"/>
      <c r="AY481" s="128"/>
      <c r="BN481" s="128"/>
      <c r="BQ481" s="128"/>
      <c r="BR481" s="128"/>
      <c r="BT481" s="128"/>
      <c r="BV481" s="128"/>
      <c r="BX481" s="128"/>
      <c r="CU481" s="128"/>
      <c r="CW481" s="128"/>
      <c r="DN481" s="128"/>
      <c r="DP481" s="128"/>
      <c r="DR481" s="128"/>
      <c r="DV481" s="128"/>
      <c r="DX481" s="128"/>
      <c r="DY481" s="128"/>
      <c r="EA481" s="128"/>
      <c r="EB481" s="128"/>
      <c r="EC481" s="128"/>
      <c r="EG481" s="128"/>
      <c r="EL481" s="128"/>
      <c r="EM481" s="128"/>
      <c r="EO481" s="128"/>
      <c r="EQ481" s="128"/>
      <c r="ES481" s="128"/>
      <c r="EU481" s="128"/>
      <c r="EW481" s="128"/>
      <c r="EY481" s="128"/>
    </row>
    <row r="482" spans="3:155">
      <c r="C482" s="128"/>
      <c r="D482" s="128"/>
      <c r="E482" s="128"/>
      <c r="F482" s="128" t="str">
        <f>IF(E482 &lt;&gt; "", VLOOKUP(E482, '[2]Internal-logic'!G$1:I$364, 2, FALSE),"")</f>
        <v/>
      </c>
      <c r="G482" s="128" t="str">
        <f>IF(E482 &lt;&gt; "", VLOOKUP(E482, '[2]Internal-logic'!G$1:I$364, 3, FALSE),"")</f>
        <v/>
      </c>
      <c r="H482" s="128"/>
      <c r="I482" s="128"/>
      <c r="J482" s="128"/>
      <c r="K482" s="128"/>
      <c r="Q482" s="128"/>
      <c r="R482" s="128"/>
      <c r="S482" s="128"/>
      <c r="U482" s="128"/>
      <c r="X482" s="128"/>
      <c r="Y482" s="128"/>
      <c r="Z482" s="128"/>
      <c r="AA482" s="128"/>
      <c r="AB482" s="128"/>
      <c r="AC482" s="128"/>
      <c r="AD482" s="128"/>
      <c r="AE482" s="128"/>
      <c r="AF482" s="128"/>
      <c r="AG482" s="128"/>
      <c r="AI482" s="128"/>
      <c r="AJ482" s="128"/>
      <c r="AY482" s="128"/>
      <c r="BN482" s="128"/>
      <c r="BQ482" s="128"/>
      <c r="BR482" s="128"/>
      <c r="BT482" s="128"/>
      <c r="BV482" s="128"/>
      <c r="BX482" s="128"/>
      <c r="CU482" s="128"/>
      <c r="CW482" s="128"/>
      <c r="DN482" s="128"/>
      <c r="DP482" s="128"/>
      <c r="DR482" s="128"/>
      <c r="DV482" s="128"/>
      <c r="DX482" s="128"/>
      <c r="DY482" s="128"/>
      <c r="EA482" s="128"/>
      <c r="EB482" s="128"/>
      <c r="EC482" s="128"/>
      <c r="EG482" s="128"/>
      <c r="EL482" s="128"/>
      <c r="EM482" s="128"/>
      <c r="EO482" s="128"/>
      <c r="EQ482" s="128"/>
      <c r="ES482" s="128"/>
      <c r="EU482" s="128"/>
      <c r="EW482" s="128"/>
      <c r="EY482" s="128"/>
    </row>
    <row r="483" spans="3:155">
      <c r="C483" s="128"/>
      <c r="D483" s="128"/>
      <c r="E483" s="128"/>
      <c r="F483" s="128" t="str">
        <f>IF(E483 &lt;&gt; "", VLOOKUP(E483, '[2]Internal-logic'!G$1:I$364, 2, FALSE),"")</f>
        <v/>
      </c>
      <c r="G483" s="128" t="str">
        <f>IF(E483 &lt;&gt; "", VLOOKUP(E483, '[2]Internal-logic'!G$1:I$364, 3, FALSE),"")</f>
        <v/>
      </c>
      <c r="H483" s="128"/>
      <c r="I483" s="128"/>
      <c r="J483" s="128"/>
      <c r="K483" s="128"/>
      <c r="Q483" s="128"/>
      <c r="R483" s="128"/>
      <c r="S483" s="128"/>
      <c r="U483" s="128"/>
      <c r="X483" s="128"/>
      <c r="Y483" s="128"/>
      <c r="Z483" s="128"/>
      <c r="AA483" s="128"/>
      <c r="AB483" s="128"/>
      <c r="AC483" s="128"/>
      <c r="AD483" s="128"/>
      <c r="AE483" s="128"/>
      <c r="AF483" s="128"/>
      <c r="AG483" s="128"/>
      <c r="AI483" s="128"/>
      <c r="AJ483" s="128"/>
      <c r="AY483" s="128"/>
      <c r="BN483" s="128"/>
      <c r="BQ483" s="128"/>
      <c r="BR483" s="128"/>
      <c r="BT483" s="128"/>
      <c r="BV483" s="128"/>
      <c r="BX483" s="128"/>
      <c r="CU483" s="128"/>
      <c r="CW483" s="128"/>
      <c r="DN483" s="128"/>
      <c r="DP483" s="128"/>
      <c r="DR483" s="128"/>
      <c r="DV483" s="128"/>
      <c r="DX483" s="128"/>
      <c r="DY483" s="128"/>
      <c r="EA483" s="128"/>
      <c r="EB483" s="128"/>
      <c r="EC483" s="128"/>
      <c r="EG483" s="128"/>
      <c r="EL483" s="128"/>
      <c r="EM483" s="128"/>
      <c r="EO483" s="128"/>
      <c r="EQ483" s="128"/>
      <c r="ES483" s="128"/>
      <c r="EU483" s="128"/>
      <c r="EW483" s="128"/>
      <c r="EY483" s="128"/>
    </row>
    <row r="484" spans="3:155">
      <c r="C484" s="128"/>
      <c r="D484" s="128"/>
      <c r="E484" s="128"/>
      <c r="F484" s="128" t="str">
        <f>IF(E484 &lt;&gt; "", VLOOKUP(E484, '[2]Internal-logic'!G$1:I$364, 2, FALSE),"")</f>
        <v/>
      </c>
      <c r="G484" s="128" t="str">
        <f>IF(E484 &lt;&gt; "", VLOOKUP(E484, '[2]Internal-logic'!G$1:I$364, 3, FALSE),"")</f>
        <v/>
      </c>
      <c r="H484" s="128"/>
      <c r="I484" s="128"/>
      <c r="J484" s="128"/>
      <c r="K484" s="128"/>
      <c r="Q484" s="128"/>
      <c r="R484" s="128"/>
      <c r="S484" s="128"/>
      <c r="U484" s="128"/>
      <c r="X484" s="128"/>
      <c r="Y484" s="128"/>
      <c r="Z484" s="128"/>
      <c r="AA484" s="128"/>
      <c r="AB484" s="128"/>
      <c r="AC484" s="128"/>
      <c r="AD484" s="128"/>
      <c r="AE484" s="128"/>
      <c r="AF484" s="128"/>
      <c r="AG484" s="128"/>
      <c r="AI484" s="128"/>
      <c r="AJ484" s="128"/>
      <c r="AY484" s="128"/>
      <c r="BN484" s="128"/>
      <c r="BQ484" s="128"/>
      <c r="BR484" s="128"/>
      <c r="BT484" s="128"/>
      <c r="BV484" s="128"/>
      <c r="BX484" s="128"/>
      <c r="CU484" s="128"/>
      <c r="CW484" s="128"/>
      <c r="DN484" s="128"/>
      <c r="DP484" s="128"/>
      <c r="DR484" s="128"/>
      <c r="DV484" s="128"/>
      <c r="DX484" s="128"/>
      <c r="DY484" s="128"/>
      <c r="EA484" s="128"/>
      <c r="EB484" s="128"/>
      <c r="EC484" s="128"/>
      <c r="EG484" s="128"/>
      <c r="EL484" s="128"/>
      <c r="EM484" s="128"/>
      <c r="EO484" s="128"/>
      <c r="EQ484" s="128"/>
      <c r="ES484" s="128"/>
      <c r="EU484" s="128"/>
      <c r="EW484" s="128"/>
      <c r="EY484" s="128"/>
    </row>
    <row r="485" spans="3:155">
      <c r="C485" s="128"/>
      <c r="D485" s="128"/>
      <c r="E485" s="128"/>
      <c r="F485" s="128" t="str">
        <f>IF(E485 &lt;&gt; "", VLOOKUP(E485, '[2]Internal-logic'!G$1:I$364, 2, FALSE),"")</f>
        <v/>
      </c>
      <c r="G485" s="128" t="str">
        <f>IF(E485 &lt;&gt; "", VLOOKUP(E485, '[2]Internal-logic'!G$1:I$364, 3, FALSE),"")</f>
        <v/>
      </c>
      <c r="H485" s="128"/>
      <c r="I485" s="128"/>
      <c r="J485" s="128"/>
      <c r="K485" s="128"/>
      <c r="Q485" s="128"/>
      <c r="R485" s="128"/>
      <c r="S485" s="128"/>
      <c r="U485" s="128"/>
      <c r="X485" s="128"/>
      <c r="Y485" s="128"/>
      <c r="Z485" s="128"/>
      <c r="AA485" s="128"/>
      <c r="AB485" s="128"/>
      <c r="AC485" s="128"/>
      <c r="AD485" s="128"/>
      <c r="AE485" s="128"/>
      <c r="AF485" s="128"/>
      <c r="AG485" s="128"/>
      <c r="AI485" s="128"/>
      <c r="AJ485" s="128"/>
      <c r="AY485" s="128"/>
      <c r="BN485" s="128"/>
      <c r="BQ485" s="128"/>
      <c r="BR485" s="128"/>
      <c r="BT485" s="128"/>
      <c r="BV485" s="128"/>
      <c r="BX485" s="128"/>
      <c r="CU485" s="128"/>
      <c r="CW485" s="128"/>
      <c r="DN485" s="128"/>
      <c r="DP485" s="128"/>
      <c r="DR485" s="128"/>
      <c r="DV485" s="128"/>
      <c r="DX485" s="128"/>
      <c r="DY485" s="128"/>
      <c r="EA485" s="128"/>
      <c r="EB485" s="128"/>
      <c r="EC485" s="128"/>
      <c r="EG485" s="128"/>
      <c r="EL485" s="128"/>
      <c r="EM485" s="128"/>
      <c r="EO485" s="128"/>
      <c r="EQ485" s="128"/>
      <c r="ES485" s="128"/>
      <c r="EU485" s="128"/>
      <c r="EW485" s="128"/>
      <c r="EY485" s="128"/>
    </row>
    <row r="486" spans="3:155">
      <c r="C486" s="128"/>
      <c r="D486" s="128"/>
      <c r="E486" s="128"/>
      <c r="F486" s="128" t="str">
        <f>IF(E486 &lt;&gt; "", VLOOKUP(E486, '[2]Internal-logic'!G$1:I$364, 2, FALSE),"")</f>
        <v/>
      </c>
      <c r="G486" s="128" t="str">
        <f>IF(E486 &lt;&gt; "", VLOOKUP(E486, '[2]Internal-logic'!G$1:I$364, 3, FALSE),"")</f>
        <v/>
      </c>
      <c r="H486" s="128"/>
      <c r="I486" s="128"/>
      <c r="J486" s="128"/>
      <c r="K486" s="128"/>
      <c r="Q486" s="128"/>
      <c r="R486" s="128"/>
      <c r="S486" s="128"/>
      <c r="U486" s="128"/>
      <c r="X486" s="128"/>
      <c r="Y486" s="128"/>
      <c r="Z486" s="128"/>
      <c r="AA486" s="128"/>
      <c r="AB486" s="128"/>
      <c r="AC486" s="128"/>
      <c r="AD486" s="128"/>
      <c r="AE486" s="128"/>
      <c r="AF486" s="128"/>
      <c r="AG486" s="128"/>
      <c r="AI486" s="128"/>
      <c r="AJ486" s="128"/>
      <c r="AY486" s="128"/>
      <c r="BN486" s="128"/>
      <c r="BQ486" s="128"/>
      <c r="BR486" s="128"/>
      <c r="BT486" s="128"/>
      <c r="BV486" s="128"/>
      <c r="BX486" s="128"/>
      <c r="CU486" s="128"/>
      <c r="CW486" s="128"/>
      <c r="DN486" s="128"/>
      <c r="DP486" s="128"/>
      <c r="DR486" s="128"/>
      <c r="DV486" s="128"/>
      <c r="DX486" s="128"/>
      <c r="DY486" s="128"/>
      <c r="EA486" s="128"/>
      <c r="EB486" s="128"/>
      <c r="EC486" s="128"/>
      <c r="EG486" s="128"/>
      <c r="EL486" s="128"/>
      <c r="EM486" s="128"/>
      <c r="EO486" s="128"/>
      <c r="EQ486" s="128"/>
      <c r="ES486" s="128"/>
      <c r="EU486" s="128"/>
      <c r="EW486" s="128"/>
      <c r="EY486" s="128"/>
    </row>
    <row r="487" spans="3:155">
      <c r="C487" s="128"/>
      <c r="D487" s="128"/>
      <c r="E487" s="128"/>
      <c r="F487" s="128" t="str">
        <f>IF(E487 &lt;&gt; "", VLOOKUP(E487, '[2]Internal-logic'!G$1:I$364, 2, FALSE),"")</f>
        <v/>
      </c>
      <c r="G487" s="128" t="str">
        <f>IF(E487 &lt;&gt; "", VLOOKUP(E487, '[2]Internal-logic'!G$1:I$364, 3, FALSE),"")</f>
        <v/>
      </c>
      <c r="H487" s="128"/>
      <c r="I487" s="128"/>
      <c r="J487" s="128"/>
      <c r="K487" s="128"/>
      <c r="Q487" s="128"/>
      <c r="R487" s="128"/>
      <c r="S487" s="128"/>
      <c r="U487" s="128"/>
      <c r="X487" s="128"/>
      <c r="Y487" s="128"/>
      <c r="Z487" s="128"/>
      <c r="AA487" s="128"/>
      <c r="AB487" s="128"/>
      <c r="AC487" s="128"/>
      <c r="AD487" s="128"/>
      <c r="AE487" s="128"/>
      <c r="AF487" s="128"/>
      <c r="AG487" s="128"/>
      <c r="AI487" s="128"/>
      <c r="AJ487" s="128"/>
      <c r="AY487" s="128"/>
      <c r="BN487" s="128"/>
      <c r="BQ487" s="128"/>
      <c r="BR487" s="128"/>
      <c r="BT487" s="128"/>
      <c r="BV487" s="128"/>
      <c r="BX487" s="128"/>
      <c r="CU487" s="128"/>
      <c r="CW487" s="128"/>
      <c r="DN487" s="128"/>
      <c r="DP487" s="128"/>
      <c r="DR487" s="128"/>
      <c r="DV487" s="128"/>
      <c r="DX487" s="128"/>
      <c r="DY487" s="128"/>
      <c r="EA487" s="128"/>
      <c r="EB487" s="128"/>
      <c r="EC487" s="128"/>
      <c r="EG487" s="128"/>
      <c r="EL487" s="128"/>
      <c r="EM487" s="128"/>
      <c r="EO487" s="128"/>
      <c r="EQ487" s="128"/>
      <c r="ES487" s="128"/>
      <c r="EU487" s="128"/>
      <c r="EW487" s="128"/>
      <c r="EY487" s="128"/>
    </row>
    <row r="488" spans="3:155">
      <c r="C488" s="128"/>
      <c r="D488" s="128"/>
      <c r="E488" s="128"/>
      <c r="F488" s="128" t="str">
        <f>IF(E488 &lt;&gt; "", VLOOKUP(E488, '[2]Internal-logic'!G$1:I$364, 2, FALSE),"")</f>
        <v/>
      </c>
      <c r="G488" s="128" t="str">
        <f>IF(E488 &lt;&gt; "", VLOOKUP(E488, '[2]Internal-logic'!G$1:I$364, 3, FALSE),"")</f>
        <v/>
      </c>
      <c r="H488" s="128"/>
      <c r="I488" s="128"/>
      <c r="J488" s="128"/>
      <c r="K488" s="128"/>
      <c r="Q488" s="128"/>
      <c r="R488" s="128"/>
      <c r="S488" s="128"/>
      <c r="U488" s="128"/>
      <c r="X488" s="128"/>
      <c r="Y488" s="128"/>
      <c r="Z488" s="128"/>
      <c r="AA488" s="128"/>
      <c r="AB488" s="128"/>
      <c r="AC488" s="128"/>
      <c r="AD488" s="128"/>
      <c r="AE488" s="128"/>
      <c r="AF488" s="128"/>
      <c r="AG488" s="128"/>
      <c r="AI488" s="128"/>
      <c r="AJ488" s="128"/>
      <c r="AY488" s="128"/>
      <c r="BN488" s="128"/>
      <c r="BQ488" s="128"/>
      <c r="BR488" s="128"/>
      <c r="BT488" s="128"/>
      <c r="BV488" s="128"/>
      <c r="BX488" s="128"/>
      <c r="CU488" s="128"/>
      <c r="CW488" s="128"/>
      <c r="DN488" s="128"/>
      <c r="DP488" s="128"/>
      <c r="DR488" s="128"/>
      <c r="DV488" s="128"/>
      <c r="DX488" s="128"/>
      <c r="DY488" s="128"/>
      <c r="EA488" s="128"/>
      <c r="EB488" s="128"/>
      <c r="EC488" s="128"/>
      <c r="EG488" s="128"/>
      <c r="EL488" s="128"/>
      <c r="EM488" s="128"/>
      <c r="EO488" s="128"/>
      <c r="EQ488" s="128"/>
      <c r="ES488" s="128"/>
      <c r="EU488" s="128"/>
      <c r="EW488" s="128"/>
      <c r="EY488" s="128"/>
    </row>
    <row r="489" spans="3:155">
      <c r="C489" s="128"/>
      <c r="D489" s="128"/>
      <c r="E489" s="128"/>
      <c r="F489" s="128" t="str">
        <f>IF(E489 &lt;&gt; "", VLOOKUP(E489, '[2]Internal-logic'!G$1:I$364, 2, FALSE),"")</f>
        <v/>
      </c>
      <c r="G489" s="128" t="str">
        <f>IF(E489 &lt;&gt; "", VLOOKUP(E489, '[2]Internal-logic'!G$1:I$364, 3, FALSE),"")</f>
        <v/>
      </c>
      <c r="H489" s="128"/>
      <c r="I489" s="128"/>
      <c r="J489" s="128"/>
      <c r="K489" s="128"/>
      <c r="Q489" s="128"/>
      <c r="R489" s="128"/>
      <c r="S489" s="128"/>
      <c r="U489" s="128"/>
      <c r="X489" s="128"/>
      <c r="Y489" s="128"/>
      <c r="Z489" s="128"/>
      <c r="AA489" s="128"/>
      <c r="AB489" s="128"/>
      <c r="AC489" s="128"/>
      <c r="AD489" s="128"/>
      <c r="AE489" s="128"/>
      <c r="AF489" s="128"/>
      <c r="AG489" s="128"/>
      <c r="AI489" s="128"/>
      <c r="AJ489" s="128"/>
      <c r="AY489" s="128"/>
      <c r="BN489" s="128"/>
      <c r="BQ489" s="128"/>
      <c r="BR489" s="128"/>
      <c r="BT489" s="128"/>
      <c r="BV489" s="128"/>
      <c r="BX489" s="128"/>
      <c r="CU489" s="128"/>
      <c r="CW489" s="128"/>
      <c r="DN489" s="128"/>
      <c r="DP489" s="128"/>
      <c r="DR489" s="128"/>
      <c r="DV489" s="128"/>
      <c r="DX489" s="128"/>
      <c r="DY489" s="128"/>
      <c r="EA489" s="128"/>
      <c r="EB489" s="128"/>
      <c r="EC489" s="128"/>
      <c r="EG489" s="128"/>
      <c r="EL489" s="128"/>
      <c r="EM489" s="128"/>
      <c r="EO489" s="128"/>
      <c r="EQ489" s="128"/>
      <c r="ES489" s="128"/>
      <c r="EU489" s="128"/>
      <c r="EW489" s="128"/>
      <c r="EY489" s="128"/>
    </row>
    <row r="490" spans="3:155">
      <c r="C490" s="128"/>
      <c r="D490" s="128"/>
      <c r="E490" s="128"/>
      <c r="F490" s="128" t="str">
        <f>IF(E490 &lt;&gt; "", VLOOKUP(E490, '[2]Internal-logic'!G$1:I$364, 2, FALSE),"")</f>
        <v/>
      </c>
      <c r="G490" s="128" t="str">
        <f>IF(E490 &lt;&gt; "", VLOOKUP(E490, '[2]Internal-logic'!G$1:I$364, 3, FALSE),"")</f>
        <v/>
      </c>
      <c r="H490" s="128"/>
      <c r="I490" s="128"/>
      <c r="J490" s="128"/>
      <c r="K490" s="128"/>
      <c r="Q490" s="128"/>
      <c r="R490" s="128"/>
      <c r="S490" s="128"/>
      <c r="U490" s="128"/>
      <c r="X490" s="128"/>
      <c r="Y490" s="128"/>
      <c r="Z490" s="128"/>
      <c r="AA490" s="128"/>
      <c r="AB490" s="128"/>
      <c r="AC490" s="128"/>
      <c r="AD490" s="128"/>
      <c r="AE490" s="128"/>
      <c r="AF490" s="128"/>
      <c r="AG490" s="128"/>
      <c r="AI490" s="128"/>
      <c r="AJ490" s="128"/>
      <c r="AY490" s="128"/>
      <c r="BN490" s="128"/>
      <c r="BQ490" s="128"/>
      <c r="BR490" s="128"/>
      <c r="BT490" s="128"/>
      <c r="BV490" s="128"/>
      <c r="BX490" s="128"/>
      <c r="CU490" s="128"/>
      <c r="CW490" s="128"/>
      <c r="DN490" s="128"/>
      <c r="DP490" s="128"/>
      <c r="DR490" s="128"/>
      <c r="DV490" s="128"/>
      <c r="DX490" s="128"/>
      <c r="DY490" s="128"/>
      <c r="EA490" s="128"/>
      <c r="EB490" s="128"/>
      <c r="EC490" s="128"/>
      <c r="EG490" s="128"/>
      <c r="EL490" s="128"/>
      <c r="EM490" s="128"/>
      <c r="EO490" s="128"/>
      <c r="EQ490" s="128"/>
      <c r="ES490" s="128"/>
      <c r="EU490" s="128"/>
      <c r="EW490" s="128"/>
      <c r="EY490" s="128"/>
    </row>
    <row r="491" spans="3:155">
      <c r="C491" s="128"/>
      <c r="D491" s="128"/>
      <c r="E491" s="128"/>
      <c r="F491" s="128" t="str">
        <f>IF(E491 &lt;&gt; "", VLOOKUP(E491, '[2]Internal-logic'!G$1:I$364, 2, FALSE),"")</f>
        <v/>
      </c>
      <c r="G491" s="128" t="str">
        <f>IF(E491 &lt;&gt; "", VLOOKUP(E491, '[2]Internal-logic'!G$1:I$364, 3, FALSE),"")</f>
        <v/>
      </c>
      <c r="H491" s="128"/>
      <c r="I491" s="128"/>
      <c r="J491" s="128"/>
      <c r="K491" s="128"/>
      <c r="Q491" s="128"/>
      <c r="R491" s="128"/>
      <c r="S491" s="128"/>
      <c r="U491" s="128"/>
      <c r="X491" s="128"/>
      <c r="Y491" s="128"/>
      <c r="Z491" s="128"/>
      <c r="AA491" s="128"/>
      <c r="AB491" s="128"/>
      <c r="AC491" s="128"/>
      <c r="AD491" s="128"/>
      <c r="AE491" s="128"/>
      <c r="AF491" s="128"/>
      <c r="AG491" s="128"/>
      <c r="AI491" s="128"/>
      <c r="AJ491" s="128"/>
      <c r="AY491" s="128"/>
      <c r="BN491" s="128"/>
      <c r="BQ491" s="128"/>
      <c r="BR491" s="128"/>
      <c r="BT491" s="128"/>
      <c r="BV491" s="128"/>
      <c r="BX491" s="128"/>
      <c r="CU491" s="128"/>
      <c r="CW491" s="128"/>
      <c r="DN491" s="128"/>
      <c r="DP491" s="128"/>
      <c r="DR491" s="128"/>
      <c r="DV491" s="128"/>
      <c r="DX491" s="128"/>
      <c r="DY491" s="128"/>
      <c r="EA491" s="128"/>
      <c r="EB491" s="128"/>
      <c r="EC491" s="128"/>
      <c r="EG491" s="128"/>
      <c r="EL491" s="128"/>
      <c r="EM491" s="128"/>
      <c r="EO491" s="128"/>
      <c r="EQ491" s="128"/>
      <c r="ES491" s="128"/>
      <c r="EU491" s="128"/>
      <c r="EW491" s="128"/>
      <c r="EY491" s="128"/>
    </row>
    <row r="492" spans="3:155">
      <c r="C492" s="128"/>
      <c r="D492" s="128"/>
      <c r="E492" s="128"/>
      <c r="F492" s="128" t="str">
        <f>IF(E492 &lt;&gt; "", VLOOKUP(E492, '[2]Internal-logic'!G$1:I$364, 2, FALSE),"")</f>
        <v/>
      </c>
      <c r="G492" s="128" t="str">
        <f>IF(E492 &lt;&gt; "", VLOOKUP(E492, '[2]Internal-logic'!G$1:I$364, 3, FALSE),"")</f>
        <v/>
      </c>
      <c r="H492" s="128"/>
      <c r="I492" s="128"/>
      <c r="J492" s="128"/>
      <c r="K492" s="128"/>
      <c r="Q492" s="128"/>
      <c r="R492" s="128"/>
      <c r="S492" s="128"/>
      <c r="U492" s="128"/>
      <c r="X492" s="128"/>
      <c r="Y492" s="128"/>
      <c r="Z492" s="128"/>
      <c r="AA492" s="128"/>
      <c r="AB492" s="128"/>
      <c r="AC492" s="128"/>
      <c r="AD492" s="128"/>
      <c r="AE492" s="128"/>
      <c r="AF492" s="128"/>
      <c r="AG492" s="128"/>
      <c r="AI492" s="128"/>
      <c r="AJ492" s="128"/>
      <c r="AY492" s="128"/>
      <c r="BN492" s="128"/>
      <c r="BQ492" s="128"/>
      <c r="BR492" s="128"/>
      <c r="BT492" s="128"/>
      <c r="BV492" s="128"/>
      <c r="BX492" s="128"/>
      <c r="CU492" s="128"/>
      <c r="CW492" s="128"/>
      <c r="DN492" s="128"/>
      <c r="DP492" s="128"/>
      <c r="DR492" s="128"/>
      <c r="DV492" s="128"/>
      <c r="DX492" s="128"/>
      <c r="DY492" s="128"/>
      <c r="EA492" s="128"/>
      <c r="EB492" s="128"/>
      <c r="EC492" s="128"/>
      <c r="EG492" s="128"/>
      <c r="EL492" s="128"/>
      <c r="EM492" s="128"/>
      <c r="EO492" s="128"/>
      <c r="EQ492" s="128"/>
      <c r="ES492" s="128"/>
      <c r="EU492" s="128"/>
      <c r="EW492" s="128"/>
      <c r="EY492" s="128"/>
    </row>
    <row r="493" spans="3:155">
      <c r="C493" s="128"/>
      <c r="D493" s="128"/>
      <c r="E493" s="128"/>
      <c r="F493" s="128" t="str">
        <f>IF(E493 &lt;&gt; "", VLOOKUP(E493, '[2]Internal-logic'!G$1:I$364, 2, FALSE),"")</f>
        <v/>
      </c>
      <c r="G493" s="128" t="str">
        <f>IF(E493 &lt;&gt; "", VLOOKUP(E493, '[2]Internal-logic'!G$1:I$364, 3, FALSE),"")</f>
        <v/>
      </c>
      <c r="H493" s="128"/>
      <c r="I493" s="128"/>
      <c r="J493" s="128"/>
      <c r="K493" s="128"/>
      <c r="Q493" s="128"/>
      <c r="R493" s="128"/>
      <c r="S493" s="128"/>
      <c r="U493" s="128"/>
      <c r="X493" s="128"/>
      <c r="Y493" s="128"/>
      <c r="Z493" s="128"/>
      <c r="AA493" s="128"/>
      <c r="AB493" s="128"/>
      <c r="AC493" s="128"/>
      <c r="AD493" s="128"/>
      <c r="AE493" s="128"/>
      <c r="AF493" s="128"/>
      <c r="AG493" s="128"/>
      <c r="AI493" s="128"/>
      <c r="AJ493" s="128"/>
      <c r="AY493" s="128"/>
      <c r="BN493" s="128"/>
      <c r="BQ493" s="128"/>
      <c r="BR493" s="128"/>
      <c r="BT493" s="128"/>
      <c r="BV493" s="128"/>
      <c r="BX493" s="128"/>
      <c r="CU493" s="128"/>
      <c r="CW493" s="128"/>
      <c r="DN493" s="128"/>
      <c r="DP493" s="128"/>
      <c r="DR493" s="128"/>
      <c r="DV493" s="128"/>
      <c r="DX493" s="128"/>
      <c r="DY493" s="128"/>
      <c r="EA493" s="128"/>
      <c r="EB493" s="128"/>
      <c r="EC493" s="128"/>
      <c r="EG493" s="128"/>
      <c r="EL493" s="128"/>
      <c r="EM493" s="128"/>
      <c r="EO493" s="128"/>
      <c r="EQ493" s="128"/>
      <c r="ES493" s="128"/>
      <c r="EU493" s="128"/>
      <c r="EW493" s="128"/>
      <c r="EY493" s="128"/>
    </row>
    <row r="494" spans="3:155">
      <c r="C494" s="128"/>
      <c r="D494" s="128"/>
      <c r="E494" s="128"/>
      <c r="F494" s="128" t="str">
        <f>IF(E494 &lt;&gt; "", VLOOKUP(E494, '[2]Internal-logic'!G$1:I$364, 2, FALSE),"")</f>
        <v/>
      </c>
      <c r="G494" s="128" t="str">
        <f>IF(E494 &lt;&gt; "", VLOOKUP(E494, '[2]Internal-logic'!G$1:I$364, 3, FALSE),"")</f>
        <v/>
      </c>
      <c r="H494" s="128"/>
      <c r="I494" s="128"/>
      <c r="J494" s="128"/>
      <c r="K494" s="128"/>
      <c r="Q494" s="128"/>
      <c r="R494" s="128"/>
      <c r="S494" s="128"/>
      <c r="U494" s="128"/>
      <c r="X494" s="128"/>
      <c r="Y494" s="128"/>
      <c r="Z494" s="128"/>
      <c r="AA494" s="128"/>
      <c r="AB494" s="128"/>
      <c r="AC494" s="128"/>
      <c r="AD494" s="128"/>
      <c r="AE494" s="128"/>
      <c r="AF494" s="128"/>
      <c r="AG494" s="128"/>
      <c r="AI494" s="128"/>
      <c r="AJ494" s="128"/>
      <c r="AY494" s="128"/>
      <c r="BN494" s="128"/>
      <c r="BQ494" s="128"/>
      <c r="BR494" s="128"/>
      <c r="BT494" s="128"/>
      <c r="BV494" s="128"/>
      <c r="BX494" s="128"/>
      <c r="CU494" s="128"/>
      <c r="CW494" s="128"/>
      <c r="DN494" s="128"/>
      <c r="DP494" s="128"/>
      <c r="DR494" s="128"/>
      <c r="DV494" s="128"/>
      <c r="DX494" s="128"/>
      <c r="DY494" s="128"/>
      <c r="EA494" s="128"/>
      <c r="EB494" s="128"/>
      <c r="EC494" s="128"/>
      <c r="EG494" s="128"/>
      <c r="EL494" s="128"/>
      <c r="EM494" s="128"/>
      <c r="EO494" s="128"/>
      <c r="EQ494" s="128"/>
      <c r="ES494" s="128"/>
      <c r="EU494" s="128"/>
      <c r="EW494" s="128"/>
      <c r="EY494" s="128"/>
    </row>
    <row r="495" spans="3:155">
      <c r="C495" s="128"/>
      <c r="D495" s="128"/>
      <c r="E495" s="128"/>
      <c r="F495" s="128" t="str">
        <f>IF(E495 &lt;&gt; "", VLOOKUP(E495, '[2]Internal-logic'!G$1:I$364, 2, FALSE),"")</f>
        <v/>
      </c>
      <c r="G495" s="128" t="str">
        <f>IF(E495 &lt;&gt; "", VLOOKUP(E495, '[2]Internal-logic'!G$1:I$364, 3, FALSE),"")</f>
        <v/>
      </c>
      <c r="H495" s="128"/>
      <c r="I495" s="128"/>
      <c r="J495" s="128"/>
      <c r="K495" s="128"/>
      <c r="Q495" s="128"/>
      <c r="R495" s="128"/>
      <c r="S495" s="128"/>
      <c r="U495" s="128"/>
      <c r="X495" s="128"/>
      <c r="Y495" s="128"/>
      <c r="Z495" s="128"/>
      <c r="AA495" s="128"/>
      <c r="AB495" s="128"/>
      <c r="AC495" s="128"/>
      <c r="AD495" s="128"/>
      <c r="AE495" s="128"/>
      <c r="AF495" s="128"/>
      <c r="AG495" s="128"/>
      <c r="AI495" s="128"/>
      <c r="AJ495" s="128"/>
      <c r="AY495" s="128"/>
      <c r="BN495" s="128"/>
      <c r="BQ495" s="128"/>
      <c r="BR495" s="128"/>
      <c r="BT495" s="128"/>
      <c r="BV495" s="128"/>
      <c r="BX495" s="128"/>
      <c r="CU495" s="128"/>
      <c r="CW495" s="128"/>
      <c r="DN495" s="128"/>
      <c r="DP495" s="128"/>
      <c r="DR495" s="128"/>
      <c r="DV495" s="128"/>
      <c r="DX495" s="128"/>
      <c r="DY495" s="128"/>
      <c r="EA495" s="128"/>
      <c r="EB495" s="128"/>
      <c r="EC495" s="128"/>
      <c r="EG495" s="128"/>
      <c r="EL495" s="128"/>
      <c r="EM495" s="128"/>
      <c r="EO495" s="128"/>
      <c r="EQ495" s="128"/>
      <c r="ES495" s="128"/>
      <c r="EU495" s="128"/>
      <c r="EW495" s="128"/>
      <c r="EY495" s="128"/>
    </row>
    <row r="496" spans="3:155">
      <c r="C496" s="128"/>
      <c r="D496" s="128"/>
      <c r="E496" s="128"/>
      <c r="F496" s="128" t="str">
        <f>IF(E496 &lt;&gt; "", VLOOKUP(E496, '[2]Internal-logic'!G$1:I$364, 2, FALSE),"")</f>
        <v/>
      </c>
      <c r="G496" s="128" t="str">
        <f>IF(E496 &lt;&gt; "", VLOOKUP(E496, '[2]Internal-logic'!G$1:I$364, 3, FALSE),"")</f>
        <v/>
      </c>
      <c r="H496" s="128"/>
      <c r="I496" s="128"/>
      <c r="J496" s="128"/>
      <c r="K496" s="128"/>
      <c r="Q496" s="128"/>
      <c r="R496" s="128"/>
      <c r="S496" s="128"/>
      <c r="U496" s="128"/>
      <c r="X496" s="128"/>
      <c r="Y496" s="128"/>
      <c r="Z496" s="128"/>
      <c r="AA496" s="128"/>
      <c r="AB496" s="128"/>
      <c r="AC496" s="128"/>
      <c r="AD496" s="128"/>
      <c r="AE496" s="128"/>
      <c r="AF496" s="128"/>
      <c r="AG496" s="128"/>
      <c r="AI496" s="128"/>
      <c r="AJ496" s="128"/>
      <c r="AY496" s="128"/>
      <c r="BN496" s="128"/>
      <c r="BQ496" s="128"/>
      <c r="BR496" s="128"/>
      <c r="BT496" s="128"/>
      <c r="BV496" s="128"/>
      <c r="BX496" s="128"/>
      <c r="CU496" s="128"/>
      <c r="CW496" s="128"/>
      <c r="DN496" s="128"/>
      <c r="DP496" s="128"/>
      <c r="DR496" s="128"/>
      <c r="DV496" s="128"/>
      <c r="DX496" s="128"/>
      <c r="DY496" s="128"/>
      <c r="EA496" s="128"/>
      <c r="EB496" s="128"/>
      <c r="EC496" s="128"/>
      <c r="EG496" s="128"/>
      <c r="EL496" s="128"/>
      <c r="EM496" s="128"/>
      <c r="EO496" s="128"/>
      <c r="EQ496" s="128"/>
      <c r="ES496" s="128"/>
      <c r="EU496" s="128"/>
      <c r="EW496" s="128"/>
      <c r="EY496" s="128"/>
    </row>
    <row r="497" spans="3:155">
      <c r="C497" s="128"/>
      <c r="D497" s="128"/>
      <c r="E497" s="128"/>
      <c r="F497" s="128" t="str">
        <f>IF(E497 &lt;&gt; "", VLOOKUP(E497, '[2]Internal-logic'!G$1:I$364, 2, FALSE),"")</f>
        <v/>
      </c>
      <c r="G497" s="128" t="str">
        <f>IF(E497 &lt;&gt; "", VLOOKUP(E497, '[2]Internal-logic'!G$1:I$364, 3, FALSE),"")</f>
        <v/>
      </c>
      <c r="H497" s="128"/>
      <c r="I497" s="128"/>
      <c r="J497" s="128"/>
      <c r="K497" s="128"/>
      <c r="Q497" s="128"/>
      <c r="R497" s="128"/>
      <c r="S497" s="128"/>
      <c r="U497" s="128"/>
      <c r="X497" s="128"/>
      <c r="Y497" s="128"/>
      <c r="Z497" s="128"/>
      <c r="AA497" s="128"/>
      <c r="AB497" s="128"/>
      <c r="AC497" s="128"/>
      <c r="AD497" s="128"/>
      <c r="AE497" s="128"/>
      <c r="AF497" s="128"/>
      <c r="AG497" s="128"/>
      <c r="AI497" s="128"/>
      <c r="AJ497" s="128"/>
      <c r="AY497" s="128"/>
      <c r="BN497" s="128"/>
      <c r="BQ497" s="128"/>
      <c r="BR497" s="128"/>
      <c r="BT497" s="128"/>
      <c r="BV497" s="128"/>
      <c r="BX497" s="128"/>
      <c r="CU497" s="128"/>
      <c r="CW497" s="128"/>
      <c r="DN497" s="128"/>
      <c r="DP497" s="128"/>
      <c r="DR497" s="128"/>
      <c r="DV497" s="128"/>
      <c r="DX497" s="128"/>
      <c r="DY497" s="128"/>
      <c r="EA497" s="128"/>
      <c r="EB497" s="128"/>
      <c r="EC497" s="128"/>
      <c r="EG497" s="128"/>
      <c r="EL497" s="128"/>
      <c r="EM497" s="128"/>
      <c r="EO497" s="128"/>
      <c r="EQ497" s="128"/>
      <c r="ES497" s="128"/>
      <c r="EU497" s="128"/>
      <c r="EW497" s="128"/>
      <c r="EY497" s="128"/>
    </row>
    <row r="498" spans="3:155">
      <c r="C498" s="128"/>
      <c r="D498" s="128"/>
      <c r="E498" s="128"/>
      <c r="F498" s="128" t="str">
        <f>IF(E498 &lt;&gt; "", VLOOKUP(E498, '[2]Internal-logic'!G$1:I$364, 2, FALSE),"")</f>
        <v/>
      </c>
      <c r="G498" s="128" t="str">
        <f>IF(E498 &lt;&gt; "", VLOOKUP(E498, '[2]Internal-logic'!G$1:I$364, 3, FALSE),"")</f>
        <v/>
      </c>
      <c r="H498" s="128"/>
      <c r="I498" s="128"/>
      <c r="J498" s="128"/>
      <c r="K498" s="128"/>
      <c r="Q498" s="128"/>
      <c r="R498" s="128"/>
      <c r="S498" s="128"/>
      <c r="U498" s="128"/>
      <c r="X498" s="128"/>
      <c r="Y498" s="128"/>
      <c r="Z498" s="128"/>
      <c r="AA498" s="128"/>
      <c r="AB498" s="128"/>
      <c r="AC498" s="128"/>
      <c r="AD498" s="128"/>
      <c r="AE498" s="128"/>
      <c r="AF498" s="128"/>
      <c r="AG498" s="128"/>
      <c r="AI498" s="128"/>
      <c r="AJ498" s="128"/>
      <c r="AY498" s="128"/>
      <c r="BN498" s="128"/>
      <c r="BQ498" s="128"/>
      <c r="BR498" s="128"/>
      <c r="BT498" s="128"/>
      <c r="BV498" s="128"/>
      <c r="BX498" s="128"/>
      <c r="CU498" s="128"/>
      <c r="CW498" s="128"/>
      <c r="DN498" s="128"/>
      <c r="DP498" s="128"/>
      <c r="DR498" s="128"/>
      <c r="DV498" s="128"/>
      <c r="DX498" s="128"/>
      <c r="DY498" s="128"/>
      <c r="EA498" s="128"/>
      <c r="EB498" s="128"/>
      <c r="EC498" s="128"/>
      <c r="EG498" s="128"/>
      <c r="EL498" s="128"/>
      <c r="EM498" s="128"/>
      <c r="EO498" s="128"/>
      <c r="EQ498" s="128"/>
      <c r="ES498" s="128"/>
      <c r="EU498" s="128"/>
      <c r="EW498" s="128"/>
      <c r="EY498" s="128"/>
    </row>
    <row r="499" spans="3:155">
      <c r="C499" s="128"/>
      <c r="D499" s="128"/>
      <c r="E499" s="128"/>
      <c r="F499" s="128" t="str">
        <f>IF(E499 &lt;&gt; "", VLOOKUP(E499, '[2]Internal-logic'!G$1:I$364, 2, FALSE),"")</f>
        <v/>
      </c>
      <c r="G499" s="128" t="str">
        <f>IF(E499 &lt;&gt; "", VLOOKUP(E499, '[2]Internal-logic'!G$1:I$364, 3, FALSE),"")</f>
        <v/>
      </c>
      <c r="H499" s="128"/>
      <c r="I499" s="128"/>
      <c r="J499" s="128"/>
      <c r="K499" s="128"/>
      <c r="Q499" s="128"/>
      <c r="R499" s="128"/>
      <c r="S499" s="128"/>
      <c r="U499" s="128"/>
      <c r="X499" s="128"/>
      <c r="Y499" s="128"/>
      <c r="Z499" s="128"/>
      <c r="AA499" s="128"/>
      <c r="AB499" s="128"/>
      <c r="AC499" s="128"/>
      <c r="AD499" s="128"/>
      <c r="AE499" s="128"/>
      <c r="AF499" s="128"/>
      <c r="AG499" s="128"/>
      <c r="AI499" s="128"/>
      <c r="AJ499" s="128"/>
      <c r="AY499" s="128"/>
      <c r="BN499" s="128"/>
      <c r="BQ499" s="128"/>
      <c r="BR499" s="128"/>
      <c r="BT499" s="128"/>
      <c r="BV499" s="128"/>
      <c r="BX499" s="128"/>
      <c r="CU499" s="128"/>
      <c r="CW499" s="128"/>
      <c r="DN499" s="128"/>
      <c r="DP499" s="128"/>
      <c r="DR499" s="128"/>
      <c r="DV499" s="128"/>
      <c r="DX499" s="128"/>
      <c r="DY499" s="128"/>
      <c r="EA499" s="128"/>
      <c r="EB499" s="128"/>
      <c r="EC499" s="128"/>
      <c r="EG499" s="128"/>
      <c r="EL499" s="128"/>
      <c r="EM499" s="128"/>
      <c r="EO499" s="128"/>
      <c r="EQ499" s="128"/>
      <c r="ES499" s="128"/>
      <c r="EU499" s="128"/>
      <c r="EW499" s="128"/>
      <c r="EY499" s="128"/>
    </row>
    <row r="500" spans="3:155">
      <c r="C500" s="128"/>
      <c r="D500" s="128"/>
      <c r="E500" s="128"/>
      <c r="F500" s="128" t="str">
        <f>IF(E500 &lt;&gt; "", VLOOKUP(E500, '[2]Internal-logic'!G$1:I$364, 2, FALSE),"")</f>
        <v/>
      </c>
      <c r="G500" s="128" t="str">
        <f>IF(E500 &lt;&gt; "", VLOOKUP(E500, '[2]Internal-logic'!G$1:I$364, 3, FALSE),"")</f>
        <v/>
      </c>
      <c r="H500" s="128"/>
      <c r="I500" s="128"/>
      <c r="J500" s="128"/>
      <c r="K500" s="128"/>
      <c r="Q500" s="128"/>
      <c r="R500" s="128"/>
      <c r="S500" s="128"/>
      <c r="U500" s="128"/>
      <c r="X500" s="128"/>
      <c r="Y500" s="128"/>
      <c r="Z500" s="128"/>
      <c r="AA500" s="128"/>
      <c r="AB500" s="128"/>
      <c r="AC500" s="128"/>
      <c r="AD500" s="128"/>
      <c r="AE500" s="128"/>
      <c r="AF500" s="128"/>
      <c r="AG500" s="128"/>
      <c r="AI500" s="128"/>
      <c r="AJ500" s="128"/>
      <c r="AY500" s="128"/>
      <c r="BN500" s="128"/>
      <c r="BQ500" s="128"/>
      <c r="BR500" s="128"/>
      <c r="BT500" s="128"/>
      <c r="BV500" s="128"/>
      <c r="BX500" s="128"/>
      <c r="CU500" s="128"/>
      <c r="CW500" s="128"/>
      <c r="DN500" s="128"/>
      <c r="DP500" s="128"/>
      <c r="DR500" s="128"/>
      <c r="DV500" s="128"/>
      <c r="DX500" s="128"/>
      <c r="DY500" s="128"/>
      <c r="EA500" s="128"/>
      <c r="EB500" s="128"/>
      <c r="EC500" s="128"/>
      <c r="EG500" s="128"/>
      <c r="EL500" s="128"/>
      <c r="EM500" s="128"/>
      <c r="EO500" s="128"/>
      <c r="EQ500" s="128"/>
      <c r="ES500" s="128"/>
      <c r="EU500" s="128"/>
      <c r="EW500" s="128"/>
      <c r="EY500" s="128"/>
    </row>
    <row r="501" spans="3:155">
      <c r="C501" s="128"/>
      <c r="D501" s="128"/>
      <c r="E501" s="128"/>
      <c r="F501" s="128" t="str">
        <f>IF(E501 &lt;&gt; "", VLOOKUP(E501, '[2]Internal-logic'!G$1:I$364, 2, FALSE),"")</f>
        <v/>
      </c>
      <c r="G501" s="128" t="str">
        <f>IF(E501 &lt;&gt; "", VLOOKUP(E501, '[2]Internal-logic'!G$1:I$364, 3, FALSE),"")</f>
        <v/>
      </c>
      <c r="H501" s="128"/>
      <c r="I501" s="128"/>
      <c r="J501" s="128"/>
      <c r="K501" s="128"/>
      <c r="Q501" s="128"/>
      <c r="R501" s="128"/>
      <c r="S501" s="128"/>
      <c r="U501" s="128"/>
      <c r="X501" s="128"/>
      <c r="Y501" s="128"/>
      <c r="Z501" s="128"/>
      <c r="AA501" s="128"/>
      <c r="AB501" s="128"/>
      <c r="AC501" s="128"/>
      <c r="AD501" s="128"/>
      <c r="AE501" s="128"/>
      <c r="AF501" s="128"/>
      <c r="AG501" s="128"/>
      <c r="AI501" s="128"/>
      <c r="AJ501" s="128"/>
      <c r="AY501" s="128"/>
      <c r="BN501" s="128"/>
      <c r="BQ501" s="128"/>
      <c r="BR501" s="128"/>
      <c r="BT501" s="128"/>
      <c r="BV501" s="128"/>
      <c r="BX501" s="128"/>
      <c r="CU501" s="128"/>
      <c r="CW501" s="128"/>
      <c r="DN501" s="128"/>
      <c r="DP501" s="128"/>
      <c r="DR501" s="128"/>
      <c r="DV501" s="128"/>
      <c r="DX501" s="128"/>
      <c r="DY501" s="128"/>
      <c r="EA501" s="128"/>
      <c r="EB501" s="128"/>
      <c r="EC501" s="128"/>
      <c r="EG501" s="128"/>
      <c r="EL501" s="128"/>
      <c r="EM501" s="128"/>
      <c r="EO501" s="128"/>
      <c r="EQ501" s="128"/>
      <c r="ES501" s="128"/>
      <c r="EU501" s="128"/>
      <c r="EW501" s="128"/>
      <c r="EY501" s="128"/>
    </row>
    <row r="502" spans="3:155">
      <c r="C502" s="128"/>
      <c r="D502" s="128"/>
      <c r="E502" s="128"/>
      <c r="F502" s="128" t="str">
        <f>IF(E502 &lt;&gt; "", VLOOKUP(E502, '[2]Internal-logic'!G$1:I$364, 2, FALSE),"")</f>
        <v/>
      </c>
      <c r="G502" s="128" t="str">
        <f>IF(E502 &lt;&gt; "", VLOOKUP(E502, '[2]Internal-logic'!G$1:I$364, 3, FALSE),"")</f>
        <v/>
      </c>
      <c r="H502" s="128"/>
      <c r="I502" s="128"/>
      <c r="J502" s="128"/>
      <c r="K502" s="128"/>
      <c r="Q502" s="128"/>
      <c r="R502" s="128"/>
      <c r="S502" s="128"/>
      <c r="U502" s="128"/>
      <c r="X502" s="128"/>
      <c r="Y502" s="128"/>
      <c r="Z502" s="128"/>
      <c r="AA502" s="128"/>
      <c r="AB502" s="128"/>
      <c r="AC502" s="128"/>
      <c r="AD502" s="128"/>
      <c r="AE502" s="128"/>
      <c r="AF502" s="128"/>
      <c r="AG502" s="128"/>
      <c r="AI502" s="128"/>
      <c r="AJ502" s="128"/>
      <c r="AY502" s="128"/>
      <c r="BN502" s="128"/>
      <c r="BQ502" s="128"/>
      <c r="BR502" s="128"/>
      <c r="BT502" s="128"/>
      <c r="BV502" s="128"/>
      <c r="BX502" s="128"/>
      <c r="CU502" s="128"/>
      <c r="CW502" s="128"/>
      <c r="DN502" s="128"/>
      <c r="DP502" s="128"/>
      <c r="DR502" s="128"/>
      <c r="DV502" s="128"/>
      <c r="DX502" s="128"/>
      <c r="DY502" s="128"/>
      <c r="EA502" s="128"/>
      <c r="EB502" s="128"/>
      <c r="EC502" s="128"/>
      <c r="EG502" s="128"/>
      <c r="EL502" s="128"/>
      <c r="EM502" s="128"/>
      <c r="EO502" s="128"/>
      <c r="EQ502" s="128"/>
      <c r="ES502" s="128"/>
      <c r="EU502" s="128"/>
      <c r="EW502" s="128"/>
      <c r="EY502" s="128"/>
    </row>
    <row r="503" spans="3:155">
      <c r="C503" s="128"/>
      <c r="D503" s="128"/>
      <c r="E503" s="128"/>
      <c r="F503" s="128" t="str">
        <f>IF(E503 &lt;&gt; "", VLOOKUP(E503, '[2]Internal-logic'!G$1:I$364, 2, FALSE),"")</f>
        <v/>
      </c>
      <c r="G503" s="128" t="str">
        <f>IF(E503 &lt;&gt; "", VLOOKUP(E503, '[2]Internal-logic'!G$1:I$364, 3, FALSE),"")</f>
        <v/>
      </c>
      <c r="H503" s="128"/>
      <c r="I503" s="128"/>
      <c r="J503" s="128"/>
      <c r="K503" s="128"/>
      <c r="Q503" s="128"/>
      <c r="R503" s="128"/>
      <c r="S503" s="128"/>
      <c r="U503" s="128"/>
      <c r="X503" s="128"/>
      <c r="Y503" s="128"/>
      <c r="Z503" s="128"/>
      <c r="AA503" s="128"/>
      <c r="AB503" s="128"/>
      <c r="AC503" s="128"/>
      <c r="AD503" s="128"/>
      <c r="AE503" s="128"/>
      <c r="AF503" s="128"/>
      <c r="AG503" s="128"/>
      <c r="AI503" s="128"/>
      <c r="AJ503" s="128"/>
      <c r="AY503" s="128"/>
      <c r="BN503" s="128"/>
      <c r="BQ503" s="128"/>
      <c r="BR503" s="128"/>
      <c r="BT503" s="128"/>
      <c r="BV503" s="128"/>
      <c r="BX503" s="128"/>
      <c r="CU503" s="128"/>
      <c r="CW503" s="128"/>
      <c r="DN503" s="128"/>
      <c r="DP503" s="128"/>
      <c r="DR503" s="128"/>
      <c r="DV503" s="128"/>
      <c r="DX503" s="128"/>
      <c r="DY503" s="128"/>
      <c r="EA503" s="128"/>
      <c r="EB503" s="128"/>
      <c r="EC503" s="128"/>
      <c r="EG503" s="128"/>
      <c r="EL503" s="128"/>
      <c r="EM503" s="128"/>
      <c r="EO503" s="128"/>
      <c r="EQ503" s="128"/>
      <c r="ES503" s="128"/>
      <c r="EU503" s="128"/>
      <c r="EW503" s="128"/>
      <c r="EY503" s="128"/>
    </row>
    <row r="504" spans="3:155">
      <c r="C504" s="128"/>
      <c r="D504" s="128"/>
      <c r="E504" s="128"/>
      <c r="F504" s="128" t="str">
        <f>IF(E504 &lt;&gt; "", VLOOKUP(E504, '[2]Internal-logic'!G$1:I$364, 2, FALSE),"")</f>
        <v/>
      </c>
      <c r="G504" s="128" t="str">
        <f>IF(E504 &lt;&gt; "", VLOOKUP(E504, '[2]Internal-logic'!G$1:I$364, 3, FALSE),"")</f>
        <v/>
      </c>
      <c r="H504" s="128"/>
      <c r="I504" s="128"/>
      <c r="J504" s="128"/>
      <c r="K504" s="128"/>
      <c r="Q504" s="128"/>
      <c r="R504" s="128"/>
      <c r="S504" s="128"/>
      <c r="U504" s="128"/>
      <c r="X504" s="128"/>
      <c r="Y504" s="128"/>
      <c r="Z504" s="128"/>
      <c r="AA504" s="128"/>
      <c r="AB504" s="128"/>
      <c r="AC504" s="128"/>
      <c r="AD504" s="128"/>
      <c r="AE504" s="128"/>
      <c r="AF504" s="128"/>
      <c r="AG504" s="128"/>
      <c r="AI504" s="128"/>
      <c r="AJ504" s="128"/>
      <c r="AY504" s="128"/>
      <c r="BN504" s="128"/>
      <c r="BQ504" s="128"/>
      <c r="BR504" s="128"/>
      <c r="BT504" s="128"/>
      <c r="BV504" s="128"/>
      <c r="BX504" s="128"/>
      <c r="CU504" s="128"/>
      <c r="CW504" s="128"/>
      <c r="DN504" s="128"/>
      <c r="DP504" s="128"/>
      <c r="DR504" s="128"/>
      <c r="DV504" s="128"/>
      <c r="DX504" s="128"/>
      <c r="DY504" s="128"/>
      <c r="EA504" s="128"/>
      <c r="EB504" s="128"/>
      <c r="EC504" s="128"/>
      <c r="EG504" s="128"/>
      <c r="EL504" s="128"/>
      <c r="EM504" s="128"/>
      <c r="EO504" s="128"/>
      <c r="EQ504" s="128"/>
      <c r="ES504" s="128"/>
      <c r="EU504" s="128"/>
      <c r="EW504" s="128"/>
      <c r="EY504" s="128"/>
    </row>
    <row r="505" spans="3:155">
      <c r="C505" s="128"/>
      <c r="D505" s="128"/>
      <c r="E505" s="128"/>
      <c r="F505" s="128" t="str">
        <f>IF(E505 &lt;&gt; "", VLOOKUP(E505, '[2]Internal-logic'!G$1:I$364, 2, FALSE),"")</f>
        <v/>
      </c>
      <c r="G505" s="128" t="str">
        <f>IF(E505 &lt;&gt; "", VLOOKUP(E505, '[2]Internal-logic'!G$1:I$364, 3, FALSE),"")</f>
        <v/>
      </c>
      <c r="H505" s="128"/>
      <c r="I505" s="128"/>
      <c r="J505" s="128"/>
      <c r="K505" s="128"/>
      <c r="Q505" s="128"/>
      <c r="R505" s="128"/>
      <c r="S505" s="128"/>
      <c r="U505" s="128"/>
      <c r="X505" s="128"/>
      <c r="Y505" s="128"/>
      <c r="Z505" s="128"/>
      <c r="AA505" s="128"/>
      <c r="AB505" s="128"/>
      <c r="AC505" s="128"/>
      <c r="AD505" s="128"/>
      <c r="AE505" s="128"/>
      <c r="AF505" s="128"/>
      <c r="AG505" s="128"/>
      <c r="AI505" s="128"/>
      <c r="AJ505" s="128"/>
      <c r="AY505" s="128"/>
      <c r="BN505" s="128"/>
      <c r="BQ505" s="128"/>
      <c r="BR505" s="128"/>
      <c r="BT505" s="128"/>
      <c r="BV505" s="128"/>
      <c r="BX505" s="128"/>
      <c r="CU505" s="128"/>
      <c r="CW505" s="128"/>
      <c r="DN505" s="128"/>
      <c r="DP505" s="128"/>
      <c r="DR505" s="128"/>
      <c r="DV505" s="128"/>
      <c r="DX505" s="128"/>
      <c r="DY505" s="128"/>
      <c r="EA505" s="128"/>
      <c r="EB505" s="128"/>
      <c r="EC505" s="128"/>
      <c r="EG505" s="128"/>
      <c r="EL505" s="128"/>
      <c r="EM505" s="128"/>
      <c r="EO505" s="128"/>
      <c r="EQ505" s="128"/>
      <c r="ES505" s="128"/>
      <c r="EU505" s="128"/>
      <c r="EW505" s="128"/>
      <c r="EY505" s="128"/>
    </row>
    <row r="506" spans="3:155">
      <c r="C506" s="128"/>
      <c r="D506" s="128"/>
      <c r="E506" s="128"/>
      <c r="F506" s="128" t="str">
        <f>IF(E506 &lt;&gt; "", VLOOKUP(E506, '[2]Internal-logic'!G$1:I$364, 2, FALSE),"")</f>
        <v/>
      </c>
      <c r="G506" s="128" t="str">
        <f>IF(E506 &lt;&gt; "", VLOOKUP(E506, '[2]Internal-logic'!G$1:I$364, 3, FALSE),"")</f>
        <v/>
      </c>
      <c r="H506" s="128"/>
      <c r="I506" s="128"/>
      <c r="J506" s="128"/>
      <c r="K506" s="128"/>
      <c r="Q506" s="128"/>
      <c r="R506" s="128"/>
      <c r="S506" s="128"/>
      <c r="U506" s="128"/>
      <c r="X506" s="128"/>
      <c r="Y506" s="128"/>
      <c r="Z506" s="128"/>
      <c r="AA506" s="128"/>
      <c r="AB506" s="128"/>
      <c r="AC506" s="128"/>
      <c r="AD506" s="128"/>
      <c r="AE506" s="128"/>
      <c r="AF506" s="128"/>
      <c r="AG506" s="128"/>
      <c r="AI506" s="128"/>
      <c r="AJ506" s="128"/>
      <c r="AY506" s="128"/>
      <c r="BN506" s="128"/>
      <c r="BQ506" s="128"/>
      <c r="BR506" s="128"/>
      <c r="BT506" s="128"/>
      <c r="BV506" s="128"/>
      <c r="BX506" s="128"/>
      <c r="CU506" s="128"/>
      <c r="CW506" s="128"/>
      <c r="DN506" s="128"/>
      <c r="DP506" s="128"/>
      <c r="DR506" s="128"/>
      <c r="DV506" s="128"/>
      <c r="DX506" s="128"/>
      <c r="DY506" s="128"/>
      <c r="EA506" s="128"/>
      <c r="EB506" s="128"/>
      <c r="EC506" s="128"/>
      <c r="EG506" s="128"/>
      <c r="EL506" s="128"/>
      <c r="EM506" s="128"/>
      <c r="EO506" s="128"/>
      <c r="EQ506" s="128"/>
      <c r="ES506" s="128"/>
      <c r="EU506" s="128"/>
      <c r="EW506" s="128"/>
      <c r="EY506" s="128"/>
    </row>
    <row r="507" spans="3:155">
      <c r="C507" s="128"/>
      <c r="D507" s="128"/>
      <c r="E507" s="128"/>
      <c r="F507" s="128" t="str">
        <f>IF(E507 &lt;&gt; "", VLOOKUP(E507, '[2]Internal-logic'!G$1:I$364, 2, FALSE),"")</f>
        <v/>
      </c>
      <c r="G507" s="128" t="str">
        <f>IF(E507 &lt;&gt; "", VLOOKUP(E507, '[2]Internal-logic'!G$1:I$364, 3, FALSE),"")</f>
        <v/>
      </c>
      <c r="H507" s="128"/>
      <c r="I507" s="128"/>
      <c r="J507" s="128"/>
      <c r="K507" s="128"/>
      <c r="Q507" s="128"/>
      <c r="R507" s="128"/>
      <c r="S507" s="128"/>
      <c r="U507" s="128"/>
      <c r="X507" s="128"/>
      <c r="Y507" s="128"/>
      <c r="Z507" s="128"/>
      <c r="AA507" s="128"/>
      <c r="AB507" s="128"/>
      <c r="AC507" s="128"/>
      <c r="AD507" s="128"/>
      <c r="AE507" s="128"/>
      <c r="AF507" s="128"/>
      <c r="AG507" s="128"/>
      <c r="AI507" s="128"/>
      <c r="AJ507" s="128"/>
      <c r="AY507" s="128"/>
      <c r="BN507" s="128"/>
      <c r="BQ507" s="128"/>
      <c r="BR507" s="128"/>
      <c r="BT507" s="128"/>
      <c r="BV507" s="128"/>
      <c r="BX507" s="128"/>
      <c r="CU507" s="128"/>
      <c r="CW507" s="128"/>
      <c r="DN507" s="128"/>
      <c r="DP507" s="128"/>
      <c r="DR507" s="128"/>
      <c r="DV507" s="128"/>
      <c r="DX507" s="128"/>
      <c r="DY507" s="128"/>
      <c r="EA507" s="128"/>
      <c r="EB507" s="128"/>
      <c r="EC507" s="128"/>
      <c r="EG507" s="128"/>
      <c r="EL507" s="128"/>
      <c r="EM507" s="128"/>
      <c r="EO507" s="128"/>
      <c r="EQ507" s="128"/>
      <c r="ES507" s="128"/>
      <c r="EU507" s="128"/>
      <c r="EW507" s="128"/>
      <c r="EY507" s="128"/>
    </row>
    <row r="508" spans="3:155">
      <c r="C508" s="128"/>
      <c r="D508" s="128"/>
      <c r="E508" s="128"/>
      <c r="F508" s="128" t="str">
        <f>IF(E508 &lt;&gt; "", VLOOKUP(E508, '[2]Internal-logic'!G$1:I$364, 2, FALSE),"")</f>
        <v/>
      </c>
      <c r="G508" s="128" t="str">
        <f>IF(E508 &lt;&gt; "", VLOOKUP(E508, '[2]Internal-logic'!G$1:I$364, 3, FALSE),"")</f>
        <v/>
      </c>
      <c r="H508" s="128"/>
      <c r="I508" s="128"/>
      <c r="J508" s="128"/>
      <c r="K508" s="128"/>
      <c r="Q508" s="128"/>
      <c r="R508" s="128"/>
      <c r="S508" s="128"/>
      <c r="U508" s="128"/>
      <c r="X508" s="128"/>
      <c r="Y508" s="128"/>
      <c r="Z508" s="128"/>
      <c r="AA508" s="128"/>
      <c r="AB508" s="128"/>
      <c r="AC508" s="128"/>
      <c r="AD508" s="128"/>
      <c r="AE508" s="128"/>
      <c r="AF508" s="128"/>
      <c r="AG508" s="128"/>
      <c r="AI508" s="128"/>
      <c r="AJ508" s="128"/>
      <c r="AY508" s="128"/>
      <c r="BN508" s="128"/>
      <c r="BQ508" s="128"/>
      <c r="BR508" s="128"/>
      <c r="BT508" s="128"/>
      <c r="BV508" s="128"/>
      <c r="BX508" s="128"/>
      <c r="CU508" s="128"/>
      <c r="CW508" s="128"/>
      <c r="DN508" s="128"/>
      <c r="DP508" s="128"/>
      <c r="DR508" s="128"/>
      <c r="DV508" s="128"/>
      <c r="DX508" s="128"/>
      <c r="DY508" s="128"/>
      <c r="EA508" s="128"/>
      <c r="EB508" s="128"/>
      <c r="EC508" s="128"/>
      <c r="EG508" s="128"/>
      <c r="EL508" s="128"/>
      <c r="EM508" s="128"/>
      <c r="EO508" s="128"/>
      <c r="EQ508" s="128"/>
      <c r="ES508" s="128"/>
      <c r="EU508" s="128"/>
      <c r="EW508" s="128"/>
      <c r="EY508" s="128"/>
    </row>
    <row r="509" spans="3:155">
      <c r="C509" s="128"/>
      <c r="D509" s="128"/>
      <c r="E509" s="128"/>
      <c r="F509" s="128" t="str">
        <f>IF(E509 &lt;&gt; "", VLOOKUP(E509, '[2]Internal-logic'!G$1:I$364, 2, FALSE),"")</f>
        <v/>
      </c>
      <c r="G509" s="128" t="str">
        <f>IF(E509 &lt;&gt; "", VLOOKUP(E509, '[2]Internal-logic'!G$1:I$364, 3, FALSE),"")</f>
        <v/>
      </c>
      <c r="H509" s="128"/>
      <c r="I509" s="128"/>
      <c r="J509" s="128"/>
      <c r="K509" s="128"/>
      <c r="Q509" s="128"/>
      <c r="R509" s="128"/>
      <c r="S509" s="128"/>
      <c r="U509" s="128"/>
      <c r="X509" s="128"/>
      <c r="Y509" s="128"/>
      <c r="Z509" s="128"/>
      <c r="AA509" s="128"/>
      <c r="AB509" s="128"/>
      <c r="AC509" s="128"/>
      <c r="AD509" s="128"/>
      <c r="AE509" s="128"/>
      <c r="AF509" s="128"/>
      <c r="AG509" s="128"/>
      <c r="AI509" s="128"/>
      <c r="AJ509" s="128"/>
      <c r="AY509" s="128"/>
      <c r="BN509" s="128"/>
      <c r="BQ509" s="128"/>
      <c r="BR509" s="128"/>
      <c r="BT509" s="128"/>
      <c r="BV509" s="128"/>
      <c r="BX509" s="128"/>
      <c r="CU509" s="128"/>
      <c r="CW509" s="128"/>
      <c r="DN509" s="128"/>
      <c r="DP509" s="128"/>
      <c r="DR509" s="128"/>
      <c r="DV509" s="128"/>
      <c r="DX509" s="128"/>
      <c r="DY509" s="128"/>
      <c r="EA509" s="128"/>
      <c r="EB509" s="128"/>
      <c r="EC509" s="128"/>
      <c r="EG509" s="128"/>
      <c r="EL509" s="128"/>
      <c r="EM509" s="128"/>
      <c r="EO509" s="128"/>
      <c r="EQ509" s="128"/>
      <c r="ES509" s="128"/>
      <c r="EU509" s="128"/>
      <c r="EW509" s="128"/>
      <c r="EY509" s="128"/>
    </row>
    <row r="510" spans="3:155">
      <c r="C510" s="128"/>
      <c r="D510" s="128"/>
      <c r="E510" s="128"/>
      <c r="F510" s="128" t="str">
        <f>IF(E510 &lt;&gt; "", VLOOKUP(E510, '[2]Internal-logic'!G$1:I$364, 2, FALSE),"")</f>
        <v/>
      </c>
      <c r="G510" s="128" t="str">
        <f>IF(E510 &lt;&gt; "", VLOOKUP(E510, '[2]Internal-logic'!G$1:I$364, 3, FALSE),"")</f>
        <v/>
      </c>
      <c r="H510" s="128"/>
      <c r="I510" s="128"/>
      <c r="J510" s="128"/>
      <c r="K510" s="128"/>
      <c r="Q510" s="128"/>
      <c r="R510" s="128"/>
      <c r="S510" s="128"/>
      <c r="U510" s="128"/>
      <c r="X510" s="128"/>
      <c r="Y510" s="128"/>
      <c r="Z510" s="128"/>
      <c r="AA510" s="128"/>
      <c r="AB510" s="128"/>
      <c r="AC510" s="128"/>
      <c r="AD510" s="128"/>
      <c r="AE510" s="128"/>
      <c r="AF510" s="128"/>
      <c r="AG510" s="128"/>
      <c r="AI510" s="128"/>
      <c r="AJ510" s="128"/>
      <c r="AY510" s="128"/>
      <c r="BN510" s="128"/>
      <c r="BQ510" s="128"/>
      <c r="BR510" s="128"/>
      <c r="BT510" s="128"/>
      <c r="BV510" s="128"/>
      <c r="BX510" s="128"/>
      <c r="CU510" s="128"/>
      <c r="CW510" s="128"/>
      <c r="DN510" s="128"/>
      <c r="DP510" s="128"/>
      <c r="DR510" s="128"/>
      <c r="DV510" s="128"/>
      <c r="DX510" s="128"/>
      <c r="DY510" s="128"/>
      <c r="EA510" s="128"/>
      <c r="EB510" s="128"/>
      <c r="EC510" s="128"/>
      <c r="EG510" s="128"/>
      <c r="EL510" s="128"/>
      <c r="EM510" s="128"/>
      <c r="EO510" s="128"/>
      <c r="EQ510" s="128"/>
      <c r="ES510" s="128"/>
      <c r="EU510" s="128"/>
      <c r="EW510" s="128"/>
      <c r="EY510" s="128"/>
    </row>
    <row r="511" spans="3:155">
      <c r="C511" s="128"/>
      <c r="D511" s="128"/>
      <c r="E511" s="128"/>
      <c r="F511" s="128" t="str">
        <f>IF(E511 &lt;&gt; "", VLOOKUP(E511, '[2]Internal-logic'!G$1:I$364, 2, FALSE),"")</f>
        <v/>
      </c>
      <c r="G511" s="128" t="str">
        <f>IF(E511 &lt;&gt; "", VLOOKUP(E511, '[2]Internal-logic'!G$1:I$364, 3, FALSE),"")</f>
        <v/>
      </c>
      <c r="H511" s="128"/>
      <c r="I511" s="128"/>
      <c r="J511" s="128"/>
      <c r="K511" s="128"/>
      <c r="Q511" s="128"/>
      <c r="R511" s="128"/>
      <c r="S511" s="128"/>
      <c r="U511" s="128"/>
      <c r="X511" s="128"/>
      <c r="Y511" s="128"/>
      <c r="Z511" s="128"/>
      <c r="AA511" s="128"/>
      <c r="AB511" s="128"/>
      <c r="AC511" s="128"/>
      <c r="AD511" s="128"/>
      <c r="AE511" s="128"/>
      <c r="AF511" s="128"/>
      <c r="AG511" s="128"/>
      <c r="AI511" s="128"/>
      <c r="AJ511" s="128"/>
      <c r="AY511" s="128"/>
      <c r="BN511" s="128"/>
      <c r="BQ511" s="128"/>
      <c r="BR511" s="128"/>
      <c r="BT511" s="128"/>
      <c r="BV511" s="128"/>
      <c r="BX511" s="128"/>
      <c r="CU511" s="128"/>
      <c r="CW511" s="128"/>
      <c r="DN511" s="128"/>
      <c r="DP511" s="128"/>
      <c r="DR511" s="128"/>
      <c r="DV511" s="128"/>
      <c r="DX511" s="128"/>
      <c r="DY511" s="128"/>
      <c r="EA511" s="128"/>
      <c r="EB511" s="128"/>
      <c r="EC511" s="128"/>
      <c r="EG511" s="128"/>
      <c r="EL511" s="128"/>
      <c r="EM511" s="128"/>
      <c r="EO511" s="128"/>
      <c r="EQ511" s="128"/>
      <c r="ES511" s="128"/>
      <c r="EU511" s="128"/>
      <c r="EW511" s="128"/>
      <c r="EY511" s="128"/>
    </row>
    <row r="512" spans="3:155">
      <c r="C512" s="128"/>
      <c r="D512" s="128"/>
      <c r="E512" s="128"/>
      <c r="F512" s="128" t="str">
        <f>IF(E512 &lt;&gt; "", VLOOKUP(E512, '[2]Internal-logic'!G$1:I$364, 2, FALSE),"")</f>
        <v/>
      </c>
      <c r="G512" s="128" t="str">
        <f>IF(E512 &lt;&gt; "", VLOOKUP(E512, '[2]Internal-logic'!G$1:I$364, 3, FALSE),"")</f>
        <v/>
      </c>
      <c r="H512" s="128"/>
      <c r="I512" s="128"/>
      <c r="J512" s="128"/>
      <c r="K512" s="128"/>
      <c r="Q512" s="128"/>
      <c r="R512" s="128"/>
      <c r="S512" s="128"/>
      <c r="U512" s="128"/>
      <c r="X512" s="128"/>
      <c r="Y512" s="128"/>
      <c r="Z512" s="128"/>
      <c r="AA512" s="128"/>
      <c r="AB512" s="128"/>
      <c r="AC512" s="128"/>
      <c r="AD512" s="128"/>
      <c r="AE512" s="128"/>
      <c r="AF512" s="128"/>
      <c r="AG512" s="128"/>
      <c r="AI512" s="128"/>
      <c r="AJ512" s="128"/>
      <c r="AY512" s="128"/>
      <c r="BN512" s="128"/>
      <c r="BQ512" s="128"/>
      <c r="BR512" s="128"/>
      <c r="BT512" s="128"/>
      <c r="BV512" s="128"/>
      <c r="BX512" s="128"/>
      <c r="CU512" s="128"/>
      <c r="CW512" s="128"/>
      <c r="DN512" s="128"/>
      <c r="DP512" s="128"/>
      <c r="DR512" s="128"/>
      <c r="DV512" s="128"/>
      <c r="DX512" s="128"/>
      <c r="DY512" s="128"/>
      <c r="EA512" s="128"/>
      <c r="EB512" s="128"/>
      <c r="EC512" s="128"/>
      <c r="EG512" s="128"/>
      <c r="EL512" s="128"/>
      <c r="EM512" s="128"/>
      <c r="EO512" s="128"/>
      <c r="EQ512" s="128"/>
      <c r="ES512" s="128"/>
      <c r="EU512" s="128"/>
      <c r="EW512" s="128"/>
      <c r="EY512" s="128"/>
    </row>
    <row r="513" spans="3:155">
      <c r="C513" s="128"/>
      <c r="D513" s="128"/>
      <c r="E513" s="128"/>
      <c r="F513" s="128" t="str">
        <f>IF(E513 &lt;&gt; "", VLOOKUP(E513, '[2]Internal-logic'!G$1:I$364, 2, FALSE),"")</f>
        <v/>
      </c>
      <c r="G513" s="128" t="str">
        <f>IF(E513 &lt;&gt; "", VLOOKUP(E513, '[2]Internal-logic'!G$1:I$364, 3, FALSE),"")</f>
        <v/>
      </c>
      <c r="H513" s="128"/>
      <c r="I513" s="128"/>
      <c r="J513" s="128"/>
      <c r="K513" s="128"/>
      <c r="Q513" s="128"/>
      <c r="R513" s="128"/>
      <c r="S513" s="128"/>
      <c r="U513" s="128"/>
      <c r="X513" s="128"/>
      <c r="Y513" s="128"/>
      <c r="Z513" s="128"/>
      <c r="AA513" s="128"/>
      <c r="AB513" s="128"/>
      <c r="AC513" s="128"/>
      <c r="AD513" s="128"/>
      <c r="AE513" s="128"/>
      <c r="AF513" s="128"/>
      <c r="AG513" s="128"/>
      <c r="AI513" s="128"/>
      <c r="AJ513" s="128"/>
      <c r="AY513" s="128"/>
      <c r="BN513" s="128"/>
      <c r="BQ513" s="128"/>
      <c r="BR513" s="128"/>
      <c r="BT513" s="128"/>
      <c r="BV513" s="128"/>
      <c r="BX513" s="128"/>
      <c r="CU513" s="128"/>
      <c r="CW513" s="128"/>
      <c r="DN513" s="128"/>
      <c r="DP513" s="128"/>
      <c r="DR513" s="128"/>
      <c r="DV513" s="128"/>
      <c r="DX513" s="128"/>
      <c r="DY513" s="128"/>
      <c r="EA513" s="128"/>
      <c r="EB513" s="128"/>
      <c r="EC513" s="128"/>
      <c r="EG513" s="128"/>
      <c r="EL513" s="128"/>
      <c r="EM513" s="128"/>
      <c r="EO513" s="128"/>
      <c r="EQ513" s="128"/>
      <c r="ES513" s="128"/>
      <c r="EU513" s="128"/>
      <c r="EW513" s="128"/>
      <c r="EY513" s="128"/>
    </row>
    <row r="514" spans="3:155">
      <c r="C514" s="128"/>
      <c r="D514" s="128"/>
      <c r="E514" s="128"/>
      <c r="F514" s="128" t="str">
        <f>IF(E514 &lt;&gt; "", VLOOKUP(E514, '[2]Internal-logic'!G$1:I$364, 2, FALSE),"")</f>
        <v/>
      </c>
      <c r="G514" s="128" t="str">
        <f>IF(E514 &lt;&gt; "", VLOOKUP(E514, '[2]Internal-logic'!G$1:I$364, 3, FALSE),"")</f>
        <v/>
      </c>
      <c r="H514" s="128"/>
      <c r="I514" s="128"/>
      <c r="J514" s="128"/>
      <c r="K514" s="128"/>
      <c r="Q514" s="128"/>
      <c r="R514" s="128"/>
      <c r="S514" s="128"/>
      <c r="U514" s="128"/>
      <c r="X514" s="128"/>
      <c r="Y514" s="128"/>
      <c r="Z514" s="128"/>
      <c r="AA514" s="128"/>
      <c r="AB514" s="128"/>
      <c r="AC514" s="128"/>
      <c r="AD514" s="128"/>
      <c r="AE514" s="128"/>
      <c r="AF514" s="128"/>
      <c r="AG514" s="128"/>
      <c r="AI514" s="128"/>
      <c r="AJ514" s="128"/>
      <c r="AY514" s="128"/>
      <c r="BN514" s="128"/>
      <c r="BQ514" s="128"/>
      <c r="BR514" s="128"/>
      <c r="BT514" s="128"/>
      <c r="BV514" s="128"/>
      <c r="BX514" s="128"/>
      <c r="CU514" s="128"/>
      <c r="CW514" s="128"/>
      <c r="DN514" s="128"/>
      <c r="DP514" s="128"/>
      <c r="DR514" s="128"/>
      <c r="DV514" s="128"/>
      <c r="DX514" s="128"/>
      <c r="DY514" s="128"/>
      <c r="EA514" s="128"/>
      <c r="EB514" s="128"/>
      <c r="EC514" s="128"/>
      <c r="EG514" s="128"/>
      <c r="EL514" s="128"/>
      <c r="EM514" s="128"/>
      <c r="EO514" s="128"/>
      <c r="EQ514" s="128"/>
      <c r="ES514" s="128"/>
      <c r="EU514" s="128"/>
      <c r="EW514" s="128"/>
      <c r="EY514" s="128"/>
    </row>
    <row r="515" spans="3:155">
      <c r="C515" s="128"/>
      <c r="D515" s="128"/>
      <c r="E515" s="128"/>
      <c r="F515" s="128" t="str">
        <f>IF(E515 &lt;&gt; "", VLOOKUP(E515, '[2]Internal-logic'!G$1:I$364, 2, FALSE),"")</f>
        <v/>
      </c>
      <c r="G515" s="128" t="str">
        <f>IF(E515 &lt;&gt; "", VLOOKUP(E515, '[2]Internal-logic'!G$1:I$364, 3, FALSE),"")</f>
        <v/>
      </c>
      <c r="H515" s="128"/>
      <c r="I515" s="128"/>
      <c r="J515" s="128"/>
      <c r="K515" s="128"/>
      <c r="Q515" s="128"/>
      <c r="R515" s="128"/>
      <c r="S515" s="128"/>
      <c r="U515" s="128"/>
      <c r="X515" s="128"/>
      <c r="Y515" s="128"/>
      <c r="Z515" s="128"/>
      <c r="AA515" s="128"/>
      <c r="AB515" s="128"/>
      <c r="AC515" s="128"/>
      <c r="AD515" s="128"/>
      <c r="AE515" s="128"/>
      <c r="AF515" s="128"/>
      <c r="AG515" s="128"/>
      <c r="AI515" s="128"/>
      <c r="AJ515" s="128"/>
      <c r="AY515" s="128"/>
      <c r="BN515" s="128"/>
      <c r="BQ515" s="128"/>
      <c r="BR515" s="128"/>
      <c r="BT515" s="128"/>
      <c r="BV515" s="128"/>
      <c r="BX515" s="128"/>
      <c r="CU515" s="128"/>
      <c r="CW515" s="128"/>
      <c r="DN515" s="128"/>
      <c r="DP515" s="128"/>
      <c r="DR515" s="128"/>
      <c r="DV515" s="128"/>
      <c r="DX515" s="128"/>
      <c r="DY515" s="128"/>
      <c r="EA515" s="128"/>
      <c r="EB515" s="128"/>
      <c r="EC515" s="128"/>
      <c r="EG515" s="128"/>
      <c r="EL515" s="128"/>
      <c r="EM515" s="128"/>
      <c r="EO515" s="128"/>
      <c r="EQ515" s="128"/>
      <c r="ES515" s="128"/>
      <c r="EU515" s="128"/>
      <c r="EW515" s="128"/>
      <c r="EY515" s="128"/>
    </row>
    <row r="516" spans="3:155">
      <c r="C516" s="128"/>
      <c r="D516" s="128"/>
      <c r="E516" s="128"/>
      <c r="F516" s="128" t="str">
        <f>IF(E516 &lt;&gt; "", VLOOKUP(E516, '[2]Internal-logic'!G$1:I$364, 2, FALSE),"")</f>
        <v/>
      </c>
      <c r="G516" s="128" t="str">
        <f>IF(E516 &lt;&gt; "", VLOOKUP(E516, '[2]Internal-logic'!G$1:I$364, 3, FALSE),"")</f>
        <v/>
      </c>
      <c r="H516" s="128"/>
      <c r="I516" s="128"/>
      <c r="J516" s="128"/>
      <c r="K516" s="128"/>
      <c r="Q516" s="128"/>
      <c r="R516" s="128"/>
      <c r="S516" s="128"/>
      <c r="U516" s="128"/>
      <c r="X516" s="128"/>
      <c r="Y516" s="128"/>
      <c r="Z516" s="128"/>
      <c r="AA516" s="128"/>
      <c r="AB516" s="128"/>
      <c r="AC516" s="128"/>
      <c r="AD516" s="128"/>
      <c r="AE516" s="128"/>
      <c r="AF516" s="128"/>
      <c r="AG516" s="128"/>
      <c r="AI516" s="128"/>
      <c r="AJ516" s="128"/>
      <c r="AY516" s="128"/>
      <c r="BN516" s="128"/>
      <c r="BQ516" s="128"/>
      <c r="BR516" s="128"/>
      <c r="BT516" s="128"/>
      <c r="BV516" s="128"/>
      <c r="BX516" s="128"/>
      <c r="CU516" s="128"/>
      <c r="CW516" s="128"/>
      <c r="DN516" s="128"/>
      <c r="DP516" s="128"/>
      <c r="DR516" s="128"/>
      <c r="DV516" s="128"/>
      <c r="DX516" s="128"/>
      <c r="DY516" s="128"/>
      <c r="EA516" s="128"/>
      <c r="EB516" s="128"/>
      <c r="EC516" s="128"/>
      <c r="EG516" s="128"/>
      <c r="EL516" s="128"/>
      <c r="EM516" s="128"/>
      <c r="EO516" s="128"/>
      <c r="EQ516" s="128"/>
      <c r="ES516" s="128"/>
      <c r="EU516" s="128"/>
      <c r="EW516" s="128"/>
      <c r="EY516" s="128"/>
    </row>
    <row r="517" spans="3:155">
      <c r="C517" s="128"/>
      <c r="D517" s="128"/>
      <c r="E517" s="128"/>
      <c r="F517" s="128" t="str">
        <f>IF(E517 &lt;&gt; "", VLOOKUP(E517, '[2]Internal-logic'!G$1:I$364, 2, FALSE),"")</f>
        <v/>
      </c>
      <c r="G517" s="128" t="str">
        <f>IF(E517 &lt;&gt; "", VLOOKUP(E517, '[2]Internal-logic'!G$1:I$364, 3, FALSE),"")</f>
        <v/>
      </c>
      <c r="H517" s="128"/>
      <c r="I517" s="128"/>
      <c r="J517" s="128"/>
      <c r="K517" s="128"/>
      <c r="Q517" s="128"/>
      <c r="R517" s="128"/>
      <c r="S517" s="128"/>
      <c r="U517" s="128"/>
      <c r="X517" s="128"/>
      <c r="Y517" s="128"/>
      <c r="Z517" s="128"/>
      <c r="AA517" s="128"/>
      <c r="AB517" s="128"/>
      <c r="AC517" s="128"/>
      <c r="AD517" s="128"/>
      <c r="AE517" s="128"/>
      <c r="AF517" s="128"/>
      <c r="AG517" s="128"/>
      <c r="AI517" s="128"/>
      <c r="AJ517" s="128"/>
      <c r="AY517" s="128"/>
      <c r="BN517" s="128"/>
      <c r="BQ517" s="128"/>
      <c r="BR517" s="128"/>
      <c r="BT517" s="128"/>
      <c r="BV517" s="128"/>
      <c r="BX517" s="128"/>
      <c r="CU517" s="128"/>
      <c r="CW517" s="128"/>
      <c r="DN517" s="128"/>
      <c r="DP517" s="128"/>
      <c r="DR517" s="128"/>
      <c r="DV517" s="128"/>
      <c r="DX517" s="128"/>
      <c r="DY517" s="128"/>
      <c r="EA517" s="128"/>
      <c r="EB517" s="128"/>
      <c r="EC517" s="128"/>
      <c r="EG517" s="128"/>
      <c r="EL517" s="128"/>
      <c r="EM517" s="128"/>
      <c r="EO517" s="128"/>
      <c r="EQ517" s="128"/>
      <c r="ES517" s="128"/>
      <c r="EU517" s="128"/>
      <c r="EW517" s="128"/>
      <c r="EY517" s="128"/>
    </row>
    <row r="518" spans="3:155">
      <c r="C518" s="128"/>
      <c r="D518" s="128"/>
      <c r="E518" s="128"/>
      <c r="F518" s="128" t="str">
        <f>IF(E518 &lt;&gt; "", VLOOKUP(E518, '[2]Internal-logic'!G$1:I$364, 2, FALSE),"")</f>
        <v/>
      </c>
      <c r="G518" s="128" t="str">
        <f>IF(E518 &lt;&gt; "", VLOOKUP(E518, '[2]Internal-logic'!G$1:I$364, 3, FALSE),"")</f>
        <v/>
      </c>
      <c r="H518" s="128"/>
      <c r="I518" s="128"/>
      <c r="J518" s="128"/>
      <c r="K518" s="128"/>
      <c r="Q518" s="128"/>
      <c r="R518" s="128"/>
      <c r="S518" s="128"/>
      <c r="U518" s="128"/>
      <c r="X518" s="128"/>
      <c r="Y518" s="128"/>
      <c r="Z518" s="128"/>
      <c r="AA518" s="128"/>
      <c r="AB518" s="128"/>
      <c r="AC518" s="128"/>
      <c r="AD518" s="128"/>
      <c r="AE518" s="128"/>
      <c r="AF518" s="128"/>
      <c r="AG518" s="128"/>
      <c r="AI518" s="128"/>
      <c r="AJ518" s="128"/>
      <c r="AY518" s="128"/>
      <c r="BN518" s="128"/>
      <c r="BQ518" s="128"/>
      <c r="BR518" s="128"/>
      <c r="BT518" s="128"/>
      <c r="BV518" s="128"/>
      <c r="BX518" s="128"/>
      <c r="CU518" s="128"/>
      <c r="CW518" s="128"/>
      <c r="DN518" s="128"/>
      <c r="DP518" s="128"/>
      <c r="DR518" s="128"/>
      <c r="DV518" s="128"/>
      <c r="DX518" s="128"/>
      <c r="DY518" s="128"/>
      <c r="EA518" s="128"/>
      <c r="EB518" s="128"/>
      <c r="EC518" s="128"/>
      <c r="EG518" s="128"/>
      <c r="EL518" s="128"/>
      <c r="EM518" s="128"/>
      <c r="EO518" s="128"/>
      <c r="EQ518" s="128"/>
      <c r="ES518" s="128"/>
      <c r="EU518" s="128"/>
      <c r="EW518" s="128"/>
      <c r="EY518" s="128"/>
    </row>
    <row r="519" spans="3:155">
      <c r="C519" s="128"/>
      <c r="D519" s="128"/>
      <c r="E519" s="128"/>
      <c r="F519" s="128" t="str">
        <f>IF(E519 &lt;&gt; "", VLOOKUP(E519, '[2]Internal-logic'!G$1:I$364, 2, FALSE),"")</f>
        <v/>
      </c>
      <c r="G519" s="128" t="str">
        <f>IF(E519 &lt;&gt; "", VLOOKUP(E519, '[2]Internal-logic'!G$1:I$364, 3, FALSE),"")</f>
        <v/>
      </c>
      <c r="H519" s="128"/>
      <c r="I519" s="128"/>
      <c r="J519" s="128"/>
      <c r="K519" s="128"/>
      <c r="Q519" s="128"/>
      <c r="R519" s="128"/>
      <c r="S519" s="128"/>
      <c r="U519" s="128"/>
      <c r="X519" s="128"/>
      <c r="Y519" s="128"/>
      <c r="Z519" s="128"/>
      <c r="AA519" s="128"/>
      <c r="AB519" s="128"/>
      <c r="AC519" s="128"/>
      <c r="AD519" s="128"/>
      <c r="AE519" s="128"/>
      <c r="AF519" s="128"/>
      <c r="AG519" s="128"/>
      <c r="AI519" s="128"/>
      <c r="AJ519" s="128"/>
      <c r="AY519" s="128"/>
      <c r="BN519" s="128"/>
      <c r="BQ519" s="128"/>
      <c r="BR519" s="128"/>
      <c r="BT519" s="128"/>
      <c r="BV519" s="128"/>
      <c r="BX519" s="128"/>
      <c r="CU519" s="128"/>
      <c r="CW519" s="128"/>
      <c r="DN519" s="128"/>
      <c r="DP519" s="128"/>
      <c r="DR519" s="128"/>
      <c r="DV519" s="128"/>
      <c r="DX519" s="128"/>
      <c r="DY519" s="128"/>
      <c r="EA519" s="128"/>
      <c r="EB519" s="128"/>
      <c r="EC519" s="128"/>
      <c r="EG519" s="128"/>
      <c r="EL519" s="128"/>
      <c r="EM519" s="128"/>
      <c r="EO519" s="128"/>
      <c r="EQ519" s="128"/>
      <c r="ES519" s="128"/>
      <c r="EU519" s="128"/>
      <c r="EW519" s="128"/>
      <c r="EY519" s="128"/>
    </row>
    <row r="520" spans="3:155">
      <c r="C520" s="128"/>
      <c r="D520" s="128"/>
      <c r="E520" s="128"/>
      <c r="F520" s="128" t="str">
        <f>IF(E520 &lt;&gt; "", VLOOKUP(E520, '[2]Internal-logic'!G$1:I$364, 2, FALSE),"")</f>
        <v/>
      </c>
      <c r="G520" s="128" t="str">
        <f>IF(E520 &lt;&gt; "", VLOOKUP(E520, '[2]Internal-logic'!G$1:I$364, 3, FALSE),"")</f>
        <v/>
      </c>
      <c r="H520" s="128"/>
      <c r="I520" s="128"/>
      <c r="J520" s="128"/>
      <c r="K520" s="128"/>
      <c r="Q520" s="128"/>
      <c r="R520" s="128"/>
      <c r="S520" s="128"/>
      <c r="U520" s="128"/>
      <c r="X520" s="128"/>
      <c r="Y520" s="128"/>
      <c r="Z520" s="128"/>
      <c r="AA520" s="128"/>
      <c r="AB520" s="128"/>
      <c r="AC520" s="128"/>
      <c r="AD520" s="128"/>
      <c r="AE520" s="128"/>
      <c r="AF520" s="128"/>
      <c r="AG520" s="128"/>
      <c r="AI520" s="128"/>
      <c r="AJ520" s="128"/>
      <c r="AY520" s="128"/>
      <c r="BN520" s="128"/>
      <c r="BQ520" s="128"/>
      <c r="BR520" s="128"/>
      <c r="BT520" s="128"/>
      <c r="BV520" s="128"/>
      <c r="BX520" s="128"/>
      <c r="CU520" s="128"/>
      <c r="CW520" s="128"/>
      <c r="DN520" s="128"/>
      <c r="DP520" s="128"/>
      <c r="DR520" s="128"/>
      <c r="DV520" s="128"/>
      <c r="DX520" s="128"/>
      <c r="DY520" s="128"/>
      <c r="EA520" s="128"/>
      <c r="EB520" s="128"/>
      <c r="EC520" s="128"/>
      <c r="EG520" s="128"/>
      <c r="EL520" s="128"/>
      <c r="EM520" s="128"/>
      <c r="EO520" s="128"/>
      <c r="EQ520" s="128"/>
      <c r="ES520" s="128"/>
      <c r="EU520" s="128"/>
      <c r="EW520" s="128"/>
      <c r="EY520" s="128"/>
    </row>
    <row r="521" spans="3:155">
      <c r="C521" s="128"/>
      <c r="D521" s="128"/>
      <c r="E521" s="128"/>
      <c r="F521" s="128" t="str">
        <f>IF(E521 &lt;&gt; "", VLOOKUP(E521, '[2]Internal-logic'!G$1:I$364, 2, FALSE),"")</f>
        <v/>
      </c>
      <c r="G521" s="128" t="str">
        <f>IF(E521 &lt;&gt; "", VLOOKUP(E521, '[2]Internal-logic'!G$1:I$364, 3, FALSE),"")</f>
        <v/>
      </c>
      <c r="H521" s="128"/>
      <c r="I521" s="128"/>
      <c r="J521" s="128"/>
      <c r="K521" s="128"/>
      <c r="Q521" s="128"/>
      <c r="R521" s="128"/>
      <c r="S521" s="128"/>
      <c r="U521" s="128"/>
      <c r="X521" s="128"/>
      <c r="Y521" s="128"/>
      <c r="Z521" s="128"/>
      <c r="AA521" s="128"/>
      <c r="AB521" s="128"/>
      <c r="AC521" s="128"/>
      <c r="AD521" s="128"/>
      <c r="AE521" s="128"/>
      <c r="AF521" s="128"/>
      <c r="AG521" s="128"/>
      <c r="AI521" s="128"/>
      <c r="AJ521" s="128"/>
      <c r="AY521" s="128"/>
      <c r="BN521" s="128"/>
      <c r="BQ521" s="128"/>
      <c r="BR521" s="128"/>
      <c r="BT521" s="128"/>
      <c r="BV521" s="128"/>
      <c r="BX521" s="128"/>
      <c r="CU521" s="128"/>
      <c r="CW521" s="128"/>
      <c r="DN521" s="128"/>
      <c r="DP521" s="128"/>
      <c r="DR521" s="128"/>
      <c r="DV521" s="128"/>
      <c r="DX521" s="128"/>
      <c r="DY521" s="128"/>
      <c r="EA521" s="128"/>
      <c r="EB521" s="128"/>
      <c r="EC521" s="128"/>
      <c r="EG521" s="128"/>
      <c r="EL521" s="128"/>
      <c r="EM521" s="128"/>
      <c r="EO521" s="128"/>
      <c r="EQ521" s="128"/>
      <c r="ES521" s="128"/>
      <c r="EU521" s="128"/>
      <c r="EW521" s="128"/>
      <c r="EY521" s="128"/>
    </row>
    <row r="522" spans="3:155">
      <c r="C522" s="128"/>
      <c r="D522" s="128"/>
      <c r="E522" s="128"/>
      <c r="F522" s="128" t="str">
        <f>IF(E522 &lt;&gt; "", VLOOKUP(E522, '[2]Internal-logic'!G$1:I$364, 2, FALSE),"")</f>
        <v/>
      </c>
      <c r="G522" s="128" t="str">
        <f>IF(E522 &lt;&gt; "", VLOOKUP(E522, '[2]Internal-logic'!G$1:I$364, 3, FALSE),"")</f>
        <v/>
      </c>
      <c r="H522" s="128"/>
      <c r="I522" s="128"/>
      <c r="J522" s="128"/>
      <c r="K522" s="128"/>
      <c r="Q522" s="128"/>
      <c r="R522" s="128"/>
      <c r="S522" s="128"/>
      <c r="U522" s="128"/>
      <c r="X522" s="128"/>
      <c r="Y522" s="128"/>
      <c r="Z522" s="128"/>
      <c r="AA522" s="128"/>
      <c r="AB522" s="128"/>
      <c r="AC522" s="128"/>
      <c r="AD522" s="128"/>
      <c r="AE522" s="128"/>
      <c r="AF522" s="128"/>
      <c r="AG522" s="128"/>
      <c r="AI522" s="128"/>
      <c r="AJ522" s="128"/>
      <c r="AY522" s="128"/>
      <c r="BN522" s="128"/>
      <c r="BQ522" s="128"/>
      <c r="BR522" s="128"/>
      <c r="BT522" s="128"/>
      <c r="BV522" s="128"/>
      <c r="BX522" s="128"/>
      <c r="CU522" s="128"/>
      <c r="CW522" s="128"/>
      <c r="DN522" s="128"/>
      <c r="DP522" s="128"/>
      <c r="DR522" s="128"/>
      <c r="DV522" s="128"/>
      <c r="DX522" s="128"/>
      <c r="DY522" s="128"/>
      <c r="EA522" s="128"/>
      <c r="EB522" s="128"/>
      <c r="EC522" s="128"/>
      <c r="EG522" s="128"/>
      <c r="EL522" s="128"/>
      <c r="EM522" s="128"/>
      <c r="EO522" s="128"/>
      <c r="EQ522" s="128"/>
      <c r="ES522" s="128"/>
      <c r="EU522" s="128"/>
      <c r="EW522" s="128"/>
      <c r="EY522" s="128"/>
    </row>
    <row r="523" spans="3:155">
      <c r="C523" s="128"/>
      <c r="D523" s="128"/>
      <c r="E523" s="128"/>
      <c r="F523" s="128" t="str">
        <f>IF(E523 &lt;&gt; "", VLOOKUP(E523, '[2]Internal-logic'!G$1:I$364, 2, FALSE),"")</f>
        <v/>
      </c>
      <c r="G523" s="128" t="str">
        <f>IF(E523 &lt;&gt; "", VLOOKUP(E523, '[2]Internal-logic'!G$1:I$364, 3, FALSE),"")</f>
        <v/>
      </c>
      <c r="H523" s="128"/>
      <c r="I523" s="128"/>
      <c r="J523" s="128"/>
      <c r="K523" s="128"/>
      <c r="Q523" s="128"/>
      <c r="R523" s="128"/>
      <c r="S523" s="128"/>
      <c r="U523" s="128"/>
      <c r="X523" s="128"/>
      <c r="Y523" s="128"/>
      <c r="Z523" s="128"/>
      <c r="AA523" s="128"/>
      <c r="AB523" s="128"/>
      <c r="AC523" s="128"/>
      <c r="AD523" s="128"/>
      <c r="AE523" s="128"/>
      <c r="AF523" s="128"/>
      <c r="AG523" s="128"/>
      <c r="AI523" s="128"/>
      <c r="AJ523" s="128"/>
      <c r="AY523" s="128"/>
      <c r="BN523" s="128"/>
      <c r="BQ523" s="128"/>
      <c r="BR523" s="128"/>
      <c r="BT523" s="128"/>
      <c r="BV523" s="128"/>
      <c r="BX523" s="128"/>
      <c r="CU523" s="128"/>
      <c r="CW523" s="128"/>
      <c r="DN523" s="128"/>
      <c r="DP523" s="128"/>
      <c r="DR523" s="128"/>
      <c r="DV523" s="128"/>
      <c r="DX523" s="128"/>
      <c r="DY523" s="128"/>
      <c r="EA523" s="128"/>
      <c r="EB523" s="128"/>
      <c r="EC523" s="128"/>
      <c r="EG523" s="128"/>
      <c r="EL523" s="128"/>
      <c r="EM523" s="128"/>
      <c r="EO523" s="128"/>
      <c r="EQ523" s="128"/>
      <c r="ES523" s="128"/>
      <c r="EU523" s="128"/>
      <c r="EW523" s="128"/>
      <c r="EY523" s="128"/>
    </row>
    <row r="524" spans="3:155">
      <c r="C524" s="128"/>
      <c r="D524" s="128"/>
      <c r="E524" s="128"/>
      <c r="F524" s="128" t="str">
        <f>IF(E524 &lt;&gt; "", VLOOKUP(E524, '[2]Internal-logic'!G$1:I$364, 2, FALSE),"")</f>
        <v/>
      </c>
      <c r="G524" s="128" t="str">
        <f>IF(E524 &lt;&gt; "", VLOOKUP(E524, '[2]Internal-logic'!G$1:I$364, 3, FALSE),"")</f>
        <v/>
      </c>
      <c r="H524" s="128"/>
      <c r="I524" s="128"/>
      <c r="J524" s="128"/>
      <c r="K524" s="128"/>
      <c r="Q524" s="128"/>
      <c r="R524" s="128"/>
      <c r="S524" s="128"/>
      <c r="U524" s="128"/>
      <c r="X524" s="128"/>
      <c r="Y524" s="128"/>
      <c r="Z524" s="128"/>
      <c r="AA524" s="128"/>
      <c r="AB524" s="128"/>
      <c r="AC524" s="128"/>
      <c r="AD524" s="128"/>
      <c r="AE524" s="128"/>
      <c r="AF524" s="128"/>
      <c r="AG524" s="128"/>
      <c r="AI524" s="128"/>
      <c r="AJ524" s="128"/>
      <c r="AY524" s="128"/>
      <c r="BN524" s="128"/>
      <c r="BQ524" s="128"/>
      <c r="BR524" s="128"/>
      <c r="BT524" s="128"/>
      <c r="BV524" s="128"/>
      <c r="BX524" s="128"/>
      <c r="CU524" s="128"/>
      <c r="CW524" s="128"/>
      <c r="DN524" s="128"/>
      <c r="DP524" s="128"/>
      <c r="DR524" s="128"/>
      <c r="DV524" s="128"/>
      <c r="DX524" s="128"/>
      <c r="DY524" s="128"/>
      <c r="EA524" s="128"/>
      <c r="EB524" s="128"/>
      <c r="EC524" s="128"/>
      <c r="EG524" s="128"/>
      <c r="EL524" s="128"/>
      <c r="EM524" s="128"/>
      <c r="EO524" s="128"/>
      <c r="EQ524" s="128"/>
      <c r="ES524" s="128"/>
      <c r="EU524" s="128"/>
      <c r="EW524" s="128"/>
      <c r="EY524" s="128"/>
    </row>
    <row r="525" spans="3:155">
      <c r="C525" s="128"/>
      <c r="D525" s="128"/>
      <c r="E525" s="128"/>
      <c r="F525" s="128" t="str">
        <f>IF(E525 &lt;&gt; "", VLOOKUP(E525, '[2]Internal-logic'!G$1:I$364, 2, FALSE),"")</f>
        <v/>
      </c>
      <c r="G525" s="128" t="str">
        <f>IF(E525 &lt;&gt; "", VLOOKUP(E525, '[2]Internal-logic'!G$1:I$364, 3, FALSE),"")</f>
        <v/>
      </c>
      <c r="H525" s="128"/>
      <c r="I525" s="128"/>
      <c r="J525" s="128"/>
      <c r="K525" s="128"/>
      <c r="Q525" s="128"/>
      <c r="R525" s="128"/>
      <c r="S525" s="128"/>
      <c r="U525" s="128"/>
      <c r="X525" s="128"/>
      <c r="Y525" s="128"/>
      <c r="Z525" s="128"/>
      <c r="AA525" s="128"/>
      <c r="AB525" s="128"/>
      <c r="AC525" s="128"/>
      <c r="AD525" s="128"/>
      <c r="AE525" s="128"/>
      <c r="AF525" s="128"/>
      <c r="AG525" s="128"/>
      <c r="AI525" s="128"/>
      <c r="AJ525" s="128"/>
      <c r="AY525" s="128"/>
      <c r="BN525" s="128"/>
      <c r="BQ525" s="128"/>
      <c r="BR525" s="128"/>
      <c r="BT525" s="128"/>
      <c r="BV525" s="128"/>
      <c r="BX525" s="128"/>
      <c r="CU525" s="128"/>
      <c r="CW525" s="128"/>
      <c r="DN525" s="128"/>
      <c r="DP525" s="128"/>
      <c r="DR525" s="128"/>
      <c r="DV525" s="128"/>
      <c r="DX525" s="128"/>
      <c r="DY525" s="128"/>
      <c r="EA525" s="128"/>
      <c r="EB525" s="128"/>
      <c r="EC525" s="128"/>
      <c r="EG525" s="128"/>
      <c r="EL525" s="128"/>
      <c r="EM525" s="128"/>
      <c r="EO525" s="128"/>
      <c r="EQ525" s="128"/>
      <c r="ES525" s="128"/>
      <c r="EU525" s="128"/>
      <c r="EW525" s="128"/>
      <c r="EY525" s="128"/>
    </row>
    <row r="526" spans="3:155">
      <c r="C526" s="128"/>
      <c r="D526" s="128"/>
      <c r="E526" s="128"/>
      <c r="F526" s="128" t="str">
        <f>IF(E526 &lt;&gt; "", VLOOKUP(E526, '[2]Internal-logic'!G$1:I$364, 2, FALSE),"")</f>
        <v/>
      </c>
      <c r="G526" s="128" t="str">
        <f>IF(E526 &lt;&gt; "", VLOOKUP(E526, '[2]Internal-logic'!G$1:I$364, 3, FALSE),"")</f>
        <v/>
      </c>
      <c r="H526" s="128"/>
      <c r="I526" s="128"/>
      <c r="J526" s="128"/>
      <c r="K526" s="128"/>
      <c r="Q526" s="128"/>
      <c r="R526" s="128"/>
      <c r="S526" s="128"/>
      <c r="U526" s="128"/>
      <c r="X526" s="128"/>
      <c r="Y526" s="128"/>
      <c r="Z526" s="128"/>
      <c r="AA526" s="128"/>
      <c r="AB526" s="128"/>
      <c r="AC526" s="128"/>
      <c r="AD526" s="128"/>
      <c r="AE526" s="128"/>
      <c r="AF526" s="128"/>
      <c r="AG526" s="128"/>
      <c r="AI526" s="128"/>
      <c r="AJ526" s="128"/>
      <c r="AY526" s="128"/>
      <c r="BN526" s="128"/>
      <c r="BQ526" s="128"/>
      <c r="BR526" s="128"/>
      <c r="BT526" s="128"/>
      <c r="BV526" s="128"/>
      <c r="BX526" s="128"/>
      <c r="CU526" s="128"/>
      <c r="CW526" s="128"/>
      <c r="DN526" s="128"/>
      <c r="DP526" s="128"/>
      <c r="DR526" s="128"/>
      <c r="DV526" s="128"/>
      <c r="DX526" s="128"/>
      <c r="DY526" s="128"/>
      <c r="EA526" s="128"/>
      <c r="EB526" s="128"/>
      <c r="EC526" s="128"/>
      <c r="EG526" s="128"/>
      <c r="EL526" s="128"/>
      <c r="EM526" s="128"/>
      <c r="EO526" s="128"/>
      <c r="EQ526" s="128"/>
      <c r="ES526" s="128"/>
      <c r="EU526" s="128"/>
      <c r="EW526" s="128"/>
      <c r="EY526" s="128"/>
    </row>
    <row r="527" spans="3:155">
      <c r="C527" s="128"/>
      <c r="D527" s="128"/>
      <c r="E527" s="128"/>
      <c r="F527" s="128" t="str">
        <f>IF(E527 &lt;&gt; "", VLOOKUP(E527, '[2]Internal-logic'!G$1:I$364, 2, FALSE),"")</f>
        <v/>
      </c>
      <c r="G527" s="128" t="str">
        <f>IF(E527 &lt;&gt; "", VLOOKUP(E527, '[2]Internal-logic'!G$1:I$364, 3, FALSE),"")</f>
        <v/>
      </c>
      <c r="H527" s="128"/>
      <c r="I527" s="128"/>
      <c r="J527" s="128"/>
      <c r="K527" s="128"/>
      <c r="Q527" s="128"/>
      <c r="R527" s="128"/>
      <c r="S527" s="128"/>
      <c r="U527" s="128"/>
      <c r="X527" s="128"/>
      <c r="Y527" s="128"/>
      <c r="Z527" s="128"/>
      <c r="AA527" s="128"/>
      <c r="AB527" s="128"/>
      <c r="AC527" s="128"/>
      <c r="AD527" s="128"/>
      <c r="AE527" s="128"/>
      <c r="AF527" s="128"/>
      <c r="AG527" s="128"/>
      <c r="AI527" s="128"/>
      <c r="AJ527" s="128"/>
      <c r="AY527" s="128"/>
      <c r="BN527" s="128"/>
      <c r="BQ527" s="128"/>
      <c r="BR527" s="128"/>
      <c r="BT527" s="128"/>
      <c r="BV527" s="128"/>
      <c r="BX527" s="128"/>
      <c r="CU527" s="128"/>
      <c r="CW527" s="128"/>
      <c r="DN527" s="128"/>
      <c r="DP527" s="128"/>
      <c r="DR527" s="128"/>
      <c r="DV527" s="128"/>
      <c r="DX527" s="128"/>
      <c r="DY527" s="128"/>
      <c r="EA527" s="128"/>
      <c r="EB527" s="128"/>
      <c r="EC527" s="128"/>
      <c r="EG527" s="128"/>
      <c r="EL527" s="128"/>
      <c r="EM527" s="128"/>
      <c r="EO527" s="128"/>
      <c r="EQ527" s="128"/>
      <c r="ES527" s="128"/>
      <c r="EU527" s="128"/>
      <c r="EW527" s="128"/>
      <c r="EY527" s="128"/>
    </row>
    <row r="528" spans="3:155">
      <c r="C528" s="128"/>
      <c r="D528" s="128"/>
      <c r="E528" s="128"/>
      <c r="F528" s="128" t="str">
        <f>IF(E528 &lt;&gt; "", VLOOKUP(E528, '[2]Internal-logic'!G$1:I$364, 2, FALSE),"")</f>
        <v/>
      </c>
      <c r="G528" s="128" t="str">
        <f>IF(E528 &lt;&gt; "", VLOOKUP(E528, '[2]Internal-logic'!G$1:I$364, 3, FALSE),"")</f>
        <v/>
      </c>
      <c r="H528" s="128"/>
      <c r="I528" s="128"/>
      <c r="J528" s="128"/>
      <c r="K528" s="128"/>
      <c r="Q528" s="128"/>
      <c r="R528" s="128"/>
      <c r="S528" s="128"/>
      <c r="U528" s="128"/>
      <c r="X528" s="128"/>
      <c r="Y528" s="128"/>
      <c r="Z528" s="128"/>
      <c r="AA528" s="128"/>
      <c r="AB528" s="128"/>
      <c r="AC528" s="128"/>
      <c r="AD528" s="128"/>
      <c r="AE528" s="128"/>
      <c r="AF528" s="128"/>
      <c r="AG528" s="128"/>
      <c r="AI528" s="128"/>
      <c r="AJ528" s="128"/>
      <c r="AY528" s="128"/>
      <c r="BN528" s="128"/>
      <c r="BQ528" s="128"/>
      <c r="BR528" s="128"/>
      <c r="BT528" s="128"/>
      <c r="BV528" s="128"/>
      <c r="BX528" s="128"/>
      <c r="CU528" s="128"/>
      <c r="CW528" s="128"/>
      <c r="DN528" s="128"/>
      <c r="DP528" s="128"/>
      <c r="DR528" s="128"/>
      <c r="DV528" s="128"/>
      <c r="DX528" s="128"/>
      <c r="DY528" s="128"/>
      <c r="EA528" s="128"/>
      <c r="EB528" s="128"/>
      <c r="EC528" s="128"/>
      <c r="EG528" s="128"/>
      <c r="EL528" s="128"/>
      <c r="EM528" s="128"/>
      <c r="EO528" s="128"/>
      <c r="EQ528" s="128"/>
      <c r="ES528" s="128"/>
      <c r="EU528" s="128"/>
      <c r="EW528" s="128"/>
      <c r="EY528" s="128"/>
    </row>
    <row r="529" spans="3:155">
      <c r="C529" s="128"/>
      <c r="D529" s="128"/>
      <c r="E529" s="128"/>
      <c r="F529" s="128" t="str">
        <f>IF(E529 &lt;&gt; "", VLOOKUP(E529, '[2]Internal-logic'!G$1:I$364, 2, FALSE),"")</f>
        <v/>
      </c>
      <c r="G529" s="128" t="str">
        <f>IF(E529 &lt;&gt; "", VLOOKUP(E529, '[2]Internal-logic'!G$1:I$364, 3, FALSE),"")</f>
        <v/>
      </c>
      <c r="H529" s="128"/>
      <c r="I529" s="128"/>
      <c r="J529" s="128"/>
      <c r="K529" s="128"/>
      <c r="Q529" s="128"/>
      <c r="R529" s="128"/>
      <c r="S529" s="128"/>
      <c r="U529" s="128"/>
      <c r="X529" s="128"/>
      <c r="Y529" s="128"/>
      <c r="Z529" s="128"/>
      <c r="AA529" s="128"/>
      <c r="AB529" s="128"/>
      <c r="AC529" s="128"/>
      <c r="AD529" s="128"/>
      <c r="AE529" s="128"/>
      <c r="AF529" s="128"/>
      <c r="AG529" s="128"/>
      <c r="AI529" s="128"/>
      <c r="AJ529" s="128"/>
      <c r="AY529" s="128"/>
      <c r="BN529" s="128"/>
      <c r="BQ529" s="128"/>
      <c r="BR529" s="128"/>
      <c r="BT529" s="128"/>
      <c r="BV529" s="128"/>
      <c r="BX529" s="128"/>
      <c r="CU529" s="128"/>
      <c r="CW529" s="128"/>
      <c r="DN529" s="128"/>
      <c r="DP529" s="128"/>
      <c r="DR529" s="128"/>
      <c r="DV529" s="128"/>
      <c r="DX529" s="128"/>
      <c r="DY529" s="128"/>
      <c r="EA529" s="128"/>
      <c r="EB529" s="128"/>
      <c r="EC529" s="128"/>
      <c r="EG529" s="128"/>
      <c r="EL529" s="128"/>
      <c r="EM529" s="128"/>
      <c r="EO529" s="128"/>
      <c r="EQ529" s="128"/>
      <c r="ES529" s="128"/>
      <c r="EU529" s="128"/>
      <c r="EW529" s="128"/>
      <c r="EY529" s="128"/>
    </row>
    <row r="530" spans="3:155">
      <c r="C530" s="128"/>
      <c r="D530" s="128"/>
      <c r="E530" s="128"/>
      <c r="F530" s="128" t="str">
        <f>IF(E530 &lt;&gt; "", VLOOKUP(E530, '[2]Internal-logic'!G$1:I$364, 2, FALSE),"")</f>
        <v/>
      </c>
      <c r="G530" s="128" t="str">
        <f>IF(E530 &lt;&gt; "", VLOOKUP(E530, '[2]Internal-logic'!G$1:I$364, 3, FALSE),"")</f>
        <v/>
      </c>
      <c r="H530" s="128"/>
      <c r="I530" s="128"/>
      <c r="J530" s="128"/>
      <c r="K530" s="128"/>
      <c r="Q530" s="128"/>
      <c r="R530" s="128"/>
      <c r="S530" s="128"/>
      <c r="U530" s="128"/>
      <c r="X530" s="128"/>
      <c r="Y530" s="128"/>
      <c r="Z530" s="128"/>
      <c r="AA530" s="128"/>
      <c r="AB530" s="128"/>
      <c r="AC530" s="128"/>
      <c r="AD530" s="128"/>
      <c r="AE530" s="128"/>
      <c r="AF530" s="128"/>
      <c r="AG530" s="128"/>
      <c r="AI530" s="128"/>
      <c r="AJ530" s="128"/>
      <c r="AY530" s="128"/>
      <c r="BN530" s="128"/>
      <c r="BQ530" s="128"/>
      <c r="BR530" s="128"/>
      <c r="BT530" s="128"/>
      <c r="BV530" s="128"/>
      <c r="BX530" s="128"/>
      <c r="CU530" s="128"/>
      <c r="CW530" s="128"/>
      <c r="DN530" s="128"/>
      <c r="DP530" s="128"/>
      <c r="DR530" s="128"/>
      <c r="DV530" s="128"/>
      <c r="DX530" s="128"/>
      <c r="DY530" s="128"/>
      <c r="EA530" s="128"/>
      <c r="EB530" s="128"/>
      <c r="EC530" s="128"/>
      <c r="EG530" s="128"/>
      <c r="EL530" s="128"/>
      <c r="EM530" s="128"/>
      <c r="EO530" s="128"/>
      <c r="EQ530" s="128"/>
      <c r="ES530" s="128"/>
      <c r="EU530" s="128"/>
      <c r="EW530" s="128"/>
      <c r="EY530" s="128"/>
    </row>
    <row r="531" spans="3:155">
      <c r="C531" s="128"/>
      <c r="D531" s="128"/>
      <c r="E531" s="128"/>
      <c r="F531" s="128" t="str">
        <f>IF(E531 &lt;&gt; "", VLOOKUP(E531, '[2]Internal-logic'!G$1:I$364, 2, FALSE),"")</f>
        <v/>
      </c>
      <c r="G531" s="128" t="str">
        <f>IF(E531 &lt;&gt; "", VLOOKUP(E531, '[2]Internal-logic'!G$1:I$364, 3, FALSE),"")</f>
        <v/>
      </c>
      <c r="H531" s="128"/>
      <c r="I531" s="128"/>
      <c r="J531" s="128"/>
      <c r="K531" s="128"/>
      <c r="Q531" s="128"/>
      <c r="R531" s="128"/>
      <c r="S531" s="128"/>
      <c r="U531" s="128"/>
      <c r="X531" s="128"/>
      <c r="Y531" s="128"/>
      <c r="Z531" s="128"/>
      <c r="AA531" s="128"/>
      <c r="AB531" s="128"/>
      <c r="AC531" s="128"/>
      <c r="AD531" s="128"/>
      <c r="AE531" s="128"/>
      <c r="AF531" s="128"/>
      <c r="AG531" s="128"/>
      <c r="AI531" s="128"/>
      <c r="AJ531" s="128"/>
      <c r="AY531" s="128"/>
      <c r="BN531" s="128"/>
      <c r="BQ531" s="128"/>
      <c r="BR531" s="128"/>
      <c r="BT531" s="128"/>
      <c r="BV531" s="128"/>
      <c r="BX531" s="128"/>
      <c r="CU531" s="128"/>
      <c r="CW531" s="128"/>
      <c r="DN531" s="128"/>
      <c r="DP531" s="128"/>
      <c r="DR531" s="128"/>
      <c r="DV531" s="128"/>
      <c r="DX531" s="128"/>
      <c r="DY531" s="128"/>
      <c r="EA531" s="128"/>
      <c r="EB531" s="128"/>
      <c r="EC531" s="128"/>
      <c r="EG531" s="128"/>
      <c r="EL531" s="128"/>
      <c r="EM531" s="128"/>
      <c r="EO531" s="128"/>
      <c r="EQ531" s="128"/>
      <c r="ES531" s="128"/>
      <c r="EU531" s="128"/>
      <c r="EW531" s="128"/>
      <c r="EY531" s="128"/>
    </row>
    <row r="532" spans="3:155">
      <c r="C532" s="128"/>
      <c r="D532" s="128"/>
      <c r="E532" s="128"/>
      <c r="F532" s="128" t="str">
        <f>IF(E532 &lt;&gt; "", VLOOKUP(E532, '[2]Internal-logic'!G$1:I$364, 2, FALSE),"")</f>
        <v/>
      </c>
      <c r="G532" s="128" t="str">
        <f>IF(E532 &lt;&gt; "", VLOOKUP(E532, '[2]Internal-logic'!G$1:I$364, 3, FALSE),"")</f>
        <v/>
      </c>
      <c r="H532" s="128"/>
      <c r="I532" s="128"/>
      <c r="J532" s="128"/>
      <c r="K532" s="128"/>
      <c r="Q532" s="128"/>
      <c r="R532" s="128"/>
      <c r="S532" s="128"/>
      <c r="U532" s="128"/>
      <c r="X532" s="128"/>
      <c r="Y532" s="128"/>
      <c r="Z532" s="128"/>
      <c r="AA532" s="128"/>
      <c r="AB532" s="128"/>
      <c r="AC532" s="128"/>
      <c r="AD532" s="128"/>
      <c r="AE532" s="128"/>
      <c r="AF532" s="128"/>
      <c r="AG532" s="128"/>
      <c r="AI532" s="128"/>
      <c r="AJ532" s="128"/>
      <c r="AY532" s="128"/>
      <c r="BN532" s="128"/>
      <c r="BQ532" s="128"/>
      <c r="BR532" s="128"/>
      <c r="BT532" s="128"/>
      <c r="BV532" s="128"/>
      <c r="BX532" s="128"/>
      <c r="CU532" s="128"/>
      <c r="CW532" s="128"/>
      <c r="DN532" s="128"/>
      <c r="DP532" s="128"/>
      <c r="DR532" s="128"/>
      <c r="DV532" s="128"/>
      <c r="DX532" s="128"/>
      <c r="DY532" s="128"/>
      <c r="EA532" s="128"/>
      <c r="EB532" s="128"/>
      <c r="EC532" s="128"/>
      <c r="EG532" s="128"/>
      <c r="EL532" s="128"/>
      <c r="EM532" s="128"/>
      <c r="EO532" s="128"/>
      <c r="EQ532" s="128"/>
      <c r="ES532" s="128"/>
      <c r="EU532" s="128"/>
      <c r="EW532" s="128"/>
      <c r="EY532" s="128"/>
    </row>
    <row r="533" spans="3:155">
      <c r="C533" s="128"/>
      <c r="D533" s="128"/>
      <c r="E533" s="128"/>
      <c r="F533" s="128" t="str">
        <f>IF(E533 &lt;&gt; "", VLOOKUP(E533, '[2]Internal-logic'!G$1:I$364, 2, FALSE),"")</f>
        <v/>
      </c>
      <c r="G533" s="128" t="str">
        <f>IF(E533 &lt;&gt; "", VLOOKUP(E533, '[2]Internal-logic'!G$1:I$364, 3, FALSE),"")</f>
        <v/>
      </c>
      <c r="H533" s="128"/>
      <c r="I533" s="128"/>
      <c r="J533" s="128"/>
      <c r="K533" s="128"/>
      <c r="Q533" s="128"/>
      <c r="R533" s="128"/>
      <c r="S533" s="128"/>
      <c r="U533" s="128"/>
      <c r="X533" s="128"/>
      <c r="Y533" s="128"/>
      <c r="Z533" s="128"/>
      <c r="AA533" s="128"/>
      <c r="AB533" s="128"/>
      <c r="AC533" s="128"/>
      <c r="AD533" s="128"/>
      <c r="AE533" s="128"/>
      <c r="AF533" s="128"/>
      <c r="AG533" s="128"/>
      <c r="AI533" s="128"/>
      <c r="AJ533" s="128"/>
      <c r="AY533" s="128"/>
      <c r="BN533" s="128"/>
      <c r="BQ533" s="128"/>
      <c r="BR533" s="128"/>
      <c r="BT533" s="128"/>
      <c r="BV533" s="128"/>
      <c r="BX533" s="128"/>
      <c r="CU533" s="128"/>
      <c r="CW533" s="128"/>
      <c r="DN533" s="128"/>
      <c r="DP533" s="128"/>
      <c r="DR533" s="128"/>
      <c r="DV533" s="128"/>
      <c r="DX533" s="128"/>
      <c r="DY533" s="128"/>
      <c r="EA533" s="128"/>
      <c r="EB533" s="128"/>
      <c r="EC533" s="128"/>
      <c r="EG533" s="128"/>
      <c r="EL533" s="128"/>
      <c r="EM533" s="128"/>
      <c r="EO533" s="128"/>
      <c r="EQ533" s="128"/>
      <c r="ES533" s="128"/>
      <c r="EU533" s="128"/>
      <c r="EW533" s="128"/>
      <c r="EY533" s="128"/>
    </row>
    <row r="534" spans="3:155">
      <c r="C534" s="128"/>
      <c r="D534" s="128"/>
      <c r="E534" s="128"/>
      <c r="F534" s="128" t="str">
        <f>IF(E534 &lt;&gt; "", VLOOKUP(E534, '[2]Internal-logic'!G$1:I$364, 2, FALSE),"")</f>
        <v/>
      </c>
      <c r="G534" s="128" t="str">
        <f>IF(E534 &lt;&gt; "", VLOOKUP(E534, '[2]Internal-logic'!G$1:I$364, 3, FALSE),"")</f>
        <v/>
      </c>
      <c r="H534" s="128"/>
      <c r="I534" s="128"/>
      <c r="J534" s="128"/>
      <c r="K534" s="128"/>
      <c r="Q534" s="128"/>
      <c r="R534" s="128"/>
      <c r="S534" s="128"/>
      <c r="U534" s="128"/>
      <c r="X534" s="128"/>
      <c r="Y534" s="128"/>
      <c r="Z534" s="128"/>
      <c r="AA534" s="128"/>
      <c r="AB534" s="128"/>
      <c r="AC534" s="128"/>
      <c r="AD534" s="128"/>
      <c r="AE534" s="128"/>
      <c r="AF534" s="128"/>
      <c r="AG534" s="128"/>
      <c r="AI534" s="128"/>
      <c r="AJ534" s="128"/>
      <c r="AY534" s="128"/>
      <c r="BN534" s="128"/>
      <c r="BQ534" s="128"/>
      <c r="BR534" s="128"/>
      <c r="BT534" s="128"/>
      <c r="BV534" s="128"/>
      <c r="BX534" s="128"/>
      <c r="CU534" s="128"/>
      <c r="CW534" s="128"/>
      <c r="DN534" s="128"/>
      <c r="DP534" s="128"/>
      <c r="DR534" s="128"/>
      <c r="DV534" s="128"/>
      <c r="DX534" s="128"/>
      <c r="DY534" s="128"/>
      <c r="EA534" s="128"/>
      <c r="EB534" s="128"/>
      <c r="EC534" s="128"/>
      <c r="EG534" s="128"/>
      <c r="EL534" s="128"/>
      <c r="EM534" s="128"/>
      <c r="EO534" s="128"/>
      <c r="EQ534" s="128"/>
      <c r="ES534" s="128"/>
      <c r="EU534" s="128"/>
      <c r="EW534" s="128"/>
      <c r="EY534" s="128"/>
    </row>
    <row r="535" spans="3:155">
      <c r="C535" s="128"/>
      <c r="D535" s="128"/>
      <c r="E535" s="128"/>
      <c r="F535" s="128" t="str">
        <f>IF(E535 &lt;&gt; "", VLOOKUP(E535, '[2]Internal-logic'!G$1:I$364, 2, FALSE),"")</f>
        <v/>
      </c>
      <c r="G535" s="128" t="str">
        <f>IF(E535 &lt;&gt; "", VLOOKUP(E535, '[2]Internal-logic'!G$1:I$364, 3, FALSE),"")</f>
        <v/>
      </c>
      <c r="H535" s="128"/>
      <c r="I535" s="128"/>
      <c r="J535" s="128"/>
      <c r="K535" s="128"/>
      <c r="Q535" s="128"/>
      <c r="R535" s="128"/>
      <c r="S535" s="128"/>
      <c r="U535" s="128"/>
      <c r="X535" s="128"/>
      <c r="Y535" s="128"/>
      <c r="Z535" s="128"/>
      <c r="AA535" s="128"/>
      <c r="AB535" s="128"/>
      <c r="AC535" s="128"/>
      <c r="AD535" s="128"/>
      <c r="AE535" s="128"/>
      <c r="AF535" s="128"/>
      <c r="AG535" s="128"/>
      <c r="AI535" s="128"/>
      <c r="AJ535" s="128"/>
      <c r="AY535" s="128"/>
      <c r="BN535" s="128"/>
      <c r="BQ535" s="128"/>
      <c r="BR535" s="128"/>
      <c r="BT535" s="128"/>
      <c r="BV535" s="128"/>
      <c r="BX535" s="128"/>
      <c r="CU535" s="128"/>
      <c r="CW535" s="128"/>
      <c r="DN535" s="128"/>
      <c r="DP535" s="128"/>
      <c r="DR535" s="128"/>
      <c r="DV535" s="128"/>
      <c r="DX535" s="128"/>
      <c r="DY535" s="128"/>
      <c r="EA535" s="128"/>
      <c r="EB535" s="128"/>
      <c r="EC535" s="128"/>
      <c r="EG535" s="128"/>
      <c r="EL535" s="128"/>
      <c r="EM535" s="128"/>
      <c r="EO535" s="128"/>
      <c r="EQ535" s="128"/>
      <c r="ES535" s="128"/>
      <c r="EU535" s="128"/>
      <c r="EW535" s="128"/>
      <c r="EY535" s="128"/>
    </row>
    <row r="536" spans="3:155">
      <c r="C536" s="128"/>
      <c r="D536" s="128"/>
      <c r="E536" s="128"/>
      <c r="F536" s="128" t="str">
        <f>IF(E536 &lt;&gt; "", VLOOKUP(E536, '[2]Internal-logic'!G$1:I$364, 2, FALSE),"")</f>
        <v/>
      </c>
      <c r="G536" s="128" t="str">
        <f>IF(E536 &lt;&gt; "", VLOOKUP(E536, '[2]Internal-logic'!G$1:I$364, 3, FALSE),"")</f>
        <v/>
      </c>
      <c r="H536" s="128"/>
      <c r="I536" s="128"/>
      <c r="J536" s="128"/>
      <c r="K536" s="128"/>
      <c r="Q536" s="128"/>
      <c r="R536" s="128"/>
      <c r="S536" s="128"/>
      <c r="U536" s="128"/>
      <c r="X536" s="128"/>
      <c r="Y536" s="128"/>
      <c r="Z536" s="128"/>
      <c r="AA536" s="128"/>
      <c r="AB536" s="128"/>
      <c r="AC536" s="128"/>
      <c r="AD536" s="128"/>
      <c r="AE536" s="128"/>
      <c r="AF536" s="128"/>
      <c r="AG536" s="128"/>
      <c r="AI536" s="128"/>
      <c r="AJ536" s="128"/>
      <c r="AY536" s="128"/>
      <c r="BN536" s="128"/>
      <c r="BQ536" s="128"/>
      <c r="BR536" s="128"/>
      <c r="BT536" s="128"/>
      <c r="BV536" s="128"/>
      <c r="BX536" s="128"/>
      <c r="CU536" s="128"/>
      <c r="CW536" s="128"/>
      <c r="DN536" s="128"/>
      <c r="DP536" s="128"/>
      <c r="DR536" s="128"/>
      <c r="DV536" s="128"/>
      <c r="DX536" s="128"/>
      <c r="DY536" s="128"/>
      <c r="EA536" s="128"/>
      <c r="EB536" s="128"/>
      <c r="EC536" s="128"/>
      <c r="EG536" s="128"/>
      <c r="EL536" s="128"/>
      <c r="EM536" s="128"/>
      <c r="EO536" s="128"/>
      <c r="EQ536" s="128"/>
      <c r="ES536" s="128"/>
      <c r="EU536" s="128"/>
      <c r="EW536" s="128"/>
      <c r="EY536" s="128"/>
    </row>
    <row r="537" spans="3:155">
      <c r="C537" s="128"/>
      <c r="D537" s="128"/>
      <c r="E537" s="128"/>
      <c r="F537" s="128" t="str">
        <f>IF(E537 &lt;&gt; "", VLOOKUP(E537, '[2]Internal-logic'!G$1:I$364, 2, FALSE),"")</f>
        <v/>
      </c>
      <c r="G537" s="128" t="str">
        <f>IF(E537 &lt;&gt; "", VLOOKUP(E537, '[2]Internal-logic'!G$1:I$364, 3, FALSE),"")</f>
        <v/>
      </c>
      <c r="H537" s="128"/>
      <c r="I537" s="128"/>
      <c r="J537" s="128"/>
      <c r="K537" s="128"/>
      <c r="Q537" s="128"/>
      <c r="R537" s="128"/>
      <c r="S537" s="128"/>
      <c r="U537" s="128"/>
      <c r="X537" s="128"/>
      <c r="Y537" s="128"/>
      <c r="Z537" s="128"/>
      <c r="AA537" s="128"/>
      <c r="AB537" s="128"/>
      <c r="AC537" s="128"/>
      <c r="AD537" s="128"/>
      <c r="AE537" s="128"/>
      <c r="AF537" s="128"/>
      <c r="AG537" s="128"/>
      <c r="AI537" s="128"/>
      <c r="AJ537" s="128"/>
      <c r="AY537" s="128"/>
      <c r="BN537" s="128"/>
      <c r="BQ537" s="128"/>
      <c r="BR537" s="128"/>
      <c r="BT537" s="128"/>
      <c r="BV537" s="128"/>
      <c r="BX537" s="128"/>
      <c r="CU537" s="128"/>
      <c r="CW537" s="128"/>
      <c r="DN537" s="128"/>
      <c r="DP537" s="128"/>
      <c r="DR537" s="128"/>
      <c r="DV537" s="128"/>
      <c r="DX537" s="128"/>
      <c r="DY537" s="128"/>
      <c r="EA537" s="128"/>
      <c r="EB537" s="128"/>
      <c r="EC537" s="128"/>
      <c r="EG537" s="128"/>
      <c r="EL537" s="128"/>
      <c r="EM537" s="128"/>
      <c r="EO537" s="128"/>
      <c r="EQ537" s="128"/>
      <c r="ES537" s="128"/>
      <c r="EU537" s="128"/>
      <c r="EW537" s="128"/>
      <c r="EY537" s="128"/>
    </row>
    <row r="538" spans="3:155">
      <c r="C538" s="128"/>
      <c r="D538" s="128"/>
      <c r="E538" s="128"/>
      <c r="F538" s="128" t="str">
        <f>IF(E538 &lt;&gt; "", VLOOKUP(E538, '[2]Internal-logic'!G$1:I$364, 2, FALSE),"")</f>
        <v/>
      </c>
      <c r="G538" s="128" t="str">
        <f>IF(E538 &lt;&gt; "", VLOOKUP(E538, '[2]Internal-logic'!G$1:I$364, 3, FALSE),"")</f>
        <v/>
      </c>
      <c r="H538" s="128"/>
      <c r="I538" s="128"/>
      <c r="J538" s="128"/>
      <c r="K538" s="128"/>
      <c r="Q538" s="128"/>
      <c r="R538" s="128"/>
      <c r="S538" s="128"/>
      <c r="U538" s="128"/>
      <c r="X538" s="128"/>
      <c r="Y538" s="128"/>
      <c r="Z538" s="128"/>
      <c r="AA538" s="128"/>
      <c r="AB538" s="128"/>
      <c r="AC538" s="128"/>
      <c r="AD538" s="128"/>
      <c r="AE538" s="128"/>
      <c r="AF538" s="128"/>
      <c r="AG538" s="128"/>
      <c r="AI538" s="128"/>
      <c r="AJ538" s="128"/>
      <c r="AY538" s="128"/>
      <c r="BN538" s="128"/>
      <c r="BQ538" s="128"/>
      <c r="BR538" s="128"/>
      <c r="BT538" s="128"/>
      <c r="BV538" s="128"/>
      <c r="BX538" s="128"/>
      <c r="CU538" s="128"/>
      <c r="CW538" s="128"/>
      <c r="DN538" s="128"/>
      <c r="DP538" s="128"/>
      <c r="DR538" s="128"/>
      <c r="DV538" s="128"/>
      <c r="DX538" s="128"/>
      <c r="DY538" s="128"/>
      <c r="EA538" s="128"/>
      <c r="EB538" s="128"/>
      <c r="EC538" s="128"/>
      <c r="EG538" s="128"/>
      <c r="EL538" s="128"/>
      <c r="EM538" s="128"/>
      <c r="EO538" s="128"/>
      <c r="EQ538" s="128"/>
      <c r="ES538" s="128"/>
      <c r="EU538" s="128"/>
      <c r="EW538" s="128"/>
      <c r="EY538" s="128"/>
    </row>
    <row r="539" spans="3:155">
      <c r="C539" s="128"/>
      <c r="D539" s="128"/>
      <c r="E539" s="128"/>
      <c r="F539" s="128" t="str">
        <f>IF(E539 &lt;&gt; "", VLOOKUP(E539, '[2]Internal-logic'!G$1:I$364, 2, FALSE),"")</f>
        <v/>
      </c>
      <c r="G539" s="128" t="str">
        <f>IF(E539 &lt;&gt; "", VLOOKUP(E539, '[2]Internal-logic'!G$1:I$364, 3, FALSE),"")</f>
        <v/>
      </c>
      <c r="H539" s="128"/>
      <c r="I539" s="128"/>
      <c r="J539" s="128"/>
      <c r="K539" s="128"/>
      <c r="Q539" s="128"/>
      <c r="R539" s="128"/>
      <c r="S539" s="128"/>
      <c r="U539" s="128"/>
      <c r="X539" s="128"/>
      <c r="Y539" s="128"/>
      <c r="Z539" s="128"/>
      <c r="AA539" s="128"/>
      <c r="AB539" s="128"/>
      <c r="AC539" s="128"/>
      <c r="AD539" s="128"/>
      <c r="AE539" s="128"/>
      <c r="AF539" s="128"/>
      <c r="AG539" s="128"/>
      <c r="AI539" s="128"/>
      <c r="AJ539" s="128"/>
      <c r="AY539" s="128"/>
      <c r="BN539" s="128"/>
      <c r="BQ539" s="128"/>
      <c r="BR539" s="128"/>
      <c r="BT539" s="128"/>
      <c r="BV539" s="128"/>
      <c r="BX539" s="128"/>
      <c r="CU539" s="128"/>
      <c r="CW539" s="128"/>
      <c r="DN539" s="128"/>
      <c r="DP539" s="128"/>
      <c r="DR539" s="128"/>
      <c r="DV539" s="128"/>
      <c r="DX539" s="128"/>
      <c r="DY539" s="128"/>
      <c r="EA539" s="128"/>
      <c r="EB539" s="128"/>
      <c r="EC539" s="128"/>
      <c r="EG539" s="128"/>
      <c r="EL539" s="128"/>
      <c r="EM539" s="128"/>
      <c r="EO539" s="128"/>
      <c r="EQ539" s="128"/>
      <c r="ES539" s="128"/>
      <c r="EU539" s="128"/>
      <c r="EW539" s="128"/>
      <c r="EY539" s="128"/>
    </row>
    <row r="540" spans="3:155">
      <c r="C540" s="128"/>
      <c r="D540" s="128"/>
      <c r="E540" s="128"/>
      <c r="F540" s="128" t="str">
        <f>IF(E540 &lt;&gt; "", VLOOKUP(E540, '[2]Internal-logic'!G$1:I$364, 2, FALSE),"")</f>
        <v/>
      </c>
      <c r="G540" s="128" t="str">
        <f>IF(E540 &lt;&gt; "", VLOOKUP(E540, '[2]Internal-logic'!G$1:I$364, 3, FALSE),"")</f>
        <v/>
      </c>
      <c r="H540" s="128"/>
      <c r="I540" s="128"/>
      <c r="J540" s="128"/>
      <c r="K540" s="128"/>
      <c r="Q540" s="128"/>
      <c r="R540" s="128"/>
      <c r="S540" s="128"/>
      <c r="U540" s="128"/>
      <c r="X540" s="128"/>
      <c r="Y540" s="128"/>
      <c r="Z540" s="128"/>
      <c r="AA540" s="128"/>
      <c r="AB540" s="128"/>
      <c r="AC540" s="128"/>
      <c r="AD540" s="128"/>
      <c r="AE540" s="128"/>
      <c r="AF540" s="128"/>
      <c r="AG540" s="128"/>
      <c r="AI540" s="128"/>
      <c r="AJ540" s="128"/>
      <c r="AY540" s="128"/>
      <c r="BN540" s="128"/>
      <c r="BQ540" s="128"/>
      <c r="BR540" s="128"/>
      <c r="BT540" s="128"/>
      <c r="BV540" s="128"/>
      <c r="BX540" s="128"/>
      <c r="CU540" s="128"/>
      <c r="CW540" s="128"/>
      <c r="DN540" s="128"/>
      <c r="DP540" s="128"/>
      <c r="DR540" s="128"/>
      <c r="DV540" s="128"/>
      <c r="DX540" s="128"/>
      <c r="DY540" s="128"/>
      <c r="EA540" s="128"/>
      <c r="EB540" s="128"/>
      <c r="EC540" s="128"/>
      <c r="EG540" s="128"/>
      <c r="EL540" s="128"/>
      <c r="EM540" s="128"/>
      <c r="EO540" s="128"/>
      <c r="EQ540" s="128"/>
      <c r="ES540" s="128"/>
      <c r="EU540" s="128"/>
      <c r="EW540" s="128"/>
      <c r="EY540" s="128"/>
    </row>
    <row r="541" spans="3:155">
      <c r="C541" s="128"/>
      <c r="D541" s="128"/>
      <c r="E541" s="128"/>
      <c r="F541" s="128" t="str">
        <f>IF(E541 &lt;&gt; "", VLOOKUP(E541, '[2]Internal-logic'!G$1:I$364, 2, FALSE),"")</f>
        <v/>
      </c>
      <c r="G541" s="128" t="str">
        <f>IF(E541 &lt;&gt; "", VLOOKUP(E541, '[2]Internal-logic'!G$1:I$364, 3, FALSE),"")</f>
        <v/>
      </c>
      <c r="H541" s="128"/>
      <c r="I541" s="128"/>
      <c r="J541" s="128"/>
      <c r="K541" s="128"/>
      <c r="Q541" s="128"/>
      <c r="R541" s="128"/>
      <c r="S541" s="128"/>
      <c r="U541" s="128"/>
      <c r="X541" s="128"/>
      <c r="Y541" s="128"/>
      <c r="Z541" s="128"/>
      <c r="AA541" s="128"/>
      <c r="AB541" s="128"/>
      <c r="AC541" s="128"/>
      <c r="AD541" s="128"/>
      <c r="AE541" s="128"/>
      <c r="AF541" s="128"/>
      <c r="AG541" s="128"/>
      <c r="AI541" s="128"/>
      <c r="AJ541" s="128"/>
      <c r="AY541" s="128"/>
      <c r="BN541" s="128"/>
      <c r="BQ541" s="128"/>
      <c r="BR541" s="128"/>
      <c r="BT541" s="128"/>
      <c r="BV541" s="128"/>
      <c r="BX541" s="128"/>
      <c r="CU541" s="128"/>
      <c r="CW541" s="128"/>
      <c r="DN541" s="128"/>
      <c r="DP541" s="128"/>
      <c r="DR541" s="128"/>
      <c r="DV541" s="128"/>
      <c r="DX541" s="128"/>
      <c r="DY541" s="128"/>
      <c r="EA541" s="128"/>
      <c r="EB541" s="128"/>
      <c r="EC541" s="128"/>
      <c r="EG541" s="128"/>
      <c r="EL541" s="128"/>
      <c r="EM541" s="128"/>
      <c r="EO541" s="128"/>
      <c r="EQ541" s="128"/>
      <c r="ES541" s="128"/>
      <c r="EU541" s="128"/>
      <c r="EW541" s="128"/>
      <c r="EY541" s="128"/>
    </row>
    <row r="542" spans="3:155">
      <c r="C542" s="128"/>
      <c r="D542" s="128"/>
      <c r="E542" s="128"/>
      <c r="F542" s="128" t="str">
        <f>IF(E542 &lt;&gt; "", VLOOKUP(E542, '[2]Internal-logic'!G$1:I$364, 2, FALSE),"")</f>
        <v/>
      </c>
      <c r="G542" s="128" t="str">
        <f>IF(E542 &lt;&gt; "", VLOOKUP(E542, '[2]Internal-logic'!G$1:I$364, 3, FALSE),"")</f>
        <v/>
      </c>
      <c r="H542" s="128"/>
      <c r="I542" s="128"/>
      <c r="J542" s="128"/>
      <c r="K542" s="128"/>
      <c r="Q542" s="128"/>
      <c r="R542" s="128"/>
      <c r="S542" s="128"/>
      <c r="U542" s="128"/>
      <c r="X542" s="128"/>
      <c r="Y542" s="128"/>
      <c r="Z542" s="128"/>
      <c r="AA542" s="128"/>
      <c r="AB542" s="128"/>
      <c r="AC542" s="128"/>
      <c r="AD542" s="128"/>
      <c r="AE542" s="128"/>
      <c r="AF542" s="128"/>
      <c r="AG542" s="128"/>
      <c r="AI542" s="128"/>
      <c r="AJ542" s="128"/>
      <c r="AY542" s="128"/>
      <c r="BN542" s="128"/>
      <c r="BQ542" s="128"/>
      <c r="BR542" s="128"/>
      <c r="BT542" s="128"/>
      <c r="BV542" s="128"/>
      <c r="BX542" s="128"/>
      <c r="CU542" s="128"/>
      <c r="CW542" s="128"/>
      <c r="DN542" s="128"/>
      <c r="DP542" s="128"/>
      <c r="DR542" s="128"/>
      <c r="DV542" s="128"/>
      <c r="DX542" s="128"/>
      <c r="DY542" s="128"/>
      <c r="EA542" s="128"/>
      <c r="EB542" s="128"/>
      <c r="EC542" s="128"/>
      <c r="EG542" s="128"/>
      <c r="EL542" s="128"/>
      <c r="EM542" s="128"/>
      <c r="EO542" s="128"/>
      <c r="EQ542" s="128"/>
      <c r="ES542" s="128"/>
      <c r="EU542" s="128"/>
      <c r="EW542" s="128"/>
      <c r="EY542" s="128"/>
    </row>
    <row r="543" spans="3:155">
      <c r="C543" s="128"/>
      <c r="D543" s="128"/>
      <c r="E543" s="128"/>
      <c r="F543" s="128" t="str">
        <f>IF(E543 &lt;&gt; "", VLOOKUP(E543, '[2]Internal-logic'!G$1:I$364, 2, FALSE),"")</f>
        <v/>
      </c>
      <c r="G543" s="128" t="str">
        <f>IF(E543 &lt;&gt; "", VLOOKUP(E543, '[2]Internal-logic'!G$1:I$364, 3, FALSE),"")</f>
        <v/>
      </c>
      <c r="H543" s="128"/>
      <c r="I543" s="128"/>
      <c r="J543" s="128"/>
      <c r="K543" s="128"/>
      <c r="Q543" s="128"/>
      <c r="R543" s="128"/>
      <c r="S543" s="128"/>
      <c r="U543" s="128"/>
      <c r="X543" s="128"/>
      <c r="Y543" s="128"/>
      <c r="Z543" s="128"/>
      <c r="AA543" s="128"/>
      <c r="AB543" s="128"/>
      <c r="AC543" s="128"/>
      <c r="AD543" s="128"/>
      <c r="AE543" s="128"/>
      <c r="AF543" s="128"/>
      <c r="AG543" s="128"/>
      <c r="AI543" s="128"/>
      <c r="AJ543" s="128"/>
      <c r="AY543" s="128"/>
      <c r="BN543" s="128"/>
      <c r="BQ543" s="128"/>
      <c r="BR543" s="128"/>
      <c r="BT543" s="128"/>
      <c r="BV543" s="128"/>
      <c r="BX543" s="128"/>
      <c r="CU543" s="128"/>
      <c r="CW543" s="128"/>
      <c r="DN543" s="128"/>
      <c r="DP543" s="128"/>
      <c r="DR543" s="128"/>
      <c r="DV543" s="128"/>
      <c r="DX543" s="128"/>
      <c r="DY543" s="128"/>
      <c r="EA543" s="128"/>
      <c r="EB543" s="128"/>
      <c r="EC543" s="128"/>
      <c r="EG543" s="128"/>
      <c r="EL543" s="128"/>
      <c r="EM543" s="128"/>
      <c r="EO543" s="128"/>
      <c r="EQ543" s="128"/>
      <c r="ES543" s="128"/>
      <c r="EU543" s="128"/>
      <c r="EW543" s="128"/>
      <c r="EY543" s="128"/>
    </row>
    <row r="544" spans="3:155">
      <c r="C544" s="128"/>
      <c r="D544" s="128"/>
      <c r="E544" s="128"/>
      <c r="F544" s="128" t="str">
        <f>IF(E544 &lt;&gt; "", VLOOKUP(E544, '[2]Internal-logic'!G$1:I$364, 2, FALSE),"")</f>
        <v/>
      </c>
      <c r="G544" s="128" t="str">
        <f>IF(E544 &lt;&gt; "", VLOOKUP(E544, '[2]Internal-logic'!G$1:I$364, 3, FALSE),"")</f>
        <v/>
      </c>
      <c r="H544" s="128"/>
      <c r="I544" s="128"/>
      <c r="J544" s="128"/>
      <c r="K544" s="128"/>
      <c r="Q544" s="128"/>
      <c r="R544" s="128"/>
      <c r="S544" s="128"/>
      <c r="U544" s="128"/>
      <c r="X544" s="128"/>
      <c r="Y544" s="128"/>
      <c r="Z544" s="128"/>
      <c r="AA544" s="128"/>
      <c r="AB544" s="128"/>
      <c r="AC544" s="128"/>
      <c r="AD544" s="128"/>
      <c r="AE544" s="128"/>
      <c r="AF544" s="128"/>
      <c r="AG544" s="128"/>
      <c r="AI544" s="128"/>
      <c r="AJ544" s="128"/>
      <c r="AY544" s="128"/>
      <c r="BN544" s="128"/>
      <c r="BQ544" s="128"/>
      <c r="BR544" s="128"/>
      <c r="BT544" s="128"/>
      <c r="BV544" s="128"/>
      <c r="BX544" s="128"/>
      <c r="CU544" s="128"/>
      <c r="CW544" s="128"/>
      <c r="DN544" s="128"/>
      <c r="DP544" s="128"/>
      <c r="DR544" s="128"/>
      <c r="DV544" s="128"/>
      <c r="DX544" s="128"/>
      <c r="DY544" s="128"/>
      <c r="EA544" s="128"/>
      <c r="EB544" s="128"/>
      <c r="EC544" s="128"/>
      <c r="EG544" s="128"/>
      <c r="EL544" s="128"/>
      <c r="EM544" s="128"/>
      <c r="EO544" s="128"/>
      <c r="EQ544" s="128"/>
      <c r="ES544" s="128"/>
      <c r="EU544" s="128"/>
      <c r="EW544" s="128"/>
      <c r="EY544" s="128"/>
    </row>
    <row r="545" spans="3:155">
      <c r="C545" s="128"/>
      <c r="D545" s="128"/>
      <c r="E545" s="128"/>
      <c r="F545" s="128" t="str">
        <f>IF(E545 &lt;&gt; "", VLOOKUP(E545, '[2]Internal-logic'!G$1:I$364, 2, FALSE),"")</f>
        <v/>
      </c>
      <c r="G545" s="128" t="str">
        <f>IF(E545 &lt;&gt; "", VLOOKUP(E545, '[2]Internal-logic'!G$1:I$364, 3, FALSE),"")</f>
        <v/>
      </c>
      <c r="H545" s="128"/>
      <c r="I545" s="128"/>
      <c r="J545" s="128"/>
      <c r="K545" s="128"/>
      <c r="Q545" s="128"/>
      <c r="R545" s="128"/>
      <c r="S545" s="128"/>
      <c r="U545" s="128"/>
      <c r="X545" s="128"/>
      <c r="Y545" s="128"/>
      <c r="Z545" s="128"/>
      <c r="AA545" s="128"/>
      <c r="AB545" s="128"/>
      <c r="AC545" s="128"/>
      <c r="AD545" s="128"/>
      <c r="AE545" s="128"/>
      <c r="AF545" s="128"/>
      <c r="AG545" s="128"/>
      <c r="AI545" s="128"/>
      <c r="AJ545" s="128"/>
      <c r="AY545" s="128"/>
      <c r="BN545" s="128"/>
      <c r="BQ545" s="128"/>
      <c r="BR545" s="128"/>
      <c r="BT545" s="128"/>
      <c r="BV545" s="128"/>
      <c r="BX545" s="128"/>
      <c r="CU545" s="128"/>
      <c r="CW545" s="128"/>
      <c r="DN545" s="128"/>
      <c r="DP545" s="128"/>
      <c r="DR545" s="128"/>
      <c r="DV545" s="128"/>
      <c r="DX545" s="128"/>
      <c r="DY545" s="128"/>
      <c r="EA545" s="128"/>
      <c r="EB545" s="128"/>
      <c r="EC545" s="128"/>
      <c r="EG545" s="128"/>
      <c r="EL545" s="128"/>
      <c r="EM545" s="128"/>
      <c r="EO545" s="128"/>
      <c r="EQ545" s="128"/>
      <c r="ES545" s="128"/>
      <c r="EU545" s="128"/>
      <c r="EW545" s="128"/>
      <c r="EY545" s="128"/>
    </row>
    <row r="546" spans="3:155">
      <c r="C546" s="128"/>
      <c r="D546" s="128"/>
      <c r="E546" s="128"/>
      <c r="F546" s="128" t="str">
        <f>IF(E546 &lt;&gt; "", VLOOKUP(E546, '[2]Internal-logic'!G$1:I$364, 2, FALSE),"")</f>
        <v/>
      </c>
      <c r="G546" s="128" t="str">
        <f>IF(E546 &lt;&gt; "", VLOOKUP(E546, '[2]Internal-logic'!G$1:I$364, 3, FALSE),"")</f>
        <v/>
      </c>
      <c r="H546" s="128"/>
      <c r="I546" s="128"/>
      <c r="J546" s="128"/>
      <c r="K546" s="128"/>
      <c r="Q546" s="128"/>
      <c r="R546" s="128"/>
      <c r="S546" s="128"/>
      <c r="U546" s="128"/>
      <c r="X546" s="128"/>
      <c r="Y546" s="128"/>
      <c r="Z546" s="128"/>
      <c r="AA546" s="128"/>
      <c r="AB546" s="128"/>
      <c r="AC546" s="128"/>
      <c r="AD546" s="128"/>
      <c r="AE546" s="128"/>
      <c r="AF546" s="128"/>
      <c r="AG546" s="128"/>
      <c r="AI546" s="128"/>
      <c r="AJ546" s="128"/>
      <c r="AY546" s="128"/>
      <c r="BN546" s="128"/>
      <c r="BQ546" s="128"/>
      <c r="BR546" s="128"/>
      <c r="BT546" s="128"/>
      <c r="BV546" s="128"/>
      <c r="BX546" s="128"/>
      <c r="CU546" s="128"/>
      <c r="CW546" s="128"/>
      <c r="DN546" s="128"/>
      <c r="DP546" s="128"/>
      <c r="DR546" s="128"/>
      <c r="DV546" s="128"/>
      <c r="DX546" s="128"/>
      <c r="DY546" s="128"/>
      <c r="EA546" s="128"/>
      <c r="EB546" s="128"/>
      <c r="EC546" s="128"/>
      <c r="EG546" s="128"/>
      <c r="EL546" s="128"/>
      <c r="EM546" s="128"/>
      <c r="EO546" s="128"/>
      <c r="EQ546" s="128"/>
      <c r="ES546" s="128"/>
      <c r="EU546" s="128"/>
      <c r="EW546" s="128"/>
      <c r="EY546" s="128"/>
    </row>
    <row r="547" spans="3:155">
      <c r="C547" s="128"/>
      <c r="D547" s="128"/>
      <c r="E547" s="128"/>
      <c r="F547" s="128" t="str">
        <f>IF(E547 &lt;&gt; "", VLOOKUP(E547, '[2]Internal-logic'!G$1:I$364, 2, FALSE),"")</f>
        <v/>
      </c>
      <c r="G547" s="128" t="str">
        <f>IF(E547 &lt;&gt; "", VLOOKUP(E547, '[2]Internal-logic'!G$1:I$364, 3, FALSE),"")</f>
        <v/>
      </c>
      <c r="H547" s="128"/>
      <c r="I547" s="128"/>
      <c r="J547" s="128"/>
      <c r="K547" s="128"/>
      <c r="Q547" s="128"/>
      <c r="R547" s="128"/>
      <c r="S547" s="128"/>
      <c r="U547" s="128"/>
      <c r="X547" s="128"/>
      <c r="Y547" s="128"/>
      <c r="Z547" s="128"/>
      <c r="AA547" s="128"/>
      <c r="AB547" s="128"/>
      <c r="AC547" s="128"/>
      <c r="AD547" s="128"/>
      <c r="AE547" s="128"/>
      <c r="AF547" s="128"/>
      <c r="AG547" s="128"/>
      <c r="AI547" s="128"/>
      <c r="AJ547" s="128"/>
      <c r="AY547" s="128"/>
      <c r="BN547" s="128"/>
      <c r="BQ547" s="128"/>
      <c r="BR547" s="128"/>
      <c r="BT547" s="128"/>
      <c r="BV547" s="128"/>
      <c r="BX547" s="128"/>
      <c r="CU547" s="128"/>
      <c r="CW547" s="128"/>
      <c r="DN547" s="128"/>
      <c r="DP547" s="128"/>
      <c r="DR547" s="128"/>
      <c r="DV547" s="128"/>
      <c r="DX547" s="128"/>
      <c r="DY547" s="128"/>
      <c r="EA547" s="128"/>
      <c r="EB547" s="128"/>
      <c r="EC547" s="128"/>
      <c r="EG547" s="128"/>
      <c r="EL547" s="128"/>
      <c r="EM547" s="128"/>
      <c r="EO547" s="128"/>
      <c r="EQ547" s="128"/>
      <c r="ES547" s="128"/>
      <c r="EU547" s="128"/>
      <c r="EW547" s="128"/>
      <c r="EY547" s="128"/>
    </row>
    <row r="548" spans="3:155">
      <c r="C548" s="128"/>
      <c r="D548" s="128"/>
      <c r="E548" s="128"/>
      <c r="F548" s="128" t="str">
        <f>IF(E548 &lt;&gt; "", VLOOKUP(E548, '[2]Internal-logic'!G$1:I$364, 2, FALSE),"")</f>
        <v/>
      </c>
      <c r="G548" s="128" t="str">
        <f>IF(E548 &lt;&gt; "", VLOOKUP(E548, '[2]Internal-logic'!G$1:I$364, 3, FALSE),"")</f>
        <v/>
      </c>
      <c r="H548" s="128"/>
      <c r="I548" s="128"/>
      <c r="J548" s="128"/>
      <c r="K548" s="128"/>
      <c r="Q548" s="128"/>
      <c r="R548" s="128"/>
      <c r="S548" s="128"/>
      <c r="U548" s="128"/>
      <c r="X548" s="128"/>
      <c r="Y548" s="128"/>
      <c r="Z548" s="128"/>
      <c r="AA548" s="128"/>
      <c r="AB548" s="128"/>
      <c r="AC548" s="128"/>
      <c r="AD548" s="128"/>
      <c r="AE548" s="128"/>
      <c r="AF548" s="128"/>
      <c r="AG548" s="128"/>
      <c r="AI548" s="128"/>
      <c r="AJ548" s="128"/>
      <c r="AY548" s="128"/>
      <c r="BN548" s="128"/>
      <c r="BQ548" s="128"/>
      <c r="BR548" s="128"/>
      <c r="BT548" s="128"/>
      <c r="BV548" s="128"/>
      <c r="BX548" s="128"/>
      <c r="CU548" s="128"/>
      <c r="CW548" s="128"/>
      <c r="DN548" s="128"/>
      <c r="DP548" s="128"/>
      <c r="DR548" s="128"/>
      <c r="DV548" s="128"/>
      <c r="DX548" s="128"/>
      <c r="DY548" s="128"/>
      <c r="EA548" s="128"/>
      <c r="EB548" s="128"/>
      <c r="EC548" s="128"/>
      <c r="EG548" s="128"/>
      <c r="EL548" s="128"/>
      <c r="EM548" s="128"/>
      <c r="EO548" s="128"/>
      <c r="EQ548" s="128"/>
      <c r="ES548" s="128"/>
      <c r="EU548" s="128"/>
      <c r="EW548" s="128"/>
      <c r="EY548" s="128"/>
    </row>
    <row r="549" spans="3:155">
      <c r="C549" s="128"/>
      <c r="D549" s="128"/>
      <c r="E549" s="128"/>
      <c r="F549" s="128" t="str">
        <f>IF(E549 &lt;&gt; "", VLOOKUP(E549, '[2]Internal-logic'!G$1:I$364, 2, FALSE),"")</f>
        <v/>
      </c>
      <c r="G549" s="128" t="str">
        <f>IF(E549 &lt;&gt; "", VLOOKUP(E549, '[2]Internal-logic'!G$1:I$364, 3, FALSE),"")</f>
        <v/>
      </c>
      <c r="H549" s="128"/>
      <c r="I549" s="128"/>
      <c r="J549" s="128"/>
      <c r="K549" s="128"/>
      <c r="Q549" s="128"/>
      <c r="R549" s="128"/>
      <c r="S549" s="128"/>
      <c r="U549" s="128"/>
      <c r="X549" s="128"/>
      <c r="Y549" s="128"/>
      <c r="Z549" s="128"/>
      <c r="AA549" s="128"/>
      <c r="AB549" s="128"/>
      <c r="AC549" s="128"/>
      <c r="AD549" s="128"/>
      <c r="AE549" s="128"/>
      <c r="AF549" s="128"/>
      <c r="AG549" s="128"/>
      <c r="AI549" s="128"/>
      <c r="AJ549" s="128"/>
      <c r="AY549" s="128"/>
      <c r="BN549" s="128"/>
      <c r="BQ549" s="128"/>
      <c r="BR549" s="128"/>
      <c r="BT549" s="128"/>
      <c r="BV549" s="128"/>
      <c r="BX549" s="128"/>
      <c r="CU549" s="128"/>
      <c r="CW549" s="128"/>
      <c r="DN549" s="128"/>
      <c r="DP549" s="128"/>
      <c r="DR549" s="128"/>
      <c r="DV549" s="128"/>
      <c r="DX549" s="128"/>
      <c r="DY549" s="128"/>
      <c r="EA549" s="128"/>
      <c r="EB549" s="128"/>
      <c r="EC549" s="128"/>
      <c r="EG549" s="128"/>
      <c r="EL549" s="128"/>
      <c r="EM549" s="128"/>
      <c r="EO549" s="128"/>
      <c r="EQ549" s="128"/>
      <c r="ES549" s="128"/>
      <c r="EU549" s="128"/>
      <c r="EW549" s="128"/>
      <c r="EY549" s="128"/>
    </row>
    <row r="550" spans="3:155">
      <c r="C550" s="128"/>
      <c r="D550" s="128"/>
      <c r="E550" s="128"/>
      <c r="F550" s="128" t="str">
        <f>IF(E550 &lt;&gt; "", VLOOKUP(E550, '[2]Internal-logic'!G$1:I$364, 2, FALSE),"")</f>
        <v/>
      </c>
      <c r="G550" s="128" t="str">
        <f>IF(E550 &lt;&gt; "", VLOOKUP(E550, '[2]Internal-logic'!G$1:I$364, 3, FALSE),"")</f>
        <v/>
      </c>
      <c r="H550" s="128"/>
      <c r="I550" s="128"/>
      <c r="J550" s="128"/>
      <c r="K550" s="128"/>
      <c r="Q550" s="128"/>
      <c r="R550" s="128"/>
      <c r="S550" s="128"/>
      <c r="U550" s="128"/>
      <c r="X550" s="128"/>
      <c r="Y550" s="128"/>
      <c r="Z550" s="128"/>
      <c r="AA550" s="128"/>
      <c r="AB550" s="128"/>
      <c r="AC550" s="128"/>
      <c r="AD550" s="128"/>
      <c r="AE550" s="128"/>
      <c r="AF550" s="128"/>
      <c r="AG550" s="128"/>
      <c r="AI550" s="128"/>
      <c r="AJ550" s="128"/>
      <c r="AY550" s="128"/>
      <c r="BN550" s="128"/>
      <c r="BQ550" s="128"/>
      <c r="BR550" s="128"/>
      <c r="BT550" s="128"/>
      <c r="BV550" s="128"/>
      <c r="BX550" s="128"/>
      <c r="CU550" s="128"/>
      <c r="CW550" s="128"/>
      <c r="DN550" s="128"/>
      <c r="DP550" s="128"/>
      <c r="DR550" s="128"/>
      <c r="DV550" s="128"/>
      <c r="DX550" s="128"/>
      <c r="DY550" s="128"/>
      <c r="EA550" s="128"/>
      <c r="EB550" s="128"/>
      <c r="EC550" s="128"/>
      <c r="EG550" s="128"/>
      <c r="EL550" s="128"/>
      <c r="EM550" s="128"/>
      <c r="EO550" s="128"/>
      <c r="EQ550" s="128"/>
      <c r="ES550" s="128"/>
      <c r="EU550" s="128"/>
      <c r="EW550" s="128"/>
      <c r="EY550" s="128"/>
    </row>
    <row r="551" spans="3:155">
      <c r="C551" s="128"/>
      <c r="D551" s="128"/>
      <c r="E551" s="128"/>
      <c r="F551" s="128" t="str">
        <f>IF(E551 &lt;&gt; "", VLOOKUP(E551, '[2]Internal-logic'!G$1:I$364, 2, FALSE),"")</f>
        <v/>
      </c>
      <c r="G551" s="128" t="str">
        <f>IF(E551 &lt;&gt; "", VLOOKUP(E551, '[2]Internal-logic'!G$1:I$364, 3, FALSE),"")</f>
        <v/>
      </c>
      <c r="H551" s="128"/>
      <c r="I551" s="128"/>
      <c r="J551" s="128"/>
      <c r="K551" s="128"/>
      <c r="Q551" s="128"/>
      <c r="R551" s="128"/>
      <c r="S551" s="128"/>
      <c r="U551" s="128"/>
      <c r="X551" s="128"/>
      <c r="Y551" s="128"/>
      <c r="Z551" s="128"/>
      <c r="AA551" s="128"/>
      <c r="AB551" s="128"/>
      <c r="AC551" s="128"/>
      <c r="AD551" s="128"/>
      <c r="AE551" s="128"/>
      <c r="AF551" s="128"/>
      <c r="AG551" s="128"/>
      <c r="AI551" s="128"/>
      <c r="AJ551" s="128"/>
      <c r="AY551" s="128"/>
      <c r="BN551" s="128"/>
      <c r="BQ551" s="128"/>
      <c r="BR551" s="128"/>
      <c r="BT551" s="128"/>
      <c r="BV551" s="128"/>
      <c r="BX551" s="128"/>
      <c r="CU551" s="128"/>
      <c r="CW551" s="128"/>
      <c r="DN551" s="128"/>
      <c r="DP551" s="128"/>
      <c r="DR551" s="128"/>
      <c r="DV551" s="128"/>
      <c r="DX551" s="128"/>
      <c r="DY551" s="128"/>
      <c r="EA551" s="128"/>
      <c r="EB551" s="128"/>
      <c r="EC551" s="128"/>
      <c r="EG551" s="128"/>
      <c r="EL551" s="128"/>
      <c r="EM551" s="128"/>
      <c r="EO551" s="128"/>
      <c r="EQ551" s="128"/>
      <c r="ES551" s="128"/>
      <c r="EU551" s="128"/>
      <c r="EW551" s="128"/>
      <c r="EY551" s="128"/>
    </row>
    <row r="552" spans="3:155">
      <c r="C552" s="128"/>
      <c r="D552" s="128"/>
      <c r="E552" s="128"/>
      <c r="F552" s="128" t="str">
        <f>IF(E552 &lt;&gt; "", VLOOKUP(E552, '[2]Internal-logic'!G$1:I$364, 2, FALSE),"")</f>
        <v/>
      </c>
      <c r="G552" s="128" t="str">
        <f>IF(E552 &lt;&gt; "", VLOOKUP(E552, '[2]Internal-logic'!G$1:I$364, 3, FALSE),"")</f>
        <v/>
      </c>
      <c r="H552" s="128"/>
      <c r="I552" s="128"/>
      <c r="J552" s="128"/>
      <c r="K552" s="128"/>
      <c r="Q552" s="128"/>
      <c r="R552" s="128"/>
      <c r="S552" s="128"/>
      <c r="U552" s="128"/>
      <c r="X552" s="128"/>
      <c r="Y552" s="128"/>
      <c r="Z552" s="128"/>
      <c r="AA552" s="128"/>
      <c r="AB552" s="128"/>
      <c r="AC552" s="128"/>
      <c r="AD552" s="128"/>
      <c r="AE552" s="128"/>
      <c r="AF552" s="128"/>
      <c r="AG552" s="128"/>
      <c r="AI552" s="128"/>
      <c r="AJ552" s="128"/>
      <c r="AY552" s="128"/>
      <c r="BN552" s="128"/>
      <c r="BQ552" s="128"/>
      <c r="BR552" s="128"/>
      <c r="BT552" s="128"/>
      <c r="BV552" s="128"/>
      <c r="BX552" s="128"/>
      <c r="CU552" s="128"/>
      <c r="CW552" s="128"/>
      <c r="DN552" s="128"/>
      <c r="DP552" s="128"/>
      <c r="DR552" s="128"/>
      <c r="DV552" s="128"/>
      <c r="DX552" s="128"/>
      <c r="DY552" s="128"/>
      <c r="EA552" s="128"/>
      <c r="EB552" s="128"/>
      <c r="EC552" s="128"/>
      <c r="EG552" s="128"/>
      <c r="EL552" s="128"/>
      <c r="EM552" s="128"/>
      <c r="EO552" s="128"/>
      <c r="EQ552" s="128"/>
      <c r="ES552" s="128"/>
      <c r="EU552" s="128"/>
      <c r="EW552" s="128"/>
      <c r="EY552" s="128"/>
    </row>
    <row r="553" spans="3:155">
      <c r="C553" s="128"/>
      <c r="D553" s="128"/>
      <c r="E553" s="128"/>
      <c r="F553" s="128" t="str">
        <f>IF(E553 &lt;&gt; "", VLOOKUP(E553, '[2]Internal-logic'!G$1:I$364, 2, FALSE),"")</f>
        <v/>
      </c>
      <c r="G553" s="128" t="str">
        <f>IF(E553 &lt;&gt; "", VLOOKUP(E553, '[2]Internal-logic'!G$1:I$364, 3, FALSE),"")</f>
        <v/>
      </c>
      <c r="H553" s="128"/>
      <c r="I553" s="128"/>
      <c r="J553" s="128"/>
      <c r="K553" s="128"/>
      <c r="Q553" s="128"/>
      <c r="R553" s="128"/>
      <c r="S553" s="128"/>
      <c r="U553" s="128"/>
      <c r="X553" s="128"/>
      <c r="Y553" s="128"/>
      <c r="Z553" s="128"/>
      <c r="AA553" s="128"/>
      <c r="AB553" s="128"/>
      <c r="AC553" s="128"/>
      <c r="AD553" s="128"/>
      <c r="AE553" s="128"/>
      <c r="AF553" s="128"/>
      <c r="AG553" s="128"/>
      <c r="AI553" s="128"/>
      <c r="AJ553" s="128"/>
      <c r="AY553" s="128"/>
      <c r="BN553" s="128"/>
      <c r="BQ553" s="128"/>
      <c r="BR553" s="128"/>
      <c r="BT553" s="128"/>
      <c r="BV553" s="128"/>
      <c r="BX553" s="128"/>
      <c r="CU553" s="128"/>
      <c r="CW553" s="128"/>
      <c r="DN553" s="128"/>
      <c r="DP553" s="128"/>
      <c r="DR553" s="128"/>
      <c r="DV553" s="128"/>
      <c r="DX553" s="128"/>
      <c r="DY553" s="128"/>
      <c r="EA553" s="128"/>
      <c r="EB553" s="128"/>
      <c r="EC553" s="128"/>
      <c r="EG553" s="128"/>
      <c r="EL553" s="128"/>
      <c r="EM553" s="128"/>
      <c r="EO553" s="128"/>
      <c r="EQ553" s="128"/>
      <c r="ES553" s="128"/>
      <c r="EU553" s="128"/>
      <c r="EW553" s="128"/>
      <c r="EY553" s="128"/>
    </row>
    <row r="554" spans="3:155">
      <c r="C554" s="128"/>
      <c r="D554" s="128"/>
      <c r="E554" s="128"/>
      <c r="F554" s="128" t="str">
        <f>IF(E554 &lt;&gt; "", VLOOKUP(E554, '[2]Internal-logic'!G$1:I$364, 2, FALSE),"")</f>
        <v/>
      </c>
      <c r="G554" s="128" t="str">
        <f>IF(E554 &lt;&gt; "", VLOOKUP(E554, '[2]Internal-logic'!G$1:I$364, 3, FALSE),"")</f>
        <v/>
      </c>
      <c r="H554" s="128"/>
      <c r="I554" s="128"/>
      <c r="J554" s="128"/>
      <c r="K554" s="128"/>
      <c r="Q554" s="128"/>
      <c r="R554" s="128"/>
      <c r="S554" s="128"/>
      <c r="U554" s="128"/>
      <c r="X554" s="128"/>
      <c r="Y554" s="128"/>
      <c r="Z554" s="128"/>
      <c r="AA554" s="128"/>
      <c r="AB554" s="128"/>
      <c r="AC554" s="128"/>
      <c r="AD554" s="128"/>
      <c r="AE554" s="128"/>
      <c r="AF554" s="128"/>
      <c r="AG554" s="128"/>
      <c r="AI554" s="128"/>
      <c r="AJ554" s="128"/>
      <c r="AY554" s="128"/>
      <c r="BN554" s="128"/>
      <c r="BQ554" s="128"/>
      <c r="BR554" s="128"/>
      <c r="BT554" s="128"/>
      <c r="BV554" s="128"/>
      <c r="BX554" s="128"/>
      <c r="CU554" s="128"/>
      <c r="CW554" s="128"/>
      <c r="DN554" s="128"/>
      <c r="DP554" s="128"/>
      <c r="DR554" s="128"/>
      <c r="DV554" s="128"/>
      <c r="DX554" s="128"/>
      <c r="DY554" s="128"/>
      <c r="EA554" s="128"/>
      <c r="EB554" s="128"/>
      <c r="EC554" s="128"/>
      <c r="EG554" s="128"/>
      <c r="EL554" s="128"/>
      <c r="EM554" s="128"/>
      <c r="EO554" s="128"/>
      <c r="EQ554" s="128"/>
      <c r="ES554" s="128"/>
      <c r="EU554" s="128"/>
      <c r="EW554" s="128"/>
      <c r="EY554" s="128"/>
    </row>
    <row r="555" spans="3:155">
      <c r="C555" s="128"/>
      <c r="D555" s="128"/>
      <c r="E555" s="128"/>
      <c r="F555" s="128" t="str">
        <f>IF(E555 &lt;&gt; "", VLOOKUP(E555, '[2]Internal-logic'!G$1:I$364, 2, FALSE),"")</f>
        <v/>
      </c>
      <c r="G555" s="128" t="str">
        <f>IF(E555 &lt;&gt; "", VLOOKUP(E555, '[2]Internal-logic'!G$1:I$364, 3, FALSE),"")</f>
        <v/>
      </c>
      <c r="H555" s="128"/>
      <c r="I555" s="128"/>
      <c r="J555" s="128"/>
      <c r="K555" s="128"/>
      <c r="Q555" s="128"/>
      <c r="R555" s="128"/>
      <c r="S555" s="128"/>
      <c r="U555" s="128"/>
      <c r="X555" s="128"/>
      <c r="Y555" s="128"/>
      <c r="Z555" s="128"/>
      <c r="AA555" s="128"/>
      <c r="AB555" s="128"/>
      <c r="AC555" s="128"/>
      <c r="AD555" s="128"/>
      <c r="AE555" s="128"/>
      <c r="AF555" s="128"/>
      <c r="AG555" s="128"/>
      <c r="AI555" s="128"/>
      <c r="AJ555" s="128"/>
      <c r="AY555" s="128"/>
      <c r="BN555" s="128"/>
      <c r="BQ555" s="128"/>
      <c r="BR555" s="128"/>
      <c r="BT555" s="128"/>
      <c r="BV555" s="128"/>
      <c r="BX555" s="128"/>
      <c r="CU555" s="128"/>
      <c r="CW555" s="128"/>
      <c r="DN555" s="128"/>
      <c r="DP555" s="128"/>
      <c r="DR555" s="128"/>
      <c r="DV555" s="128"/>
      <c r="DX555" s="128"/>
      <c r="DY555" s="128"/>
      <c r="EA555" s="128"/>
      <c r="EB555" s="128"/>
      <c r="EC555" s="128"/>
      <c r="EG555" s="128"/>
      <c r="EL555" s="128"/>
      <c r="EM555" s="128"/>
      <c r="EO555" s="128"/>
      <c r="EQ555" s="128"/>
      <c r="ES555" s="128"/>
      <c r="EU555" s="128"/>
      <c r="EW555" s="128"/>
      <c r="EY555" s="128"/>
    </row>
    <row r="556" spans="3:155">
      <c r="C556" s="128"/>
      <c r="D556" s="128"/>
      <c r="E556" s="128"/>
      <c r="F556" s="128" t="str">
        <f>IF(E556 &lt;&gt; "", VLOOKUP(E556, '[2]Internal-logic'!G$1:I$364, 2, FALSE),"")</f>
        <v/>
      </c>
      <c r="G556" s="128" t="str">
        <f>IF(E556 &lt;&gt; "", VLOOKUP(E556, '[2]Internal-logic'!G$1:I$364, 3, FALSE),"")</f>
        <v/>
      </c>
      <c r="H556" s="128"/>
      <c r="I556" s="128"/>
      <c r="J556" s="128"/>
      <c r="K556" s="128"/>
      <c r="Q556" s="128"/>
      <c r="R556" s="128"/>
      <c r="S556" s="128"/>
      <c r="U556" s="128"/>
      <c r="X556" s="128"/>
      <c r="Y556" s="128"/>
      <c r="Z556" s="128"/>
      <c r="AA556" s="128"/>
      <c r="AB556" s="128"/>
      <c r="AC556" s="128"/>
      <c r="AD556" s="128"/>
      <c r="AE556" s="128"/>
      <c r="AF556" s="128"/>
      <c r="AG556" s="128"/>
      <c r="AI556" s="128"/>
      <c r="AJ556" s="128"/>
      <c r="AY556" s="128"/>
      <c r="BN556" s="128"/>
      <c r="BQ556" s="128"/>
      <c r="BR556" s="128"/>
      <c r="BT556" s="128"/>
      <c r="BV556" s="128"/>
      <c r="BX556" s="128"/>
      <c r="CU556" s="128"/>
      <c r="CW556" s="128"/>
      <c r="DN556" s="128"/>
      <c r="DP556" s="128"/>
      <c r="DR556" s="128"/>
      <c r="DV556" s="128"/>
      <c r="DX556" s="128"/>
      <c r="DY556" s="128"/>
      <c r="EA556" s="128"/>
      <c r="EB556" s="128"/>
      <c r="EC556" s="128"/>
      <c r="EG556" s="128"/>
      <c r="EL556" s="128"/>
      <c r="EM556" s="128"/>
      <c r="EO556" s="128"/>
      <c r="EQ556" s="128"/>
      <c r="ES556" s="128"/>
      <c r="EU556" s="128"/>
      <c r="EW556" s="128"/>
      <c r="EY556" s="128"/>
    </row>
    <row r="557" spans="3:155">
      <c r="C557" s="128"/>
      <c r="D557" s="128"/>
      <c r="E557" s="128"/>
      <c r="F557" s="128" t="str">
        <f>IF(E557 &lt;&gt; "", VLOOKUP(E557, '[2]Internal-logic'!G$1:I$364, 2, FALSE),"")</f>
        <v/>
      </c>
      <c r="G557" s="128" t="str">
        <f>IF(E557 &lt;&gt; "", VLOOKUP(E557, '[2]Internal-logic'!G$1:I$364, 3, FALSE),"")</f>
        <v/>
      </c>
      <c r="H557" s="128"/>
      <c r="I557" s="128"/>
      <c r="J557" s="128"/>
      <c r="K557" s="128"/>
      <c r="Q557" s="128"/>
      <c r="R557" s="128"/>
      <c r="S557" s="128"/>
      <c r="U557" s="128"/>
      <c r="X557" s="128"/>
      <c r="Y557" s="128"/>
      <c r="Z557" s="128"/>
      <c r="AA557" s="128"/>
      <c r="AB557" s="128"/>
      <c r="AC557" s="128"/>
      <c r="AD557" s="128"/>
      <c r="AE557" s="128"/>
      <c r="AF557" s="128"/>
      <c r="AG557" s="128"/>
      <c r="AI557" s="128"/>
      <c r="AJ557" s="128"/>
      <c r="AY557" s="128"/>
      <c r="BN557" s="128"/>
      <c r="BQ557" s="128"/>
      <c r="BR557" s="128"/>
      <c r="BT557" s="128"/>
      <c r="BV557" s="128"/>
      <c r="BX557" s="128"/>
      <c r="CU557" s="128"/>
      <c r="CW557" s="128"/>
      <c r="DN557" s="128"/>
      <c r="DP557" s="128"/>
      <c r="DR557" s="128"/>
      <c r="DV557" s="128"/>
      <c r="DX557" s="128"/>
      <c r="DY557" s="128"/>
      <c r="EA557" s="128"/>
      <c r="EB557" s="128"/>
      <c r="EC557" s="128"/>
      <c r="EG557" s="128"/>
      <c r="EL557" s="128"/>
      <c r="EM557" s="128"/>
      <c r="EO557" s="128"/>
      <c r="EQ557" s="128"/>
      <c r="ES557" s="128"/>
      <c r="EU557" s="128"/>
      <c r="EW557" s="128"/>
      <c r="EY557" s="128"/>
    </row>
    <row r="558" spans="3:155">
      <c r="C558" s="128"/>
      <c r="D558" s="128"/>
      <c r="E558" s="128"/>
      <c r="F558" s="128" t="str">
        <f>IF(E558 &lt;&gt; "", VLOOKUP(E558, '[2]Internal-logic'!G$1:I$364, 2, FALSE),"")</f>
        <v/>
      </c>
      <c r="G558" s="128" t="str">
        <f>IF(E558 &lt;&gt; "", VLOOKUP(E558, '[2]Internal-logic'!G$1:I$364, 3, FALSE),"")</f>
        <v/>
      </c>
      <c r="H558" s="128"/>
      <c r="I558" s="128"/>
      <c r="J558" s="128"/>
      <c r="K558" s="128"/>
      <c r="Q558" s="128"/>
      <c r="R558" s="128"/>
      <c r="S558" s="128"/>
      <c r="U558" s="128"/>
      <c r="X558" s="128"/>
      <c r="Y558" s="128"/>
      <c r="Z558" s="128"/>
      <c r="AA558" s="128"/>
      <c r="AB558" s="128"/>
      <c r="AC558" s="128"/>
      <c r="AD558" s="128"/>
      <c r="AE558" s="128"/>
      <c r="AF558" s="128"/>
      <c r="AG558" s="128"/>
      <c r="AI558" s="128"/>
      <c r="AJ558" s="128"/>
      <c r="AY558" s="128"/>
      <c r="BN558" s="128"/>
      <c r="BQ558" s="128"/>
      <c r="BR558" s="128"/>
      <c r="BT558" s="128"/>
      <c r="BV558" s="128"/>
      <c r="BX558" s="128"/>
      <c r="CU558" s="128"/>
      <c r="CW558" s="128"/>
      <c r="DN558" s="128"/>
      <c r="DP558" s="128"/>
      <c r="DR558" s="128"/>
      <c r="DV558" s="128"/>
      <c r="DX558" s="128"/>
      <c r="DY558" s="128"/>
      <c r="EA558" s="128"/>
      <c r="EB558" s="128"/>
      <c r="EC558" s="128"/>
      <c r="EG558" s="128"/>
      <c r="EL558" s="128"/>
      <c r="EM558" s="128"/>
      <c r="EO558" s="128"/>
      <c r="EQ558" s="128"/>
      <c r="ES558" s="128"/>
      <c r="EU558" s="128"/>
      <c r="EW558" s="128"/>
      <c r="EY558" s="128"/>
    </row>
    <row r="559" spans="3:155">
      <c r="C559" s="128"/>
      <c r="D559" s="128"/>
      <c r="E559" s="128"/>
      <c r="F559" s="128" t="str">
        <f>IF(E559 &lt;&gt; "", VLOOKUP(E559, '[2]Internal-logic'!G$1:I$364, 2, FALSE),"")</f>
        <v/>
      </c>
      <c r="G559" s="128" t="str">
        <f>IF(E559 &lt;&gt; "", VLOOKUP(E559, '[2]Internal-logic'!G$1:I$364, 3, FALSE),"")</f>
        <v/>
      </c>
      <c r="H559" s="128"/>
      <c r="I559" s="128"/>
      <c r="J559" s="128"/>
      <c r="K559" s="128"/>
      <c r="Q559" s="128"/>
      <c r="R559" s="128"/>
      <c r="S559" s="128"/>
      <c r="U559" s="128"/>
      <c r="X559" s="128"/>
      <c r="Y559" s="128"/>
      <c r="Z559" s="128"/>
      <c r="AA559" s="128"/>
      <c r="AB559" s="128"/>
      <c r="AC559" s="128"/>
      <c r="AD559" s="128"/>
      <c r="AE559" s="128"/>
      <c r="AF559" s="128"/>
      <c r="AG559" s="128"/>
      <c r="AI559" s="128"/>
      <c r="AJ559" s="128"/>
      <c r="AY559" s="128"/>
      <c r="BN559" s="128"/>
      <c r="BQ559" s="128"/>
      <c r="BR559" s="128"/>
      <c r="BT559" s="128"/>
      <c r="BV559" s="128"/>
      <c r="BX559" s="128"/>
      <c r="CU559" s="128"/>
      <c r="CW559" s="128"/>
      <c r="DN559" s="128"/>
      <c r="DP559" s="128"/>
      <c r="DR559" s="128"/>
      <c r="DV559" s="128"/>
      <c r="DX559" s="128"/>
      <c r="DY559" s="128"/>
      <c r="EA559" s="128"/>
      <c r="EB559" s="128"/>
      <c r="EC559" s="128"/>
      <c r="EG559" s="128"/>
      <c r="EL559" s="128"/>
      <c r="EM559" s="128"/>
      <c r="EO559" s="128"/>
      <c r="EQ559" s="128"/>
      <c r="ES559" s="128"/>
      <c r="EU559" s="128"/>
      <c r="EW559" s="128"/>
      <c r="EY559" s="128"/>
    </row>
    <row r="560" spans="3:155">
      <c r="C560" s="128"/>
      <c r="D560" s="128"/>
      <c r="E560" s="128"/>
      <c r="F560" s="128" t="str">
        <f>IF(E560 &lt;&gt; "", VLOOKUP(E560, '[2]Internal-logic'!G$1:I$364, 2, FALSE),"")</f>
        <v/>
      </c>
      <c r="G560" s="128" t="str">
        <f>IF(E560 &lt;&gt; "", VLOOKUP(E560, '[2]Internal-logic'!G$1:I$364, 3, FALSE),"")</f>
        <v/>
      </c>
      <c r="H560" s="128"/>
      <c r="I560" s="128"/>
      <c r="J560" s="128"/>
      <c r="K560" s="128"/>
      <c r="Q560" s="128"/>
      <c r="R560" s="128"/>
      <c r="S560" s="128"/>
      <c r="U560" s="128"/>
      <c r="X560" s="128"/>
      <c r="Y560" s="128"/>
      <c r="Z560" s="128"/>
      <c r="AA560" s="128"/>
      <c r="AB560" s="128"/>
      <c r="AC560" s="128"/>
      <c r="AD560" s="128"/>
      <c r="AE560" s="128"/>
      <c r="AF560" s="128"/>
      <c r="AG560" s="128"/>
      <c r="AI560" s="128"/>
      <c r="AJ560" s="128"/>
      <c r="AY560" s="128"/>
      <c r="BN560" s="128"/>
      <c r="BQ560" s="128"/>
      <c r="BR560" s="128"/>
      <c r="BT560" s="128"/>
      <c r="BV560" s="128"/>
      <c r="BX560" s="128"/>
      <c r="CU560" s="128"/>
      <c r="CW560" s="128"/>
      <c r="DN560" s="128"/>
      <c r="DP560" s="128"/>
      <c r="DR560" s="128"/>
      <c r="DV560" s="128"/>
      <c r="DX560" s="128"/>
      <c r="DY560" s="128"/>
      <c r="EA560" s="128"/>
      <c r="EB560" s="128"/>
      <c r="EC560" s="128"/>
      <c r="EG560" s="128"/>
      <c r="EL560" s="128"/>
      <c r="EM560" s="128"/>
      <c r="EO560" s="128"/>
      <c r="EQ560" s="128"/>
      <c r="ES560" s="128"/>
      <c r="EU560" s="128"/>
      <c r="EW560" s="128"/>
      <c r="EY560" s="128"/>
    </row>
    <row r="561" spans="3:155">
      <c r="C561" s="128"/>
      <c r="D561" s="128"/>
      <c r="E561" s="128"/>
      <c r="F561" s="128" t="str">
        <f>IF(E561 &lt;&gt; "", VLOOKUP(E561, '[2]Internal-logic'!G$1:I$364, 2, FALSE),"")</f>
        <v/>
      </c>
      <c r="G561" s="128" t="str">
        <f>IF(E561 &lt;&gt; "", VLOOKUP(E561, '[2]Internal-logic'!G$1:I$364, 3, FALSE),"")</f>
        <v/>
      </c>
      <c r="H561" s="128"/>
      <c r="I561" s="128"/>
      <c r="J561" s="128"/>
      <c r="K561" s="128"/>
      <c r="Q561" s="128"/>
      <c r="R561" s="128"/>
      <c r="S561" s="128"/>
      <c r="U561" s="128"/>
      <c r="X561" s="128"/>
      <c r="Y561" s="128"/>
      <c r="Z561" s="128"/>
      <c r="AA561" s="128"/>
      <c r="AB561" s="128"/>
      <c r="AC561" s="128"/>
      <c r="AD561" s="128"/>
      <c r="AE561" s="128"/>
      <c r="AF561" s="128"/>
      <c r="AG561" s="128"/>
      <c r="AI561" s="128"/>
      <c r="AJ561" s="128"/>
      <c r="AY561" s="128"/>
      <c r="BN561" s="128"/>
      <c r="BQ561" s="128"/>
      <c r="BR561" s="128"/>
      <c r="BT561" s="128"/>
      <c r="BV561" s="128"/>
      <c r="BX561" s="128"/>
      <c r="CU561" s="128"/>
      <c r="CW561" s="128"/>
      <c r="DN561" s="128"/>
      <c r="DP561" s="128"/>
      <c r="DR561" s="128"/>
      <c r="DV561" s="128"/>
      <c r="DX561" s="128"/>
      <c r="DY561" s="128"/>
      <c r="EA561" s="128"/>
      <c r="EB561" s="128"/>
      <c r="EC561" s="128"/>
      <c r="EG561" s="128"/>
      <c r="EL561" s="128"/>
      <c r="EM561" s="128"/>
      <c r="EO561" s="128"/>
      <c r="EQ561" s="128"/>
      <c r="ES561" s="128"/>
      <c r="EU561" s="128"/>
      <c r="EW561" s="128"/>
      <c r="EY561" s="128"/>
    </row>
    <row r="562" spans="3:155">
      <c r="C562" s="128"/>
      <c r="D562" s="128"/>
      <c r="E562" s="128"/>
      <c r="F562" s="128" t="str">
        <f>IF(E562 &lt;&gt; "", VLOOKUP(E562, '[2]Internal-logic'!G$1:I$364, 2, FALSE),"")</f>
        <v/>
      </c>
      <c r="G562" s="128" t="str">
        <f>IF(E562 &lt;&gt; "", VLOOKUP(E562, '[2]Internal-logic'!G$1:I$364, 3, FALSE),"")</f>
        <v/>
      </c>
      <c r="H562" s="128"/>
      <c r="I562" s="128"/>
      <c r="J562" s="128"/>
      <c r="K562" s="128"/>
      <c r="Q562" s="128"/>
      <c r="R562" s="128"/>
      <c r="S562" s="128"/>
      <c r="U562" s="128"/>
      <c r="X562" s="128"/>
      <c r="Y562" s="128"/>
      <c r="Z562" s="128"/>
      <c r="AA562" s="128"/>
      <c r="AB562" s="128"/>
      <c r="AC562" s="128"/>
      <c r="AD562" s="128"/>
      <c r="AE562" s="128"/>
      <c r="AF562" s="128"/>
      <c r="AG562" s="128"/>
      <c r="AI562" s="128"/>
      <c r="AJ562" s="128"/>
      <c r="AY562" s="128"/>
      <c r="BN562" s="128"/>
      <c r="BQ562" s="128"/>
      <c r="BR562" s="128"/>
      <c r="BT562" s="128"/>
      <c r="BV562" s="128"/>
      <c r="BX562" s="128"/>
      <c r="CU562" s="128"/>
      <c r="CW562" s="128"/>
      <c r="DN562" s="128"/>
      <c r="DP562" s="128"/>
      <c r="DR562" s="128"/>
      <c r="DV562" s="128"/>
      <c r="DX562" s="128"/>
      <c r="DY562" s="128"/>
      <c r="EA562" s="128"/>
      <c r="EB562" s="128"/>
      <c r="EC562" s="128"/>
      <c r="EG562" s="128"/>
      <c r="EL562" s="128"/>
      <c r="EM562" s="128"/>
      <c r="EO562" s="128"/>
      <c r="EQ562" s="128"/>
      <c r="ES562" s="128"/>
      <c r="EU562" s="128"/>
      <c r="EW562" s="128"/>
      <c r="EY562" s="128"/>
    </row>
    <row r="563" spans="3:155">
      <c r="C563" s="128"/>
      <c r="D563" s="128"/>
      <c r="E563" s="128"/>
      <c r="F563" s="128" t="str">
        <f>IF(E563 &lt;&gt; "", VLOOKUP(E563, '[2]Internal-logic'!G$1:I$364, 2, FALSE),"")</f>
        <v/>
      </c>
      <c r="G563" s="128" t="str">
        <f>IF(E563 &lt;&gt; "", VLOOKUP(E563, '[2]Internal-logic'!G$1:I$364, 3, FALSE),"")</f>
        <v/>
      </c>
      <c r="H563" s="128"/>
      <c r="I563" s="128"/>
      <c r="J563" s="128"/>
      <c r="K563" s="128"/>
      <c r="Q563" s="128"/>
      <c r="R563" s="128"/>
      <c r="S563" s="128"/>
      <c r="U563" s="128"/>
      <c r="X563" s="128"/>
      <c r="Y563" s="128"/>
      <c r="Z563" s="128"/>
      <c r="AA563" s="128"/>
      <c r="AB563" s="128"/>
      <c r="AC563" s="128"/>
      <c r="AD563" s="128"/>
      <c r="AE563" s="128"/>
      <c r="AF563" s="128"/>
      <c r="AG563" s="128"/>
      <c r="AI563" s="128"/>
      <c r="AJ563" s="128"/>
      <c r="AY563" s="128"/>
      <c r="BN563" s="128"/>
      <c r="BQ563" s="128"/>
      <c r="BR563" s="128"/>
      <c r="BT563" s="128"/>
      <c r="BV563" s="128"/>
      <c r="BX563" s="128"/>
      <c r="CU563" s="128"/>
      <c r="CW563" s="128"/>
      <c r="DN563" s="128"/>
      <c r="DP563" s="128"/>
      <c r="DR563" s="128"/>
      <c r="DV563" s="128"/>
      <c r="DX563" s="128"/>
      <c r="DY563" s="128"/>
      <c r="EA563" s="128"/>
      <c r="EB563" s="128"/>
      <c r="EC563" s="128"/>
      <c r="EG563" s="128"/>
      <c r="EL563" s="128"/>
      <c r="EM563" s="128"/>
      <c r="EO563" s="128"/>
      <c r="EQ563" s="128"/>
      <c r="ES563" s="128"/>
      <c r="EU563" s="128"/>
      <c r="EW563" s="128"/>
      <c r="EY563" s="128"/>
    </row>
    <row r="564" spans="3:155">
      <c r="C564" s="128"/>
      <c r="D564" s="128"/>
      <c r="E564" s="128"/>
      <c r="F564" s="128" t="str">
        <f>IF(E564 &lt;&gt; "", VLOOKUP(E564, '[2]Internal-logic'!G$1:I$364, 2, FALSE),"")</f>
        <v/>
      </c>
      <c r="G564" s="128" t="str">
        <f>IF(E564 &lt;&gt; "", VLOOKUP(E564, '[2]Internal-logic'!G$1:I$364, 3, FALSE),"")</f>
        <v/>
      </c>
      <c r="H564" s="128"/>
      <c r="I564" s="128"/>
      <c r="J564" s="128"/>
      <c r="K564" s="128"/>
      <c r="Q564" s="128"/>
      <c r="R564" s="128"/>
      <c r="S564" s="128"/>
      <c r="U564" s="128"/>
      <c r="X564" s="128"/>
      <c r="Y564" s="128"/>
      <c r="Z564" s="128"/>
      <c r="AA564" s="128"/>
      <c r="AB564" s="128"/>
      <c r="AC564" s="128"/>
      <c r="AD564" s="128"/>
      <c r="AE564" s="128"/>
      <c r="AF564" s="128"/>
      <c r="AG564" s="128"/>
      <c r="AI564" s="128"/>
      <c r="AJ564" s="128"/>
      <c r="AY564" s="128"/>
      <c r="BN564" s="128"/>
      <c r="BQ564" s="128"/>
      <c r="BR564" s="128"/>
      <c r="BT564" s="128"/>
      <c r="BV564" s="128"/>
      <c r="BX564" s="128"/>
      <c r="CU564" s="128"/>
      <c r="CW564" s="128"/>
      <c r="DN564" s="128"/>
      <c r="DP564" s="128"/>
      <c r="DR564" s="128"/>
      <c r="DV564" s="128"/>
      <c r="DX564" s="128"/>
      <c r="DY564" s="128"/>
      <c r="EA564" s="128"/>
      <c r="EB564" s="128"/>
      <c r="EC564" s="128"/>
      <c r="EG564" s="128"/>
      <c r="EL564" s="128"/>
      <c r="EM564" s="128"/>
      <c r="EO564" s="128"/>
      <c r="EQ564" s="128"/>
      <c r="ES564" s="128"/>
      <c r="EU564" s="128"/>
      <c r="EW564" s="128"/>
      <c r="EY564" s="128"/>
    </row>
    <row r="565" spans="3:155">
      <c r="C565" s="128"/>
      <c r="D565" s="128"/>
      <c r="E565" s="128"/>
      <c r="F565" s="128" t="str">
        <f>IF(E565 &lt;&gt; "", VLOOKUP(E565, '[2]Internal-logic'!G$1:I$364, 2, FALSE),"")</f>
        <v/>
      </c>
      <c r="G565" s="128" t="str">
        <f>IF(E565 &lt;&gt; "", VLOOKUP(E565, '[2]Internal-logic'!G$1:I$364, 3, FALSE),"")</f>
        <v/>
      </c>
      <c r="H565" s="128"/>
      <c r="I565" s="128"/>
      <c r="J565" s="128"/>
      <c r="K565" s="128"/>
      <c r="Q565" s="128"/>
      <c r="R565" s="128"/>
      <c r="S565" s="128"/>
      <c r="U565" s="128"/>
      <c r="X565" s="128"/>
      <c r="Y565" s="128"/>
      <c r="Z565" s="128"/>
      <c r="AA565" s="128"/>
      <c r="AB565" s="128"/>
      <c r="AC565" s="128"/>
      <c r="AD565" s="128"/>
      <c r="AE565" s="128"/>
      <c r="AF565" s="128"/>
      <c r="AG565" s="128"/>
      <c r="AI565" s="128"/>
      <c r="AJ565" s="128"/>
      <c r="AY565" s="128"/>
      <c r="BN565" s="128"/>
      <c r="BQ565" s="128"/>
      <c r="BR565" s="128"/>
      <c r="BT565" s="128"/>
      <c r="BV565" s="128"/>
      <c r="BX565" s="128"/>
      <c r="CU565" s="128"/>
      <c r="CW565" s="128"/>
      <c r="DN565" s="128"/>
      <c r="DP565" s="128"/>
      <c r="DR565" s="128"/>
      <c r="DV565" s="128"/>
      <c r="DX565" s="128"/>
      <c r="DY565" s="128"/>
      <c r="EA565" s="128"/>
      <c r="EB565" s="128"/>
      <c r="EC565" s="128"/>
      <c r="EG565" s="128"/>
      <c r="EL565" s="128"/>
      <c r="EM565" s="128"/>
      <c r="EO565" s="128"/>
      <c r="EQ565" s="128"/>
      <c r="ES565" s="128"/>
      <c r="EU565" s="128"/>
      <c r="EW565" s="128"/>
      <c r="EY565" s="128"/>
    </row>
    <row r="566" spans="3:155">
      <c r="C566" s="128"/>
      <c r="D566" s="128"/>
      <c r="E566" s="128"/>
      <c r="F566" s="128" t="str">
        <f>IF(E566 &lt;&gt; "", VLOOKUP(E566, '[2]Internal-logic'!G$1:I$364, 2, FALSE),"")</f>
        <v/>
      </c>
      <c r="G566" s="128" t="str">
        <f>IF(E566 &lt;&gt; "", VLOOKUP(E566, '[2]Internal-logic'!G$1:I$364, 3, FALSE),"")</f>
        <v/>
      </c>
      <c r="H566" s="128"/>
      <c r="I566" s="128"/>
      <c r="J566" s="128"/>
      <c r="K566" s="128"/>
      <c r="Q566" s="128"/>
      <c r="R566" s="128"/>
      <c r="S566" s="128"/>
      <c r="U566" s="128"/>
      <c r="X566" s="128"/>
      <c r="Y566" s="128"/>
      <c r="Z566" s="128"/>
      <c r="AA566" s="128"/>
      <c r="AB566" s="128"/>
      <c r="AC566" s="128"/>
      <c r="AD566" s="128"/>
      <c r="AE566" s="128"/>
      <c r="AF566" s="128"/>
      <c r="AG566" s="128"/>
      <c r="AI566" s="128"/>
      <c r="AJ566" s="128"/>
      <c r="AY566" s="128"/>
      <c r="BN566" s="128"/>
      <c r="BQ566" s="128"/>
      <c r="BR566" s="128"/>
      <c r="BT566" s="128"/>
      <c r="BV566" s="128"/>
      <c r="BX566" s="128"/>
      <c r="CU566" s="128"/>
      <c r="CW566" s="128"/>
      <c r="DN566" s="128"/>
      <c r="DP566" s="128"/>
      <c r="DR566" s="128"/>
      <c r="DV566" s="128"/>
      <c r="DX566" s="128"/>
      <c r="DY566" s="128"/>
      <c r="EA566" s="128"/>
      <c r="EB566" s="128"/>
      <c r="EC566" s="128"/>
      <c r="EG566" s="128"/>
      <c r="EL566" s="128"/>
      <c r="EM566" s="128"/>
      <c r="EO566" s="128"/>
      <c r="EQ566" s="128"/>
      <c r="ES566" s="128"/>
      <c r="EU566" s="128"/>
      <c r="EW566" s="128"/>
      <c r="EY566" s="128"/>
    </row>
    <row r="567" spans="3:155">
      <c r="C567" s="128"/>
      <c r="D567" s="128"/>
      <c r="E567" s="128"/>
      <c r="F567" s="128" t="str">
        <f>IF(E567 &lt;&gt; "", VLOOKUP(E567, '[2]Internal-logic'!G$1:I$364, 2, FALSE),"")</f>
        <v/>
      </c>
      <c r="G567" s="128" t="str">
        <f>IF(E567 &lt;&gt; "", VLOOKUP(E567, '[2]Internal-logic'!G$1:I$364, 3, FALSE),"")</f>
        <v/>
      </c>
      <c r="H567" s="128"/>
      <c r="I567" s="128"/>
      <c r="J567" s="128"/>
      <c r="K567" s="128"/>
      <c r="Q567" s="128"/>
      <c r="R567" s="128"/>
      <c r="S567" s="128"/>
      <c r="U567" s="128"/>
      <c r="X567" s="128"/>
      <c r="Y567" s="128"/>
      <c r="Z567" s="128"/>
      <c r="AA567" s="128"/>
      <c r="AB567" s="128"/>
      <c r="AC567" s="128"/>
      <c r="AD567" s="128"/>
      <c r="AE567" s="128"/>
      <c r="AF567" s="128"/>
      <c r="AG567" s="128"/>
      <c r="AI567" s="128"/>
      <c r="AJ567" s="128"/>
      <c r="AY567" s="128"/>
      <c r="BN567" s="128"/>
      <c r="BQ567" s="128"/>
      <c r="BR567" s="128"/>
      <c r="BT567" s="128"/>
      <c r="BV567" s="128"/>
      <c r="BX567" s="128"/>
      <c r="CU567" s="128"/>
      <c r="CW567" s="128"/>
      <c r="DN567" s="128"/>
      <c r="DP567" s="128"/>
      <c r="DR567" s="128"/>
      <c r="DV567" s="128"/>
      <c r="DX567" s="128"/>
      <c r="DY567" s="128"/>
      <c r="EA567" s="128"/>
      <c r="EB567" s="128"/>
      <c r="EC567" s="128"/>
      <c r="EG567" s="128"/>
      <c r="EL567" s="128"/>
      <c r="EM567" s="128"/>
      <c r="EO567" s="128"/>
      <c r="EQ567" s="128"/>
      <c r="ES567" s="128"/>
      <c r="EU567" s="128"/>
      <c r="EW567" s="128"/>
      <c r="EY567" s="128"/>
    </row>
    <row r="568" spans="3:155">
      <c r="C568" s="128"/>
      <c r="D568" s="128"/>
      <c r="E568" s="128"/>
      <c r="F568" s="128" t="str">
        <f>IF(E568 &lt;&gt; "", VLOOKUP(E568, '[2]Internal-logic'!G$1:I$364, 2, FALSE),"")</f>
        <v/>
      </c>
      <c r="G568" s="128" t="str">
        <f>IF(E568 &lt;&gt; "", VLOOKUP(E568, '[2]Internal-logic'!G$1:I$364, 3, FALSE),"")</f>
        <v/>
      </c>
      <c r="H568" s="128"/>
      <c r="I568" s="128"/>
      <c r="J568" s="128"/>
      <c r="K568" s="128"/>
      <c r="Q568" s="128"/>
      <c r="R568" s="128"/>
      <c r="S568" s="128"/>
      <c r="U568" s="128"/>
      <c r="X568" s="128"/>
      <c r="Y568" s="128"/>
      <c r="Z568" s="128"/>
      <c r="AA568" s="128"/>
      <c r="AB568" s="128"/>
      <c r="AC568" s="128"/>
      <c r="AD568" s="128"/>
      <c r="AE568" s="128"/>
      <c r="AF568" s="128"/>
      <c r="AG568" s="128"/>
      <c r="AI568" s="128"/>
      <c r="AJ568" s="128"/>
      <c r="AY568" s="128"/>
      <c r="BN568" s="128"/>
      <c r="BQ568" s="128"/>
      <c r="BR568" s="128"/>
      <c r="BT568" s="128"/>
      <c r="BV568" s="128"/>
      <c r="BX568" s="128"/>
      <c r="CU568" s="128"/>
      <c r="CW568" s="128"/>
      <c r="DN568" s="128"/>
      <c r="DP568" s="128"/>
      <c r="DR568" s="128"/>
      <c r="DV568" s="128"/>
      <c r="DX568" s="128"/>
      <c r="DY568" s="128"/>
      <c r="EA568" s="128"/>
      <c r="EB568" s="128"/>
      <c r="EC568" s="128"/>
      <c r="EG568" s="128"/>
      <c r="EL568" s="128"/>
      <c r="EM568" s="128"/>
      <c r="EO568" s="128"/>
      <c r="EQ568" s="128"/>
      <c r="ES568" s="128"/>
      <c r="EU568" s="128"/>
      <c r="EW568" s="128"/>
      <c r="EY568" s="128"/>
    </row>
    <row r="569" spans="3:155">
      <c r="C569" s="128"/>
      <c r="D569" s="128"/>
      <c r="E569" s="128"/>
      <c r="F569" s="128" t="str">
        <f>IF(E569 &lt;&gt; "", VLOOKUP(E569, '[2]Internal-logic'!G$1:I$364, 2, FALSE),"")</f>
        <v/>
      </c>
      <c r="G569" s="128" t="str">
        <f>IF(E569 &lt;&gt; "", VLOOKUP(E569, '[2]Internal-logic'!G$1:I$364, 3, FALSE),"")</f>
        <v/>
      </c>
      <c r="H569" s="128"/>
      <c r="I569" s="128"/>
      <c r="J569" s="128"/>
      <c r="K569" s="128"/>
      <c r="Q569" s="128"/>
      <c r="R569" s="128"/>
      <c r="S569" s="128"/>
      <c r="U569" s="128"/>
      <c r="X569" s="128"/>
      <c r="Y569" s="128"/>
      <c r="Z569" s="128"/>
      <c r="AA569" s="128"/>
      <c r="AB569" s="128"/>
      <c r="AC569" s="128"/>
      <c r="AD569" s="128"/>
      <c r="AE569" s="128"/>
      <c r="AF569" s="128"/>
      <c r="AG569" s="128"/>
      <c r="AI569" s="128"/>
      <c r="AJ569" s="128"/>
      <c r="AY569" s="128"/>
      <c r="BN569" s="128"/>
      <c r="BQ569" s="128"/>
      <c r="BR569" s="128"/>
      <c r="BT569" s="128"/>
      <c r="BV569" s="128"/>
      <c r="BX569" s="128"/>
      <c r="CU569" s="128"/>
      <c r="CW569" s="128"/>
      <c r="DN569" s="128"/>
      <c r="DP569" s="128"/>
      <c r="DR569" s="128"/>
      <c r="DV569" s="128"/>
      <c r="DX569" s="128"/>
      <c r="DY569" s="128"/>
      <c r="EA569" s="128"/>
      <c r="EB569" s="128"/>
      <c r="EC569" s="128"/>
      <c r="EG569" s="128"/>
      <c r="EL569" s="128"/>
      <c r="EM569" s="128"/>
      <c r="EO569" s="128"/>
      <c r="EQ569" s="128"/>
      <c r="ES569" s="128"/>
      <c r="EU569" s="128"/>
      <c r="EW569" s="128"/>
      <c r="EY569" s="128"/>
    </row>
    <row r="570" spans="3:155">
      <c r="C570" s="128"/>
      <c r="D570" s="128"/>
      <c r="E570" s="128"/>
      <c r="F570" s="128" t="str">
        <f>IF(E570 &lt;&gt; "", VLOOKUP(E570, '[2]Internal-logic'!G$1:I$364, 2, FALSE),"")</f>
        <v/>
      </c>
      <c r="G570" s="128" t="str">
        <f>IF(E570 &lt;&gt; "", VLOOKUP(E570, '[2]Internal-logic'!G$1:I$364, 3, FALSE),"")</f>
        <v/>
      </c>
      <c r="H570" s="128"/>
      <c r="I570" s="128"/>
      <c r="J570" s="128"/>
      <c r="K570" s="128"/>
      <c r="Q570" s="128"/>
      <c r="R570" s="128"/>
      <c r="S570" s="128"/>
      <c r="U570" s="128"/>
      <c r="X570" s="128"/>
      <c r="Y570" s="128"/>
      <c r="Z570" s="128"/>
      <c r="AA570" s="128"/>
      <c r="AB570" s="128"/>
      <c r="AC570" s="128"/>
      <c r="AD570" s="128"/>
      <c r="AE570" s="128"/>
      <c r="AF570" s="128"/>
      <c r="AG570" s="128"/>
      <c r="AI570" s="128"/>
      <c r="AJ570" s="128"/>
      <c r="AY570" s="128"/>
      <c r="BN570" s="128"/>
      <c r="BQ570" s="128"/>
      <c r="BR570" s="128"/>
      <c r="BT570" s="128"/>
      <c r="BV570" s="128"/>
      <c r="BX570" s="128"/>
      <c r="CU570" s="128"/>
      <c r="CW570" s="128"/>
      <c r="DN570" s="128"/>
      <c r="DP570" s="128"/>
      <c r="DR570" s="128"/>
      <c r="DV570" s="128"/>
      <c r="DX570" s="128"/>
      <c r="DY570" s="128"/>
      <c r="EA570" s="128"/>
      <c r="EB570" s="128"/>
      <c r="EC570" s="128"/>
      <c r="EG570" s="128"/>
      <c r="EL570" s="128"/>
      <c r="EM570" s="128"/>
      <c r="EO570" s="128"/>
      <c r="EQ570" s="128"/>
      <c r="ES570" s="128"/>
      <c r="EU570" s="128"/>
      <c r="EW570" s="128"/>
      <c r="EY570" s="128"/>
    </row>
    <row r="571" spans="3:155">
      <c r="C571" s="128"/>
      <c r="D571" s="128"/>
      <c r="E571" s="128"/>
      <c r="F571" s="128" t="str">
        <f>IF(E571 &lt;&gt; "", VLOOKUP(E571, '[2]Internal-logic'!G$1:I$364, 2, FALSE),"")</f>
        <v/>
      </c>
      <c r="G571" s="128" t="str">
        <f>IF(E571 &lt;&gt; "", VLOOKUP(E571, '[2]Internal-logic'!G$1:I$364, 3, FALSE),"")</f>
        <v/>
      </c>
      <c r="H571" s="128"/>
      <c r="I571" s="128"/>
      <c r="J571" s="128"/>
      <c r="K571" s="128"/>
      <c r="Q571" s="128"/>
      <c r="R571" s="128"/>
      <c r="S571" s="128"/>
      <c r="U571" s="128"/>
      <c r="X571" s="128"/>
      <c r="Y571" s="128"/>
      <c r="Z571" s="128"/>
      <c r="AA571" s="128"/>
      <c r="AB571" s="128"/>
      <c r="AC571" s="128"/>
      <c r="AD571" s="128"/>
      <c r="AE571" s="128"/>
      <c r="AF571" s="128"/>
      <c r="AG571" s="128"/>
      <c r="AI571" s="128"/>
      <c r="AJ571" s="128"/>
      <c r="AY571" s="128"/>
      <c r="BN571" s="128"/>
      <c r="BQ571" s="128"/>
      <c r="BR571" s="128"/>
      <c r="BT571" s="128"/>
      <c r="BV571" s="128"/>
      <c r="BX571" s="128"/>
      <c r="CU571" s="128"/>
      <c r="CW571" s="128"/>
      <c r="DN571" s="128"/>
      <c r="DP571" s="128"/>
      <c r="DR571" s="128"/>
      <c r="DV571" s="128"/>
      <c r="DX571" s="128"/>
      <c r="DY571" s="128"/>
      <c r="EA571" s="128"/>
      <c r="EB571" s="128"/>
      <c r="EC571" s="128"/>
      <c r="EG571" s="128"/>
      <c r="EL571" s="128"/>
      <c r="EM571" s="128"/>
      <c r="EO571" s="128"/>
      <c r="EQ571" s="128"/>
      <c r="ES571" s="128"/>
      <c r="EU571" s="128"/>
      <c r="EW571" s="128"/>
      <c r="EY571" s="128"/>
    </row>
    <row r="572" spans="3:155">
      <c r="C572" s="128"/>
      <c r="D572" s="128"/>
      <c r="E572" s="128"/>
      <c r="F572" s="128" t="str">
        <f>IF(E572 &lt;&gt; "", VLOOKUP(E572, '[2]Internal-logic'!G$1:I$364, 2, FALSE),"")</f>
        <v/>
      </c>
      <c r="G572" s="128" t="str">
        <f>IF(E572 &lt;&gt; "", VLOOKUP(E572, '[2]Internal-logic'!G$1:I$364, 3, FALSE),"")</f>
        <v/>
      </c>
      <c r="H572" s="128"/>
      <c r="I572" s="128"/>
      <c r="J572" s="128"/>
      <c r="K572" s="128"/>
      <c r="Q572" s="128"/>
      <c r="R572" s="128"/>
      <c r="S572" s="128"/>
      <c r="U572" s="128"/>
      <c r="X572" s="128"/>
      <c r="Y572" s="128"/>
      <c r="Z572" s="128"/>
      <c r="AA572" s="128"/>
      <c r="AB572" s="128"/>
      <c r="AC572" s="128"/>
      <c r="AD572" s="128"/>
      <c r="AE572" s="128"/>
      <c r="AF572" s="128"/>
      <c r="AG572" s="128"/>
      <c r="AI572" s="128"/>
      <c r="AJ572" s="128"/>
      <c r="AY572" s="128"/>
      <c r="BN572" s="128"/>
      <c r="BQ572" s="128"/>
      <c r="BR572" s="128"/>
      <c r="BT572" s="128"/>
      <c r="BV572" s="128"/>
      <c r="BX572" s="128"/>
      <c r="CU572" s="128"/>
      <c r="CW572" s="128"/>
      <c r="DN572" s="128"/>
      <c r="DP572" s="128"/>
      <c r="DR572" s="128"/>
      <c r="DV572" s="128"/>
      <c r="DX572" s="128"/>
      <c r="DY572" s="128"/>
      <c r="EA572" s="128"/>
      <c r="EB572" s="128"/>
      <c r="EC572" s="128"/>
      <c r="EG572" s="128"/>
      <c r="EL572" s="128"/>
      <c r="EM572" s="128"/>
      <c r="EO572" s="128"/>
      <c r="EQ572" s="128"/>
      <c r="ES572" s="128"/>
      <c r="EU572" s="128"/>
      <c r="EW572" s="128"/>
      <c r="EY572" s="128"/>
    </row>
    <row r="573" spans="3:155">
      <c r="C573" s="128"/>
      <c r="D573" s="128"/>
      <c r="E573" s="128"/>
      <c r="F573" s="128" t="str">
        <f>IF(E573 &lt;&gt; "", VLOOKUP(E573, '[2]Internal-logic'!G$1:I$364, 2, FALSE),"")</f>
        <v/>
      </c>
      <c r="G573" s="128" t="str">
        <f>IF(E573 &lt;&gt; "", VLOOKUP(E573, '[2]Internal-logic'!G$1:I$364, 3, FALSE),"")</f>
        <v/>
      </c>
      <c r="H573" s="128"/>
      <c r="I573" s="128"/>
      <c r="J573" s="128"/>
      <c r="K573" s="128"/>
      <c r="Q573" s="128"/>
      <c r="R573" s="128"/>
      <c r="S573" s="128"/>
      <c r="U573" s="128"/>
      <c r="X573" s="128"/>
      <c r="Y573" s="128"/>
      <c r="Z573" s="128"/>
      <c r="AA573" s="128"/>
      <c r="AB573" s="128"/>
      <c r="AC573" s="128"/>
      <c r="AD573" s="128"/>
      <c r="AE573" s="128"/>
      <c r="AF573" s="128"/>
      <c r="AG573" s="128"/>
      <c r="AI573" s="128"/>
      <c r="AJ573" s="128"/>
      <c r="AY573" s="128"/>
      <c r="BN573" s="128"/>
      <c r="BQ573" s="128"/>
      <c r="BR573" s="128"/>
      <c r="BT573" s="128"/>
      <c r="BV573" s="128"/>
      <c r="BX573" s="128"/>
      <c r="CU573" s="128"/>
      <c r="CW573" s="128"/>
      <c r="DN573" s="128"/>
      <c r="DP573" s="128"/>
      <c r="DR573" s="128"/>
      <c r="DV573" s="128"/>
      <c r="DX573" s="128"/>
      <c r="DY573" s="128"/>
      <c r="EA573" s="128"/>
      <c r="EB573" s="128"/>
      <c r="EC573" s="128"/>
      <c r="EG573" s="128"/>
      <c r="EL573" s="128"/>
      <c r="EM573" s="128"/>
      <c r="EO573" s="128"/>
      <c r="EQ573" s="128"/>
      <c r="ES573" s="128"/>
      <c r="EU573" s="128"/>
      <c r="EW573" s="128"/>
      <c r="EY573" s="128"/>
    </row>
    <row r="574" spans="3:155">
      <c r="C574" s="128"/>
      <c r="D574" s="128"/>
      <c r="E574" s="128"/>
      <c r="F574" s="128" t="str">
        <f>IF(E574 &lt;&gt; "", VLOOKUP(E574, '[2]Internal-logic'!G$1:I$364, 2, FALSE),"")</f>
        <v/>
      </c>
      <c r="G574" s="128" t="str">
        <f>IF(E574 &lt;&gt; "", VLOOKUP(E574, '[2]Internal-logic'!G$1:I$364, 3, FALSE),"")</f>
        <v/>
      </c>
      <c r="H574" s="128"/>
      <c r="I574" s="128"/>
      <c r="J574" s="128"/>
      <c r="K574" s="128"/>
      <c r="Q574" s="128"/>
      <c r="R574" s="128"/>
      <c r="S574" s="128"/>
      <c r="U574" s="128"/>
      <c r="X574" s="128"/>
      <c r="Y574" s="128"/>
      <c r="Z574" s="128"/>
      <c r="AA574" s="128"/>
      <c r="AB574" s="128"/>
      <c r="AC574" s="128"/>
      <c r="AD574" s="128"/>
      <c r="AE574" s="128"/>
      <c r="AF574" s="128"/>
      <c r="AG574" s="128"/>
      <c r="AI574" s="128"/>
      <c r="AJ574" s="128"/>
      <c r="AY574" s="128"/>
      <c r="BN574" s="128"/>
      <c r="BQ574" s="128"/>
      <c r="BR574" s="128"/>
      <c r="BT574" s="128"/>
      <c r="BV574" s="128"/>
      <c r="BX574" s="128"/>
      <c r="CU574" s="128"/>
      <c r="CW574" s="128"/>
      <c r="DN574" s="128"/>
      <c r="DP574" s="128"/>
      <c r="DR574" s="128"/>
      <c r="DV574" s="128"/>
      <c r="DX574" s="128"/>
      <c r="DY574" s="128"/>
      <c r="EA574" s="128"/>
      <c r="EB574" s="128"/>
      <c r="EC574" s="128"/>
      <c r="EG574" s="128"/>
      <c r="EL574" s="128"/>
      <c r="EM574" s="128"/>
      <c r="EO574" s="128"/>
      <c r="EQ574" s="128"/>
      <c r="ES574" s="128"/>
      <c r="EU574" s="128"/>
      <c r="EW574" s="128"/>
      <c r="EY574" s="128"/>
    </row>
    <row r="575" spans="3:155">
      <c r="C575" s="128"/>
      <c r="D575" s="128"/>
      <c r="E575" s="128"/>
      <c r="F575" s="128" t="str">
        <f>IF(E575 &lt;&gt; "", VLOOKUP(E575, '[2]Internal-logic'!G$1:I$364, 2, FALSE),"")</f>
        <v/>
      </c>
      <c r="G575" s="128" t="str">
        <f>IF(E575 &lt;&gt; "", VLOOKUP(E575, '[2]Internal-logic'!G$1:I$364, 3, FALSE),"")</f>
        <v/>
      </c>
      <c r="H575" s="128"/>
      <c r="I575" s="128"/>
      <c r="J575" s="128"/>
      <c r="K575" s="128"/>
      <c r="Q575" s="128"/>
      <c r="R575" s="128"/>
      <c r="S575" s="128"/>
      <c r="U575" s="128"/>
      <c r="X575" s="128"/>
      <c r="Y575" s="128"/>
      <c r="Z575" s="128"/>
      <c r="AA575" s="128"/>
      <c r="AB575" s="128"/>
      <c r="AC575" s="128"/>
      <c r="AD575" s="128"/>
      <c r="AE575" s="128"/>
      <c r="AF575" s="128"/>
      <c r="AG575" s="128"/>
      <c r="AI575" s="128"/>
      <c r="AJ575" s="128"/>
      <c r="AY575" s="128"/>
      <c r="BN575" s="128"/>
      <c r="BQ575" s="128"/>
      <c r="BR575" s="128"/>
      <c r="BT575" s="128"/>
      <c r="BV575" s="128"/>
      <c r="BX575" s="128"/>
      <c r="CU575" s="128"/>
      <c r="CW575" s="128"/>
      <c r="DN575" s="128"/>
      <c r="DP575" s="128"/>
      <c r="DR575" s="128"/>
      <c r="DV575" s="128"/>
      <c r="DX575" s="128"/>
      <c r="DY575" s="128"/>
      <c r="EA575" s="128"/>
      <c r="EB575" s="128"/>
      <c r="EC575" s="128"/>
      <c r="EG575" s="128"/>
      <c r="EL575" s="128"/>
      <c r="EM575" s="128"/>
      <c r="EO575" s="128"/>
      <c r="EQ575" s="128"/>
      <c r="ES575" s="128"/>
      <c r="EU575" s="128"/>
      <c r="EW575" s="128"/>
      <c r="EY575" s="128"/>
    </row>
    <row r="576" spans="3:155">
      <c r="C576" s="128"/>
      <c r="D576" s="128"/>
      <c r="E576" s="128"/>
      <c r="F576" s="128" t="str">
        <f>IF(E576 &lt;&gt; "", VLOOKUP(E576, '[2]Internal-logic'!G$1:I$364, 2, FALSE),"")</f>
        <v/>
      </c>
      <c r="G576" s="128" t="str">
        <f>IF(E576 &lt;&gt; "", VLOOKUP(E576, '[2]Internal-logic'!G$1:I$364, 3, FALSE),"")</f>
        <v/>
      </c>
      <c r="H576" s="128"/>
      <c r="I576" s="128"/>
      <c r="J576" s="128"/>
      <c r="K576" s="128"/>
      <c r="Q576" s="128"/>
      <c r="R576" s="128"/>
      <c r="S576" s="128"/>
      <c r="U576" s="128"/>
      <c r="X576" s="128"/>
      <c r="Y576" s="128"/>
      <c r="Z576" s="128"/>
      <c r="AA576" s="128"/>
      <c r="AB576" s="128"/>
      <c r="AC576" s="128"/>
      <c r="AD576" s="128"/>
      <c r="AE576" s="128"/>
      <c r="AF576" s="128"/>
      <c r="AG576" s="128"/>
      <c r="AI576" s="128"/>
      <c r="AJ576" s="128"/>
      <c r="AY576" s="128"/>
      <c r="BN576" s="128"/>
      <c r="BQ576" s="128"/>
      <c r="BR576" s="128"/>
      <c r="BT576" s="128"/>
      <c r="BV576" s="128"/>
      <c r="BX576" s="128"/>
      <c r="CU576" s="128"/>
      <c r="CW576" s="128"/>
      <c r="DN576" s="128"/>
      <c r="DP576" s="128"/>
      <c r="DR576" s="128"/>
      <c r="DV576" s="128"/>
      <c r="DX576" s="128"/>
      <c r="DY576" s="128"/>
      <c r="EA576" s="128"/>
      <c r="EB576" s="128"/>
      <c r="EC576" s="128"/>
      <c r="EG576" s="128"/>
      <c r="EL576" s="128"/>
      <c r="EM576" s="128"/>
      <c r="EO576" s="128"/>
      <c r="EQ576" s="128"/>
      <c r="ES576" s="128"/>
      <c r="EU576" s="128"/>
      <c r="EW576" s="128"/>
      <c r="EY576" s="128"/>
    </row>
    <row r="577" spans="3:155">
      <c r="C577" s="128"/>
      <c r="D577" s="128"/>
      <c r="E577" s="128"/>
      <c r="F577" s="128" t="str">
        <f>IF(E577 &lt;&gt; "", VLOOKUP(E577, '[2]Internal-logic'!G$1:I$364, 2, FALSE),"")</f>
        <v/>
      </c>
      <c r="G577" s="128" t="str">
        <f>IF(E577 &lt;&gt; "", VLOOKUP(E577, '[2]Internal-logic'!G$1:I$364, 3, FALSE),"")</f>
        <v/>
      </c>
      <c r="H577" s="128"/>
      <c r="I577" s="128"/>
      <c r="J577" s="128"/>
      <c r="K577" s="128"/>
      <c r="Q577" s="128"/>
      <c r="R577" s="128"/>
      <c r="S577" s="128"/>
      <c r="U577" s="128"/>
      <c r="X577" s="128"/>
      <c r="Y577" s="128"/>
      <c r="Z577" s="128"/>
      <c r="AA577" s="128"/>
      <c r="AB577" s="128"/>
      <c r="AC577" s="128"/>
      <c r="AD577" s="128"/>
      <c r="AE577" s="128"/>
      <c r="AF577" s="128"/>
      <c r="AG577" s="128"/>
      <c r="AI577" s="128"/>
      <c r="AJ577" s="128"/>
      <c r="AY577" s="128"/>
      <c r="BN577" s="128"/>
      <c r="BQ577" s="128"/>
      <c r="BR577" s="128"/>
      <c r="BT577" s="128"/>
      <c r="BV577" s="128"/>
      <c r="BX577" s="128"/>
      <c r="CU577" s="128"/>
      <c r="CW577" s="128"/>
      <c r="DN577" s="128"/>
      <c r="DP577" s="128"/>
      <c r="DR577" s="128"/>
      <c r="DV577" s="128"/>
      <c r="DX577" s="128"/>
      <c r="DY577" s="128"/>
      <c r="EA577" s="128"/>
      <c r="EB577" s="128"/>
      <c r="EC577" s="128"/>
      <c r="EG577" s="128"/>
      <c r="EL577" s="128"/>
      <c r="EM577" s="128"/>
      <c r="EO577" s="128"/>
      <c r="EQ577" s="128"/>
      <c r="ES577" s="128"/>
      <c r="EU577" s="128"/>
      <c r="EW577" s="128"/>
      <c r="EY577" s="128"/>
    </row>
    <row r="578" spans="3:155">
      <c r="C578" s="128"/>
      <c r="D578" s="128"/>
      <c r="E578" s="128"/>
      <c r="F578" s="128" t="str">
        <f>IF(E578 &lt;&gt; "", VLOOKUP(E578, '[2]Internal-logic'!G$1:I$364, 2, FALSE),"")</f>
        <v/>
      </c>
      <c r="G578" s="128" t="str">
        <f>IF(E578 &lt;&gt; "", VLOOKUP(E578, '[2]Internal-logic'!G$1:I$364, 3, FALSE),"")</f>
        <v/>
      </c>
      <c r="H578" s="128"/>
      <c r="I578" s="128"/>
      <c r="J578" s="128"/>
      <c r="K578" s="128"/>
      <c r="Q578" s="128"/>
      <c r="R578" s="128"/>
      <c r="S578" s="128"/>
      <c r="U578" s="128"/>
      <c r="X578" s="128"/>
      <c r="Y578" s="128"/>
      <c r="Z578" s="128"/>
      <c r="AA578" s="128"/>
      <c r="AB578" s="128"/>
      <c r="AC578" s="128"/>
      <c r="AD578" s="128"/>
      <c r="AE578" s="128"/>
      <c r="AF578" s="128"/>
      <c r="AG578" s="128"/>
      <c r="AI578" s="128"/>
      <c r="AJ578" s="128"/>
      <c r="AY578" s="128"/>
      <c r="BN578" s="128"/>
      <c r="BQ578" s="128"/>
      <c r="BR578" s="128"/>
      <c r="BT578" s="128"/>
      <c r="BV578" s="128"/>
      <c r="BX578" s="128"/>
      <c r="CU578" s="128"/>
      <c r="CW578" s="128"/>
      <c r="DN578" s="128"/>
      <c r="DP578" s="128"/>
      <c r="DR578" s="128"/>
      <c r="DV578" s="128"/>
      <c r="DX578" s="128"/>
      <c r="DY578" s="128"/>
      <c r="EA578" s="128"/>
      <c r="EB578" s="128"/>
      <c r="EC578" s="128"/>
      <c r="EG578" s="128"/>
      <c r="EL578" s="128"/>
      <c r="EM578" s="128"/>
      <c r="EO578" s="128"/>
      <c r="EQ578" s="128"/>
      <c r="ES578" s="128"/>
      <c r="EU578" s="128"/>
      <c r="EW578" s="128"/>
      <c r="EY578" s="128"/>
    </row>
    <row r="579" spans="3:155">
      <c r="C579" s="128"/>
      <c r="D579" s="128"/>
      <c r="E579" s="128"/>
      <c r="F579" s="128" t="str">
        <f>IF(E579 &lt;&gt; "", VLOOKUP(E579, '[2]Internal-logic'!G$1:I$364, 2, FALSE),"")</f>
        <v/>
      </c>
      <c r="G579" s="128" t="str">
        <f>IF(E579 &lt;&gt; "", VLOOKUP(E579, '[2]Internal-logic'!G$1:I$364, 3, FALSE),"")</f>
        <v/>
      </c>
      <c r="H579" s="128"/>
      <c r="I579" s="128"/>
      <c r="J579" s="128"/>
      <c r="K579" s="128"/>
      <c r="Q579" s="128"/>
      <c r="R579" s="128"/>
      <c r="S579" s="128"/>
      <c r="U579" s="128"/>
      <c r="X579" s="128"/>
      <c r="Y579" s="128"/>
      <c r="Z579" s="128"/>
      <c r="AA579" s="128"/>
      <c r="AB579" s="128"/>
      <c r="AC579" s="128"/>
      <c r="AD579" s="128"/>
      <c r="AE579" s="128"/>
      <c r="AF579" s="128"/>
      <c r="AG579" s="128"/>
      <c r="AI579" s="128"/>
      <c r="AJ579" s="128"/>
      <c r="AY579" s="128"/>
      <c r="BN579" s="128"/>
      <c r="BQ579" s="128"/>
      <c r="BR579" s="128"/>
      <c r="BT579" s="128"/>
      <c r="BV579" s="128"/>
      <c r="BX579" s="128"/>
      <c r="CU579" s="128"/>
      <c r="CW579" s="128"/>
      <c r="DN579" s="128"/>
      <c r="DP579" s="128"/>
      <c r="DR579" s="128"/>
      <c r="DV579" s="128"/>
      <c r="DX579" s="128"/>
      <c r="DY579" s="128"/>
      <c r="EA579" s="128"/>
      <c r="EB579" s="128"/>
      <c r="EC579" s="128"/>
      <c r="EG579" s="128"/>
      <c r="EL579" s="128"/>
      <c r="EM579" s="128"/>
      <c r="EO579" s="128"/>
      <c r="EQ579" s="128"/>
      <c r="ES579" s="128"/>
      <c r="EU579" s="128"/>
      <c r="EW579" s="128"/>
      <c r="EY579" s="128"/>
    </row>
    <row r="580" spans="3:155">
      <c r="C580" s="128"/>
      <c r="D580" s="128"/>
      <c r="E580" s="128"/>
      <c r="F580" s="128" t="str">
        <f>IF(E580 &lt;&gt; "", VLOOKUP(E580, '[2]Internal-logic'!G$1:I$364, 2, FALSE),"")</f>
        <v/>
      </c>
      <c r="G580" s="128" t="str">
        <f>IF(E580 &lt;&gt; "", VLOOKUP(E580, '[2]Internal-logic'!G$1:I$364, 3, FALSE),"")</f>
        <v/>
      </c>
      <c r="H580" s="128"/>
      <c r="I580" s="128"/>
      <c r="J580" s="128"/>
      <c r="K580" s="128"/>
      <c r="Q580" s="128"/>
      <c r="R580" s="128"/>
      <c r="S580" s="128"/>
      <c r="U580" s="128"/>
      <c r="X580" s="128"/>
      <c r="Y580" s="128"/>
      <c r="Z580" s="128"/>
      <c r="AA580" s="128"/>
      <c r="AB580" s="128"/>
      <c r="AC580" s="128"/>
      <c r="AD580" s="128"/>
      <c r="AE580" s="128"/>
      <c r="AF580" s="128"/>
      <c r="AG580" s="128"/>
      <c r="AI580" s="128"/>
      <c r="AJ580" s="128"/>
      <c r="AY580" s="128"/>
      <c r="BN580" s="128"/>
      <c r="BQ580" s="128"/>
      <c r="BR580" s="128"/>
      <c r="BT580" s="128"/>
      <c r="BV580" s="128"/>
      <c r="BX580" s="128"/>
      <c r="CU580" s="128"/>
      <c r="CW580" s="128"/>
      <c r="DN580" s="128"/>
      <c r="DP580" s="128"/>
      <c r="DR580" s="128"/>
      <c r="DV580" s="128"/>
      <c r="DX580" s="128"/>
      <c r="DY580" s="128"/>
      <c r="EA580" s="128"/>
      <c r="EB580" s="128"/>
      <c r="EC580" s="128"/>
      <c r="EG580" s="128"/>
      <c r="EL580" s="128"/>
      <c r="EM580" s="128"/>
      <c r="EO580" s="128"/>
      <c r="EQ580" s="128"/>
      <c r="ES580" s="128"/>
      <c r="EU580" s="128"/>
      <c r="EW580" s="128"/>
      <c r="EY580" s="128"/>
    </row>
    <row r="581" spans="3:155">
      <c r="C581" s="128"/>
      <c r="D581" s="128"/>
      <c r="E581" s="128"/>
      <c r="F581" s="128" t="str">
        <f>IF(E581 &lt;&gt; "", VLOOKUP(E581, '[2]Internal-logic'!G$1:I$364, 2, FALSE),"")</f>
        <v/>
      </c>
      <c r="G581" s="128" t="str">
        <f>IF(E581 &lt;&gt; "", VLOOKUP(E581, '[2]Internal-logic'!G$1:I$364, 3, FALSE),"")</f>
        <v/>
      </c>
      <c r="H581" s="128"/>
      <c r="I581" s="128"/>
      <c r="J581" s="128"/>
      <c r="K581" s="128"/>
      <c r="Q581" s="128"/>
      <c r="R581" s="128"/>
      <c r="S581" s="128"/>
      <c r="U581" s="128"/>
      <c r="X581" s="128"/>
      <c r="Y581" s="128"/>
      <c r="Z581" s="128"/>
      <c r="AA581" s="128"/>
      <c r="AB581" s="128"/>
      <c r="AC581" s="128"/>
      <c r="AD581" s="128"/>
      <c r="AE581" s="128"/>
      <c r="AF581" s="128"/>
      <c r="AG581" s="128"/>
      <c r="AI581" s="128"/>
      <c r="AJ581" s="128"/>
      <c r="AY581" s="128"/>
      <c r="BN581" s="128"/>
      <c r="BQ581" s="128"/>
      <c r="BR581" s="128"/>
      <c r="BT581" s="128"/>
      <c r="BV581" s="128"/>
      <c r="BX581" s="128"/>
      <c r="CU581" s="128"/>
      <c r="CW581" s="128"/>
      <c r="DN581" s="128"/>
      <c r="DP581" s="128"/>
      <c r="DR581" s="128"/>
      <c r="DV581" s="128"/>
      <c r="DX581" s="128"/>
      <c r="DY581" s="128"/>
      <c r="EA581" s="128"/>
      <c r="EB581" s="128"/>
      <c r="EC581" s="128"/>
      <c r="EG581" s="128"/>
      <c r="EL581" s="128"/>
      <c r="EM581" s="128"/>
      <c r="EO581" s="128"/>
      <c r="EQ581" s="128"/>
      <c r="ES581" s="128"/>
      <c r="EU581" s="128"/>
      <c r="EW581" s="128"/>
      <c r="EY581" s="128"/>
    </row>
    <row r="582" spans="3:155">
      <c r="C582" s="128"/>
      <c r="D582" s="128"/>
      <c r="E582" s="128"/>
      <c r="F582" s="128" t="str">
        <f>IF(E582 &lt;&gt; "", VLOOKUP(E582, '[2]Internal-logic'!G$1:I$364, 2, FALSE),"")</f>
        <v/>
      </c>
      <c r="G582" s="128" t="str">
        <f>IF(E582 &lt;&gt; "", VLOOKUP(E582, '[2]Internal-logic'!G$1:I$364, 3, FALSE),"")</f>
        <v/>
      </c>
      <c r="H582" s="128"/>
      <c r="I582" s="128"/>
      <c r="J582" s="128"/>
      <c r="K582" s="128"/>
      <c r="Q582" s="128"/>
      <c r="R582" s="128"/>
      <c r="S582" s="128"/>
      <c r="U582" s="128"/>
      <c r="X582" s="128"/>
      <c r="Y582" s="128"/>
      <c r="Z582" s="128"/>
      <c r="AA582" s="128"/>
      <c r="AB582" s="128"/>
      <c r="AC582" s="128"/>
      <c r="AD582" s="128"/>
      <c r="AE582" s="128"/>
      <c r="AF582" s="128"/>
      <c r="AG582" s="128"/>
      <c r="AI582" s="128"/>
      <c r="AJ582" s="128"/>
      <c r="AY582" s="128"/>
      <c r="BN582" s="128"/>
      <c r="BQ582" s="128"/>
      <c r="BR582" s="128"/>
      <c r="BT582" s="128"/>
      <c r="BV582" s="128"/>
      <c r="BX582" s="128"/>
      <c r="CU582" s="128"/>
      <c r="CW582" s="128"/>
      <c r="DN582" s="128"/>
      <c r="DP582" s="128"/>
      <c r="DR582" s="128"/>
      <c r="DV582" s="128"/>
      <c r="DX582" s="128"/>
      <c r="DY582" s="128"/>
      <c r="EA582" s="128"/>
      <c r="EB582" s="128"/>
      <c r="EC582" s="128"/>
      <c r="EG582" s="128"/>
      <c r="EL582" s="128"/>
      <c r="EM582" s="128"/>
      <c r="EO582" s="128"/>
      <c r="EQ582" s="128"/>
      <c r="ES582" s="128"/>
      <c r="EU582" s="128"/>
      <c r="EW582" s="128"/>
      <c r="EY582" s="128"/>
    </row>
    <row r="583" spans="3:155">
      <c r="C583" s="128"/>
      <c r="D583" s="128"/>
      <c r="E583" s="128"/>
      <c r="F583" s="128" t="str">
        <f>IF(E583 &lt;&gt; "", VLOOKUP(E583, '[2]Internal-logic'!G$1:I$364, 2, FALSE),"")</f>
        <v/>
      </c>
      <c r="G583" s="128" t="str">
        <f>IF(E583 &lt;&gt; "", VLOOKUP(E583, '[2]Internal-logic'!G$1:I$364, 3, FALSE),"")</f>
        <v/>
      </c>
      <c r="H583" s="128"/>
      <c r="I583" s="128"/>
      <c r="J583" s="128"/>
      <c r="K583" s="128"/>
      <c r="Q583" s="128"/>
      <c r="R583" s="128"/>
      <c r="S583" s="128"/>
      <c r="U583" s="128"/>
      <c r="X583" s="128"/>
      <c r="Y583" s="128"/>
      <c r="Z583" s="128"/>
      <c r="AA583" s="128"/>
      <c r="AB583" s="128"/>
      <c r="AC583" s="128"/>
      <c r="AD583" s="128"/>
      <c r="AE583" s="128"/>
      <c r="AF583" s="128"/>
      <c r="AG583" s="128"/>
      <c r="AI583" s="128"/>
      <c r="AJ583" s="128"/>
      <c r="AY583" s="128"/>
      <c r="BN583" s="128"/>
      <c r="BQ583" s="128"/>
      <c r="BR583" s="128"/>
      <c r="BT583" s="128"/>
      <c r="BV583" s="128"/>
      <c r="BX583" s="128"/>
      <c r="CU583" s="128"/>
      <c r="CW583" s="128"/>
      <c r="DN583" s="128"/>
      <c r="DP583" s="128"/>
      <c r="DR583" s="128"/>
      <c r="DV583" s="128"/>
      <c r="DX583" s="128"/>
      <c r="DY583" s="128"/>
      <c r="EA583" s="128"/>
      <c r="EB583" s="128"/>
      <c r="EC583" s="128"/>
      <c r="EG583" s="128"/>
      <c r="EL583" s="128"/>
      <c r="EM583" s="128"/>
      <c r="EO583" s="128"/>
      <c r="EQ583" s="128"/>
      <c r="ES583" s="128"/>
      <c r="EU583" s="128"/>
      <c r="EW583" s="128"/>
      <c r="EY583" s="128"/>
    </row>
    <row r="584" spans="3:155">
      <c r="C584" s="128"/>
      <c r="D584" s="128"/>
      <c r="E584" s="128"/>
      <c r="F584" s="128" t="str">
        <f>IF(E584 &lt;&gt; "", VLOOKUP(E584, '[2]Internal-logic'!G$1:I$364, 2, FALSE),"")</f>
        <v/>
      </c>
      <c r="G584" s="128" t="str">
        <f>IF(E584 &lt;&gt; "", VLOOKUP(E584, '[2]Internal-logic'!G$1:I$364, 3, FALSE),"")</f>
        <v/>
      </c>
      <c r="H584" s="128"/>
      <c r="I584" s="128"/>
      <c r="J584" s="128"/>
      <c r="K584" s="128"/>
      <c r="Q584" s="128"/>
      <c r="R584" s="128"/>
      <c r="S584" s="128"/>
      <c r="U584" s="128"/>
      <c r="X584" s="128"/>
      <c r="Y584" s="128"/>
      <c r="Z584" s="128"/>
      <c r="AA584" s="128"/>
      <c r="AB584" s="128"/>
      <c r="AC584" s="128"/>
      <c r="AD584" s="128"/>
      <c r="AE584" s="128"/>
      <c r="AF584" s="128"/>
      <c r="AG584" s="128"/>
      <c r="AI584" s="128"/>
      <c r="AJ584" s="128"/>
      <c r="AY584" s="128"/>
      <c r="BN584" s="128"/>
      <c r="BQ584" s="128"/>
      <c r="BR584" s="128"/>
      <c r="BT584" s="128"/>
      <c r="BV584" s="128"/>
      <c r="BX584" s="128"/>
      <c r="CU584" s="128"/>
      <c r="CW584" s="128"/>
      <c r="DN584" s="128"/>
      <c r="DP584" s="128"/>
      <c r="DR584" s="128"/>
      <c r="DV584" s="128"/>
      <c r="DX584" s="128"/>
      <c r="DY584" s="128"/>
      <c r="EA584" s="128"/>
      <c r="EB584" s="128"/>
      <c r="EC584" s="128"/>
      <c r="EG584" s="128"/>
      <c r="EL584" s="128"/>
      <c r="EM584" s="128"/>
      <c r="EO584" s="128"/>
      <c r="EQ584" s="128"/>
      <c r="ES584" s="128"/>
      <c r="EU584" s="128"/>
      <c r="EW584" s="128"/>
      <c r="EY584" s="128"/>
    </row>
    <row r="585" spans="3:155">
      <c r="C585" s="128"/>
      <c r="D585" s="128"/>
      <c r="E585" s="128"/>
      <c r="F585" s="128" t="str">
        <f>IF(E585 &lt;&gt; "", VLOOKUP(E585, '[2]Internal-logic'!G$1:I$364, 2, FALSE),"")</f>
        <v/>
      </c>
      <c r="G585" s="128" t="str">
        <f>IF(E585 &lt;&gt; "", VLOOKUP(E585, '[2]Internal-logic'!G$1:I$364, 3, FALSE),"")</f>
        <v/>
      </c>
      <c r="H585" s="128"/>
      <c r="I585" s="128"/>
      <c r="J585" s="128"/>
      <c r="K585" s="128"/>
      <c r="Q585" s="128"/>
      <c r="R585" s="128"/>
      <c r="S585" s="128"/>
      <c r="U585" s="128"/>
      <c r="X585" s="128"/>
      <c r="Y585" s="128"/>
      <c r="Z585" s="128"/>
      <c r="AA585" s="128"/>
      <c r="AB585" s="128"/>
      <c r="AC585" s="128"/>
      <c r="AD585" s="128"/>
      <c r="AE585" s="128"/>
      <c r="AF585" s="128"/>
      <c r="AG585" s="128"/>
      <c r="AI585" s="128"/>
      <c r="AJ585" s="128"/>
      <c r="AY585" s="128"/>
      <c r="BN585" s="128"/>
      <c r="BQ585" s="128"/>
      <c r="BR585" s="128"/>
      <c r="BT585" s="128"/>
      <c r="BV585" s="128"/>
      <c r="BX585" s="128"/>
      <c r="CU585" s="128"/>
      <c r="CW585" s="128"/>
      <c r="DN585" s="128"/>
      <c r="DP585" s="128"/>
      <c r="DR585" s="128"/>
      <c r="DV585" s="128"/>
      <c r="DX585" s="128"/>
      <c r="DY585" s="128"/>
      <c r="EA585" s="128"/>
      <c r="EB585" s="128"/>
      <c r="EC585" s="128"/>
      <c r="EG585" s="128"/>
      <c r="EL585" s="128"/>
      <c r="EM585" s="128"/>
      <c r="EO585" s="128"/>
      <c r="EQ585" s="128"/>
      <c r="ES585" s="128"/>
      <c r="EU585" s="128"/>
      <c r="EW585" s="128"/>
      <c r="EY585" s="128"/>
    </row>
    <row r="586" spans="3:155">
      <c r="C586" s="128"/>
      <c r="D586" s="128"/>
      <c r="E586" s="128"/>
      <c r="F586" s="128" t="str">
        <f>IF(E586 &lt;&gt; "", VLOOKUP(E586, '[2]Internal-logic'!G$1:I$364, 2, FALSE),"")</f>
        <v/>
      </c>
      <c r="G586" s="128" t="str">
        <f>IF(E586 &lt;&gt; "", VLOOKUP(E586, '[2]Internal-logic'!G$1:I$364, 3, FALSE),"")</f>
        <v/>
      </c>
      <c r="H586" s="128"/>
      <c r="I586" s="128"/>
      <c r="J586" s="128"/>
      <c r="K586" s="128"/>
      <c r="Q586" s="128"/>
      <c r="R586" s="128"/>
      <c r="S586" s="128"/>
      <c r="U586" s="128"/>
      <c r="X586" s="128"/>
      <c r="Y586" s="128"/>
      <c r="Z586" s="128"/>
      <c r="AA586" s="128"/>
      <c r="AB586" s="128"/>
      <c r="AC586" s="128"/>
      <c r="AD586" s="128"/>
      <c r="AE586" s="128"/>
      <c r="AF586" s="128"/>
      <c r="AG586" s="128"/>
      <c r="AI586" s="128"/>
      <c r="AJ586" s="128"/>
      <c r="AY586" s="128"/>
      <c r="BN586" s="128"/>
      <c r="BQ586" s="128"/>
      <c r="BR586" s="128"/>
      <c r="BT586" s="128"/>
      <c r="BV586" s="128"/>
      <c r="BX586" s="128"/>
      <c r="CU586" s="128"/>
      <c r="CW586" s="128"/>
      <c r="DN586" s="128"/>
      <c r="DP586" s="128"/>
      <c r="DR586" s="128"/>
      <c r="DV586" s="128"/>
      <c r="DX586" s="128"/>
      <c r="DY586" s="128"/>
      <c r="EA586" s="128"/>
      <c r="EB586" s="128"/>
      <c r="EC586" s="128"/>
      <c r="EG586" s="128"/>
      <c r="EL586" s="128"/>
      <c r="EM586" s="128"/>
      <c r="EO586" s="128"/>
      <c r="EQ586" s="128"/>
      <c r="ES586" s="128"/>
      <c r="EU586" s="128"/>
      <c r="EW586" s="128"/>
      <c r="EY586" s="128"/>
    </row>
    <row r="587" spans="3:155">
      <c r="C587" s="128"/>
      <c r="D587" s="128"/>
      <c r="E587" s="128"/>
      <c r="F587" s="128" t="str">
        <f>IF(E587 &lt;&gt; "", VLOOKUP(E587, '[2]Internal-logic'!G$1:I$364, 2, FALSE),"")</f>
        <v/>
      </c>
      <c r="G587" s="128" t="str">
        <f>IF(E587 &lt;&gt; "", VLOOKUP(E587, '[2]Internal-logic'!G$1:I$364, 3, FALSE),"")</f>
        <v/>
      </c>
      <c r="H587" s="128"/>
      <c r="I587" s="128"/>
      <c r="J587" s="128"/>
      <c r="K587" s="128"/>
      <c r="Q587" s="128"/>
      <c r="R587" s="128"/>
      <c r="S587" s="128"/>
      <c r="U587" s="128"/>
      <c r="X587" s="128"/>
      <c r="Y587" s="128"/>
      <c r="Z587" s="128"/>
      <c r="AA587" s="128"/>
      <c r="AB587" s="128"/>
      <c r="AC587" s="128"/>
      <c r="AD587" s="128"/>
      <c r="AE587" s="128"/>
      <c r="AF587" s="128"/>
      <c r="AG587" s="128"/>
      <c r="AI587" s="128"/>
      <c r="AJ587" s="128"/>
      <c r="AY587" s="128"/>
      <c r="BN587" s="128"/>
      <c r="BQ587" s="128"/>
      <c r="BR587" s="128"/>
      <c r="BT587" s="128"/>
      <c r="BV587" s="128"/>
      <c r="BX587" s="128"/>
      <c r="CU587" s="128"/>
      <c r="CW587" s="128"/>
      <c r="DN587" s="128"/>
      <c r="DP587" s="128"/>
      <c r="DR587" s="128"/>
      <c r="DV587" s="128"/>
      <c r="DX587" s="128"/>
      <c r="DY587" s="128"/>
      <c r="EA587" s="128"/>
      <c r="EB587" s="128"/>
      <c r="EC587" s="128"/>
      <c r="EG587" s="128"/>
      <c r="EL587" s="128"/>
      <c r="EM587" s="128"/>
      <c r="EO587" s="128"/>
      <c r="EQ587" s="128"/>
      <c r="ES587" s="128"/>
      <c r="EU587" s="128"/>
      <c r="EW587" s="128"/>
      <c r="EY587" s="128"/>
    </row>
    <row r="588" spans="3:155">
      <c r="C588" s="128"/>
      <c r="D588" s="128"/>
      <c r="E588" s="128"/>
      <c r="F588" s="128" t="str">
        <f>IF(E588 &lt;&gt; "", VLOOKUP(E588, '[2]Internal-logic'!G$1:I$364, 2, FALSE),"")</f>
        <v/>
      </c>
      <c r="G588" s="128" t="str">
        <f>IF(E588 &lt;&gt; "", VLOOKUP(E588, '[2]Internal-logic'!G$1:I$364, 3, FALSE),"")</f>
        <v/>
      </c>
      <c r="H588" s="128"/>
      <c r="I588" s="128"/>
      <c r="J588" s="128"/>
      <c r="K588" s="128"/>
      <c r="Q588" s="128"/>
      <c r="R588" s="128"/>
      <c r="S588" s="128"/>
      <c r="U588" s="128"/>
      <c r="X588" s="128"/>
      <c r="Y588" s="128"/>
      <c r="Z588" s="128"/>
      <c r="AA588" s="128"/>
      <c r="AB588" s="128"/>
      <c r="AC588" s="128"/>
      <c r="AD588" s="128"/>
      <c r="AE588" s="128"/>
      <c r="AF588" s="128"/>
      <c r="AG588" s="128"/>
      <c r="AI588" s="128"/>
      <c r="AJ588" s="128"/>
      <c r="AY588" s="128"/>
      <c r="BN588" s="128"/>
      <c r="BQ588" s="128"/>
      <c r="BR588" s="128"/>
      <c r="BT588" s="128"/>
      <c r="BV588" s="128"/>
      <c r="BX588" s="128"/>
      <c r="CU588" s="128"/>
      <c r="CW588" s="128"/>
      <c r="DN588" s="128"/>
      <c r="DP588" s="128"/>
      <c r="DR588" s="128"/>
      <c r="DV588" s="128"/>
      <c r="DX588" s="128"/>
      <c r="DY588" s="128"/>
      <c r="EA588" s="128"/>
      <c r="EB588" s="128"/>
      <c r="EC588" s="128"/>
      <c r="EG588" s="128"/>
      <c r="EL588" s="128"/>
      <c r="EM588" s="128"/>
      <c r="EO588" s="128"/>
      <c r="EQ588" s="128"/>
      <c r="ES588" s="128"/>
      <c r="EU588" s="128"/>
      <c r="EW588" s="128"/>
      <c r="EY588" s="128"/>
    </row>
    <row r="589" spans="3:155">
      <c r="C589" s="128"/>
      <c r="D589" s="128"/>
      <c r="E589" s="128"/>
      <c r="F589" s="128" t="str">
        <f>IF(E589 &lt;&gt; "", VLOOKUP(E589, '[2]Internal-logic'!G$1:I$364, 2, FALSE),"")</f>
        <v/>
      </c>
      <c r="G589" s="128" t="str">
        <f>IF(E589 &lt;&gt; "", VLOOKUP(E589, '[2]Internal-logic'!G$1:I$364, 3, FALSE),"")</f>
        <v/>
      </c>
      <c r="H589" s="128"/>
      <c r="I589" s="128"/>
      <c r="J589" s="128"/>
      <c r="K589" s="128"/>
      <c r="Q589" s="128"/>
      <c r="R589" s="128"/>
      <c r="S589" s="128"/>
      <c r="U589" s="128"/>
      <c r="X589" s="128"/>
      <c r="Y589" s="128"/>
      <c r="Z589" s="128"/>
      <c r="AA589" s="128"/>
      <c r="AB589" s="128"/>
      <c r="AC589" s="128"/>
      <c r="AD589" s="128"/>
      <c r="AE589" s="128"/>
      <c r="AF589" s="128"/>
      <c r="AG589" s="128"/>
      <c r="AI589" s="128"/>
      <c r="AJ589" s="128"/>
      <c r="AY589" s="128"/>
      <c r="BN589" s="128"/>
      <c r="BQ589" s="128"/>
      <c r="BR589" s="128"/>
      <c r="BT589" s="128"/>
      <c r="BV589" s="128"/>
      <c r="BX589" s="128"/>
      <c r="CU589" s="128"/>
      <c r="CW589" s="128"/>
      <c r="DN589" s="128"/>
      <c r="DP589" s="128"/>
      <c r="DR589" s="128"/>
      <c r="DV589" s="128"/>
      <c r="DX589" s="128"/>
      <c r="DY589" s="128"/>
      <c r="EA589" s="128"/>
      <c r="EB589" s="128"/>
      <c r="EC589" s="128"/>
      <c r="EG589" s="128"/>
      <c r="EL589" s="128"/>
      <c r="EM589" s="128"/>
      <c r="EO589" s="128"/>
      <c r="EQ589" s="128"/>
      <c r="ES589" s="128"/>
      <c r="EU589" s="128"/>
      <c r="EW589" s="128"/>
      <c r="EY589" s="128"/>
    </row>
    <row r="590" spans="3:155">
      <c r="C590" s="128"/>
      <c r="D590" s="128"/>
      <c r="E590" s="128"/>
      <c r="F590" s="128" t="str">
        <f>IF(E590 &lt;&gt; "", VLOOKUP(E590, '[2]Internal-logic'!G$1:I$364, 2, FALSE),"")</f>
        <v/>
      </c>
      <c r="G590" s="128" t="str">
        <f>IF(E590 &lt;&gt; "", VLOOKUP(E590, '[2]Internal-logic'!G$1:I$364, 3, FALSE),"")</f>
        <v/>
      </c>
      <c r="H590" s="128"/>
      <c r="I590" s="128"/>
      <c r="J590" s="128"/>
      <c r="K590" s="128"/>
      <c r="Q590" s="128"/>
      <c r="R590" s="128"/>
      <c r="S590" s="128"/>
      <c r="U590" s="128"/>
      <c r="X590" s="128"/>
      <c r="Y590" s="128"/>
      <c r="Z590" s="128"/>
      <c r="AA590" s="128"/>
      <c r="AB590" s="128"/>
      <c r="AC590" s="128"/>
      <c r="AD590" s="128"/>
      <c r="AE590" s="128"/>
      <c r="AF590" s="128"/>
      <c r="AG590" s="128"/>
      <c r="AI590" s="128"/>
      <c r="AJ590" s="128"/>
      <c r="AY590" s="128"/>
      <c r="BN590" s="128"/>
      <c r="BQ590" s="128"/>
      <c r="BR590" s="128"/>
      <c r="BT590" s="128"/>
      <c r="BV590" s="128"/>
      <c r="BX590" s="128"/>
      <c r="CU590" s="128"/>
      <c r="CW590" s="128"/>
      <c r="DN590" s="128"/>
      <c r="DP590" s="128"/>
      <c r="DR590" s="128"/>
      <c r="DV590" s="128"/>
      <c r="DX590" s="128"/>
      <c r="DY590" s="128"/>
      <c r="EA590" s="128"/>
      <c r="EB590" s="128"/>
      <c r="EC590" s="128"/>
      <c r="EG590" s="128"/>
      <c r="EL590" s="128"/>
      <c r="EM590" s="128"/>
      <c r="EO590" s="128"/>
      <c r="EQ590" s="128"/>
      <c r="ES590" s="128"/>
      <c r="EU590" s="128"/>
      <c r="EW590" s="128"/>
      <c r="EY590" s="128"/>
    </row>
    <row r="591" spans="3:155">
      <c r="C591" s="128"/>
      <c r="D591" s="128"/>
      <c r="E591" s="128"/>
      <c r="F591" s="128" t="str">
        <f>IF(E591 &lt;&gt; "", VLOOKUP(E591, '[2]Internal-logic'!G$1:I$364, 2, FALSE),"")</f>
        <v/>
      </c>
      <c r="G591" s="128" t="str">
        <f>IF(E591 &lt;&gt; "", VLOOKUP(E591, '[2]Internal-logic'!G$1:I$364, 3, FALSE),"")</f>
        <v/>
      </c>
      <c r="H591" s="128"/>
      <c r="I591" s="128"/>
      <c r="J591" s="128"/>
      <c r="K591" s="128"/>
      <c r="Q591" s="128"/>
      <c r="R591" s="128"/>
      <c r="S591" s="128"/>
      <c r="U591" s="128"/>
      <c r="X591" s="128"/>
      <c r="Y591" s="128"/>
      <c r="Z591" s="128"/>
      <c r="AA591" s="128"/>
      <c r="AB591" s="128"/>
      <c r="AC591" s="128"/>
      <c r="AD591" s="128"/>
      <c r="AE591" s="128"/>
      <c r="AF591" s="128"/>
      <c r="AG591" s="128"/>
      <c r="AI591" s="128"/>
      <c r="AJ591" s="128"/>
      <c r="AY591" s="128"/>
      <c r="BN591" s="128"/>
      <c r="BQ591" s="128"/>
      <c r="BR591" s="128"/>
      <c r="BT591" s="128"/>
      <c r="BV591" s="128"/>
      <c r="BX591" s="128"/>
      <c r="CU591" s="128"/>
      <c r="CW591" s="128"/>
      <c r="DN591" s="128"/>
      <c r="DP591" s="128"/>
      <c r="DR591" s="128"/>
      <c r="DV591" s="128"/>
      <c r="DX591" s="128"/>
      <c r="DY591" s="128"/>
      <c r="EA591" s="128"/>
      <c r="EB591" s="128"/>
      <c r="EC591" s="128"/>
      <c r="EG591" s="128"/>
      <c r="EL591" s="128"/>
      <c r="EM591" s="128"/>
      <c r="EO591" s="128"/>
      <c r="EQ591" s="128"/>
      <c r="ES591" s="128"/>
      <c r="EU591" s="128"/>
      <c r="EW591" s="128"/>
      <c r="EY591" s="128"/>
    </row>
    <row r="592" spans="3:155">
      <c r="C592" s="128"/>
      <c r="D592" s="128"/>
      <c r="E592" s="128"/>
      <c r="F592" s="128" t="str">
        <f>IF(E592 &lt;&gt; "", VLOOKUP(E592, '[2]Internal-logic'!G$1:I$364, 2, FALSE),"")</f>
        <v/>
      </c>
      <c r="G592" s="128" t="str">
        <f>IF(E592 &lt;&gt; "", VLOOKUP(E592, '[2]Internal-logic'!G$1:I$364, 3, FALSE),"")</f>
        <v/>
      </c>
      <c r="H592" s="128"/>
      <c r="I592" s="128"/>
      <c r="J592" s="128"/>
      <c r="K592" s="128"/>
      <c r="Q592" s="128"/>
      <c r="R592" s="128"/>
      <c r="S592" s="128"/>
      <c r="U592" s="128"/>
      <c r="X592" s="128"/>
      <c r="Y592" s="128"/>
      <c r="Z592" s="128"/>
      <c r="AA592" s="128"/>
      <c r="AB592" s="128"/>
      <c r="AC592" s="128"/>
      <c r="AD592" s="128"/>
      <c r="AE592" s="128"/>
      <c r="AF592" s="128"/>
      <c r="AG592" s="128"/>
      <c r="AI592" s="128"/>
      <c r="AJ592" s="128"/>
      <c r="AY592" s="128"/>
      <c r="BN592" s="128"/>
      <c r="BQ592" s="128"/>
      <c r="BR592" s="128"/>
      <c r="BT592" s="128"/>
      <c r="BV592" s="128"/>
      <c r="BX592" s="128"/>
      <c r="CU592" s="128"/>
      <c r="CW592" s="128"/>
      <c r="DN592" s="128"/>
      <c r="DP592" s="128"/>
      <c r="DR592" s="128"/>
      <c r="DV592" s="128"/>
      <c r="DX592" s="128"/>
      <c r="DY592" s="128"/>
      <c r="EA592" s="128"/>
      <c r="EB592" s="128"/>
      <c r="EC592" s="128"/>
      <c r="EG592" s="128"/>
      <c r="EL592" s="128"/>
      <c r="EM592" s="128"/>
      <c r="EO592" s="128"/>
      <c r="EQ592" s="128"/>
      <c r="ES592" s="128"/>
      <c r="EU592" s="128"/>
      <c r="EW592" s="128"/>
      <c r="EY592" s="128"/>
    </row>
    <row r="593" spans="3:155">
      <c r="C593" s="128"/>
      <c r="D593" s="128"/>
      <c r="E593" s="128"/>
      <c r="F593" s="128" t="str">
        <f>IF(E593 &lt;&gt; "", VLOOKUP(E593, '[2]Internal-logic'!G$1:I$364, 2, FALSE),"")</f>
        <v/>
      </c>
      <c r="G593" s="128" t="str">
        <f>IF(E593 &lt;&gt; "", VLOOKUP(E593, '[2]Internal-logic'!G$1:I$364, 3, FALSE),"")</f>
        <v/>
      </c>
      <c r="H593" s="128"/>
      <c r="I593" s="128"/>
      <c r="J593" s="128"/>
      <c r="K593" s="128"/>
      <c r="Q593" s="128"/>
      <c r="R593" s="128"/>
      <c r="S593" s="128"/>
      <c r="U593" s="128"/>
      <c r="X593" s="128"/>
      <c r="Y593" s="128"/>
      <c r="Z593" s="128"/>
      <c r="AA593" s="128"/>
      <c r="AB593" s="128"/>
      <c r="AC593" s="128"/>
      <c r="AD593" s="128"/>
      <c r="AE593" s="128"/>
      <c r="AF593" s="128"/>
      <c r="AG593" s="128"/>
      <c r="AI593" s="128"/>
      <c r="AJ593" s="128"/>
      <c r="AY593" s="128"/>
      <c r="BN593" s="128"/>
      <c r="BQ593" s="128"/>
      <c r="BR593" s="128"/>
      <c r="BT593" s="128"/>
      <c r="BV593" s="128"/>
      <c r="BX593" s="128"/>
      <c r="CU593" s="128"/>
      <c r="CW593" s="128"/>
      <c r="DN593" s="128"/>
      <c r="DP593" s="128"/>
      <c r="DR593" s="128"/>
      <c r="DV593" s="128"/>
      <c r="DX593" s="128"/>
      <c r="DY593" s="128"/>
      <c r="EA593" s="128"/>
      <c r="EB593" s="128"/>
      <c r="EC593" s="128"/>
      <c r="EG593" s="128"/>
      <c r="EL593" s="128"/>
      <c r="EM593" s="128"/>
      <c r="EO593" s="128"/>
      <c r="EQ593" s="128"/>
      <c r="ES593" s="128"/>
      <c r="EU593" s="128"/>
      <c r="EW593" s="128"/>
      <c r="EY593" s="128"/>
    </row>
    <row r="594" spans="3:155">
      <c r="C594" s="128"/>
      <c r="D594" s="128"/>
      <c r="E594" s="128"/>
      <c r="F594" s="128" t="str">
        <f>IF(E594 &lt;&gt; "", VLOOKUP(E594, '[2]Internal-logic'!G$1:I$364, 2, FALSE),"")</f>
        <v/>
      </c>
      <c r="G594" s="128" t="str">
        <f>IF(E594 &lt;&gt; "", VLOOKUP(E594, '[2]Internal-logic'!G$1:I$364, 3, FALSE),"")</f>
        <v/>
      </c>
      <c r="H594" s="128"/>
      <c r="I594" s="128"/>
      <c r="J594" s="128"/>
      <c r="K594" s="128"/>
      <c r="Q594" s="128"/>
      <c r="R594" s="128"/>
      <c r="S594" s="128"/>
      <c r="U594" s="128"/>
      <c r="X594" s="128"/>
      <c r="Y594" s="128"/>
      <c r="Z594" s="128"/>
      <c r="AA594" s="128"/>
      <c r="AB594" s="128"/>
      <c r="AC594" s="128"/>
      <c r="AD594" s="128"/>
      <c r="AE594" s="128"/>
      <c r="AF594" s="128"/>
      <c r="AG594" s="128"/>
      <c r="AI594" s="128"/>
      <c r="AJ594" s="128"/>
      <c r="AY594" s="128"/>
      <c r="BN594" s="128"/>
      <c r="BQ594" s="128"/>
      <c r="BR594" s="128"/>
      <c r="BT594" s="128"/>
      <c r="BV594" s="128"/>
      <c r="BX594" s="128"/>
      <c r="CU594" s="128"/>
      <c r="CW594" s="128"/>
      <c r="DN594" s="128"/>
      <c r="DP594" s="128"/>
      <c r="DR594" s="128"/>
      <c r="DV594" s="128"/>
      <c r="DX594" s="128"/>
      <c r="DY594" s="128"/>
      <c r="EA594" s="128"/>
      <c r="EB594" s="128"/>
      <c r="EC594" s="128"/>
      <c r="EG594" s="128"/>
      <c r="EL594" s="128"/>
      <c r="EM594" s="128"/>
      <c r="EO594" s="128"/>
      <c r="EQ594" s="128"/>
      <c r="ES594" s="128"/>
      <c r="EU594" s="128"/>
      <c r="EW594" s="128"/>
      <c r="EY594" s="128"/>
    </row>
    <row r="595" spans="3:155">
      <c r="C595" s="128"/>
      <c r="D595" s="128"/>
      <c r="E595" s="128"/>
      <c r="F595" s="128" t="str">
        <f>IF(E595 &lt;&gt; "", VLOOKUP(E595, '[2]Internal-logic'!G$1:I$364, 2, FALSE),"")</f>
        <v/>
      </c>
      <c r="G595" s="128" t="str">
        <f>IF(E595 &lt;&gt; "", VLOOKUP(E595, '[2]Internal-logic'!G$1:I$364, 3, FALSE),"")</f>
        <v/>
      </c>
      <c r="H595" s="128"/>
      <c r="I595" s="128"/>
      <c r="J595" s="128"/>
      <c r="K595" s="128"/>
      <c r="Q595" s="128"/>
      <c r="R595" s="128"/>
      <c r="S595" s="128"/>
      <c r="U595" s="128"/>
      <c r="X595" s="128"/>
      <c r="Y595" s="128"/>
      <c r="Z595" s="128"/>
      <c r="AA595" s="128"/>
      <c r="AB595" s="128"/>
      <c r="AC595" s="128"/>
      <c r="AD595" s="128"/>
      <c r="AE595" s="128"/>
      <c r="AF595" s="128"/>
      <c r="AG595" s="128"/>
      <c r="AI595" s="128"/>
      <c r="AJ595" s="128"/>
      <c r="AY595" s="128"/>
      <c r="BN595" s="128"/>
      <c r="BQ595" s="128"/>
      <c r="BR595" s="128"/>
      <c r="BT595" s="128"/>
      <c r="BV595" s="128"/>
      <c r="BX595" s="128"/>
      <c r="CU595" s="128"/>
      <c r="CW595" s="128"/>
      <c r="DN595" s="128"/>
      <c r="DP595" s="128"/>
      <c r="DR595" s="128"/>
      <c r="DV595" s="128"/>
      <c r="DX595" s="128"/>
      <c r="DY595" s="128"/>
      <c r="EA595" s="128"/>
      <c r="EB595" s="128"/>
      <c r="EC595" s="128"/>
      <c r="EG595" s="128"/>
      <c r="EL595" s="128"/>
      <c r="EM595" s="128"/>
      <c r="EO595" s="128"/>
      <c r="EQ595" s="128"/>
      <c r="ES595" s="128"/>
      <c r="EU595" s="128"/>
      <c r="EW595" s="128"/>
      <c r="EY595" s="128"/>
    </row>
    <row r="596" spans="3:155">
      <c r="C596" s="128"/>
      <c r="D596" s="128"/>
      <c r="E596" s="128"/>
      <c r="F596" s="128" t="str">
        <f>IF(E596 &lt;&gt; "", VLOOKUP(E596, '[2]Internal-logic'!G$1:I$364, 2, FALSE),"")</f>
        <v/>
      </c>
      <c r="G596" s="128" t="str">
        <f>IF(E596 &lt;&gt; "", VLOOKUP(E596, '[2]Internal-logic'!G$1:I$364, 3, FALSE),"")</f>
        <v/>
      </c>
      <c r="H596" s="128"/>
      <c r="I596" s="128"/>
      <c r="J596" s="128"/>
      <c r="K596" s="128"/>
      <c r="Q596" s="128"/>
      <c r="R596" s="128"/>
      <c r="S596" s="128"/>
      <c r="U596" s="128"/>
      <c r="X596" s="128"/>
      <c r="Y596" s="128"/>
      <c r="Z596" s="128"/>
      <c r="AA596" s="128"/>
      <c r="AB596" s="128"/>
      <c r="AC596" s="128"/>
      <c r="AD596" s="128"/>
      <c r="AE596" s="128"/>
      <c r="AF596" s="128"/>
      <c r="AG596" s="128"/>
      <c r="AI596" s="128"/>
      <c r="AJ596" s="128"/>
      <c r="AY596" s="128"/>
      <c r="BN596" s="128"/>
      <c r="BQ596" s="128"/>
      <c r="BR596" s="128"/>
      <c r="BT596" s="128"/>
      <c r="BV596" s="128"/>
      <c r="BX596" s="128"/>
      <c r="CU596" s="128"/>
      <c r="CW596" s="128"/>
      <c r="DN596" s="128"/>
      <c r="DP596" s="128"/>
      <c r="DR596" s="128"/>
      <c r="DV596" s="128"/>
      <c r="DX596" s="128"/>
      <c r="DY596" s="128"/>
      <c r="EA596" s="128"/>
      <c r="EB596" s="128"/>
      <c r="EC596" s="128"/>
      <c r="EG596" s="128"/>
      <c r="EL596" s="128"/>
      <c r="EM596" s="128"/>
      <c r="EO596" s="128"/>
      <c r="EQ596" s="128"/>
      <c r="ES596" s="128"/>
      <c r="EU596" s="128"/>
      <c r="EW596" s="128"/>
      <c r="EY596" s="128"/>
    </row>
    <row r="597" spans="3:155">
      <c r="C597" s="128"/>
      <c r="D597" s="128"/>
      <c r="E597" s="128"/>
      <c r="F597" s="128" t="str">
        <f>IF(E597 &lt;&gt; "", VLOOKUP(E597, '[2]Internal-logic'!G$1:I$364, 2, FALSE),"")</f>
        <v/>
      </c>
      <c r="G597" s="128" t="str">
        <f>IF(E597 &lt;&gt; "", VLOOKUP(E597, '[2]Internal-logic'!G$1:I$364, 3, FALSE),"")</f>
        <v/>
      </c>
      <c r="H597" s="128"/>
      <c r="I597" s="128"/>
      <c r="J597" s="128"/>
      <c r="K597" s="128"/>
      <c r="Q597" s="128"/>
      <c r="R597" s="128"/>
      <c r="S597" s="128"/>
      <c r="U597" s="128"/>
      <c r="X597" s="128"/>
      <c r="Y597" s="128"/>
      <c r="Z597" s="128"/>
      <c r="AA597" s="128"/>
      <c r="AB597" s="128"/>
      <c r="AC597" s="128"/>
      <c r="AD597" s="128"/>
      <c r="AE597" s="128"/>
      <c r="AF597" s="128"/>
      <c r="AG597" s="128"/>
      <c r="AI597" s="128"/>
      <c r="AJ597" s="128"/>
      <c r="AY597" s="128"/>
      <c r="BN597" s="128"/>
      <c r="BQ597" s="128"/>
      <c r="BR597" s="128"/>
      <c r="BT597" s="128"/>
      <c r="BV597" s="128"/>
      <c r="BX597" s="128"/>
      <c r="CU597" s="128"/>
      <c r="CW597" s="128"/>
      <c r="DN597" s="128"/>
      <c r="DP597" s="128"/>
      <c r="DR597" s="128"/>
      <c r="DV597" s="128"/>
      <c r="DX597" s="128"/>
      <c r="DY597" s="128"/>
      <c r="EA597" s="128"/>
      <c r="EB597" s="128"/>
      <c r="EC597" s="128"/>
      <c r="EG597" s="128"/>
      <c r="EL597" s="128"/>
      <c r="EM597" s="128"/>
      <c r="EO597" s="128"/>
      <c r="EQ597" s="128"/>
      <c r="ES597" s="128"/>
      <c r="EU597" s="128"/>
      <c r="EW597" s="128"/>
      <c r="EY597" s="128"/>
    </row>
    <row r="598" spans="3:155">
      <c r="C598" s="128"/>
      <c r="D598" s="128"/>
      <c r="E598" s="128"/>
      <c r="F598" s="128" t="str">
        <f>IF(E598 &lt;&gt; "", VLOOKUP(E598, '[2]Internal-logic'!G$1:I$364, 2, FALSE),"")</f>
        <v/>
      </c>
      <c r="G598" s="128" t="str">
        <f>IF(E598 &lt;&gt; "", VLOOKUP(E598, '[2]Internal-logic'!G$1:I$364, 3, FALSE),"")</f>
        <v/>
      </c>
      <c r="H598" s="128"/>
      <c r="I598" s="128"/>
      <c r="J598" s="128"/>
      <c r="K598" s="128"/>
      <c r="Q598" s="128"/>
      <c r="R598" s="128"/>
      <c r="S598" s="128"/>
      <c r="U598" s="128"/>
      <c r="X598" s="128"/>
      <c r="Y598" s="128"/>
      <c r="Z598" s="128"/>
      <c r="AA598" s="128"/>
      <c r="AB598" s="128"/>
      <c r="AC598" s="128"/>
      <c r="AD598" s="128"/>
      <c r="AE598" s="128"/>
      <c r="AF598" s="128"/>
      <c r="AG598" s="128"/>
      <c r="AI598" s="128"/>
      <c r="AJ598" s="128"/>
      <c r="AY598" s="128"/>
      <c r="BN598" s="128"/>
      <c r="BQ598" s="128"/>
      <c r="BR598" s="128"/>
      <c r="BT598" s="128"/>
      <c r="BV598" s="128"/>
      <c r="BX598" s="128"/>
      <c r="CU598" s="128"/>
      <c r="CW598" s="128"/>
      <c r="DN598" s="128"/>
      <c r="DP598" s="128"/>
      <c r="DR598" s="128"/>
      <c r="DV598" s="128"/>
      <c r="DX598" s="128"/>
      <c r="DY598" s="128"/>
      <c r="EA598" s="128"/>
      <c r="EB598" s="128"/>
      <c r="EC598" s="128"/>
      <c r="EG598" s="128"/>
      <c r="EL598" s="128"/>
      <c r="EM598" s="128"/>
      <c r="EO598" s="128"/>
      <c r="EQ598" s="128"/>
      <c r="ES598" s="128"/>
      <c r="EU598" s="128"/>
      <c r="EW598" s="128"/>
      <c r="EY598" s="128"/>
    </row>
    <row r="599" spans="3:155">
      <c r="C599" s="128"/>
      <c r="D599" s="128"/>
      <c r="E599" s="128"/>
      <c r="F599" s="128" t="str">
        <f>IF(E599 &lt;&gt; "", VLOOKUP(E599, '[2]Internal-logic'!G$1:I$364, 2, FALSE),"")</f>
        <v/>
      </c>
      <c r="G599" s="128" t="str">
        <f>IF(E599 &lt;&gt; "", VLOOKUP(E599, '[2]Internal-logic'!G$1:I$364, 3, FALSE),"")</f>
        <v/>
      </c>
      <c r="H599" s="128"/>
      <c r="I599" s="128"/>
      <c r="J599" s="128"/>
      <c r="K599" s="128"/>
      <c r="Q599" s="128"/>
      <c r="R599" s="128"/>
      <c r="S599" s="128"/>
      <c r="U599" s="128"/>
      <c r="X599" s="128"/>
      <c r="Y599" s="128"/>
      <c r="Z599" s="128"/>
      <c r="AA599" s="128"/>
      <c r="AB599" s="128"/>
      <c r="AC599" s="128"/>
      <c r="AD599" s="128"/>
      <c r="AE599" s="128"/>
      <c r="AF599" s="128"/>
      <c r="AG599" s="128"/>
      <c r="AI599" s="128"/>
      <c r="AJ599" s="128"/>
      <c r="AY599" s="128"/>
      <c r="BN599" s="128"/>
      <c r="BQ599" s="128"/>
      <c r="BR599" s="128"/>
      <c r="BT599" s="128"/>
      <c r="BV599" s="128"/>
      <c r="BX599" s="128"/>
      <c r="CU599" s="128"/>
      <c r="CW599" s="128"/>
      <c r="DN599" s="128"/>
      <c r="DP599" s="128"/>
      <c r="DR599" s="128"/>
      <c r="DV599" s="128"/>
      <c r="DX599" s="128"/>
      <c r="DY599" s="128"/>
      <c r="EA599" s="128"/>
      <c r="EB599" s="128"/>
      <c r="EC599" s="128"/>
      <c r="EG599" s="128"/>
      <c r="EL599" s="128"/>
      <c r="EM599" s="128"/>
      <c r="EO599" s="128"/>
      <c r="EQ599" s="128"/>
      <c r="ES599" s="128"/>
      <c r="EU599" s="128"/>
      <c r="EW599" s="128"/>
      <c r="EY599" s="128"/>
    </row>
    <row r="600" spans="3:155">
      <c r="C600" s="128"/>
      <c r="D600" s="128"/>
      <c r="E600" s="128"/>
      <c r="F600" s="128" t="str">
        <f>IF(E600 &lt;&gt; "", VLOOKUP(E600, '[2]Internal-logic'!G$1:I$364, 2, FALSE),"")</f>
        <v/>
      </c>
      <c r="G600" s="128" t="str">
        <f>IF(E600 &lt;&gt; "", VLOOKUP(E600, '[2]Internal-logic'!G$1:I$364, 3, FALSE),"")</f>
        <v/>
      </c>
      <c r="H600" s="128"/>
      <c r="I600" s="128"/>
      <c r="J600" s="128"/>
      <c r="K600" s="128"/>
      <c r="Q600" s="128"/>
      <c r="R600" s="128"/>
      <c r="S600" s="128"/>
      <c r="U600" s="128"/>
      <c r="X600" s="128"/>
      <c r="Y600" s="128"/>
      <c r="Z600" s="128"/>
      <c r="AA600" s="128"/>
      <c r="AB600" s="128"/>
      <c r="AC600" s="128"/>
      <c r="AD600" s="128"/>
      <c r="AE600" s="128"/>
      <c r="AF600" s="128"/>
      <c r="AG600" s="128"/>
      <c r="AI600" s="128"/>
      <c r="AJ600" s="128"/>
      <c r="AY600" s="128"/>
      <c r="BN600" s="128"/>
      <c r="BQ600" s="128"/>
      <c r="BR600" s="128"/>
      <c r="BT600" s="128"/>
      <c r="BV600" s="128"/>
      <c r="BX600" s="128"/>
      <c r="CU600" s="128"/>
      <c r="CW600" s="128"/>
      <c r="DN600" s="128"/>
      <c r="DP600" s="128"/>
      <c r="DR600" s="128"/>
      <c r="DV600" s="128"/>
      <c r="DX600" s="128"/>
      <c r="DY600" s="128"/>
      <c r="EA600" s="128"/>
      <c r="EB600" s="128"/>
      <c r="EC600" s="128"/>
      <c r="EG600" s="128"/>
      <c r="EL600" s="128"/>
      <c r="EM600" s="128"/>
      <c r="EO600" s="128"/>
      <c r="EQ600" s="128"/>
      <c r="ES600" s="128"/>
      <c r="EU600" s="128"/>
      <c r="EW600" s="128"/>
      <c r="EY600" s="128"/>
    </row>
    <row r="601" spans="3:155">
      <c r="C601" s="128"/>
      <c r="D601" s="128"/>
      <c r="E601" s="128"/>
      <c r="F601" s="128" t="str">
        <f>IF(E601 &lt;&gt; "", VLOOKUP(E601, '[2]Internal-logic'!G$1:I$364, 2, FALSE),"")</f>
        <v/>
      </c>
      <c r="G601" s="128" t="str">
        <f>IF(E601 &lt;&gt; "", VLOOKUP(E601, '[2]Internal-logic'!G$1:I$364, 3, FALSE),"")</f>
        <v/>
      </c>
      <c r="H601" s="128"/>
      <c r="I601" s="128"/>
      <c r="J601" s="128"/>
      <c r="K601" s="128"/>
      <c r="Q601" s="128"/>
      <c r="R601" s="128"/>
      <c r="S601" s="128"/>
      <c r="U601" s="128"/>
      <c r="X601" s="128"/>
      <c r="Y601" s="128"/>
      <c r="Z601" s="128"/>
      <c r="AA601" s="128"/>
      <c r="AB601" s="128"/>
      <c r="AC601" s="128"/>
      <c r="AD601" s="128"/>
      <c r="AE601" s="128"/>
      <c r="AF601" s="128"/>
      <c r="AG601" s="128"/>
      <c r="AI601" s="128"/>
      <c r="AJ601" s="128"/>
      <c r="AY601" s="128"/>
      <c r="BN601" s="128"/>
      <c r="BQ601" s="128"/>
      <c r="BR601" s="128"/>
      <c r="BT601" s="128"/>
      <c r="BV601" s="128"/>
      <c r="BX601" s="128"/>
      <c r="CU601" s="128"/>
      <c r="CW601" s="128"/>
      <c r="DN601" s="128"/>
      <c r="DP601" s="128"/>
      <c r="DR601" s="128"/>
      <c r="DV601" s="128"/>
      <c r="DX601" s="128"/>
      <c r="DY601" s="128"/>
      <c r="EA601" s="128"/>
      <c r="EB601" s="128"/>
      <c r="EC601" s="128"/>
      <c r="EG601" s="128"/>
      <c r="EL601" s="128"/>
      <c r="EM601" s="128"/>
      <c r="EO601" s="128"/>
      <c r="EQ601" s="128"/>
      <c r="ES601" s="128"/>
      <c r="EU601" s="128"/>
      <c r="EW601" s="128"/>
      <c r="EY601" s="128"/>
    </row>
    <row r="602" spans="3:155">
      <c r="C602" s="128"/>
      <c r="D602" s="128"/>
      <c r="E602" s="128"/>
      <c r="F602" s="128" t="str">
        <f>IF(E602 &lt;&gt; "", VLOOKUP(E602, '[2]Internal-logic'!G$1:I$364, 2, FALSE),"")</f>
        <v/>
      </c>
      <c r="G602" s="128" t="str">
        <f>IF(E602 &lt;&gt; "", VLOOKUP(E602, '[2]Internal-logic'!G$1:I$364, 3, FALSE),"")</f>
        <v/>
      </c>
      <c r="H602" s="128"/>
      <c r="I602" s="128"/>
      <c r="J602" s="128"/>
      <c r="K602" s="128"/>
      <c r="Q602" s="128"/>
      <c r="R602" s="128"/>
      <c r="S602" s="128"/>
      <c r="U602" s="128"/>
      <c r="X602" s="128"/>
      <c r="Y602" s="128"/>
      <c r="Z602" s="128"/>
      <c r="AA602" s="128"/>
      <c r="AB602" s="128"/>
      <c r="AC602" s="128"/>
      <c r="AD602" s="128"/>
      <c r="AE602" s="128"/>
      <c r="AF602" s="128"/>
      <c r="AG602" s="128"/>
      <c r="AI602" s="128"/>
      <c r="AJ602" s="128"/>
      <c r="AY602" s="128"/>
      <c r="BN602" s="128"/>
      <c r="BQ602" s="128"/>
      <c r="BR602" s="128"/>
      <c r="BT602" s="128"/>
      <c r="BV602" s="128"/>
      <c r="BX602" s="128"/>
      <c r="CU602" s="128"/>
      <c r="CW602" s="128"/>
      <c r="DN602" s="128"/>
      <c r="DP602" s="128"/>
      <c r="DR602" s="128"/>
      <c r="DV602" s="128"/>
      <c r="DX602" s="128"/>
      <c r="DY602" s="128"/>
      <c r="EA602" s="128"/>
      <c r="EB602" s="128"/>
      <c r="EC602" s="128"/>
      <c r="EG602" s="128"/>
      <c r="EL602" s="128"/>
      <c r="EM602" s="128"/>
      <c r="EO602" s="128"/>
      <c r="EQ602" s="128"/>
      <c r="ES602" s="128"/>
      <c r="EU602" s="128"/>
      <c r="EW602" s="128"/>
      <c r="EY602" s="128"/>
    </row>
    <row r="603" spans="3:155">
      <c r="C603" s="128"/>
      <c r="D603" s="128"/>
      <c r="E603" s="128"/>
      <c r="F603" s="128" t="str">
        <f>IF(E603 &lt;&gt; "", VLOOKUP(E603, '[2]Internal-logic'!G$1:I$364, 2, FALSE),"")</f>
        <v/>
      </c>
      <c r="G603" s="128" t="str">
        <f>IF(E603 &lt;&gt; "", VLOOKUP(E603, '[2]Internal-logic'!G$1:I$364, 3, FALSE),"")</f>
        <v/>
      </c>
      <c r="H603" s="128"/>
      <c r="I603" s="128"/>
      <c r="J603" s="128"/>
      <c r="K603" s="128"/>
      <c r="Q603" s="128"/>
      <c r="R603" s="128"/>
      <c r="S603" s="128"/>
      <c r="U603" s="128"/>
      <c r="X603" s="128"/>
      <c r="Y603" s="128"/>
      <c r="Z603" s="128"/>
      <c r="AA603" s="128"/>
      <c r="AB603" s="128"/>
      <c r="AC603" s="128"/>
      <c r="AD603" s="128"/>
      <c r="AE603" s="128"/>
      <c r="AF603" s="128"/>
      <c r="AG603" s="128"/>
      <c r="AI603" s="128"/>
      <c r="AJ603" s="128"/>
      <c r="AY603" s="128"/>
      <c r="BN603" s="128"/>
      <c r="BQ603" s="128"/>
      <c r="BR603" s="128"/>
      <c r="BT603" s="128"/>
      <c r="BV603" s="128"/>
      <c r="BX603" s="128"/>
      <c r="CU603" s="128"/>
      <c r="CW603" s="128"/>
      <c r="DN603" s="128"/>
      <c r="DP603" s="128"/>
      <c r="DR603" s="128"/>
      <c r="DV603" s="128"/>
      <c r="DX603" s="128"/>
      <c r="DY603" s="128"/>
      <c r="EA603" s="128"/>
      <c r="EB603" s="128"/>
      <c r="EC603" s="128"/>
      <c r="EG603" s="128"/>
      <c r="EL603" s="128"/>
      <c r="EM603" s="128"/>
      <c r="EO603" s="128"/>
      <c r="EQ603" s="128"/>
      <c r="ES603" s="128"/>
      <c r="EU603" s="128"/>
      <c r="EW603" s="128"/>
      <c r="EY603" s="128"/>
    </row>
    <row r="604" spans="3:155">
      <c r="C604" s="128"/>
      <c r="D604" s="128"/>
      <c r="E604" s="128"/>
      <c r="F604" s="128" t="str">
        <f>IF(E604 &lt;&gt; "", VLOOKUP(E604, '[2]Internal-logic'!G$1:I$364, 2, FALSE),"")</f>
        <v/>
      </c>
      <c r="G604" s="128" t="str">
        <f>IF(E604 &lt;&gt; "", VLOOKUP(E604, '[2]Internal-logic'!G$1:I$364, 3, FALSE),"")</f>
        <v/>
      </c>
      <c r="H604" s="128"/>
      <c r="I604" s="128"/>
      <c r="J604" s="128"/>
      <c r="K604" s="128"/>
      <c r="Q604" s="128"/>
      <c r="R604" s="128"/>
      <c r="S604" s="128"/>
      <c r="U604" s="128"/>
      <c r="X604" s="128"/>
      <c r="Y604" s="128"/>
      <c r="Z604" s="128"/>
      <c r="AA604" s="128"/>
      <c r="AB604" s="128"/>
      <c r="AC604" s="128"/>
      <c r="AD604" s="128"/>
      <c r="AE604" s="128"/>
      <c r="AF604" s="128"/>
      <c r="AG604" s="128"/>
      <c r="AI604" s="128"/>
      <c r="AJ604" s="128"/>
      <c r="AY604" s="128"/>
      <c r="BN604" s="128"/>
      <c r="BQ604" s="128"/>
      <c r="BR604" s="128"/>
      <c r="BT604" s="128"/>
      <c r="BV604" s="128"/>
      <c r="BX604" s="128"/>
      <c r="CU604" s="128"/>
      <c r="CW604" s="128"/>
      <c r="DN604" s="128"/>
      <c r="DP604" s="128"/>
      <c r="DR604" s="128"/>
      <c r="DV604" s="128"/>
      <c r="DX604" s="128"/>
      <c r="DY604" s="128"/>
      <c r="EA604" s="128"/>
      <c r="EB604" s="128"/>
      <c r="EC604" s="128"/>
      <c r="EG604" s="128"/>
      <c r="EL604" s="128"/>
      <c r="EM604" s="128"/>
      <c r="EO604" s="128"/>
      <c r="EQ604" s="128"/>
      <c r="ES604" s="128"/>
      <c r="EU604" s="128"/>
      <c r="EW604" s="128"/>
      <c r="EY604" s="128"/>
    </row>
    <row r="605" spans="3:155">
      <c r="C605" s="128"/>
      <c r="D605" s="128"/>
      <c r="E605" s="128"/>
      <c r="F605" s="128" t="str">
        <f>IF(E605 &lt;&gt; "", VLOOKUP(E605, '[2]Internal-logic'!G$1:I$364, 2, FALSE),"")</f>
        <v/>
      </c>
      <c r="G605" s="128" t="str">
        <f>IF(E605 &lt;&gt; "", VLOOKUP(E605, '[2]Internal-logic'!G$1:I$364, 3, FALSE),"")</f>
        <v/>
      </c>
      <c r="H605" s="128"/>
      <c r="I605" s="128"/>
      <c r="J605" s="128"/>
      <c r="K605" s="128"/>
      <c r="Q605" s="128"/>
      <c r="R605" s="128"/>
      <c r="S605" s="128"/>
      <c r="U605" s="128"/>
      <c r="X605" s="128"/>
      <c r="Y605" s="128"/>
      <c r="Z605" s="128"/>
      <c r="AA605" s="128"/>
      <c r="AB605" s="128"/>
      <c r="AC605" s="128"/>
      <c r="AD605" s="128"/>
      <c r="AE605" s="128"/>
      <c r="AF605" s="128"/>
      <c r="AG605" s="128"/>
      <c r="AI605" s="128"/>
      <c r="AJ605" s="128"/>
      <c r="AY605" s="128"/>
      <c r="BN605" s="128"/>
      <c r="BQ605" s="128"/>
      <c r="BR605" s="128"/>
      <c r="BT605" s="128"/>
      <c r="BV605" s="128"/>
      <c r="BX605" s="128"/>
      <c r="CU605" s="128"/>
      <c r="CW605" s="128"/>
      <c r="DN605" s="128"/>
      <c r="DP605" s="128"/>
      <c r="DR605" s="128"/>
      <c r="DV605" s="128"/>
      <c r="DX605" s="128"/>
      <c r="DY605" s="128"/>
      <c r="EA605" s="128"/>
      <c r="EB605" s="128"/>
      <c r="EC605" s="128"/>
      <c r="EG605" s="128"/>
      <c r="EL605" s="128"/>
      <c r="EM605" s="128"/>
      <c r="EO605" s="128"/>
      <c r="EQ605" s="128"/>
      <c r="ES605" s="128"/>
      <c r="EU605" s="128"/>
      <c r="EW605" s="128"/>
      <c r="EY605" s="128"/>
    </row>
    <row r="606" spans="3:155">
      <c r="C606" s="128"/>
      <c r="D606" s="128"/>
      <c r="E606" s="128"/>
      <c r="F606" s="128" t="str">
        <f>IF(E606 &lt;&gt; "", VLOOKUP(E606, '[2]Internal-logic'!G$1:I$364, 2, FALSE),"")</f>
        <v/>
      </c>
      <c r="G606" s="128" t="str">
        <f>IF(E606 &lt;&gt; "", VLOOKUP(E606, '[2]Internal-logic'!G$1:I$364, 3, FALSE),"")</f>
        <v/>
      </c>
      <c r="H606" s="128"/>
      <c r="I606" s="128"/>
      <c r="J606" s="128"/>
      <c r="K606" s="128"/>
      <c r="Q606" s="128"/>
      <c r="R606" s="128"/>
      <c r="S606" s="128"/>
      <c r="U606" s="128"/>
      <c r="X606" s="128"/>
      <c r="Y606" s="128"/>
      <c r="Z606" s="128"/>
      <c r="AA606" s="128"/>
      <c r="AB606" s="128"/>
      <c r="AC606" s="128"/>
      <c r="AD606" s="128"/>
      <c r="AE606" s="128"/>
      <c r="AF606" s="128"/>
      <c r="AG606" s="128"/>
      <c r="AI606" s="128"/>
      <c r="AJ606" s="128"/>
      <c r="AY606" s="128"/>
      <c r="BN606" s="128"/>
      <c r="BQ606" s="128"/>
      <c r="BR606" s="128"/>
      <c r="BT606" s="128"/>
      <c r="BV606" s="128"/>
      <c r="BX606" s="128"/>
      <c r="CU606" s="128"/>
      <c r="CW606" s="128"/>
      <c r="DN606" s="128"/>
      <c r="DP606" s="128"/>
      <c r="DR606" s="128"/>
      <c r="DV606" s="128"/>
      <c r="DX606" s="128"/>
      <c r="DY606" s="128"/>
      <c r="EA606" s="128"/>
      <c r="EB606" s="128"/>
      <c r="EC606" s="128"/>
      <c r="EG606" s="128"/>
      <c r="EL606" s="128"/>
      <c r="EM606" s="128"/>
      <c r="EO606" s="128"/>
      <c r="EQ606" s="128"/>
      <c r="ES606" s="128"/>
      <c r="EU606" s="128"/>
      <c r="EW606" s="128"/>
      <c r="EY606" s="128"/>
    </row>
    <row r="607" spans="3:155">
      <c r="C607" s="128"/>
      <c r="D607" s="128"/>
      <c r="E607" s="128"/>
      <c r="F607" s="128" t="str">
        <f>IF(E607 &lt;&gt; "", VLOOKUP(E607, '[2]Internal-logic'!G$1:I$364, 2, FALSE),"")</f>
        <v/>
      </c>
      <c r="G607" s="128" t="str">
        <f>IF(E607 &lt;&gt; "", VLOOKUP(E607, '[2]Internal-logic'!G$1:I$364, 3, FALSE),"")</f>
        <v/>
      </c>
      <c r="H607" s="128"/>
      <c r="I607" s="128"/>
      <c r="J607" s="128"/>
      <c r="K607" s="128"/>
      <c r="Q607" s="128"/>
      <c r="R607" s="128"/>
      <c r="S607" s="128"/>
      <c r="U607" s="128"/>
      <c r="X607" s="128"/>
      <c r="Y607" s="128"/>
      <c r="Z607" s="128"/>
      <c r="AA607" s="128"/>
      <c r="AB607" s="128"/>
      <c r="AC607" s="128"/>
      <c r="AD607" s="128"/>
      <c r="AE607" s="128"/>
      <c r="AF607" s="128"/>
      <c r="AG607" s="128"/>
      <c r="AI607" s="128"/>
      <c r="AJ607" s="128"/>
      <c r="AY607" s="128"/>
      <c r="BN607" s="128"/>
      <c r="BQ607" s="128"/>
      <c r="BR607" s="128"/>
      <c r="BT607" s="128"/>
      <c r="BV607" s="128"/>
      <c r="BX607" s="128"/>
      <c r="CU607" s="128"/>
      <c r="CW607" s="128"/>
      <c r="DN607" s="128"/>
      <c r="DP607" s="128"/>
      <c r="DR607" s="128"/>
      <c r="DV607" s="128"/>
      <c r="DX607" s="128"/>
      <c r="DY607" s="128"/>
      <c r="EA607" s="128"/>
      <c r="EB607" s="128"/>
      <c r="EC607" s="128"/>
      <c r="EG607" s="128"/>
      <c r="EL607" s="128"/>
      <c r="EM607" s="128"/>
      <c r="EO607" s="128"/>
      <c r="EQ607" s="128"/>
      <c r="ES607" s="128"/>
      <c r="EU607" s="128"/>
      <c r="EW607" s="128"/>
      <c r="EY607" s="128"/>
    </row>
    <row r="608" spans="3:155">
      <c r="C608" s="128"/>
      <c r="D608" s="128"/>
      <c r="E608" s="128"/>
      <c r="F608" s="128" t="str">
        <f>IF(E608 &lt;&gt; "", VLOOKUP(E608, '[2]Internal-logic'!G$1:I$364, 2, FALSE),"")</f>
        <v/>
      </c>
      <c r="G608" s="128" t="str">
        <f>IF(E608 &lt;&gt; "", VLOOKUP(E608, '[2]Internal-logic'!G$1:I$364, 3, FALSE),"")</f>
        <v/>
      </c>
      <c r="H608" s="128"/>
      <c r="I608" s="128"/>
      <c r="J608" s="128"/>
      <c r="K608" s="128"/>
      <c r="Q608" s="128"/>
      <c r="R608" s="128"/>
      <c r="S608" s="128"/>
      <c r="U608" s="128"/>
      <c r="X608" s="128"/>
      <c r="Y608" s="128"/>
      <c r="Z608" s="128"/>
      <c r="AA608" s="128"/>
      <c r="AB608" s="128"/>
      <c r="AC608" s="128"/>
      <c r="AD608" s="128"/>
      <c r="AE608" s="128"/>
      <c r="AF608" s="128"/>
      <c r="AG608" s="128"/>
      <c r="AI608" s="128"/>
      <c r="AJ608" s="128"/>
      <c r="AY608" s="128"/>
      <c r="BN608" s="128"/>
      <c r="BQ608" s="128"/>
      <c r="BR608" s="128"/>
      <c r="BT608" s="128"/>
      <c r="BV608" s="128"/>
      <c r="BX608" s="128"/>
      <c r="CU608" s="128"/>
      <c r="CW608" s="128"/>
      <c r="DN608" s="128"/>
      <c r="DP608" s="128"/>
      <c r="DR608" s="128"/>
      <c r="DV608" s="128"/>
      <c r="DX608" s="128"/>
      <c r="DY608" s="128"/>
      <c r="EA608" s="128"/>
      <c r="EB608" s="128"/>
      <c r="EC608" s="128"/>
      <c r="EG608" s="128"/>
      <c r="EL608" s="128"/>
      <c r="EM608" s="128"/>
      <c r="EO608" s="128"/>
      <c r="EQ608" s="128"/>
      <c r="ES608" s="128"/>
      <c r="EU608" s="128"/>
      <c r="EW608" s="128"/>
      <c r="EY608" s="128"/>
    </row>
    <row r="609" spans="3:155">
      <c r="C609" s="128"/>
      <c r="D609" s="128"/>
      <c r="E609" s="128"/>
      <c r="F609" s="128" t="str">
        <f>IF(E609 &lt;&gt; "", VLOOKUP(E609, '[2]Internal-logic'!G$1:I$364, 2, FALSE),"")</f>
        <v/>
      </c>
      <c r="G609" s="128" t="str">
        <f>IF(E609 &lt;&gt; "", VLOOKUP(E609, '[2]Internal-logic'!G$1:I$364, 3, FALSE),"")</f>
        <v/>
      </c>
      <c r="H609" s="128"/>
      <c r="I609" s="128"/>
      <c r="J609" s="128"/>
      <c r="K609" s="128"/>
      <c r="Q609" s="128"/>
      <c r="R609" s="128"/>
      <c r="S609" s="128"/>
      <c r="U609" s="128"/>
      <c r="X609" s="128"/>
      <c r="Y609" s="128"/>
      <c r="Z609" s="128"/>
      <c r="AA609" s="128"/>
      <c r="AB609" s="128"/>
      <c r="AC609" s="128"/>
      <c r="AD609" s="128"/>
      <c r="AE609" s="128"/>
      <c r="AF609" s="128"/>
      <c r="AG609" s="128"/>
      <c r="AI609" s="128"/>
      <c r="AJ609" s="128"/>
      <c r="AY609" s="128"/>
      <c r="BN609" s="128"/>
      <c r="BQ609" s="128"/>
      <c r="BR609" s="128"/>
      <c r="BT609" s="128"/>
      <c r="BV609" s="128"/>
      <c r="BX609" s="128"/>
      <c r="CU609" s="128"/>
      <c r="CW609" s="128"/>
      <c r="DN609" s="128"/>
      <c r="DP609" s="128"/>
      <c r="DR609" s="128"/>
      <c r="DV609" s="128"/>
      <c r="DX609" s="128"/>
      <c r="DY609" s="128"/>
      <c r="EA609" s="128"/>
      <c r="EB609" s="128"/>
      <c r="EC609" s="128"/>
      <c r="EG609" s="128"/>
      <c r="EL609" s="128"/>
      <c r="EM609" s="128"/>
      <c r="EO609" s="128"/>
      <c r="EQ609" s="128"/>
      <c r="ES609" s="128"/>
      <c r="EU609" s="128"/>
      <c r="EW609" s="128"/>
      <c r="EY609" s="128"/>
    </row>
    <row r="610" spans="3:155">
      <c r="C610" s="128"/>
      <c r="D610" s="128"/>
      <c r="E610" s="128"/>
      <c r="F610" s="128" t="str">
        <f>IF(E610 &lt;&gt; "", VLOOKUP(E610, '[2]Internal-logic'!G$1:I$364, 2, FALSE),"")</f>
        <v/>
      </c>
      <c r="G610" s="128" t="str">
        <f>IF(E610 &lt;&gt; "", VLOOKUP(E610, '[2]Internal-logic'!G$1:I$364, 3, FALSE),"")</f>
        <v/>
      </c>
      <c r="H610" s="128"/>
      <c r="I610" s="128"/>
      <c r="J610" s="128"/>
      <c r="K610" s="128"/>
      <c r="Q610" s="128"/>
      <c r="R610" s="128"/>
      <c r="S610" s="128"/>
      <c r="U610" s="128"/>
      <c r="X610" s="128"/>
      <c r="Y610" s="128"/>
      <c r="Z610" s="128"/>
      <c r="AA610" s="128"/>
      <c r="AB610" s="128"/>
      <c r="AC610" s="128"/>
      <c r="AD610" s="128"/>
      <c r="AE610" s="128"/>
      <c r="AF610" s="128"/>
      <c r="AG610" s="128"/>
      <c r="AI610" s="128"/>
      <c r="AJ610" s="128"/>
      <c r="AY610" s="128"/>
      <c r="BN610" s="128"/>
      <c r="BQ610" s="128"/>
      <c r="BR610" s="128"/>
      <c r="BT610" s="128"/>
      <c r="BV610" s="128"/>
      <c r="BX610" s="128"/>
      <c r="CU610" s="128"/>
      <c r="CW610" s="128"/>
      <c r="DN610" s="128"/>
      <c r="DP610" s="128"/>
      <c r="DR610" s="128"/>
      <c r="DV610" s="128"/>
      <c r="DX610" s="128"/>
      <c r="DY610" s="128"/>
      <c r="EA610" s="128"/>
      <c r="EB610" s="128"/>
      <c r="EC610" s="128"/>
      <c r="EG610" s="128"/>
      <c r="EL610" s="128"/>
      <c r="EM610" s="128"/>
      <c r="EO610" s="128"/>
      <c r="EQ610" s="128"/>
      <c r="ES610" s="128"/>
      <c r="EU610" s="128"/>
      <c r="EW610" s="128"/>
      <c r="EY610" s="128"/>
    </row>
    <row r="611" spans="3:155">
      <c r="C611" s="128"/>
      <c r="D611" s="128"/>
      <c r="E611" s="128"/>
      <c r="F611" s="128" t="str">
        <f>IF(E611 &lt;&gt; "", VLOOKUP(E611, '[2]Internal-logic'!G$1:I$364, 2, FALSE),"")</f>
        <v/>
      </c>
      <c r="G611" s="128" t="str">
        <f>IF(E611 &lt;&gt; "", VLOOKUP(E611, '[2]Internal-logic'!G$1:I$364, 3, FALSE),"")</f>
        <v/>
      </c>
      <c r="H611" s="128"/>
      <c r="I611" s="128"/>
      <c r="J611" s="128"/>
      <c r="K611" s="128"/>
      <c r="Q611" s="128"/>
      <c r="R611" s="128"/>
      <c r="S611" s="128"/>
      <c r="U611" s="128"/>
      <c r="X611" s="128"/>
      <c r="Y611" s="128"/>
      <c r="Z611" s="128"/>
      <c r="AA611" s="128"/>
      <c r="AB611" s="128"/>
      <c r="AC611" s="128"/>
      <c r="AD611" s="128"/>
      <c r="AE611" s="128"/>
      <c r="AF611" s="128"/>
      <c r="AG611" s="128"/>
      <c r="AI611" s="128"/>
      <c r="AJ611" s="128"/>
      <c r="AY611" s="128"/>
      <c r="BN611" s="128"/>
      <c r="BQ611" s="128"/>
      <c r="BR611" s="128"/>
      <c r="BT611" s="128"/>
      <c r="BV611" s="128"/>
      <c r="BX611" s="128"/>
      <c r="CU611" s="128"/>
      <c r="CW611" s="128"/>
      <c r="DN611" s="128"/>
      <c r="DP611" s="128"/>
      <c r="DR611" s="128"/>
      <c r="DV611" s="128"/>
      <c r="DX611" s="128"/>
      <c r="DY611" s="128"/>
      <c r="EA611" s="128"/>
      <c r="EB611" s="128"/>
      <c r="EC611" s="128"/>
      <c r="EG611" s="128"/>
      <c r="EL611" s="128"/>
      <c r="EM611" s="128"/>
      <c r="EO611" s="128"/>
      <c r="EQ611" s="128"/>
      <c r="ES611" s="128"/>
      <c r="EU611" s="128"/>
      <c r="EW611" s="128"/>
      <c r="EY611" s="128"/>
    </row>
    <row r="612" spans="3:155">
      <c r="C612" s="128"/>
      <c r="D612" s="128"/>
      <c r="E612" s="128"/>
      <c r="F612" s="128" t="str">
        <f>IF(E612 &lt;&gt; "", VLOOKUP(E612, '[2]Internal-logic'!G$1:I$364, 2, FALSE),"")</f>
        <v/>
      </c>
      <c r="G612" s="128" t="str">
        <f>IF(E612 &lt;&gt; "", VLOOKUP(E612, '[2]Internal-logic'!G$1:I$364, 3, FALSE),"")</f>
        <v/>
      </c>
      <c r="H612" s="128"/>
      <c r="I612" s="128"/>
      <c r="J612" s="128"/>
      <c r="K612" s="128"/>
      <c r="Q612" s="128"/>
      <c r="R612" s="128"/>
      <c r="S612" s="128"/>
      <c r="U612" s="128"/>
      <c r="X612" s="128"/>
      <c r="Y612" s="128"/>
      <c r="Z612" s="128"/>
      <c r="AA612" s="128"/>
      <c r="AB612" s="128"/>
      <c r="AC612" s="128"/>
      <c r="AD612" s="128"/>
      <c r="AE612" s="128"/>
      <c r="AF612" s="128"/>
      <c r="AG612" s="128"/>
      <c r="AI612" s="128"/>
      <c r="AJ612" s="128"/>
      <c r="AY612" s="128"/>
      <c r="BN612" s="128"/>
      <c r="BQ612" s="128"/>
      <c r="BR612" s="128"/>
      <c r="BT612" s="128"/>
      <c r="BV612" s="128"/>
      <c r="BX612" s="128"/>
      <c r="CU612" s="128"/>
      <c r="CW612" s="128"/>
      <c r="DN612" s="128"/>
      <c r="DP612" s="128"/>
      <c r="DR612" s="128"/>
      <c r="DV612" s="128"/>
      <c r="DX612" s="128"/>
      <c r="DY612" s="128"/>
      <c r="EA612" s="128"/>
      <c r="EB612" s="128"/>
      <c r="EC612" s="128"/>
      <c r="EG612" s="128"/>
      <c r="EL612" s="128"/>
      <c r="EM612" s="128"/>
      <c r="EO612" s="128"/>
      <c r="EQ612" s="128"/>
      <c r="ES612" s="128"/>
      <c r="EU612" s="128"/>
      <c r="EW612" s="128"/>
      <c r="EY612" s="128"/>
    </row>
    <row r="613" spans="3:155">
      <c r="C613" s="128"/>
      <c r="D613" s="128"/>
      <c r="E613" s="128"/>
      <c r="F613" s="128" t="str">
        <f>IF(E613 &lt;&gt; "", VLOOKUP(E613, '[2]Internal-logic'!G$1:I$364, 2, FALSE),"")</f>
        <v/>
      </c>
      <c r="G613" s="128" t="str">
        <f>IF(E613 &lt;&gt; "", VLOOKUP(E613, '[2]Internal-logic'!G$1:I$364, 3, FALSE),"")</f>
        <v/>
      </c>
      <c r="H613" s="128"/>
      <c r="I613" s="128"/>
      <c r="J613" s="128"/>
      <c r="K613" s="128"/>
      <c r="Q613" s="128"/>
      <c r="R613" s="128"/>
      <c r="S613" s="128"/>
      <c r="U613" s="128"/>
      <c r="X613" s="128"/>
      <c r="Y613" s="128"/>
      <c r="Z613" s="128"/>
      <c r="AA613" s="128"/>
      <c r="AB613" s="128"/>
      <c r="AC613" s="128"/>
      <c r="AD613" s="128"/>
      <c r="AE613" s="128"/>
      <c r="AF613" s="128"/>
      <c r="AG613" s="128"/>
      <c r="AI613" s="128"/>
      <c r="AJ613" s="128"/>
      <c r="AY613" s="128"/>
      <c r="BN613" s="128"/>
      <c r="BQ613" s="128"/>
      <c r="BR613" s="128"/>
      <c r="BT613" s="128"/>
      <c r="BV613" s="128"/>
      <c r="BX613" s="128"/>
      <c r="CU613" s="128"/>
      <c r="CW613" s="128"/>
      <c r="DN613" s="128"/>
      <c r="DP613" s="128"/>
      <c r="DR613" s="128"/>
      <c r="DV613" s="128"/>
      <c r="DX613" s="128"/>
      <c r="DY613" s="128"/>
      <c r="EA613" s="128"/>
      <c r="EB613" s="128"/>
      <c r="EC613" s="128"/>
      <c r="EG613" s="128"/>
      <c r="EL613" s="128"/>
      <c r="EM613" s="128"/>
      <c r="EO613" s="128"/>
      <c r="EQ613" s="128"/>
      <c r="ES613" s="128"/>
      <c r="EU613" s="128"/>
      <c r="EW613" s="128"/>
      <c r="EY613" s="128"/>
    </row>
    <row r="614" spans="3:155">
      <c r="C614" s="128"/>
      <c r="D614" s="128"/>
      <c r="E614" s="128"/>
      <c r="F614" s="128" t="str">
        <f>IF(E614 &lt;&gt; "", VLOOKUP(E614, '[2]Internal-logic'!G$1:I$364, 2, FALSE),"")</f>
        <v/>
      </c>
      <c r="G614" s="128" t="str">
        <f>IF(E614 &lt;&gt; "", VLOOKUP(E614, '[2]Internal-logic'!G$1:I$364, 3, FALSE),"")</f>
        <v/>
      </c>
      <c r="H614" s="128"/>
      <c r="I614" s="128"/>
      <c r="J614" s="128"/>
      <c r="K614" s="128"/>
      <c r="Q614" s="128"/>
      <c r="R614" s="128"/>
      <c r="S614" s="128"/>
      <c r="U614" s="128"/>
      <c r="X614" s="128"/>
      <c r="Y614" s="128"/>
      <c r="Z614" s="128"/>
      <c r="AA614" s="128"/>
      <c r="AB614" s="128"/>
      <c r="AC614" s="128"/>
      <c r="AD614" s="128"/>
      <c r="AE614" s="128"/>
      <c r="AF614" s="128"/>
      <c r="AG614" s="128"/>
      <c r="AI614" s="128"/>
      <c r="AJ614" s="128"/>
      <c r="AY614" s="128"/>
      <c r="BN614" s="128"/>
      <c r="BQ614" s="128"/>
      <c r="BR614" s="128"/>
      <c r="BT614" s="128"/>
      <c r="BV614" s="128"/>
      <c r="BX614" s="128"/>
      <c r="CU614" s="128"/>
      <c r="CW614" s="128"/>
      <c r="DN614" s="128"/>
      <c r="DP614" s="128"/>
      <c r="DR614" s="128"/>
      <c r="DV614" s="128"/>
      <c r="DX614" s="128"/>
      <c r="DY614" s="128"/>
      <c r="EA614" s="128"/>
      <c r="EB614" s="128"/>
      <c r="EC614" s="128"/>
      <c r="EG614" s="128"/>
      <c r="EL614" s="128"/>
      <c r="EM614" s="128"/>
      <c r="EO614" s="128"/>
      <c r="EQ614" s="128"/>
      <c r="ES614" s="128"/>
      <c r="EU614" s="128"/>
      <c r="EW614" s="128"/>
      <c r="EY614" s="128"/>
    </row>
    <row r="615" spans="3:155">
      <c r="C615" s="128"/>
      <c r="D615" s="128"/>
      <c r="E615" s="128"/>
      <c r="F615" s="128" t="str">
        <f>IF(E615 &lt;&gt; "", VLOOKUP(E615, '[2]Internal-logic'!G$1:I$364, 2, FALSE),"")</f>
        <v/>
      </c>
      <c r="G615" s="128" t="str">
        <f>IF(E615 &lt;&gt; "", VLOOKUP(E615, '[2]Internal-logic'!G$1:I$364, 3, FALSE),"")</f>
        <v/>
      </c>
      <c r="H615" s="128"/>
      <c r="I615" s="128"/>
      <c r="J615" s="128"/>
      <c r="K615" s="128"/>
      <c r="Q615" s="128"/>
      <c r="R615" s="128"/>
      <c r="S615" s="128"/>
      <c r="U615" s="128"/>
      <c r="X615" s="128"/>
      <c r="Y615" s="128"/>
      <c r="Z615" s="128"/>
      <c r="AA615" s="128"/>
      <c r="AB615" s="128"/>
      <c r="AC615" s="128"/>
      <c r="AD615" s="128"/>
      <c r="AE615" s="128"/>
      <c r="AF615" s="128"/>
      <c r="AG615" s="128"/>
      <c r="AI615" s="128"/>
      <c r="AJ615" s="128"/>
      <c r="AY615" s="128"/>
      <c r="BN615" s="128"/>
      <c r="BQ615" s="128"/>
      <c r="BR615" s="128"/>
      <c r="BT615" s="128"/>
      <c r="BV615" s="128"/>
      <c r="BX615" s="128"/>
      <c r="CU615" s="128"/>
      <c r="CW615" s="128"/>
      <c r="DN615" s="128"/>
      <c r="DP615" s="128"/>
      <c r="DR615" s="128"/>
      <c r="DV615" s="128"/>
      <c r="DX615" s="128"/>
      <c r="DY615" s="128"/>
      <c r="EA615" s="128"/>
      <c r="EB615" s="128"/>
      <c r="EC615" s="128"/>
      <c r="EG615" s="128"/>
      <c r="EL615" s="128"/>
      <c r="EM615" s="128"/>
      <c r="EO615" s="128"/>
      <c r="EQ615" s="128"/>
      <c r="ES615" s="128"/>
      <c r="EU615" s="128"/>
      <c r="EW615" s="128"/>
      <c r="EY615" s="128"/>
    </row>
    <row r="616" spans="3:155">
      <c r="C616" s="128"/>
      <c r="D616" s="128"/>
      <c r="E616" s="128"/>
      <c r="F616" s="128" t="str">
        <f>IF(E616 &lt;&gt; "", VLOOKUP(E616, '[2]Internal-logic'!G$1:I$364, 2, FALSE),"")</f>
        <v/>
      </c>
      <c r="G616" s="128" t="str">
        <f>IF(E616 &lt;&gt; "", VLOOKUP(E616, '[2]Internal-logic'!G$1:I$364, 3, FALSE),"")</f>
        <v/>
      </c>
      <c r="H616" s="128"/>
      <c r="I616" s="128"/>
      <c r="J616" s="128"/>
      <c r="K616" s="128"/>
      <c r="Q616" s="128"/>
      <c r="R616" s="128"/>
      <c r="S616" s="128"/>
      <c r="U616" s="128"/>
      <c r="X616" s="128"/>
      <c r="Y616" s="128"/>
      <c r="Z616" s="128"/>
      <c r="AA616" s="128"/>
      <c r="AB616" s="128"/>
      <c r="AC616" s="128"/>
      <c r="AD616" s="128"/>
      <c r="AE616" s="128"/>
      <c r="AF616" s="128"/>
      <c r="AG616" s="128"/>
      <c r="AI616" s="128"/>
      <c r="AJ616" s="128"/>
      <c r="AY616" s="128"/>
      <c r="BN616" s="128"/>
      <c r="BQ616" s="128"/>
      <c r="BR616" s="128"/>
      <c r="BT616" s="128"/>
      <c r="BV616" s="128"/>
      <c r="BX616" s="128"/>
      <c r="CU616" s="128"/>
      <c r="CW616" s="128"/>
      <c r="DN616" s="128"/>
      <c r="DP616" s="128"/>
      <c r="DR616" s="128"/>
      <c r="DV616" s="128"/>
      <c r="DX616" s="128"/>
      <c r="DY616" s="128"/>
      <c r="EA616" s="128"/>
      <c r="EB616" s="128"/>
      <c r="EC616" s="128"/>
      <c r="EG616" s="128"/>
      <c r="EL616" s="128"/>
      <c r="EM616" s="128"/>
      <c r="EO616" s="128"/>
      <c r="EQ616" s="128"/>
      <c r="ES616" s="128"/>
      <c r="EU616" s="128"/>
      <c r="EW616" s="128"/>
      <c r="EY616" s="128"/>
    </row>
    <row r="617" spans="3:155">
      <c r="C617" s="128"/>
      <c r="D617" s="128"/>
      <c r="E617" s="128"/>
      <c r="F617" s="128" t="str">
        <f>IF(E617 &lt;&gt; "", VLOOKUP(E617, '[2]Internal-logic'!G$1:I$364, 2, FALSE),"")</f>
        <v/>
      </c>
      <c r="G617" s="128" t="str">
        <f>IF(E617 &lt;&gt; "", VLOOKUP(E617, '[2]Internal-logic'!G$1:I$364, 3, FALSE),"")</f>
        <v/>
      </c>
      <c r="H617" s="128"/>
      <c r="I617" s="128"/>
      <c r="J617" s="128"/>
      <c r="K617" s="128"/>
      <c r="Q617" s="128"/>
      <c r="R617" s="128"/>
      <c r="S617" s="128"/>
      <c r="U617" s="128"/>
      <c r="X617" s="128"/>
      <c r="Y617" s="128"/>
      <c r="Z617" s="128"/>
      <c r="AA617" s="128"/>
      <c r="AB617" s="128"/>
      <c r="AC617" s="128"/>
      <c r="AD617" s="128"/>
      <c r="AE617" s="128"/>
      <c r="AF617" s="128"/>
      <c r="AG617" s="128"/>
      <c r="AI617" s="128"/>
      <c r="AJ617" s="128"/>
      <c r="AY617" s="128"/>
      <c r="BN617" s="128"/>
      <c r="BQ617" s="128"/>
      <c r="BR617" s="128"/>
      <c r="BT617" s="128"/>
      <c r="BV617" s="128"/>
      <c r="BX617" s="128"/>
      <c r="CU617" s="128"/>
      <c r="CW617" s="128"/>
      <c r="DN617" s="128"/>
      <c r="DP617" s="128"/>
      <c r="DR617" s="128"/>
      <c r="DV617" s="128"/>
      <c r="DX617" s="128"/>
      <c r="DY617" s="128"/>
      <c r="EA617" s="128"/>
      <c r="EB617" s="128"/>
      <c r="EC617" s="128"/>
      <c r="EG617" s="128"/>
      <c r="EL617" s="128"/>
      <c r="EM617" s="128"/>
      <c r="EO617" s="128"/>
      <c r="EQ617" s="128"/>
      <c r="ES617" s="128"/>
      <c r="EU617" s="128"/>
      <c r="EW617" s="128"/>
      <c r="EY617" s="128"/>
    </row>
    <row r="618" spans="3:155">
      <c r="C618" s="128"/>
      <c r="D618" s="128"/>
      <c r="E618" s="128"/>
      <c r="F618" s="128" t="str">
        <f>IF(E618 &lt;&gt; "", VLOOKUP(E618, '[2]Internal-logic'!G$1:I$364, 2, FALSE),"")</f>
        <v/>
      </c>
      <c r="G618" s="128" t="str">
        <f>IF(E618 &lt;&gt; "", VLOOKUP(E618, '[2]Internal-logic'!G$1:I$364, 3, FALSE),"")</f>
        <v/>
      </c>
      <c r="H618" s="128"/>
      <c r="I618" s="128"/>
      <c r="J618" s="128"/>
      <c r="K618" s="128"/>
      <c r="Q618" s="128"/>
      <c r="R618" s="128"/>
      <c r="S618" s="128"/>
      <c r="U618" s="128"/>
      <c r="X618" s="128"/>
      <c r="Y618" s="128"/>
      <c r="Z618" s="128"/>
      <c r="AA618" s="128"/>
      <c r="AB618" s="128"/>
      <c r="AC618" s="128"/>
      <c r="AD618" s="128"/>
      <c r="AE618" s="128"/>
      <c r="AF618" s="128"/>
      <c r="AG618" s="128"/>
      <c r="AI618" s="128"/>
      <c r="AJ618" s="128"/>
      <c r="AY618" s="128"/>
      <c r="BN618" s="128"/>
      <c r="BQ618" s="128"/>
      <c r="BR618" s="128"/>
      <c r="BT618" s="128"/>
      <c r="BV618" s="128"/>
      <c r="BX618" s="128"/>
      <c r="CU618" s="128"/>
      <c r="CW618" s="128"/>
      <c r="DN618" s="128"/>
      <c r="DP618" s="128"/>
      <c r="DR618" s="128"/>
      <c r="DV618" s="128"/>
      <c r="DX618" s="128"/>
      <c r="DY618" s="128"/>
      <c r="EA618" s="128"/>
      <c r="EB618" s="128"/>
      <c r="EC618" s="128"/>
      <c r="EG618" s="128"/>
      <c r="EL618" s="128"/>
      <c r="EM618" s="128"/>
      <c r="EO618" s="128"/>
      <c r="EQ618" s="128"/>
      <c r="ES618" s="128"/>
      <c r="EU618" s="128"/>
      <c r="EW618" s="128"/>
      <c r="EY618" s="128"/>
    </row>
    <row r="619" spans="3:155">
      <c r="C619" s="128"/>
      <c r="D619" s="128"/>
      <c r="E619" s="128"/>
      <c r="F619" s="128" t="str">
        <f>IF(E619 &lt;&gt; "", VLOOKUP(E619, '[2]Internal-logic'!G$1:I$364, 2, FALSE),"")</f>
        <v/>
      </c>
      <c r="G619" s="128" t="str">
        <f>IF(E619 &lt;&gt; "", VLOOKUP(E619, '[2]Internal-logic'!G$1:I$364, 3, FALSE),"")</f>
        <v/>
      </c>
      <c r="H619" s="128"/>
      <c r="I619" s="128"/>
      <c r="J619" s="128"/>
      <c r="K619" s="128"/>
      <c r="Q619" s="128"/>
      <c r="R619" s="128"/>
      <c r="S619" s="128"/>
      <c r="U619" s="128"/>
      <c r="X619" s="128"/>
      <c r="Y619" s="128"/>
      <c r="Z619" s="128"/>
      <c r="AA619" s="128"/>
      <c r="AB619" s="128"/>
      <c r="AC619" s="128"/>
      <c r="AD619" s="128"/>
      <c r="AE619" s="128"/>
      <c r="AF619" s="128"/>
      <c r="AG619" s="128"/>
      <c r="AI619" s="128"/>
      <c r="AJ619" s="128"/>
      <c r="AY619" s="128"/>
      <c r="BN619" s="128"/>
      <c r="BQ619" s="128"/>
      <c r="BR619" s="128"/>
      <c r="BT619" s="128"/>
      <c r="BV619" s="128"/>
      <c r="BX619" s="128"/>
      <c r="CU619" s="128"/>
      <c r="CW619" s="128"/>
      <c r="DN619" s="128"/>
      <c r="DP619" s="128"/>
      <c r="DR619" s="128"/>
      <c r="DV619" s="128"/>
      <c r="DX619" s="128"/>
      <c r="DY619" s="128"/>
      <c r="EA619" s="128"/>
      <c r="EB619" s="128"/>
      <c r="EC619" s="128"/>
      <c r="EG619" s="128"/>
      <c r="EL619" s="128"/>
      <c r="EM619" s="128"/>
      <c r="EO619" s="128"/>
      <c r="EQ619" s="128"/>
      <c r="ES619" s="128"/>
      <c r="EU619" s="128"/>
      <c r="EW619" s="128"/>
      <c r="EY619" s="128"/>
    </row>
    <row r="620" spans="3:155">
      <c r="C620" s="128"/>
      <c r="D620" s="128"/>
      <c r="E620" s="128"/>
      <c r="F620" s="128" t="str">
        <f>IF(E620 &lt;&gt; "", VLOOKUP(E620, '[2]Internal-logic'!G$1:I$364, 2, FALSE),"")</f>
        <v/>
      </c>
      <c r="G620" s="128" t="str">
        <f>IF(E620 &lt;&gt; "", VLOOKUP(E620, '[2]Internal-logic'!G$1:I$364, 3, FALSE),"")</f>
        <v/>
      </c>
      <c r="H620" s="128"/>
      <c r="I620" s="128"/>
      <c r="J620" s="128"/>
      <c r="K620" s="128"/>
      <c r="Q620" s="128"/>
      <c r="R620" s="128"/>
      <c r="S620" s="128"/>
      <c r="U620" s="128"/>
      <c r="X620" s="128"/>
      <c r="Y620" s="128"/>
      <c r="Z620" s="128"/>
      <c r="AA620" s="128"/>
      <c r="AB620" s="128"/>
      <c r="AC620" s="128"/>
      <c r="AD620" s="128"/>
      <c r="AE620" s="128"/>
      <c r="AF620" s="128"/>
      <c r="AG620" s="128"/>
      <c r="AI620" s="128"/>
      <c r="AJ620" s="128"/>
      <c r="AY620" s="128"/>
      <c r="BN620" s="128"/>
      <c r="BQ620" s="128"/>
      <c r="BR620" s="128"/>
      <c r="BT620" s="128"/>
      <c r="BV620" s="128"/>
      <c r="BX620" s="128"/>
      <c r="CU620" s="128"/>
      <c r="CW620" s="128"/>
      <c r="DN620" s="128"/>
      <c r="DP620" s="128"/>
      <c r="DR620" s="128"/>
      <c r="DV620" s="128"/>
      <c r="DX620" s="128"/>
      <c r="DY620" s="128"/>
      <c r="EA620" s="128"/>
      <c r="EB620" s="128"/>
      <c r="EC620" s="128"/>
      <c r="EG620" s="128"/>
      <c r="EL620" s="128"/>
      <c r="EM620" s="128"/>
      <c r="EO620" s="128"/>
      <c r="EQ620" s="128"/>
      <c r="ES620" s="128"/>
      <c r="EU620" s="128"/>
      <c r="EW620" s="128"/>
      <c r="EY620" s="128"/>
    </row>
    <row r="621" spans="3:155">
      <c r="C621" s="128"/>
      <c r="D621" s="128"/>
      <c r="E621" s="128"/>
      <c r="F621" s="128" t="str">
        <f>IF(E621 &lt;&gt; "", VLOOKUP(E621, '[2]Internal-logic'!G$1:I$364, 2, FALSE),"")</f>
        <v/>
      </c>
      <c r="G621" s="128" t="str">
        <f>IF(E621 &lt;&gt; "", VLOOKUP(E621, '[2]Internal-logic'!G$1:I$364, 3, FALSE),"")</f>
        <v/>
      </c>
      <c r="H621" s="128"/>
      <c r="I621" s="128"/>
      <c r="J621" s="128"/>
      <c r="K621" s="128"/>
      <c r="Q621" s="128"/>
      <c r="R621" s="128"/>
      <c r="S621" s="128"/>
      <c r="U621" s="128"/>
      <c r="X621" s="128"/>
      <c r="Y621" s="128"/>
      <c r="Z621" s="128"/>
      <c r="AA621" s="128"/>
      <c r="AB621" s="128"/>
      <c r="AC621" s="128"/>
      <c r="AD621" s="128"/>
      <c r="AE621" s="128"/>
      <c r="AF621" s="128"/>
      <c r="AG621" s="128"/>
      <c r="AI621" s="128"/>
      <c r="AJ621" s="128"/>
      <c r="AY621" s="128"/>
      <c r="BN621" s="128"/>
      <c r="BQ621" s="128"/>
      <c r="BR621" s="128"/>
      <c r="BT621" s="128"/>
      <c r="BV621" s="128"/>
      <c r="BX621" s="128"/>
      <c r="CU621" s="128"/>
      <c r="CW621" s="128"/>
      <c r="DN621" s="128"/>
      <c r="DP621" s="128"/>
      <c r="DR621" s="128"/>
      <c r="DV621" s="128"/>
      <c r="DX621" s="128"/>
      <c r="DY621" s="128"/>
      <c r="EA621" s="128"/>
      <c r="EB621" s="128"/>
      <c r="EC621" s="128"/>
      <c r="EG621" s="128"/>
      <c r="EL621" s="128"/>
      <c r="EM621" s="128"/>
      <c r="EO621" s="128"/>
      <c r="EQ621" s="128"/>
      <c r="ES621" s="128"/>
      <c r="EU621" s="128"/>
      <c r="EW621" s="128"/>
      <c r="EY621" s="128"/>
    </row>
    <row r="622" spans="3:155">
      <c r="C622" s="128"/>
      <c r="D622" s="128"/>
      <c r="E622" s="128"/>
      <c r="F622" s="128" t="str">
        <f>IF(E622 &lt;&gt; "", VLOOKUP(E622, '[2]Internal-logic'!G$1:I$364, 2, FALSE),"")</f>
        <v/>
      </c>
      <c r="G622" s="128" t="str">
        <f>IF(E622 &lt;&gt; "", VLOOKUP(E622, '[2]Internal-logic'!G$1:I$364, 3, FALSE),"")</f>
        <v/>
      </c>
      <c r="H622" s="128"/>
      <c r="I622" s="128"/>
      <c r="J622" s="128"/>
      <c r="K622" s="128"/>
      <c r="Q622" s="128"/>
      <c r="R622" s="128"/>
      <c r="S622" s="128"/>
      <c r="U622" s="128"/>
      <c r="X622" s="128"/>
      <c r="Y622" s="128"/>
      <c r="Z622" s="128"/>
      <c r="AA622" s="128"/>
      <c r="AB622" s="128"/>
      <c r="AC622" s="128"/>
      <c r="AD622" s="128"/>
      <c r="AE622" s="128"/>
      <c r="AF622" s="128"/>
      <c r="AG622" s="128"/>
      <c r="AI622" s="128"/>
      <c r="AJ622" s="128"/>
      <c r="AY622" s="128"/>
      <c r="BN622" s="128"/>
      <c r="BQ622" s="128"/>
      <c r="BR622" s="128"/>
      <c r="BT622" s="128"/>
      <c r="BV622" s="128"/>
      <c r="BX622" s="128"/>
      <c r="CU622" s="128"/>
      <c r="CW622" s="128"/>
      <c r="DN622" s="128"/>
      <c r="DP622" s="128"/>
      <c r="DR622" s="128"/>
      <c r="DV622" s="128"/>
      <c r="DX622" s="128"/>
      <c r="DY622" s="128"/>
      <c r="EA622" s="128"/>
      <c r="EB622" s="128"/>
      <c r="EC622" s="128"/>
      <c r="EG622" s="128"/>
      <c r="EL622" s="128"/>
      <c r="EM622" s="128"/>
      <c r="EO622" s="128"/>
      <c r="EQ622" s="128"/>
      <c r="ES622" s="128"/>
      <c r="EU622" s="128"/>
      <c r="EW622" s="128"/>
      <c r="EY622" s="128"/>
    </row>
    <row r="623" spans="3:155">
      <c r="C623" s="128"/>
      <c r="D623" s="128"/>
      <c r="E623" s="128"/>
      <c r="F623" s="128" t="str">
        <f>IF(E623 &lt;&gt; "", VLOOKUP(E623, '[2]Internal-logic'!G$1:I$364, 2, FALSE),"")</f>
        <v/>
      </c>
      <c r="G623" s="128" t="str">
        <f>IF(E623 &lt;&gt; "", VLOOKUP(E623, '[2]Internal-logic'!G$1:I$364, 3, FALSE),"")</f>
        <v/>
      </c>
      <c r="H623" s="128"/>
      <c r="I623" s="128"/>
      <c r="J623" s="128"/>
      <c r="K623" s="128"/>
      <c r="Q623" s="128"/>
      <c r="R623" s="128"/>
      <c r="S623" s="128"/>
      <c r="U623" s="128"/>
      <c r="X623" s="128"/>
      <c r="Y623" s="128"/>
      <c r="Z623" s="128"/>
      <c r="AA623" s="128"/>
      <c r="AB623" s="128"/>
      <c r="AC623" s="128"/>
      <c r="AD623" s="128"/>
      <c r="AE623" s="128"/>
      <c r="AF623" s="128"/>
      <c r="AG623" s="128"/>
      <c r="AI623" s="128"/>
      <c r="AJ623" s="128"/>
      <c r="AY623" s="128"/>
      <c r="BN623" s="128"/>
      <c r="BQ623" s="128"/>
      <c r="BR623" s="128"/>
      <c r="BT623" s="128"/>
      <c r="BV623" s="128"/>
      <c r="BX623" s="128"/>
      <c r="CU623" s="128"/>
      <c r="CW623" s="128"/>
      <c r="DN623" s="128"/>
      <c r="DP623" s="128"/>
      <c r="DR623" s="128"/>
      <c r="DV623" s="128"/>
      <c r="DX623" s="128"/>
      <c r="DY623" s="128"/>
      <c r="EA623" s="128"/>
      <c r="EB623" s="128"/>
      <c r="EC623" s="128"/>
      <c r="EG623" s="128"/>
      <c r="EL623" s="128"/>
      <c r="EM623" s="128"/>
      <c r="EO623" s="128"/>
      <c r="EQ623" s="128"/>
      <c r="ES623" s="128"/>
      <c r="EU623" s="128"/>
      <c r="EW623" s="128"/>
      <c r="EY623" s="128"/>
    </row>
    <row r="624" spans="3:155">
      <c r="C624" s="128"/>
      <c r="D624" s="128"/>
      <c r="E624" s="128"/>
      <c r="F624" s="128" t="str">
        <f>IF(E624 &lt;&gt; "", VLOOKUP(E624, '[2]Internal-logic'!G$1:I$364, 2, FALSE),"")</f>
        <v/>
      </c>
      <c r="G624" s="128" t="str">
        <f>IF(E624 &lt;&gt; "", VLOOKUP(E624, '[2]Internal-logic'!G$1:I$364, 3, FALSE),"")</f>
        <v/>
      </c>
      <c r="H624" s="128"/>
      <c r="I624" s="128"/>
      <c r="J624" s="128"/>
      <c r="K624" s="128"/>
      <c r="Q624" s="128"/>
      <c r="R624" s="128"/>
      <c r="S624" s="128"/>
      <c r="U624" s="128"/>
      <c r="X624" s="128"/>
      <c r="Y624" s="128"/>
      <c r="Z624" s="128"/>
      <c r="AA624" s="128"/>
      <c r="AB624" s="128"/>
      <c r="AC624" s="128"/>
      <c r="AD624" s="128"/>
      <c r="AE624" s="128"/>
      <c r="AF624" s="128"/>
      <c r="AG624" s="128"/>
      <c r="AI624" s="128"/>
      <c r="AJ624" s="128"/>
      <c r="AY624" s="128"/>
      <c r="BN624" s="128"/>
      <c r="BQ624" s="128"/>
      <c r="BR624" s="128"/>
      <c r="BT624" s="128"/>
      <c r="BV624" s="128"/>
      <c r="BX624" s="128"/>
      <c r="CU624" s="128"/>
      <c r="CW624" s="128"/>
      <c r="DN624" s="128"/>
      <c r="DP624" s="128"/>
      <c r="DR624" s="128"/>
      <c r="DV624" s="128"/>
      <c r="DX624" s="128"/>
      <c r="DY624" s="128"/>
      <c r="EA624" s="128"/>
      <c r="EB624" s="128"/>
      <c r="EC624" s="128"/>
      <c r="EG624" s="128"/>
      <c r="EL624" s="128"/>
      <c r="EM624" s="128"/>
      <c r="EO624" s="128"/>
      <c r="EQ624" s="128"/>
      <c r="ES624" s="128"/>
      <c r="EU624" s="128"/>
      <c r="EW624" s="128"/>
      <c r="EY624" s="128"/>
    </row>
    <row r="625" spans="3:155">
      <c r="C625" s="128"/>
      <c r="D625" s="128"/>
      <c r="E625" s="128"/>
      <c r="F625" s="128" t="str">
        <f>IF(E625 &lt;&gt; "", VLOOKUP(E625, '[2]Internal-logic'!G$1:I$364, 2, FALSE),"")</f>
        <v/>
      </c>
      <c r="G625" s="128" t="str">
        <f>IF(E625 &lt;&gt; "", VLOOKUP(E625, '[2]Internal-logic'!G$1:I$364, 3, FALSE),"")</f>
        <v/>
      </c>
      <c r="H625" s="128"/>
      <c r="I625" s="128"/>
      <c r="J625" s="128"/>
      <c r="K625" s="128"/>
      <c r="Q625" s="128"/>
      <c r="R625" s="128"/>
      <c r="S625" s="128"/>
      <c r="U625" s="128"/>
      <c r="X625" s="128"/>
      <c r="Y625" s="128"/>
      <c r="Z625" s="128"/>
      <c r="AA625" s="128"/>
      <c r="AB625" s="128"/>
      <c r="AC625" s="128"/>
      <c r="AD625" s="128"/>
      <c r="AE625" s="128"/>
      <c r="AF625" s="128"/>
      <c r="AG625" s="128"/>
      <c r="AI625" s="128"/>
      <c r="AJ625" s="128"/>
      <c r="AY625" s="128"/>
      <c r="BN625" s="128"/>
      <c r="BQ625" s="128"/>
      <c r="BR625" s="128"/>
      <c r="BT625" s="128"/>
      <c r="BV625" s="128"/>
      <c r="BX625" s="128"/>
      <c r="CU625" s="128"/>
      <c r="CW625" s="128"/>
      <c r="DN625" s="128"/>
      <c r="DP625" s="128"/>
      <c r="DR625" s="128"/>
      <c r="DV625" s="128"/>
      <c r="DX625" s="128"/>
      <c r="DY625" s="128"/>
      <c r="EA625" s="128"/>
      <c r="EB625" s="128"/>
      <c r="EC625" s="128"/>
      <c r="EG625" s="128"/>
      <c r="EL625" s="128"/>
      <c r="EM625" s="128"/>
      <c r="EO625" s="128"/>
      <c r="EQ625" s="128"/>
      <c r="ES625" s="128"/>
      <c r="EU625" s="128"/>
      <c r="EW625" s="128"/>
      <c r="EY625" s="128"/>
    </row>
    <row r="626" spans="3:155">
      <c r="C626" s="128"/>
      <c r="D626" s="128"/>
      <c r="E626" s="128"/>
      <c r="F626" s="128" t="str">
        <f>IF(E626 &lt;&gt; "", VLOOKUP(E626, '[2]Internal-logic'!G$1:I$364, 2, FALSE),"")</f>
        <v/>
      </c>
      <c r="G626" s="128" t="str">
        <f>IF(E626 &lt;&gt; "", VLOOKUP(E626, '[2]Internal-logic'!G$1:I$364, 3, FALSE),"")</f>
        <v/>
      </c>
      <c r="H626" s="128"/>
      <c r="I626" s="128"/>
      <c r="J626" s="128"/>
      <c r="K626" s="128"/>
      <c r="Q626" s="128"/>
      <c r="R626" s="128"/>
      <c r="S626" s="128"/>
      <c r="U626" s="128"/>
      <c r="X626" s="128"/>
      <c r="Y626" s="128"/>
      <c r="Z626" s="128"/>
      <c r="AA626" s="128"/>
      <c r="AB626" s="128"/>
      <c r="AC626" s="128"/>
      <c r="AD626" s="128"/>
      <c r="AE626" s="128"/>
      <c r="AF626" s="128"/>
      <c r="AG626" s="128"/>
      <c r="AI626" s="128"/>
      <c r="AJ626" s="128"/>
      <c r="AY626" s="128"/>
      <c r="BN626" s="128"/>
      <c r="BQ626" s="128"/>
      <c r="BR626" s="128"/>
      <c r="BT626" s="128"/>
      <c r="BV626" s="128"/>
      <c r="BX626" s="128"/>
      <c r="CU626" s="128"/>
      <c r="CW626" s="128"/>
      <c r="DN626" s="128"/>
      <c r="DP626" s="128"/>
      <c r="DR626" s="128"/>
      <c r="DV626" s="128"/>
      <c r="DX626" s="128"/>
      <c r="DY626" s="128"/>
      <c r="EA626" s="128"/>
      <c r="EB626" s="128"/>
      <c r="EC626" s="128"/>
      <c r="EG626" s="128"/>
      <c r="EL626" s="128"/>
      <c r="EM626" s="128"/>
      <c r="EO626" s="128"/>
      <c r="EQ626" s="128"/>
      <c r="ES626" s="128"/>
      <c r="EU626" s="128"/>
      <c r="EW626" s="128"/>
      <c r="EY626" s="128"/>
    </row>
    <row r="627" spans="3:155">
      <c r="C627" s="128"/>
      <c r="D627" s="128"/>
      <c r="E627" s="128"/>
      <c r="F627" s="128" t="str">
        <f>IF(E627 &lt;&gt; "", VLOOKUP(E627, '[2]Internal-logic'!G$1:I$364, 2, FALSE),"")</f>
        <v/>
      </c>
      <c r="G627" s="128" t="str">
        <f>IF(E627 &lt;&gt; "", VLOOKUP(E627, '[2]Internal-logic'!G$1:I$364, 3, FALSE),"")</f>
        <v/>
      </c>
      <c r="H627" s="128"/>
      <c r="I627" s="128"/>
      <c r="J627" s="128"/>
      <c r="K627" s="128"/>
      <c r="Q627" s="128"/>
      <c r="R627" s="128"/>
      <c r="S627" s="128"/>
      <c r="U627" s="128"/>
      <c r="X627" s="128"/>
      <c r="Y627" s="128"/>
      <c r="Z627" s="128"/>
      <c r="AA627" s="128"/>
      <c r="AB627" s="128"/>
      <c r="AC627" s="128"/>
      <c r="AD627" s="128"/>
      <c r="AE627" s="128"/>
      <c r="AF627" s="128"/>
      <c r="AG627" s="128"/>
      <c r="AI627" s="128"/>
      <c r="AJ627" s="128"/>
      <c r="AY627" s="128"/>
      <c r="BN627" s="128"/>
      <c r="BQ627" s="128"/>
      <c r="BR627" s="128"/>
      <c r="BT627" s="128"/>
      <c r="BV627" s="128"/>
      <c r="BX627" s="128"/>
      <c r="CU627" s="128"/>
      <c r="CW627" s="128"/>
      <c r="DN627" s="128"/>
      <c r="DP627" s="128"/>
      <c r="DR627" s="128"/>
      <c r="DV627" s="128"/>
      <c r="DX627" s="128"/>
      <c r="DY627" s="128"/>
      <c r="EA627" s="128"/>
      <c r="EB627" s="128"/>
      <c r="EC627" s="128"/>
      <c r="EG627" s="128"/>
      <c r="EL627" s="128"/>
      <c r="EM627" s="128"/>
      <c r="EO627" s="128"/>
      <c r="EQ627" s="128"/>
      <c r="ES627" s="128"/>
      <c r="EU627" s="128"/>
      <c r="EW627" s="128"/>
      <c r="EY627" s="128"/>
    </row>
    <row r="628" spans="3:155">
      <c r="C628" s="128"/>
      <c r="D628" s="128"/>
      <c r="E628" s="128"/>
      <c r="F628" s="128" t="str">
        <f>IF(E628 &lt;&gt; "", VLOOKUP(E628, '[2]Internal-logic'!G$1:I$364, 2, FALSE),"")</f>
        <v/>
      </c>
      <c r="G628" s="128" t="str">
        <f>IF(E628 &lt;&gt; "", VLOOKUP(E628, '[2]Internal-logic'!G$1:I$364, 3, FALSE),"")</f>
        <v/>
      </c>
      <c r="H628" s="128"/>
      <c r="I628" s="128"/>
      <c r="J628" s="128"/>
      <c r="K628" s="128"/>
      <c r="Q628" s="128"/>
      <c r="R628" s="128"/>
      <c r="S628" s="128"/>
      <c r="U628" s="128"/>
      <c r="X628" s="128"/>
      <c r="Y628" s="128"/>
      <c r="Z628" s="128"/>
      <c r="AA628" s="128"/>
      <c r="AB628" s="128"/>
      <c r="AC628" s="128"/>
      <c r="AD628" s="128"/>
      <c r="AE628" s="128"/>
      <c r="AF628" s="128"/>
      <c r="AG628" s="128"/>
      <c r="AI628" s="128"/>
      <c r="AJ628" s="128"/>
      <c r="AY628" s="128"/>
      <c r="BN628" s="128"/>
      <c r="BQ628" s="128"/>
      <c r="BR628" s="128"/>
      <c r="BT628" s="128"/>
      <c r="BV628" s="128"/>
      <c r="BX628" s="128"/>
      <c r="CU628" s="128"/>
      <c r="CW628" s="128"/>
      <c r="DN628" s="128"/>
      <c r="DP628" s="128"/>
      <c r="DR628" s="128"/>
      <c r="DV628" s="128"/>
      <c r="DX628" s="128"/>
      <c r="DY628" s="128"/>
      <c r="EA628" s="128"/>
      <c r="EB628" s="128"/>
      <c r="EC628" s="128"/>
      <c r="EG628" s="128"/>
      <c r="EL628" s="128"/>
      <c r="EM628" s="128"/>
      <c r="EO628" s="128"/>
      <c r="EQ628" s="128"/>
      <c r="ES628" s="128"/>
      <c r="EU628" s="128"/>
      <c r="EW628" s="128"/>
      <c r="EY628" s="128"/>
    </row>
    <row r="629" spans="3:155">
      <c r="C629" s="128"/>
      <c r="D629" s="128"/>
      <c r="E629" s="128"/>
      <c r="F629" s="128" t="str">
        <f>IF(E629 &lt;&gt; "", VLOOKUP(E629, '[2]Internal-logic'!G$1:I$364, 2, FALSE),"")</f>
        <v/>
      </c>
      <c r="G629" s="128" t="str">
        <f>IF(E629 &lt;&gt; "", VLOOKUP(E629, '[2]Internal-logic'!G$1:I$364, 3, FALSE),"")</f>
        <v/>
      </c>
      <c r="H629" s="128"/>
      <c r="I629" s="128"/>
      <c r="J629" s="128"/>
      <c r="K629" s="128"/>
      <c r="Q629" s="128"/>
      <c r="R629" s="128"/>
      <c r="S629" s="128"/>
      <c r="U629" s="128"/>
      <c r="X629" s="128"/>
      <c r="Y629" s="128"/>
      <c r="Z629" s="128"/>
      <c r="AA629" s="128"/>
      <c r="AB629" s="128"/>
      <c r="AC629" s="128"/>
      <c r="AD629" s="128"/>
      <c r="AE629" s="128"/>
      <c r="AF629" s="128"/>
      <c r="AG629" s="128"/>
      <c r="AI629" s="128"/>
      <c r="AJ629" s="128"/>
      <c r="AY629" s="128"/>
      <c r="BN629" s="128"/>
      <c r="BQ629" s="128"/>
      <c r="BR629" s="128"/>
      <c r="BT629" s="128"/>
      <c r="BV629" s="128"/>
      <c r="BX629" s="128"/>
      <c r="CU629" s="128"/>
      <c r="CW629" s="128"/>
      <c r="DN629" s="128"/>
      <c r="DP629" s="128"/>
      <c r="DR629" s="128"/>
      <c r="DV629" s="128"/>
      <c r="DX629" s="128"/>
      <c r="DY629" s="128"/>
      <c r="EA629" s="128"/>
      <c r="EB629" s="128"/>
      <c r="EC629" s="128"/>
      <c r="EG629" s="128"/>
      <c r="EL629" s="128"/>
      <c r="EM629" s="128"/>
      <c r="EO629" s="128"/>
      <c r="EQ629" s="128"/>
      <c r="ES629" s="128"/>
      <c r="EU629" s="128"/>
      <c r="EW629" s="128"/>
      <c r="EY629" s="128"/>
    </row>
    <row r="630" spans="3:155">
      <c r="C630" s="128"/>
      <c r="D630" s="128"/>
      <c r="E630" s="128"/>
      <c r="F630" s="128" t="str">
        <f>IF(E630 &lt;&gt; "", VLOOKUP(E630, '[2]Internal-logic'!G$1:I$364, 2, FALSE),"")</f>
        <v/>
      </c>
      <c r="G630" s="128" t="str">
        <f>IF(E630 &lt;&gt; "", VLOOKUP(E630, '[2]Internal-logic'!G$1:I$364, 3, FALSE),"")</f>
        <v/>
      </c>
      <c r="H630" s="128"/>
      <c r="I630" s="128"/>
      <c r="J630" s="128"/>
      <c r="K630" s="128"/>
      <c r="Q630" s="128"/>
      <c r="R630" s="128"/>
      <c r="S630" s="128"/>
      <c r="U630" s="128"/>
      <c r="X630" s="128"/>
      <c r="Y630" s="128"/>
      <c r="Z630" s="128"/>
      <c r="AA630" s="128"/>
      <c r="AB630" s="128"/>
      <c r="AC630" s="128"/>
      <c r="AD630" s="128"/>
      <c r="AE630" s="128"/>
      <c r="AF630" s="128"/>
      <c r="AG630" s="128"/>
      <c r="AI630" s="128"/>
      <c r="AJ630" s="128"/>
      <c r="AY630" s="128"/>
      <c r="BN630" s="128"/>
      <c r="BQ630" s="128"/>
      <c r="BR630" s="128"/>
      <c r="BT630" s="128"/>
      <c r="BV630" s="128"/>
      <c r="BX630" s="128"/>
      <c r="CU630" s="128"/>
      <c r="CW630" s="128"/>
      <c r="DN630" s="128"/>
      <c r="DP630" s="128"/>
      <c r="DR630" s="128"/>
      <c r="DV630" s="128"/>
      <c r="DX630" s="128"/>
      <c r="DY630" s="128"/>
      <c r="EA630" s="128"/>
      <c r="EB630" s="128"/>
      <c r="EC630" s="128"/>
      <c r="EG630" s="128"/>
      <c r="EL630" s="128"/>
      <c r="EM630" s="128"/>
      <c r="EO630" s="128"/>
      <c r="EQ630" s="128"/>
      <c r="ES630" s="128"/>
      <c r="EU630" s="128"/>
      <c r="EW630" s="128"/>
      <c r="EY630" s="128"/>
    </row>
    <row r="631" spans="3:155">
      <c r="C631" s="128"/>
      <c r="D631" s="128"/>
      <c r="E631" s="128"/>
      <c r="F631" s="128" t="str">
        <f>IF(E631 &lt;&gt; "", VLOOKUP(E631, '[2]Internal-logic'!G$1:I$364, 2, FALSE),"")</f>
        <v/>
      </c>
      <c r="G631" s="128" t="str">
        <f>IF(E631 &lt;&gt; "", VLOOKUP(E631, '[2]Internal-logic'!G$1:I$364, 3, FALSE),"")</f>
        <v/>
      </c>
      <c r="H631" s="128"/>
      <c r="I631" s="128"/>
      <c r="J631" s="128"/>
      <c r="K631" s="128"/>
      <c r="Q631" s="128"/>
      <c r="R631" s="128"/>
      <c r="S631" s="128"/>
      <c r="U631" s="128"/>
      <c r="X631" s="128"/>
      <c r="Y631" s="128"/>
      <c r="Z631" s="128"/>
      <c r="AA631" s="128"/>
      <c r="AB631" s="128"/>
      <c r="AC631" s="128"/>
      <c r="AD631" s="128"/>
      <c r="AE631" s="128"/>
      <c r="AF631" s="128"/>
      <c r="AG631" s="128"/>
      <c r="AI631" s="128"/>
      <c r="AJ631" s="128"/>
      <c r="AY631" s="128"/>
      <c r="BN631" s="128"/>
      <c r="BQ631" s="128"/>
      <c r="BR631" s="128"/>
      <c r="BT631" s="128"/>
      <c r="BV631" s="128"/>
      <c r="BX631" s="128"/>
      <c r="CU631" s="128"/>
      <c r="CW631" s="128"/>
      <c r="DN631" s="128"/>
      <c r="DP631" s="128"/>
      <c r="DR631" s="128"/>
      <c r="DV631" s="128"/>
      <c r="DX631" s="128"/>
      <c r="DY631" s="128"/>
      <c r="EA631" s="128"/>
      <c r="EB631" s="128"/>
      <c r="EC631" s="128"/>
      <c r="EG631" s="128"/>
      <c r="EL631" s="128"/>
      <c r="EM631" s="128"/>
      <c r="EO631" s="128"/>
      <c r="EQ631" s="128"/>
      <c r="ES631" s="128"/>
      <c r="EU631" s="128"/>
      <c r="EW631" s="128"/>
      <c r="EY631" s="128"/>
    </row>
    <row r="632" spans="3:155">
      <c r="C632" s="128"/>
      <c r="D632" s="128"/>
      <c r="E632" s="128"/>
      <c r="F632" s="128" t="str">
        <f>IF(E632 &lt;&gt; "", VLOOKUP(E632, '[2]Internal-logic'!G$1:I$364, 2, FALSE),"")</f>
        <v/>
      </c>
      <c r="G632" s="128" t="str">
        <f>IF(E632 &lt;&gt; "", VLOOKUP(E632, '[2]Internal-logic'!G$1:I$364, 3, FALSE),"")</f>
        <v/>
      </c>
      <c r="H632" s="128"/>
      <c r="I632" s="128"/>
      <c r="J632" s="128"/>
      <c r="K632" s="128"/>
      <c r="Q632" s="128"/>
      <c r="R632" s="128"/>
      <c r="S632" s="128"/>
      <c r="U632" s="128"/>
      <c r="X632" s="128"/>
      <c r="Y632" s="128"/>
      <c r="Z632" s="128"/>
      <c r="AA632" s="128"/>
      <c r="AB632" s="128"/>
      <c r="AC632" s="128"/>
      <c r="AD632" s="128"/>
      <c r="AE632" s="128"/>
      <c r="AF632" s="128"/>
      <c r="AG632" s="128"/>
      <c r="AI632" s="128"/>
      <c r="AJ632" s="128"/>
      <c r="AY632" s="128"/>
      <c r="BN632" s="128"/>
      <c r="BQ632" s="128"/>
      <c r="BR632" s="128"/>
      <c r="BT632" s="128"/>
      <c r="BV632" s="128"/>
      <c r="BX632" s="128"/>
      <c r="CU632" s="128"/>
      <c r="CW632" s="128"/>
      <c r="DN632" s="128"/>
      <c r="DP632" s="128"/>
      <c r="DR632" s="128"/>
      <c r="DV632" s="128"/>
      <c r="DX632" s="128"/>
      <c r="DY632" s="128"/>
      <c r="EA632" s="128"/>
      <c r="EB632" s="128"/>
      <c r="EC632" s="128"/>
      <c r="EG632" s="128"/>
      <c r="EL632" s="128"/>
      <c r="EM632" s="128"/>
      <c r="EO632" s="128"/>
      <c r="EQ632" s="128"/>
      <c r="ES632" s="128"/>
      <c r="EU632" s="128"/>
      <c r="EW632" s="128"/>
      <c r="EY632" s="128"/>
    </row>
    <row r="633" spans="3:155">
      <c r="C633" s="128"/>
      <c r="D633" s="128"/>
      <c r="E633" s="128"/>
      <c r="F633" s="128" t="str">
        <f>IF(E633 &lt;&gt; "", VLOOKUP(E633, '[2]Internal-logic'!G$1:I$364, 2, FALSE),"")</f>
        <v/>
      </c>
      <c r="G633" s="128" t="str">
        <f>IF(E633 &lt;&gt; "", VLOOKUP(E633, '[2]Internal-logic'!G$1:I$364, 3, FALSE),"")</f>
        <v/>
      </c>
      <c r="H633" s="128"/>
      <c r="I633" s="128"/>
      <c r="J633" s="128"/>
      <c r="K633" s="128"/>
      <c r="Q633" s="128"/>
      <c r="R633" s="128"/>
      <c r="S633" s="128"/>
      <c r="U633" s="128"/>
      <c r="X633" s="128"/>
      <c r="Y633" s="128"/>
      <c r="Z633" s="128"/>
      <c r="AA633" s="128"/>
      <c r="AB633" s="128"/>
      <c r="AC633" s="128"/>
      <c r="AD633" s="128"/>
      <c r="AE633" s="128"/>
      <c r="AF633" s="128"/>
      <c r="AG633" s="128"/>
      <c r="AI633" s="128"/>
      <c r="AJ633" s="128"/>
      <c r="AY633" s="128"/>
      <c r="BN633" s="128"/>
      <c r="BQ633" s="128"/>
      <c r="BR633" s="128"/>
      <c r="BT633" s="128"/>
      <c r="BV633" s="128"/>
      <c r="BX633" s="128"/>
      <c r="CU633" s="128"/>
      <c r="CW633" s="128"/>
      <c r="DN633" s="128"/>
      <c r="DP633" s="128"/>
      <c r="DR633" s="128"/>
      <c r="DV633" s="128"/>
      <c r="DX633" s="128"/>
      <c r="DY633" s="128"/>
      <c r="EA633" s="128"/>
      <c r="EB633" s="128"/>
      <c r="EC633" s="128"/>
      <c r="EG633" s="128"/>
      <c r="EL633" s="128"/>
      <c r="EM633" s="128"/>
      <c r="EO633" s="128"/>
      <c r="EQ633" s="128"/>
      <c r="ES633" s="128"/>
      <c r="EU633" s="128"/>
      <c r="EW633" s="128"/>
      <c r="EY633" s="128"/>
    </row>
    <row r="634" spans="3:155">
      <c r="C634" s="128"/>
      <c r="D634" s="128"/>
      <c r="E634" s="128"/>
      <c r="F634" s="128" t="str">
        <f>IF(E634 &lt;&gt; "", VLOOKUP(E634, '[2]Internal-logic'!G$1:I$364, 2, FALSE),"")</f>
        <v/>
      </c>
      <c r="G634" s="128" t="str">
        <f>IF(E634 &lt;&gt; "", VLOOKUP(E634, '[2]Internal-logic'!G$1:I$364, 3, FALSE),"")</f>
        <v/>
      </c>
      <c r="H634" s="128"/>
      <c r="I634" s="128"/>
      <c r="J634" s="128"/>
      <c r="K634" s="128"/>
      <c r="Q634" s="128"/>
      <c r="R634" s="128"/>
      <c r="S634" s="128"/>
      <c r="U634" s="128"/>
      <c r="X634" s="128"/>
      <c r="Y634" s="128"/>
      <c r="Z634" s="128"/>
      <c r="AA634" s="128"/>
      <c r="AB634" s="128"/>
      <c r="AC634" s="128"/>
      <c r="AD634" s="128"/>
      <c r="AE634" s="128"/>
      <c r="AF634" s="128"/>
      <c r="AG634" s="128"/>
      <c r="AI634" s="128"/>
      <c r="AJ634" s="128"/>
      <c r="AY634" s="128"/>
      <c r="BN634" s="128"/>
      <c r="BQ634" s="128"/>
      <c r="BR634" s="128"/>
      <c r="BT634" s="128"/>
      <c r="BV634" s="128"/>
      <c r="BX634" s="128"/>
      <c r="CU634" s="128"/>
      <c r="CW634" s="128"/>
      <c r="DN634" s="128"/>
      <c r="DP634" s="128"/>
      <c r="DR634" s="128"/>
      <c r="DV634" s="128"/>
      <c r="DX634" s="128"/>
      <c r="DY634" s="128"/>
      <c r="EA634" s="128"/>
      <c r="EB634" s="128"/>
      <c r="EC634" s="128"/>
      <c r="EG634" s="128"/>
      <c r="EL634" s="128"/>
      <c r="EM634" s="128"/>
      <c r="EO634" s="128"/>
      <c r="EQ634" s="128"/>
      <c r="ES634" s="128"/>
      <c r="EU634" s="128"/>
      <c r="EW634" s="128"/>
      <c r="EY634" s="128"/>
    </row>
    <row r="635" spans="3:155">
      <c r="C635" s="128"/>
      <c r="D635" s="128"/>
      <c r="E635" s="128"/>
      <c r="F635" s="128" t="str">
        <f>IF(E635 &lt;&gt; "", VLOOKUP(E635, '[2]Internal-logic'!G$1:I$364, 2, FALSE),"")</f>
        <v/>
      </c>
      <c r="G635" s="128" t="str">
        <f>IF(E635 &lt;&gt; "", VLOOKUP(E635, '[2]Internal-logic'!G$1:I$364, 3, FALSE),"")</f>
        <v/>
      </c>
      <c r="H635" s="128"/>
      <c r="I635" s="128"/>
      <c r="J635" s="128"/>
      <c r="K635" s="128"/>
      <c r="Q635" s="128"/>
      <c r="R635" s="128"/>
      <c r="S635" s="128"/>
      <c r="U635" s="128"/>
      <c r="X635" s="128"/>
      <c r="Y635" s="128"/>
      <c r="Z635" s="128"/>
      <c r="AA635" s="128"/>
      <c r="AB635" s="128"/>
      <c r="AC635" s="128"/>
      <c r="AD635" s="128"/>
      <c r="AE635" s="128"/>
      <c r="AF635" s="128"/>
      <c r="AG635" s="128"/>
      <c r="AI635" s="128"/>
      <c r="AJ635" s="128"/>
      <c r="AY635" s="128"/>
      <c r="BN635" s="128"/>
      <c r="BQ635" s="128"/>
      <c r="BR635" s="128"/>
      <c r="BT635" s="128"/>
      <c r="BV635" s="128"/>
      <c r="BX635" s="128"/>
      <c r="CU635" s="128"/>
      <c r="CW635" s="128"/>
      <c r="DN635" s="128"/>
      <c r="DP635" s="128"/>
      <c r="DR635" s="128"/>
      <c r="DV635" s="128"/>
      <c r="DX635" s="128"/>
      <c r="DY635" s="128"/>
      <c r="EA635" s="128"/>
      <c r="EB635" s="128"/>
      <c r="EC635" s="128"/>
      <c r="EG635" s="128"/>
      <c r="EL635" s="128"/>
      <c r="EM635" s="128"/>
      <c r="EO635" s="128"/>
      <c r="EQ635" s="128"/>
      <c r="ES635" s="128"/>
      <c r="EU635" s="128"/>
      <c r="EW635" s="128"/>
      <c r="EY635" s="128"/>
    </row>
    <row r="636" spans="3:155">
      <c r="C636" s="128"/>
      <c r="D636" s="128"/>
      <c r="E636" s="128"/>
      <c r="F636" s="128" t="str">
        <f>IF(E636 &lt;&gt; "", VLOOKUP(E636, '[2]Internal-logic'!G$1:I$364, 2, FALSE),"")</f>
        <v/>
      </c>
      <c r="G636" s="128" t="str">
        <f>IF(E636 &lt;&gt; "", VLOOKUP(E636, '[2]Internal-logic'!G$1:I$364, 3, FALSE),"")</f>
        <v/>
      </c>
      <c r="H636" s="128"/>
      <c r="I636" s="128"/>
      <c r="J636" s="128"/>
      <c r="K636" s="128"/>
      <c r="Q636" s="128"/>
      <c r="R636" s="128"/>
      <c r="S636" s="128"/>
      <c r="U636" s="128"/>
      <c r="X636" s="128"/>
      <c r="Y636" s="128"/>
      <c r="Z636" s="128"/>
      <c r="AA636" s="128"/>
      <c r="AB636" s="128"/>
      <c r="AC636" s="128"/>
      <c r="AD636" s="128"/>
      <c r="AE636" s="128"/>
      <c r="AF636" s="128"/>
      <c r="AG636" s="128"/>
      <c r="AI636" s="128"/>
      <c r="AJ636" s="128"/>
      <c r="AY636" s="128"/>
      <c r="BN636" s="128"/>
      <c r="BQ636" s="128"/>
      <c r="BR636" s="128"/>
      <c r="BT636" s="128"/>
      <c r="BV636" s="128"/>
      <c r="BX636" s="128"/>
      <c r="CU636" s="128"/>
      <c r="CW636" s="128"/>
      <c r="DN636" s="128"/>
      <c r="DP636" s="128"/>
      <c r="DR636" s="128"/>
      <c r="DV636" s="128"/>
      <c r="DX636" s="128"/>
      <c r="DY636" s="128"/>
      <c r="EA636" s="128"/>
      <c r="EB636" s="128"/>
      <c r="EC636" s="128"/>
      <c r="EG636" s="128"/>
      <c r="EL636" s="128"/>
      <c r="EM636" s="128"/>
      <c r="EO636" s="128"/>
      <c r="EQ636" s="128"/>
      <c r="ES636" s="128"/>
      <c r="EU636" s="128"/>
      <c r="EW636" s="128"/>
      <c r="EY636" s="128"/>
    </row>
    <row r="637" spans="3:155">
      <c r="C637" s="128"/>
      <c r="D637" s="128"/>
      <c r="E637" s="128"/>
      <c r="F637" s="128" t="str">
        <f>IF(E637 &lt;&gt; "", VLOOKUP(E637, '[2]Internal-logic'!G$1:I$364, 2, FALSE),"")</f>
        <v/>
      </c>
      <c r="G637" s="128" t="str">
        <f>IF(E637 &lt;&gt; "", VLOOKUP(E637, '[2]Internal-logic'!G$1:I$364, 3, FALSE),"")</f>
        <v/>
      </c>
      <c r="H637" s="128"/>
      <c r="I637" s="128"/>
      <c r="J637" s="128"/>
      <c r="K637" s="128"/>
      <c r="Q637" s="128"/>
      <c r="R637" s="128"/>
      <c r="S637" s="128"/>
      <c r="U637" s="128"/>
      <c r="X637" s="128"/>
      <c r="Y637" s="128"/>
      <c r="Z637" s="128"/>
      <c r="AA637" s="128"/>
      <c r="AB637" s="128"/>
      <c r="AC637" s="128"/>
      <c r="AD637" s="128"/>
      <c r="AE637" s="128"/>
      <c r="AF637" s="128"/>
      <c r="AG637" s="128"/>
      <c r="AI637" s="128"/>
      <c r="AJ637" s="128"/>
      <c r="AY637" s="128"/>
      <c r="BN637" s="128"/>
      <c r="BQ637" s="128"/>
      <c r="BR637" s="128"/>
      <c r="BT637" s="128"/>
      <c r="BV637" s="128"/>
      <c r="BX637" s="128"/>
      <c r="CU637" s="128"/>
      <c r="CW637" s="128"/>
      <c r="DN637" s="128"/>
      <c r="DP637" s="128"/>
      <c r="DR637" s="128"/>
      <c r="DV637" s="128"/>
      <c r="DX637" s="128"/>
      <c r="DY637" s="128"/>
      <c r="EA637" s="128"/>
      <c r="EB637" s="128"/>
      <c r="EC637" s="128"/>
      <c r="EG637" s="128"/>
      <c r="EL637" s="128"/>
      <c r="EM637" s="128"/>
      <c r="EO637" s="128"/>
      <c r="EQ637" s="128"/>
      <c r="ES637" s="128"/>
      <c r="EU637" s="128"/>
      <c r="EW637" s="128"/>
      <c r="EY637" s="128"/>
    </row>
    <row r="638" spans="3:155">
      <c r="C638" s="128"/>
      <c r="D638" s="128"/>
      <c r="E638" s="128"/>
      <c r="F638" s="128" t="str">
        <f>IF(E638 &lt;&gt; "", VLOOKUP(E638, '[2]Internal-logic'!G$1:I$364, 2, FALSE),"")</f>
        <v/>
      </c>
      <c r="G638" s="128" t="str">
        <f>IF(E638 &lt;&gt; "", VLOOKUP(E638, '[2]Internal-logic'!G$1:I$364, 3, FALSE),"")</f>
        <v/>
      </c>
      <c r="H638" s="128"/>
      <c r="I638" s="128"/>
      <c r="J638" s="128"/>
      <c r="K638" s="128"/>
      <c r="Q638" s="128"/>
      <c r="R638" s="128"/>
      <c r="S638" s="128"/>
      <c r="U638" s="128"/>
      <c r="X638" s="128"/>
      <c r="Y638" s="128"/>
      <c r="Z638" s="128"/>
      <c r="AA638" s="128"/>
      <c r="AB638" s="128"/>
      <c r="AC638" s="128"/>
      <c r="AD638" s="128"/>
      <c r="AE638" s="128"/>
      <c r="AF638" s="128"/>
      <c r="AG638" s="128"/>
      <c r="AI638" s="128"/>
      <c r="AJ638" s="128"/>
      <c r="AY638" s="128"/>
      <c r="BN638" s="128"/>
      <c r="BQ638" s="128"/>
      <c r="BR638" s="128"/>
      <c r="BT638" s="128"/>
      <c r="BV638" s="128"/>
      <c r="BX638" s="128"/>
      <c r="CU638" s="128"/>
      <c r="CW638" s="128"/>
      <c r="DN638" s="128"/>
      <c r="DP638" s="128"/>
      <c r="DR638" s="128"/>
      <c r="DV638" s="128"/>
      <c r="DX638" s="128"/>
      <c r="DY638" s="128"/>
      <c r="EA638" s="128"/>
      <c r="EB638" s="128"/>
      <c r="EC638" s="128"/>
      <c r="EG638" s="128"/>
      <c r="EL638" s="128"/>
      <c r="EM638" s="128"/>
      <c r="EO638" s="128"/>
      <c r="EQ638" s="128"/>
      <c r="ES638" s="128"/>
      <c r="EU638" s="128"/>
      <c r="EW638" s="128"/>
      <c r="EY638" s="128"/>
    </row>
    <row r="639" spans="3:155">
      <c r="C639" s="128"/>
      <c r="D639" s="128"/>
      <c r="E639" s="128"/>
      <c r="F639" s="128" t="str">
        <f>IF(E639 &lt;&gt; "", VLOOKUP(E639, '[2]Internal-logic'!G$1:I$364, 2, FALSE),"")</f>
        <v/>
      </c>
      <c r="G639" s="128" t="str">
        <f>IF(E639 &lt;&gt; "", VLOOKUP(E639, '[2]Internal-logic'!G$1:I$364, 3, FALSE),"")</f>
        <v/>
      </c>
      <c r="H639" s="128"/>
      <c r="I639" s="128"/>
      <c r="J639" s="128"/>
      <c r="K639" s="128"/>
      <c r="Q639" s="128"/>
      <c r="R639" s="128"/>
      <c r="S639" s="128"/>
      <c r="U639" s="128"/>
      <c r="X639" s="128"/>
      <c r="Y639" s="128"/>
      <c r="Z639" s="128"/>
      <c r="AA639" s="128"/>
      <c r="AB639" s="128"/>
      <c r="AC639" s="128"/>
      <c r="AD639" s="128"/>
      <c r="AE639" s="128"/>
      <c r="AF639" s="128"/>
      <c r="AG639" s="128"/>
      <c r="AI639" s="128"/>
      <c r="AJ639" s="128"/>
      <c r="AY639" s="128"/>
      <c r="BN639" s="128"/>
      <c r="BQ639" s="128"/>
      <c r="BR639" s="128"/>
      <c r="BT639" s="128"/>
      <c r="BV639" s="128"/>
      <c r="BX639" s="128"/>
      <c r="CU639" s="128"/>
      <c r="CW639" s="128"/>
      <c r="DN639" s="128"/>
      <c r="DP639" s="128"/>
      <c r="DR639" s="128"/>
      <c r="DV639" s="128"/>
      <c r="DX639" s="128"/>
      <c r="DY639" s="128"/>
      <c r="EA639" s="128"/>
      <c r="EB639" s="128"/>
      <c r="EC639" s="128"/>
      <c r="EG639" s="128"/>
      <c r="EL639" s="128"/>
      <c r="EM639" s="128"/>
      <c r="EO639" s="128"/>
      <c r="EQ639" s="128"/>
      <c r="ES639" s="128"/>
      <c r="EU639" s="128"/>
      <c r="EW639" s="128"/>
      <c r="EY639" s="128"/>
    </row>
    <row r="640" spans="3:155">
      <c r="C640" s="128"/>
      <c r="D640" s="128"/>
      <c r="E640" s="128"/>
      <c r="F640" s="128" t="str">
        <f>IF(E640 &lt;&gt; "", VLOOKUP(E640, '[2]Internal-logic'!G$1:I$364, 2, FALSE),"")</f>
        <v/>
      </c>
      <c r="G640" s="128" t="str">
        <f>IF(E640 &lt;&gt; "", VLOOKUP(E640, '[2]Internal-logic'!G$1:I$364, 3, FALSE),"")</f>
        <v/>
      </c>
      <c r="H640" s="128"/>
      <c r="I640" s="128"/>
      <c r="J640" s="128"/>
      <c r="K640" s="128"/>
      <c r="Q640" s="128"/>
      <c r="R640" s="128"/>
      <c r="S640" s="128"/>
      <c r="U640" s="128"/>
      <c r="X640" s="128"/>
      <c r="Y640" s="128"/>
      <c r="Z640" s="128"/>
      <c r="AA640" s="128"/>
      <c r="AB640" s="128"/>
      <c r="AC640" s="128"/>
      <c r="AD640" s="128"/>
      <c r="AE640" s="128"/>
      <c r="AF640" s="128"/>
      <c r="AG640" s="128"/>
      <c r="AI640" s="128"/>
      <c r="AJ640" s="128"/>
      <c r="AY640" s="128"/>
      <c r="BN640" s="128"/>
      <c r="BQ640" s="128"/>
      <c r="BR640" s="128"/>
      <c r="BT640" s="128"/>
      <c r="BV640" s="128"/>
      <c r="BX640" s="128"/>
      <c r="CU640" s="128"/>
      <c r="CW640" s="128"/>
      <c r="DN640" s="128"/>
      <c r="DP640" s="128"/>
      <c r="DR640" s="128"/>
      <c r="DV640" s="128"/>
      <c r="DX640" s="128"/>
      <c r="DY640" s="128"/>
      <c r="EA640" s="128"/>
      <c r="EB640" s="128"/>
      <c r="EC640" s="128"/>
      <c r="EG640" s="128"/>
      <c r="EL640" s="128"/>
      <c r="EM640" s="128"/>
      <c r="EO640" s="128"/>
      <c r="EQ640" s="128"/>
      <c r="ES640" s="128"/>
      <c r="EU640" s="128"/>
      <c r="EW640" s="128"/>
      <c r="EY640" s="128"/>
    </row>
    <row r="641" spans="3:155">
      <c r="C641" s="128"/>
      <c r="D641" s="128"/>
      <c r="E641" s="128"/>
      <c r="F641" s="128" t="str">
        <f>IF(E641 &lt;&gt; "", VLOOKUP(E641, '[2]Internal-logic'!G$1:I$364, 2, FALSE),"")</f>
        <v/>
      </c>
      <c r="G641" s="128" t="str">
        <f>IF(E641 &lt;&gt; "", VLOOKUP(E641, '[2]Internal-logic'!G$1:I$364, 3, FALSE),"")</f>
        <v/>
      </c>
      <c r="H641" s="128"/>
      <c r="I641" s="128"/>
      <c r="J641" s="128"/>
      <c r="K641" s="128"/>
      <c r="Q641" s="128"/>
      <c r="R641" s="128"/>
      <c r="S641" s="128"/>
      <c r="U641" s="128"/>
      <c r="X641" s="128"/>
      <c r="Y641" s="128"/>
      <c r="Z641" s="128"/>
      <c r="AA641" s="128"/>
      <c r="AB641" s="128"/>
      <c r="AC641" s="128"/>
      <c r="AD641" s="128"/>
      <c r="AE641" s="128"/>
      <c r="AF641" s="128"/>
      <c r="AG641" s="128"/>
      <c r="AI641" s="128"/>
      <c r="AJ641" s="128"/>
      <c r="AY641" s="128"/>
      <c r="BN641" s="128"/>
      <c r="BQ641" s="128"/>
      <c r="BR641" s="128"/>
      <c r="BT641" s="128"/>
      <c r="BV641" s="128"/>
      <c r="BX641" s="128"/>
      <c r="CU641" s="128"/>
      <c r="CW641" s="128"/>
      <c r="DN641" s="128"/>
      <c r="DP641" s="128"/>
      <c r="DR641" s="128"/>
      <c r="DV641" s="128"/>
      <c r="DX641" s="128"/>
      <c r="DY641" s="128"/>
      <c r="EA641" s="128"/>
      <c r="EB641" s="128"/>
      <c r="EC641" s="128"/>
      <c r="EG641" s="128"/>
      <c r="EL641" s="128"/>
      <c r="EM641" s="128"/>
      <c r="EO641" s="128"/>
      <c r="EQ641" s="128"/>
      <c r="ES641" s="128"/>
      <c r="EU641" s="128"/>
      <c r="EW641" s="128"/>
      <c r="EY641" s="128"/>
    </row>
    <row r="642" spans="3:155">
      <c r="C642" s="128"/>
      <c r="D642" s="128"/>
      <c r="E642" s="128"/>
      <c r="F642" s="128" t="str">
        <f>IF(E642 &lt;&gt; "", VLOOKUP(E642, '[2]Internal-logic'!G$1:I$364, 2, FALSE),"")</f>
        <v/>
      </c>
      <c r="G642" s="128" t="str">
        <f>IF(E642 &lt;&gt; "", VLOOKUP(E642, '[2]Internal-logic'!G$1:I$364, 3, FALSE),"")</f>
        <v/>
      </c>
      <c r="H642" s="128"/>
      <c r="I642" s="128"/>
      <c r="J642" s="128"/>
      <c r="K642" s="128"/>
      <c r="Q642" s="128"/>
      <c r="R642" s="128"/>
      <c r="S642" s="128"/>
      <c r="U642" s="128"/>
      <c r="X642" s="128"/>
      <c r="Y642" s="128"/>
      <c r="Z642" s="128"/>
      <c r="AA642" s="128"/>
      <c r="AB642" s="128"/>
      <c r="AC642" s="128"/>
      <c r="AD642" s="128"/>
      <c r="AE642" s="128"/>
      <c r="AF642" s="128"/>
      <c r="AG642" s="128"/>
      <c r="AI642" s="128"/>
      <c r="AJ642" s="128"/>
      <c r="AY642" s="128"/>
      <c r="BN642" s="128"/>
      <c r="BQ642" s="128"/>
      <c r="BR642" s="128"/>
      <c r="BT642" s="128"/>
      <c r="BV642" s="128"/>
      <c r="BX642" s="128"/>
      <c r="CU642" s="128"/>
      <c r="CW642" s="128"/>
      <c r="DN642" s="128"/>
      <c r="DP642" s="128"/>
      <c r="DR642" s="128"/>
      <c r="DV642" s="128"/>
      <c r="DX642" s="128"/>
      <c r="DY642" s="128"/>
      <c r="EA642" s="128"/>
      <c r="EB642" s="128"/>
      <c r="EC642" s="128"/>
      <c r="EG642" s="128"/>
      <c r="EL642" s="128"/>
      <c r="EM642" s="128"/>
      <c r="EO642" s="128"/>
      <c r="EQ642" s="128"/>
      <c r="ES642" s="128"/>
      <c r="EU642" s="128"/>
      <c r="EW642" s="128"/>
      <c r="EY642" s="128"/>
    </row>
    <row r="643" spans="3:155">
      <c r="C643" s="128"/>
      <c r="D643" s="128"/>
      <c r="E643" s="128"/>
      <c r="F643" s="128" t="str">
        <f>IF(E643 &lt;&gt; "", VLOOKUP(E643, '[2]Internal-logic'!G$1:I$364, 2, FALSE),"")</f>
        <v/>
      </c>
      <c r="G643" s="128" t="str">
        <f>IF(E643 &lt;&gt; "", VLOOKUP(E643, '[2]Internal-logic'!G$1:I$364, 3, FALSE),"")</f>
        <v/>
      </c>
      <c r="H643" s="128"/>
      <c r="I643" s="128"/>
      <c r="J643" s="128"/>
      <c r="K643" s="128"/>
      <c r="Q643" s="128"/>
      <c r="R643" s="128"/>
      <c r="S643" s="128"/>
      <c r="U643" s="128"/>
      <c r="X643" s="128"/>
      <c r="Y643" s="128"/>
      <c r="Z643" s="128"/>
      <c r="AA643" s="128"/>
      <c r="AB643" s="128"/>
      <c r="AC643" s="128"/>
      <c r="AD643" s="128"/>
      <c r="AE643" s="128"/>
      <c r="AF643" s="128"/>
      <c r="AG643" s="128"/>
      <c r="AI643" s="128"/>
      <c r="AJ643" s="128"/>
      <c r="AY643" s="128"/>
      <c r="BN643" s="128"/>
      <c r="BQ643" s="128"/>
      <c r="BR643" s="128"/>
      <c r="BT643" s="128"/>
      <c r="BV643" s="128"/>
      <c r="BX643" s="128"/>
      <c r="CU643" s="128"/>
      <c r="CW643" s="128"/>
      <c r="DN643" s="128"/>
      <c r="DP643" s="128"/>
      <c r="DR643" s="128"/>
      <c r="DV643" s="128"/>
      <c r="DX643" s="128"/>
      <c r="DY643" s="128"/>
      <c r="EA643" s="128"/>
      <c r="EB643" s="128"/>
      <c r="EC643" s="128"/>
      <c r="EG643" s="128"/>
      <c r="EL643" s="128"/>
      <c r="EM643" s="128"/>
      <c r="EO643" s="128"/>
      <c r="EQ643" s="128"/>
      <c r="ES643" s="128"/>
      <c r="EU643" s="128"/>
      <c r="EW643" s="128"/>
      <c r="EY643" s="128"/>
    </row>
    <row r="644" spans="3:155">
      <c r="C644" s="128"/>
      <c r="D644" s="128"/>
      <c r="E644" s="128"/>
      <c r="F644" s="128" t="str">
        <f>IF(E644 &lt;&gt; "", VLOOKUP(E644, '[2]Internal-logic'!G$1:I$364, 2, FALSE),"")</f>
        <v/>
      </c>
      <c r="G644" s="128" t="str">
        <f>IF(E644 &lt;&gt; "", VLOOKUP(E644, '[2]Internal-logic'!G$1:I$364, 3, FALSE),"")</f>
        <v/>
      </c>
      <c r="H644" s="128"/>
      <c r="I644" s="128"/>
      <c r="J644" s="128"/>
      <c r="K644" s="128"/>
      <c r="Q644" s="128"/>
      <c r="R644" s="128"/>
      <c r="S644" s="128"/>
      <c r="U644" s="128"/>
      <c r="X644" s="128"/>
      <c r="Y644" s="128"/>
      <c r="Z644" s="128"/>
      <c r="AA644" s="128"/>
      <c r="AB644" s="128"/>
      <c r="AC644" s="128"/>
      <c r="AD644" s="128"/>
      <c r="AE644" s="128"/>
      <c r="AF644" s="128"/>
      <c r="AG644" s="128"/>
      <c r="AI644" s="128"/>
      <c r="AJ644" s="128"/>
      <c r="AY644" s="128"/>
      <c r="BN644" s="128"/>
      <c r="BQ644" s="128"/>
      <c r="BR644" s="128"/>
      <c r="BT644" s="128"/>
      <c r="BV644" s="128"/>
      <c r="BX644" s="128"/>
      <c r="CU644" s="128"/>
      <c r="CW644" s="128"/>
      <c r="DN644" s="128"/>
      <c r="DP644" s="128"/>
      <c r="DR644" s="128"/>
      <c r="DV644" s="128"/>
      <c r="DX644" s="128"/>
      <c r="DY644" s="128"/>
      <c r="EA644" s="128"/>
      <c r="EB644" s="128"/>
      <c r="EC644" s="128"/>
      <c r="EG644" s="128"/>
      <c r="EL644" s="128"/>
      <c r="EM644" s="128"/>
      <c r="EO644" s="128"/>
      <c r="EQ644" s="128"/>
      <c r="ES644" s="128"/>
      <c r="EU644" s="128"/>
      <c r="EW644" s="128"/>
      <c r="EY644" s="128"/>
    </row>
    <row r="645" spans="3:155">
      <c r="C645" s="128"/>
      <c r="D645" s="128"/>
      <c r="E645" s="128"/>
      <c r="F645" s="128" t="str">
        <f>IF(E645 &lt;&gt; "", VLOOKUP(E645, '[2]Internal-logic'!G$1:I$364, 2, FALSE),"")</f>
        <v/>
      </c>
      <c r="G645" s="128" t="str">
        <f>IF(E645 &lt;&gt; "", VLOOKUP(E645, '[2]Internal-logic'!G$1:I$364, 3, FALSE),"")</f>
        <v/>
      </c>
      <c r="H645" s="128"/>
      <c r="I645" s="128"/>
      <c r="J645" s="128"/>
      <c r="K645" s="128"/>
      <c r="Q645" s="128"/>
      <c r="R645" s="128"/>
      <c r="S645" s="128"/>
      <c r="U645" s="128"/>
      <c r="X645" s="128"/>
      <c r="Y645" s="128"/>
      <c r="Z645" s="128"/>
      <c r="AA645" s="128"/>
      <c r="AB645" s="128"/>
      <c r="AC645" s="128"/>
      <c r="AD645" s="128"/>
      <c r="AE645" s="128"/>
      <c r="AF645" s="128"/>
      <c r="AG645" s="128"/>
      <c r="AI645" s="128"/>
      <c r="AJ645" s="128"/>
      <c r="AY645" s="128"/>
      <c r="BN645" s="128"/>
      <c r="BQ645" s="128"/>
      <c r="BR645" s="128"/>
      <c r="BT645" s="128"/>
      <c r="BV645" s="128"/>
      <c r="BX645" s="128"/>
      <c r="CU645" s="128"/>
      <c r="CW645" s="128"/>
      <c r="DN645" s="128"/>
      <c r="DP645" s="128"/>
      <c r="DR645" s="128"/>
      <c r="DV645" s="128"/>
      <c r="DX645" s="128"/>
      <c r="DY645" s="128"/>
      <c r="EA645" s="128"/>
      <c r="EB645" s="128"/>
      <c r="EC645" s="128"/>
      <c r="EG645" s="128"/>
      <c r="EL645" s="128"/>
      <c r="EM645" s="128"/>
      <c r="EO645" s="128"/>
      <c r="EQ645" s="128"/>
      <c r="ES645" s="128"/>
      <c r="EU645" s="128"/>
      <c r="EW645" s="128"/>
      <c r="EY645" s="128"/>
    </row>
    <row r="646" spans="3:155">
      <c r="C646" s="128"/>
      <c r="D646" s="128"/>
      <c r="E646" s="128"/>
      <c r="F646" s="128" t="str">
        <f>IF(E646 &lt;&gt; "", VLOOKUP(E646, '[2]Internal-logic'!G$1:I$364, 2, FALSE),"")</f>
        <v/>
      </c>
      <c r="G646" s="128" t="str">
        <f>IF(E646 &lt;&gt; "", VLOOKUP(E646, '[2]Internal-logic'!G$1:I$364, 3, FALSE),"")</f>
        <v/>
      </c>
      <c r="H646" s="128"/>
      <c r="I646" s="128"/>
      <c r="J646" s="128"/>
      <c r="K646" s="128"/>
      <c r="Q646" s="128"/>
      <c r="R646" s="128"/>
      <c r="S646" s="128"/>
      <c r="U646" s="128"/>
      <c r="X646" s="128"/>
      <c r="Y646" s="128"/>
      <c r="Z646" s="128"/>
      <c r="AA646" s="128"/>
      <c r="AB646" s="128"/>
      <c r="AC646" s="128"/>
      <c r="AD646" s="128"/>
      <c r="AE646" s="128"/>
      <c r="AF646" s="128"/>
      <c r="AG646" s="128"/>
      <c r="AI646" s="128"/>
      <c r="AJ646" s="128"/>
      <c r="AY646" s="128"/>
      <c r="BN646" s="128"/>
      <c r="BQ646" s="128"/>
      <c r="BR646" s="128"/>
      <c r="BT646" s="128"/>
      <c r="BV646" s="128"/>
      <c r="BX646" s="128"/>
      <c r="CU646" s="128"/>
      <c r="CW646" s="128"/>
      <c r="DN646" s="128"/>
      <c r="DP646" s="128"/>
      <c r="DR646" s="128"/>
      <c r="DV646" s="128"/>
      <c r="DX646" s="128"/>
      <c r="DY646" s="128"/>
      <c r="EA646" s="128"/>
      <c r="EB646" s="128"/>
      <c r="EC646" s="128"/>
      <c r="EG646" s="128"/>
      <c r="EL646" s="128"/>
      <c r="EM646" s="128"/>
      <c r="EO646" s="128"/>
      <c r="EQ646" s="128"/>
      <c r="ES646" s="128"/>
      <c r="EU646" s="128"/>
      <c r="EW646" s="128"/>
      <c r="EY646" s="128"/>
    </row>
    <row r="647" spans="3:155">
      <c r="C647" s="128"/>
      <c r="D647" s="128"/>
      <c r="E647" s="128"/>
      <c r="F647" s="128" t="str">
        <f>IF(E647 &lt;&gt; "", VLOOKUP(E647, '[2]Internal-logic'!G$1:I$364, 2, FALSE),"")</f>
        <v/>
      </c>
      <c r="G647" s="128" t="str">
        <f>IF(E647 &lt;&gt; "", VLOOKUP(E647, '[2]Internal-logic'!G$1:I$364, 3, FALSE),"")</f>
        <v/>
      </c>
      <c r="H647" s="128"/>
      <c r="I647" s="128"/>
      <c r="J647" s="128"/>
      <c r="K647" s="128"/>
      <c r="Q647" s="128"/>
      <c r="R647" s="128"/>
      <c r="S647" s="128"/>
      <c r="U647" s="128"/>
      <c r="X647" s="128"/>
      <c r="Y647" s="128"/>
      <c r="Z647" s="128"/>
      <c r="AA647" s="128"/>
      <c r="AB647" s="128"/>
      <c r="AC647" s="128"/>
      <c r="AD647" s="128"/>
      <c r="AE647" s="128"/>
      <c r="AF647" s="128"/>
      <c r="AG647" s="128"/>
      <c r="AI647" s="128"/>
      <c r="AJ647" s="128"/>
      <c r="AY647" s="128"/>
      <c r="BN647" s="128"/>
      <c r="BQ647" s="128"/>
      <c r="BR647" s="128"/>
      <c r="BT647" s="128"/>
      <c r="BV647" s="128"/>
      <c r="BX647" s="128"/>
      <c r="CU647" s="128"/>
      <c r="CW647" s="128"/>
      <c r="DN647" s="128"/>
      <c r="DP647" s="128"/>
      <c r="DR647" s="128"/>
      <c r="DV647" s="128"/>
      <c r="DX647" s="128"/>
      <c r="DY647" s="128"/>
      <c r="EA647" s="128"/>
      <c r="EB647" s="128"/>
      <c r="EC647" s="128"/>
      <c r="EG647" s="128"/>
      <c r="EL647" s="128"/>
      <c r="EM647" s="128"/>
      <c r="EO647" s="128"/>
      <c r="EQ647" s="128"/>
      <c r="ES647" s="128"/>
      <c r="EU647" s="128"/>
      <c r="EW647" s="128"/>
      <c r="EY647" s="128"/>
    </row>
    <row r="648" spans="3:155">
      <c r="C648" s="128"/>
      <c r="D648" s="128"/>
      <c r="E648" s="128"/>
      <c r="F648" s="128" t="str">
        <f>IF(E648 &lt;&gt; "", VLOOKUP(E648, '[2]Internal-logic'!G$1:I$364, 2, FALSE),"")</f>
        <v/>
      </c>
      <c r="G648" s="128" t="str">
        <f>IF(E648 &lt;&gt; "", VLOOKUP(E648, '[2]Internal-logic'!G$1:I$364, 3, FALSE),"")</f>
        <v/>
      </c>
      <c r="H648" s="128"/>
      <c r="I648" s="128"/>
      <c r="J648" s="128"/>
      <c r="K648" s="128"/>
      <c r="Q648" s="128"/>
      <c r="R648" s="128"/>
      <c r="S648" s="128"/>
      <c r="U648" s="128"/>
      <c r="X648" s="128"/>
      <c r="Y648" s="128"/>
      <c r="Z648" s="128"/>
      <c r="AA648" s="128"/>
      <c r="AB648" s="128"/>
      <c r="AC648" s="128"/>
      <c r="AD648" s="128"/>
      <c r="AE648" s="128"/>
      <c r="AF648" s="128"/>
      <c r="AG648" s="128"/>
      <c r="AI648" s="128"/>
      <c r="AJ648" s="128"/>
      <c r="AY648" s="128"/>
      <c r="BN648" s="128"/>
      <c r="BQ648" s="128"/>
      <c r="BR648" s="128"/>
      <c r="BT648" s="128"/>
      <c r="BV648" s="128"/>
      <c r="BX648" s="128"/>
      <c r="CU648" s="128"/>
      <c r="CW648" s="128"/>
      <c r="DN648" s="128"/>
      <c r="DP648" s="128"/>
      <c r="DR648" s="128"/>
      <c r="DV648" s="128"/>
      <c r="DX648" s="128"/>
      <c r="DY648" s="128"/>
      <c r="EA648" s="128"/>
      <c r="EB648" s="128"/>
      <c r="EC648" s="128"/>
      <c r="EG648" s="128"/>
      <c r="EL648" s="128"/>
      <c r="EM648" s="128"/>
      <c r="EO648" s="128"/>
      <c r="EQ648" s="128"/>
      <c r="ES648" s="128"/>
      <c r="EU648" s="128"/>
      <c r="EW648" s="128"/>
      <c r="EY648" s="128"/>
    </row>
    <row r="649" spans="3:155">
      <c r="C649" s="128"/>
      <c r="D649" s="128"/>
      <c r="E649" s="128"/>
      <c r="F649" s="128" t="str">
        <f>IF(E649 &lt;&gt; "", VLOOKUP(E649, '[2]Internal-logic'!G$1:I$364, 2, FALSE),"")</f>
        <v/>
      </c>
      <c r="G649" s="128" t="str">
        <f>IF(E649 &lt;&gt; "", VLOOKUP(E649, '[2]Internal-logic'!G$1:I$364, 3, FALSE),"")</f>
        <v/>
      </c>
      <c r="H649" s="128"/>
      <c r="I649" s="128"/>
      <c r="J649" s="128"/>
      <c r="K649" s="128"/>
      <c r="Q649" s="128"/>
      <c r="R649" s="128"/>
      <c r="S649" s="128"/>
      <c r="U649" s="128"/>
      <c r="X649" s="128"/>
      <c r="Y649" s="128"/>
      <c r="Z649" s="128"/>
      <c r="AA649" s="128"/>
      <c r="AB649" s="128"/>
      <c r="AC649" s="128"/>
      <c r="AD649" s="128"/>
      <c r="AE649" s="128"/>
      <c r="AF649" s="128"/>
      <c r="AG649" s="128"/>
      <c r="AI649" s="128"/>
      <c r="AJ649" s="128"/>
      <c r="AY649" s="128"/>
      <c r="BN649" s="128"/>
      <c r="BQ649" s="128"/>
      <c r="BR649" s="128"/>
      <c r="BT649" s="128"/>
      <c r="BV649" s="128"/>
      <c r="BX649" s="128"/>
      <c r="CU649" s="128"/>
      <c r="CW649" s="128"/>
      <c r="DN649" s="128"/>
      <c r="DP649" s="128"/>
      <c r="DR649" s="128"/>
      <c r="DV649" s="128"/>
      <c r="DX649" s="128"/>
      <c r="DY649" s="128"/>
      <c r="EA649" s="128"/>
      <c r="EB649" s="128"/>
      <c r="EC649" s="128"/>
      <c r="EG649" s="128"/>
      <c r="EL649" s="128"/>
      <c r="EM649" s="128"/>
      <c r="EO649" s="128"/>
      <c r="EQ649" s="128"/>
      <c r="ES649" s="128"/>
      <c r="EU649" s="128"/>
      <c r="EW649" s="128"/>
      <c r="EY649" s="128"/>
    </row>
    <row r="650" spans="3:155">
      <c r="C650" s="128"/>
      <c r="D650" s="128"/>
      <c r="E650" s="128"/>
      <c r="F650" s="128" t="str">
        <f>IF(E650 &lt;&gt; "", VLOOKUP(E650, '[2]Internal-logic'!G$1:I$364, 2, FALSE),"")</f>
        <v/>
      </c>
      <c r="G650" s="128" t="str">
        <f>IF(E650 &lt;&gt; "", VLOOKUP(E650, '[2]Internal-logic'!G$1:I$364, 3, FALSE),"")</f>
        <v/>
      </c>
      <c r="H650" s="128"/>
      <c r="I650" s="128"/>
      <c r="J650" s="128"/>
      <c r="K650" s="128"/>
      <c r="Q650" s="128"/>
      <c r="R650" s="128"/>
      <c r="S650" s="128"/>
      <c r="U650" s="128"/>
      <c r="X650" s="128"/>
      <c r="Y650" s="128"/>
      <c r="Z650" s="128"/>
      <c r="AA650" s="128"/>
      <c r="AB650" s="128"/>
      <c r="AC650" s="128"/>
      <c r="AD650" s="128"/>
      <c r="AE650" s="128"/>
      <c r="AF650" s="128"/>
      <c r="AG650" s="128"/>
      <c r="AI650" s="128"/>
      <c r="AJ650" s="128"/>
      <c r="AY650" s="128"/>
      <c r="BN650" s="128"/>
      <c r="BQ650" s="128"/>
      <c r="BR650" s="128"/>
      <c r="BT650" s="128"/>
      <c r="BV650" s="128"/>
      <c r="BX650" s="128"/>
      <c r="CU650" s="128"/>
      <c r="CW650" s="128"/>
      <c r="DN650" s="128"/>
      <c r="DP650" s="128"/>
      <c r="DR650" s="128"/>
      <c r="DV650" s="128"/>
      <c r="DX650" s="128"/>
      <c r="DY650" s="128"/>
      <c r="EA650" s="128"/>
      <c r="EB650" s="128"/>
      <c r="EC650" s="128"/>
      <c r="EG650" s="128"/>
      <c r="EL650" s="128"/>
      <c r="EM650" s="128"/>
      <c r="EO650" s="128"/>
      <c r="EQ650" s="128"/>
      <c r="ES650" s="128"/>
      <c r="EU650" s="128"/>
      <c r="EW650" s="128"/>
      <c r="EY650" s="128"/>
    </row>
    <row r="651" spans="3:155">
      <c r="C651" s="128"/>
      <c r="D651" s="128"/>
      <c r="E651" s="128"/>
      <c r="F651" s="128" t="str">
        <f>IF(E651 &lt;&gt; "", VLOOKUP(E651, '[2]Internal-logic'!G$1:I$364, 2, FALSE),"")</f>
        <v/>
      </c>
      <c r="G651" s="128" t="str">
        <f>IF(E651 &lt;&gt; "", VLOOKUP(E651, '[2]Internal-logic'!G$1:I$364, 3, FALSE),"")</f>
        <v/>
      </c>
      <c r="H651" s="128"/>
      <c r="I651" s="128"/>
      <c r="J651" s="128"/>
      <c r="K651" s="128"/>
      <c r="Q651" s="128"/>
      <c r="R651" s="128"/>
      <c r="S651" s="128"/>
      <c r="U651" s="128"/>
      <c r="X651" s="128"/>
      <c r="Y651" s="128"/>
      <c r="Z651" s="128"/>
      <c r="AA651" s="128"/>
      <c r="AB651" s="128"/>
      <c r="AC651" s="128"/>
      <c r="AD651" s="128"/>
      <c r="AE651" s="128"/>
      <c r="AF651" s="128"/>
      <c r="AG651" s="128"/>
      <c r="AI651" s="128"/>
      <c r="AJ651" s="128"/>
      <c r="AY651" s="128"/>
      <c r="BN651" s="128"/>
      <c r="BQ651" s="128"/>
      <c r="BR651" s="128"/>
      <c r="BT651" s="128"/>
      <c r="BV651" s="128"/>
      <c r="BX651" s="128"/>
      <c r="CU651" s="128"/>
      <c r="CW651" s="128"/>
      <c r="DN651" s="128"/>
      <c r="DP651" s="128"/>
      <c r="DR651" s="128"/>
      <c r="DV651" s="128"/>
      <c r="DX651" s="128"/>
      <c r="DY651" s="128"/>
      <c r="EA651" s="128"/>
      <c r="EB651" s="128"/>
      <c r="EC651" s="128"/>
      <c r="EG651" s="128"/>
      <c r="EL651" s="128"/>
      <c r="EM651" s="128"/>
      <c r="EO651" s="128"/>
      <c r="EQ651" s="128"/>
      <c r="ES651" s="128"/>
      <c r="EU651" s="128"/>
      <c r="EW651" s="128"/>
      <c r="EY651" s="128"/>
    </row>
    <row r="652" spans="3:155">
      <c r="C652" s="128"/>
      <c r="D652" s="128"/>
      <c r="E652" s="128"/>
      <c r="F652" s="128" t="str">
        <f>IF(E652 &lt;&gt; "", VLOOKUP(E652, '[2]Internal-logic'!G$1:I$364, 2, FALSE),"")</f>
        <v/>
      </c>
      <c r="G652" s="128" t="str">
        <f>IF(E652 &lt;&gt; "", VLOOKUP(E652, '[2]Internal-logic'!G$1:I$364, 3, FALSE),"")</f>
        <v/>
      </c>
      <c r="H652" s="128"/>
      <c r="I652" s="128"/>
      <c r="J652" s="128"/>
      <c r="K652" s="128"/>
      <c r="Q652" s="128"/>
      <c r="R652" s="128"/>
      <c r="S652" s="128"/>
      <c r="U652" s="128"/>
      <c r="X652" s="128"/>
      <c r="Y652" s="128"/>
      <c r="Z652" s="128"/>
      <c r="AA652" s="128"/>
      <c r="AB652" s="128"/>
      <c r="AC652" s="128"/>
      <c r="AD652" s="128"/>
      <c r="AE652" s="128"/>
      <c r="AF652" s="128"/>
      <c r="AG652" s="128"/>
      <c r="AI652" s="128"/>
      <c r="AJ652" s="128"/>
      <c r="AY652" s="128"/>
      <c r="BN652" s="128"/>
      <c r="BQ652" s="128"/>
      <c r="BR652" s="128"/>
      <c r="BT652" s="128"/>
      <c r="BV652" s="128"/>
      <c r="BX652" s="128"/>
      <c r="CU652" s="128"/>
      <c r="CW652" s="128"/>
      <c r="DN652" s="128"/>
      <c r="DP652" s="128"/>
      <c r="DR652" s="128"/>
      <c r="DV652" s="128"/>
      <c r="DX652" s="128"/>
      <c r="DY652" s="128"/>
      <c r="EA652" s="128"/>
      <c r="EB652" s="128"/>
      <c r="EC652" s="128"/>
      <c r="EG652" s="128"/>
      <c r="EL652" s="128"/>
      <c r="EM652" s="128"/>
      <c r="EO652" s="128"/>
      <c r="EQ652" s="128"/>
      <c r="ES652" s="128"/>
      <c r="EU652" s="128"/>
      <c r="EW652" s="128"/>
      <c r="EY652" s="128"/>
    </row>
    <row r="653" spans="3:155">
      <c r="C653" s="128"/>
      <c r="D653" s="128"/>
      <c r="E653" s="128"/>
      <c r="F653" s="128" t="str">
        <f>IF(E653 &lt;&gt; "", VLOOKUP(E653, '[2]Internal-logic'!G$1:I$364, 2, FALSE),"")</f>
        <v/>
      </c>
      <c r="G653" s="128" t="str">
        <f>IF(E653 &lt;&gt; "", VLOOKUP(E653, '[2]Internal-logic'!G$1:I$364, 3, FALSE),"")</f>
        <v/>
      </c>
      <c r="H653" s="128"/>
      <c r="I653" s="128"/>
      <c r="J653" s="128"/>
      <c r="K653" s="128"/>
      <c r="Q653" s="128"/>
      <c r="R653" s="128"/>
      <c r="S653" s="128"/>
      <c r="U653" s="128"/>
      <c r="X653" s="128"/>
      <c r="Y653" s="128"/>
      <c r="Z653" s="128"/>
      <c r="AA653" s="128"/>
      <c r="AB653" s="128"/>
      <c r="AC653" s="128"/>
      <c r="AD653" s="128"/>
      <c r="AE653" s="128"/>
      <c r="AF653" s="128"/>
      <c r="AG653" s="128"/>
      <c r="AI653" s="128"/>
      <c r="AJ653" s="128"/>
      <c r="AY653" s="128"/>
      <c r="BN653" s="128"/>
      <c r="BQ653" s="128"/>
      <c r="BR653" s="128"/>
      <c r="BT653" s="128"/>
      <c r="BV653" s="128"/>
      <c r="BX653" s="128"/>
      <c r="CU653" s="128"/>
      <c r="CW653" s="128"/>
      <c r="DN653" s="128"/>
      <c r="DP653" s="128"/>
      <c r="DR653" s="128"/>
      <c r="DV653" s="128"/>
      <c r="DX653" s="128"/>
      <c r="DY653" s="128"/>
      <c r="EA653" s="128"/>
      <c r="EB653" s="128"/>
      <c r="EC653" s="128"/>
      <c r="EG653" s="128"/>
      <c r="EL653" s="128"/>
      <c r="EM653" s="128"/>
      <c r="EO653" s="128"/>
      <c r="EQ653" s="128"/>
      <c r="ES653" s="128"/>
      <c r="EU653" s="128"/>
      <c r="EW653" s="128"/>
      <c r="EY653" s="128"/>
    </row>
    <row r="654" spans="3:155">
      <c r="C654" s="128"/>
      <c r="D654" s="128"/>
      <c r="E654" s="128"/>
      <c r="F654" s="128" t="str">
        <f>IF(E654 &lt;&gt; "", VLOOKUP(E654, '[2]Internal-logic'!G$1:I$364, 2, FALSE),"")</f>
        <v/>
      </c>
      <c r="G654" s="128" t="str">
        <f>IF(E654 &lt;&gt; "", VLOOKUP(E654, '[2]Internal-logic'!G$1:I$364, 3, FALSE),"")</f>
        <v/>
      </c>
      <c r="H654" s="128"/>
      <c r="I654" s="128"/>
      <c r="J654" s="128"/>
      <c r="K654" s="128"/>
      <c r="Q654" s="128"/>
      <c r="R654" s="128"/>
      <c r="S654" s="128"/>
      <c r="U654" s="128"/>
      <c r="X654" s="128"/>
      <c r="Y654" s="128"/>
      <c r="Z654" s="128"/>
      <c r="AA654" s="128"/>
      <c r="AB654" s="128"/>
      <c r="AC654" s="128"/>
      <c r="AD654" s="128"/>
      <c r="AE654" s="128"/>
      <c r="AF654" s="128"/>
      <c r="AG654" s="128"/>
      <c r="AI654" s="128"/>
      <c r="AJ654" s="128"/>
      <c r="AY654" s="128"/>
      <c r="BN654" s="128"/>
      <c r="BQ654" s="128"/>
      <c r="BR654" s="128"/>
      <c r="BT654" s="128"/>
      <c r="BV654" s="128"/>
      <c r="BX654" s="128"/>
      <c r="CU654" s="128"/>
      <c r="CW654" s="128"/>
      <c r="DN654" s="128"/>
      <c r="DP654" s="128"/>
      <c r="DR654" s="128"/>
      <c r="DV654" s="128"/>
      <c r="DX654" s="128"/>
      <c r="DY654" s="128"/>
      <c r="EA654" s="128"/>
      <c r="EB654" s="128"/>
      <c r="EC654" s="128"/>
      <c r="EG654" s="128"/>
      <c r="EL654" s="128"/>
      <c r="EM654" s="128"/>
      <c r="EO654" s="128"/>
      <c r="EQ654" s="128"/>
      <c r="ES654" s="128"/>
      <c r="EU654" s="128"/>
      <c r="EW654" s="128"/>
      <c r="EY654" s="128"/>
    </row>
    <row r="655" spans="3:155">
      <c r="C655" s="128"/>
      <c r="D655" s="128"/>
      <c r="E655" s="128"/>
      <c r="F655" s="128" t="str">
        <f>IF(E655 &lt;&gt; "", VLOOKUP(E655, '[2]Internal-logic'!G$1:I$364, 2, FALSE),"")</f>
        <v/>
      </c>
      <c r="G655" s="128" t="str">
        <f>IF(E655 &lt;&gt; "", VLOOKUP(E655, '[2]Internal-logic'!G$1:I$364, 3, FALSE),"")</f>
        <v/>
      </c>
      <c r="H655" s="128"/>
      <c r="I655" s="128"/>
      <c r="J655" s="128"/>
      <c r="K655" s="128"/>
      <c r="Q655" s="128"/>
      <c r="R655" s="128"/>
      <c r="S655" s="128"/>
      <c r="U655" s="128"/>
      <c r="X655" s="128"/>
      <c r="Y655" s="128"/>
      <c r="Z655" s="128"/>
      <c r="AA655" s="128"/>
      <c r="AB655" s="128"/>
      <c r="AC655" s="128"/>
      <c r="AD655" s="128"/>
      <c r="AE655" s="128"/>
      <c r="AF655" s="128"/>
      <c r="AG655" s="128"/>
      <c r="AI655" s="128"/>
      <c r="AJ655" s="128"/>
      <c r="AY655" s="128"/>
      <c r="BN655" s="128"/>
      <c r="BQ655" s="128"/>
      <c r="BR655" s="128"/>
      <c r="BT655" s="128"/>
      <c r="BV655" s="128"/>
      <c r="BX655" s="128"/>
      <c r="CU655" s="128"/>
      <c r="CW655" s="128"/>
      <c r="DN655" s="128"/>
      <c r="DP655" s="128"/>
      <c r="DR655" s="128"/>
      <c r="DV655" s="128"/>
      <c r="DX655" s="128"/>
      <c r="DY655" s="128"/>
      <c r="EA655" s="128"/>
      <c r="EB655" s="128"/>
      <c r="EC655" s="128"/>
      <c r="EG655" s="128"/>
      <c r="EL655" s="128"/>
      <c r="EM655" s="128"/>
      <c r="EO655" s="128"/>
      <c r="EQ655" s="128"/>
      <c r="ES655" s="128"/>
      <c r="EU655" s="128"/>
      <c r="EW655" s="128"/>
      <c r="EY655" s="128"/>
    </row>
    <row r="656" spans="3:155">
      <c r="C656" s="128"/>
      <c r="D656" s="128"/>
      <c r="E656" s="128"/>
      <c r="F656" s="128" t="str">
        <f>IF(E656 &lt;&gt; "", VLOOKUP(E656, '[2]Internal-logic'!G$1:I$364, 2, FALSE),"")</f>
        <v/>
      </c>
      <c r="G656" s="128" t="str">
        <f>IF(E656 &lt;&gt; "", VLOOKUP(E656, '[2]Internal-logic'!G$1:I$364, 3, FALSE),"")</f>
        <v/>
      </c>
      <c r="H656" s="128"/>
      <c r="I656" s="128"/>
      <c r="J656" s="128"/>
      <c r="K656" s="128"/>
      <c r="Q656" s="128"/>
      <c r="R656" s="128"/>
      <c r="S656" s="128"/>
      <c r="U656" s="128"/>
      <c r="X656" s="128"/>
      <c r="Y656" s="128"/>
      <c r="Z656" s="128"/>
      <c r="AA656" s="128"/>
      <c r="AB656" s="128"/>
      <c r="AC656" s="128"/>
      <c r="AD656" s="128"/>
      <c r="AE656" s="128"/>
      <c r="AF656" s="128"/>
      <c r="AG656" s="128"/>
      <c r="AI656" s="128"/>
      <c r="AJ656" s="128"/>
      <c r="AY656" s="128"/>
      <c r="BN656" s="128"/>
      <c r="BQ656" s="128"/>
      <c r="BR656" s="128"/>
      <c r="BT656" s="128"/>
      <c r="BV656" s="128"/>
      <c r="BX656" s="128"/>
      <c r="CU656" s="128"/>
      <c r="CW656" s="128"/>
      <c r="DN656" s="128"/>
      <c r="DP656" s="128"/>
      <c r="DR656" s="128"/>
      <c r="DV656" s="128"/>
      <c r="DX656" s="128"/>
      <c r="DY656" s="128"/>
      <c r="EA656" s="128"/>
      <c r="EB656" s="128"/>
      <c r="EC656" s="128"/>
      <c r="EG656" s="128"/>
      <c r="EL656" s="128"/>
      <c r="EM656" s="128"/>
      <c r="EO656" s="128"/>
      <c r="EQ656" s="128"/>
      <c r="ES656" s="128"/>
      <c r="EU656" s="128"/>
      <c r="EW656" s="128"/>
      <c r="EY656" s="128"/>
    </row>
    <row r="657" spans="3:155">
      <c r="C657" s="128"/>
      <c r="D657" s="128"/>
      <c r="E657" s="128"/>
      <c r="F657" s="128" t="str">
        <f>IF(E657 &lt;&gt; "", VLOOKUP(E657, '[2]Internal-logic'!G$1:I$364, 2, FALSE),"")</f>
        <v/>
      </c>
      <c r="G657" s="128" t="str">
        <f>IF(E657 &lt;&gt; "", VLOOKUP(E657, '[2]Internal-logic'!G$1:I$364, 3, FALSE),"")</f>
        <v/>
      </c>
      <c r="H657" s="128"/>
      <c r="I657" s="128"/>
      <c r="J657" s="128"/>
      <c r="K657" s="128"/>
      <c r="Q657" s="128"/>
      <c r="R657" s="128"/>
      <c r="S657" s="128"/>
      <c r="U657" s="128"/>
      <c r="X657" s="128"/>
      <c r="Y657" s="128"/>
      <c r="Z657" s="128"/>
      <c r="AA657" s="128"/>
      <c r="AB657" s="128"/>
      <c r="AC657" s="128"/>
      <c r="AD657" s="128"/>
      <c r="AE657" s="128"/>
      <c r="AF657" s="128"/>
      <c r="AG657" s="128"/>
      <c r="AI657" s="128"/>
      <c r="AJ657" s="128"/>
      <c r="AY657" s="128"/>
      <c r="BN657" s="128"/>
      <c r="BQ657" s="128"/>
      <c r="BR657" s="128"/>
      <c r="BT657" s="128"/>
      <c r="BV657" s="128"/>
      <c r="BX657" s="128"/>
      <c r="CU657" s="128"/>
      <c r="CW657" s="128"/>
      <c r="DN657" s="128"/>
      <c r="DP657" s="128"/>
      <c r="DR657" s="128"/>
      <c r="DV657" s="128"/>
      <c r="DX657" s="128"/>
      <c r="DY657" s="128"/>
      <c r="EA657" s="128"/>
      <c r="EB657" s="128"/>
      <c r="EC657" s="128"/>
      <c r="EG657" s="128"/>
      <c r="EL657" s="128"/>
      <c r="EM657" s="128"/>
      <c r="EO657" s="128"/>
      <c r="EQ657" s="128"/>
      <c r="ES657" s="128"/>
      <c r="EU657" s="128"/>
      <c r="EW657" s="128"/>
      <c r="EY657" s="128"/>
    </row>
    <row r="658" spans="3:155">
      <c r="C658" s="128"/>
      <c r="D658" s="128"/>
      <c r="E658" s="128"/>
      <c r="F658" s="128" t="str">
        <f>IF(E658 &lt;&gt; "", VLOOKUP(E658, '[2]Internal-logic'!G$1:I$364, 2, FALSE),"")</f>
        <v/>
      </c>
      <c r="G658" s="128" t="str">
        <f>IF(E658 &lt;&gt; "", VLOOKUP(E658, '[2]Internal-logic'!G$1:I$364, 3, FALSE),"")</f>
        <v/>
      </c>
      <c r="H658" s="128"/>
      <c r="I658" s="128"/>
      <c r="J658" s="128"/>
      <c r="K658" s="128"/>
      <c r="Q658" s="128"/>
      <c r="R658" s="128"/>
      <c r="S658" s="128"/>
      <c r="U658" s="128"/>
      <c r="X658" s="128"/>
      <c r="Y658" s="128"/>
      <c r="Z658" s="128"/>
      <c r="AA658" s="128"/>
      <c r="AB658" s="128"/>
      <c r="AC658" s="128"/>
      <c r="AD658" s="128"/>
      <c r="AE658" s="128"/>
      <c r="AF658" s="128"/>
      <c r="AG658" s="128"/>
      <c r="AI658" s="128"/>
      <c r="AJ658" s="128"/>
      <c r="AY658" s="128"/>
      <c r="BN658" s="128"/>
      <c r="BQ658" s="128"/>
      <c r="BR658" s="128"/>
      <c r="BT658" s="128"/>
      <c r="BV658" s="128"/>
      <c r="BX658" s="128"/>
      <c r="CU658" s="128"/>
      <c r="CW658" s="128"/>
      <c r="DN658" s="128"/>
      <c r="DP658" s="128"/>
      <c r="DR658" s="128"/>
      <c r="DV658" s="128"/>
      <c r="DX658" s="128"/>
      <c r="DY658" s="128"/>
      <c r="EA658" s="128"/>
      <c r="EB658" s="128"/>
      <c r="EC658" s="128"/>
      <c r="EG658" s="128"/>
      <c r="EL658" s="128"/>
      <c r="EM658" s="128"/>
      <c r="EO658" s="128"/>
      <c r="EQ658" s="128"/>
      <c r="ES658" s="128"/>
      <c r="EU658" s="128"/>
      <c r="EW658" s="128"/>
      <c r="EY658" s="128"/>
    </row>
    <row r="659" spans="3:155">
      <c r="C659" s="128"/>
      <c r="D659" s="128"/>
      <c r="E659" s="128"/>
      <c r="F659" s="128" t="str">
        <f>IF(E659 &lt;&gt; "", VLOOKUP(E659, '[2]Internal-logic'!G$1:I$364, 2, FALSE),"")</f>
        <v/>
      </c>
      <c r="G659" s="128" t="str">
        <f>IF(E659 &lt;&gt; "", VLOOKUP(E659, '[2]Internal-logic'!G$1:I$364, 3, FALSE),"")</f>
        <v/>
      </c>
      <c r="H659" s="128"/>
      <c r="I659" s="128"/>
      <c r="J659" s="128"/>
      <c r="K659" s="128"/>
      <c r="Q659" s="128"/>
      <c r="R659" s="128"/>
      <c r="S659" s="128"/>
      <c r="U659" s="128"/>
      <c r="X659" s="128"/>
      <c r="Y659" s="128"/>
      <c r="Z659" s="128"/>
      <c r="AA659" s="128"/>
      <c r="AB659" s="128"/>
      <c r="AC659" s="128"/>
      <c r="AD659" s="128"/>
      <c r="AE659" s="128"/>
      <c r="AF659" s="128"/>
      <c r="AG659" s="128"/>
      <c r="AI659" s="128"/>
      <c r="AJ659" s="128"/>
      <c r="AY659" s="128"/>
      <c r="BN659" s="128"/>
      <c r="BQ659" s="128"/>
      <c r="BR659" s="128"/>
      <c r="BT659" s="128"/>
      <c r="BV659" s="128"/>
      <c r="BX659" s="128"/>
      <c r="CU659" s="128"/>
      <c r="CW659" s="128"/>
      <c r="DN659" s="128"/>
      <c r="DP659" s="128"/>
      <c r="DR659" s="128"/>
      <c r="DV659" s="128"/>
      <c r="DX659" s="128"/>
      <c r="DY659" s="128"/>
      <c r="EA659" s="128"/>
      <c r="EB659" s="128"/>
      <c r="EC659" s="128"/>
      <c r="EG659" s="128"/>
      <c r="EL659" s="128"/>
      <c r="EM659" s="128"/>
      <c r="EO659" s="128"/>
      <c r="EQ659" s="128"/>
      <c r="ES659" s="128"/>
      <c r="EU659" s="128"/>
      <c r="EW659" s="128"/>
      <c r="EY659" s="128"/>
    </row>
    <row r="660" spans="3:155">
      <c r="C660" s="128"/>
      <c r="D660" s="128"/>
      <c r="E660" s="128"/>
      <c r="F660" s="128" t="str">
        <f>IF(E660 &lt;&gt; "", VLOOKUP(E660, '[2]Internal-logic'!G$1:I$364, 2, FALSE),"")</f>
        <v/>
      </c>
      <c r="G660" s="128" t="str">
        <f>IF(E660 &lt;&gt; "", VLOOKUP(E660, '[2]Internal-logic'!G$1:I$364, 3, FALSE),"")</f>
        <v/>
      </c>
      <c r="H660" s="128"/>
      <c r="I660" s="128"/>
      <c r="J660" s="128"/>
      <c r="K660" s="128"/>
      <c r="Q660" s="128"/>
      <c r="R660" s="128"/>
      <c r="S660" s="128"/>
      <c r="U660" s="128"/>
      <c r="X660" s="128"/>
      <c r="Y660" s="128"/>
      <c r="Z660" s="128"/>
      <c r="AA660" s="128"/>
      <c r="AB660" s="128"/>
      <c r="AC660" s="128"/>
      <c r="AD660" s="128"/>
      <c r="AE660" s="128"/>
      <c r="AF660" s="128"/>
      <c r="AG660" s="128"/>
      <c r="AI660" s="128"/>
      <c r="AJ660" s="128"/>
      <c r="AY660" s="128"/>
      <c r="BN660" s="128"/>
      <c r="BQ660" s="128"/>
      <c r="BR660" s="128"/>
      <c r="BT660" s="128"/>
      <c r="BV660" s="128"/>
      <c r="BX660" s="128"/>
      <c r="CU660" s="128"/>
      <c r="CW660" s="128"/>
      <c r="DN660" s="128"/>
      <c r="DP660" s="128"/>
      <c r="DR660" s="128"/>
      <c r="DV660" s="128"/>
      <c r="DX660" s="128"/>
      <c r="DY660" s="128"/>
      <c r="EA660" s="128"/>
      <c r="EB660" s="128"/>
      <c r="EC660" s="128"/>
      <c r="EG660" s="128"/>
      <c r="EL660" s="128"/>
      <c r="EM660" s="128"/>
      <c r="EO660" s="128"/>
      <c r="EQ660" s="128"/>
      <c r="ES660" s="128"/>
      <c r="EU660" s="128"/>
      <c r="EW660" s="128"/>
      <c r="EY660" s="128"/>
    </row>
    <row r="661" spans="3:155">
      <c r="C661" s="128"/>
      <c r="D661" s="128"/>
      <c r="E661" s="128"/>
      <c r="F661" s="128" t="str">
        <f>IF(E661 &lt;&gt; "", VLOOKUP(E661, '[2]Internal-logic'!G$1:I$364, 2, FALSE),"")</f>
        <v/>
      </c>
      <c r="G661" s="128" t="str">
        <f>IF(E661 &lt;&gt; "", VLOOKUP(E661, '[2]Internal-logic'!G$1:I$364, 3, FALSE),"")</f>
        <v/>
      </c>
      <c r="H661" s="128"/>
      <c r="I661" s="128"/>
      <c r="J661" s="128"/>
      <c r="K661" s="128"/>
      <c r="Q661" s="128"/>
      <c r="R661" s="128"/>
      <c r="S661" s="128"/>
      <c r="U661" s="128"/>
      <c r="X661" s="128"/>
      <c r="Y661" s="128"/>
      <c r="Z661" s="128"/>
      <c r="AA661" s="128"/>
      <c r="AB661" s="128"/>
      <c r="AC661" s="128"/>
      <c r="AD661" s="128"/>
      <c r="AE661" s="128"/>
      <c r="AF661" s="128"/>
      <c r="AG661" s="128"/>
      <c r="AI661" s="128"/>
      <c r="AJ661" s="128"/>
      <c r="AY661" s="128"/>
      <c r="BN661" s="128"/>
      <c r="BQ661" s="128"/>
      <c r="BR661" s="128"/>
      <c r="BT661" s="128"/>
      <c r="BV661" s="128"/>
      <c r="BX661" s="128"/>
      <c r="CU661" s="128"/>
      <c r="CW661" s="128"/>
      <c r="DN661" s="128"/>
      <c r="DP661" s="128"/>
      <c r="DR661" s="128"/>
      <c r="DV661" s="128"/>
      <c r="DX661" s="128"/>
      <c r="DY661" s="128"/>
      <c r="EA661" s="128"/>
      <c r="EB661" s="128"/>
      <c r="EC661" s="128"/>
      <c r="EG661" s="128"/>
      <c r="EL661" s="128"/>
      <c r="EM661" s="128"/>
      <c r="EO661" s="128"/>
      <c r="EQ661" s="128"/>
      <c r="ES661" s="128"/>
      <c r="EU661" s="128"/>
      <c r="EW661" s="128"/>
      <c r="EY661" s="128"/>
    </row>
    <row r="662" spans="3:155">
      <c r="C662" s="128"/>
      <c r="D662" s="128"/>
      <c r="E662" s="128"/>
      <c r="F662" s="128" t="str">
        <f>IF(E662 &lt;&gt; "", VLOOKUP(E662, '[2]Internal-logic'!G$1:I$364, 2, FALSE),"")</f>
        <v/>
      </c>
      <c r="G662" s="128" t="str">
        <f>IF(E662 &lt;&gt; "", VLOOKUP(E662, '[2]Internal-logic'!G$1:I$364, 3, FALSE),"")</f>
        <v/>
      </c>
      <c r="H662" s="128"/>
      <c r="I662" s="128"/>
      <c r="J662" s="128"/>
      <c r="K662" s="128"/>
      <c r="Q662" s="128"/>
      <c r="R662" s="128"/>
      <c r="S662" s="128"/>
      <c r="U662" s="128"/>
      <c r="X662" s="128"/>
      <c r="Y662" s="128"/>
      <c r="Z662" s="128"/>
      <c r="AA662" s="128"/>
      <c r="AB662" s="128"/>
      <c r="AC662" s="128"/>
      <c r="AD662" s="128"/>
      <c r="AE662" s="128"/>
      <c r="AF662" s="128"/>
      <c r="AG662" s="128"/>
      <c r="AI662" s="128"/>
      <c r="AJ662" s="128"/>
      <c r="AY662" s="128"/>
      <c r="BN662" s="128"/>
      <c r="BQ662" s="128"/>
      <c r="BR662" s="128"/>
      <c r="BT662" s="128"/>
      <c r="BV662" s="128"/>
      <c r="BX662" s="128"/>
      <c r="CU662" s="128"/>
      <c r="CW662" s="128"/>
      <c r="DN662" s="128"/>
      <c r="DP662" s="128"/>
      <c r="DR662" s="128"/>
      <c r="DV662" s="128"/>
      <c r="DX662" s="128"/>
      <c r="DY662" s="128"/>
      <c r="EA662" s="128"/>
      <c r="EB662" s="128"/>
      <c r="EC662" s="128"/>
      <c r="EG662" s="128"/>
      <c r="EL662" s="128"/>
      <c r="EM662" s="128"/>
      <c r="EO662" s="128"/>
      <c r="EQ662" s="128"/>
      <c r="ES662" s="128"/>
      <c r="EU662" s="128"/>
      <c r="EW662" s="128"/>
      <c r="EY662" s="128"/>
    </row>
    <row r="663" spans="3:155">
      <c r="C663" s="128"/>
      <c r="D663" s="128"/>
      <c r="E663" s="128"/>
      <c r="F663" s="128" t="str">
        <f>IF(E663 &lt;&gt; "", VLOOKUP(E663, '[2]Internal-logic'!G$1:I$364, 2, FALSE),"")</f>
        <v/>
      </c>
      <c r="G663" s="128" t="str">
        <f>IF(E663 &lt;&gt; "", VLOOKUP(E663, '[2]Internal-logic'!G$1:I$364, 3, FALSE),"")</f>
        <v/>
      </c>
      <c r="H663" s="128"/>
      <c r="I663" s="128"/>
      <c r="J663" s="128"/>
      <c r="K663" s="128"/>
      <c r="Q663" s="128"/>
      <c r="R663" s="128"/>
      <c r="S663" s="128"/>
      <c r="U663" s="128"/>
      <c r="X663" s="128"/>
      <c r="Y663" s="128"/>
      <c r="Z663" s="128"/>
      <c r="AA663" s="128"/>
      <c r="AB663" s="128"/>
      <c r="AC663" s="128"/>
      <c r="AD663" s="128"/>
      <c r="AE663" s="128"/>
      <c r="AF663" s="128"/>
      <c r="AG663" s="128"/>
      <c r="AI663" s="128"/>
      <c r="AJ663" s="128"/>
      <c r="AY663" s="128"/>
      <c r="BN663" s="128"/>
      <c r="BQ663" s="128"/>
      <c r="BR663" s="128"/>
      <c r="BT663" s="128"/>
      <c r="BV663" s="128"/>
      <c r="BX663" s="128"/>
      <c r="CU663" s="128"/>
      <c r="CW663" s="128"/>
      <c r="DN663" s="128"/>
      <c r="DP663" s="128"/>
      <c r="DR663" s="128"/>
      <c r="DV663" s="128"/>
      <c r="DX663" s="128"/>
      <c r="DY663" s="128"/>
      <c r="EA663" s="128"/>
      <c r="EB663" s="128"/>
      <c r="EC663" s="128"/>
      <c r="EG663" s="128"/>
      <c r="EL663" s="128"/>
      <c r="EM663" s="128"/>
      <c r="EO663" s="128"/>
      <c r="EQ663" s="128"/>
      <c r="ES663" s="128"/>
      <c r="EU663" s="128"/>
      <c r="EW663" s="128"/>
      <c r="EY663" s="128"/>
    </row>
    <row r="664" spans="3:155">
      <c r="C664" s="128"/>
      <c r="D664" s="128"/>
      <c r="E664" s="128"/>
      <c r="F664" s="128" t="str">
        <f>IF(E664 &lt;&gt; "", VLOOKUP(E664, '[2]Internal-logic'!G$1:I$364, 2, FALSE),"")</f>
        <v/>
      </c>
      <c r="G664" s="128" t="str">
        <f>IF(E664 &lt;&gt; "", VLOOKUP(E664, '[2]Internal-logic'!G$1:I$364, 3, FALSE),"")</f>
        <v/>
      </c>
      <c r="H664" s="128"/>
      <c r="I664" s="128"/>
      <c r="J664" s="128"/>
      <c r="K664" s="128"/>
      <c r="Q664" s="128"/>
      <c r="R664" s="128"/>
      <c r="S664" s="128"/>
      <c r="U664" s="128"/>
      <c r="X664" s="128"/>
      <c r="Y664" s="128"/>
      <c r="Z664" s="128"/>
      <c r="AA664" s="128"/>
      <c r="AB664" s="128"/>
      <c r="AC664" s="128"/>
      <c r="AD664" s="128"/>
      <c r="AE664" s="128"/>
      <c r="AF664" s="128"/>
      <c r="AG664" s="128"/>
      <c r="AI664" s="128"/>
      <c r="AJ664" s="128"/>
      <c r="AY664" s="128"/>
      <c r="BN664" s="128"/>
      <c r="BQ664" s="128"/>
      <c r="BR664" s="128"/>
      <c r="BT664" s="128"/>
      <c r="BV664" s="128"/>
      <c r="BX664" s="128"/>
      <c r="CU664" s="128"/>
      <c r="CW664" s="128"/>
      <c r="DN664" s="128"/>
      <c r="DP664" s="128"/>
      <c r="DR664" s="128"/>
      <c r="DV664" s="128"/>
      <c r="DX664" s="128"/>
      <c r="DY664" s="128"/>
      <c r="EA664" s="128"/>
      <c r="EB664" s="128"/>
      <c r="EC664" s="128"/>
      <c r="EG664" s="128"/>
      <c r="EL664" s="128"/>
      <c r="EM664" s="128"/>
      <c r="EO664" s="128"/>
      <c r="EQ664" s="128"/>
      <c r="ES664" s="128"/>
      <c r="EU664" s="128"/>
      <c r="EW664" s="128"/>
      <c r="EY664" s="128"/>
    </row>
    <row r="665" spans="3:155">
      <c r="C665" s="128"/>
      <c r="D665" s="128"/>
      <c r="E665" s="128"/>
      <c r="F665" s="128" t="str">
        <f>IF(E665 &lt;&gt; "", VLOOKUP(E665, '[2]Internal-logic'!G$1:I$364, 2, FALSE),"")</f>
        <v/>
      </c>
      <c r="G665" s="128" t="str">
        <f>IF(E665 &lt;&gt; "", VLOOKUP(E665, '[2]Internal-logic'!G$1:I$364, 3, FALSE),"")</f>
        <v/>
      </c>
      <c r="H665" s="128"/>
      <c r="I665" s="128"/>
      <c r="J665" s="128"/>
      <c r="K665" s="128"/>
      <c r="Q665" s="128"/>
      <c r="R665" s="128"/>
      <c r="S665" s="128"/>
      <c r="U665" s="128"/>
      <c r="X665" s="128"/>
      <c r="Y665" s="128"/>
      <c r="Z665" s="128"/>
      <c r="AA665" s="128"/>
      <c r="AB665" s="128"/>
      <c r="AC665" s="128"/>
      <c r="AD665" s="128"/>
      <c r="AE665" s="128"/>
      <c r="AF665" s="128"/>
      <c r="AG665" s="128"/>
      <c r="AI665" s="128"/>
      <c r="AJ665" s="128"/>
      <c r="AY665" s="128"/>
      <c r="BN665" s="128"/>
      <c r="BQ665" s="128"/>
      <c r="BR665" s="128"/>
      <c r="BT665" s="128"/>
      <c r="BV665" s="128"/>
      <c r="BX665" s="128"/>
      <c r="CU665" s="128"/>
      <c r="CW665" s="128"/>
      <c r="DN665" s="128"/>
      <c r="DP665" s="128"/>
      <c r="DR665" s="128"/>
      <c r="DV665" s="128"/>
      <c r="DX665" s="128"/>
      <c r="DY665" s="128"/>
      <c r="EA665" s="128"/>
      <c r="EB665" s="128"/>
      <c r="EC665" s="128"/>
      <c r="EG665" s="128"/>
      <c r="EL665" s="128"/>
      <c r="EM665" s="128"/>
      <c r="EO665" s="128"/>
      <c r="EQ665" s="128"/>
      <c r="ES665" s="128"/>
      <c r="EU665" s="128"/>
      <c r="EW665" s="128"/>
      <c r="EY665" s="128"/>
    </row>
    <row r="666" spans="3:155">
      <c r="C666" s="128"/>
      <c r="D666" s="128"/>
      <c r="E666" s="128"/>
      <c r="F666" s="128" t="str">
        <f>IF(E666 &lt;&gt; "", VLOOKUP(E666, '[2]Internal-logic'!G$1:I$364, 2, FALSE),"")</f>
        <v/>
      </c>
      <c r="G666" s="128" t="str">
        <f>IF(E666 &lt;&gt; "", VLOOKUP(E666, '[2]Internal-logic'!G$1:I$364, 3, FALSE),"")</f>
        <v/>
      </c>
      <c r="H666" s="128"/>
      <c r="I666" s="128"/>
      <c r="J666" s="128"/>
      <c r="K666" s="128"/>
      <c r="Q666" s="128"/>
      <c r="R666" s="128"/>
      <c r="S666" s="128"/>
      <c r="U666" s="128"/>
      <c r="X666" s="128"/>
      <c r="Y666" s="128"/>
      <c r="Z666" s="128"/>
      <c r="AA666" s="128"/>
      <c r="AB666" s="128"/>
      <c r="AC666" s="128"/>
      <c r="AD666" s="128"/>
      <c r="AE666" s="128"/>
      <c r="AF666" s="128"/>
      <c r="AG666" s="128"/>
      <c r="AI666" s="128"/>
      <c r="AJ666" s="128"/>
      <c r="AY666" s="128"/>
      <c r="BN666" s="128"/>
      <c r="BQ666" s="128"/>
      <c r="BR666" s="128"/>
      <c r="BT666" s="128"/>
      <c r="BV666" s="128"/>
      <c r="BX666" s="128"/>
      <c r="CU666" s="128"/>
      <c r="CW666" s="128"/>
      <c r="DN666" s="128"/>
      <c r="DP666" s="128"/>
      <c r="DR666" s="128"/>
      <c r="DV666" s="128"/>
      <c r="DX666" s="128"/>
      <c r="DY666" s="128"/>
      <c r="EA666" s="128"/>
      <c r="EB666" s="128"/>
      <c r="EC666" s="128"/>
      <c r="EG666" s="128"/>
      <c r="EL666" s="128"/>
      <c r="EM666" s="128"/>
      <c r="EO666" s="128"/>
      <c r="EQ666" s="128"/>
      <c r="ES666" s="128"/>
      <c r="EU666" s="128"/>
      <c r="EW666" s="128"/>
      <c r="EY666" s="128"/>
    </row>
    <row r="667" spans="3:155">
      <c r="C667" s="128"/>
      <c r="D667" s="128"/>
      <c r="E667" s="128"/>
      <c r="F667" s="128" t="str">
        <f>IF(E667 &lt;&gt; "", VLOOKUP(E667, '[2]Internal-logic'!G$1:I$364, 2, FALSE),"")</f>
        <v/>
      </c>
      <c r="G667" s="128" t="str">
        <f>IF(E667 &lt;&gt; "", VLOOKUP(E667, '[2]Internal-logic'!G$1:I$364, 3, FALSE),"")</f>
        <v/>
      </c>
      <c r="H667" s="128"/>
      <c r="I667" s="128"/>
      <c r="J667" s="128"/>
      <c r="K667" s="128"/>
      <c r="Q667" s="128"/>
      <c r="R667" s="128"/>
      <c r="S667" s="128"/>
      <c r="U667" s="128"/>
      <c r="X667" s="128"/>
      <c r="Y667" s="128"/>
      <c r="Z667" s="128"/>
      <c r="AA667" s="128"/>
      <c r="AB667" s="128"/>
      <c r="AC667" s="128"/>
      <c r="AD667" s="128"/>
      <c r="AE667" s="128"/>
      <c r="AF667" s="128"/>
      <c r="AG667" s="128"/>
      <c r="AI667" s="128"/>
      <c r="AJ667" s="128"/>
      <c r="AY667" s="128"/>
      <c r="BN667" s="128"/>
      <c r="BQ667" s="128"/>
      <c r="BR667" s="128"/>
      <c r="BT667" s="128"/>
      <c r="BV667" s="128"/>
      <c r="BX667" s="128"/>
      <c r="CU667" s="128"/>
      <c r="CW667" s="128"/>
      <c r="DN667" s="128"/>
      <c r="DP667" s="128"/>
      <c r="DR667" s="128"/>
      <c r="DV667" s="128"/>
      <c r="DX667" s="128"/>
      <c r="DY667" s="128"/>
      <c r="EA667" s="128"/>
      <c r="EB667" s="128"/>
      <c r="EC667" s="128"/>
      <c r="EG667" s="128"/>
      <c r="EL667" s="128"/>
      <c r="EM667" s="128"/>
      <c r="EO667" s="128"/>
      <c r="EQ667" s="128"/>
      <c r="ES667" s="128"/>
      <c r="EU667" s="128"/>
      <c r="EW667" s="128"/>
      <c r="EY667" s="128"/>
    </row>
    <row r="668" spans="3:155">
      <c r="C668" s="128"/>
      <c r="D668" s="128"/>
      <c r="E668" s="128"/>
      <c r="F668" s="128" t="str">
        <f>IF(E668 &lt;&gt; "", VLOOKUP(E668, '[2]Internal-logic'!G$1:I$364, 2, FALSE),"")</f>
        <v/>
      </c>
      <c r="G668" s="128" t="str">
        <f>IF(E668 &lt;&gt; "", VLOOKUP(E668, '[2]Internal-logic'!G$1:I$364, 3, FALSE),"")</f>
        <v/>
      </c>
      <c r="H668" s="128"/>
      <c r="I668" s="128"/>
      <c r="J668" s="128"/>
      <c r="K668" s="128"/>
      <c r="Q668" s="128"/>
      <c r="R668" s="128"/>
      <c r="S668" s="128"/>
      <c r="U668" s="128"/>
      <c r="X668" s="128"/>
      <c r="Y668" s="128"/>
      <c r="Z668" s="128"/>
      <c r="AA668" s="128"/>
      <c r="AB668" s="128"/>
      <c r="AC668" s="128"/>
      <c r="AD668" s="128"/>
      <c r="AE668" s="128"/>
      <c r="AF668" s="128"/>
      <c r="AG668" s="128"/>
      <c r="AI668" s="128"/>
      <c r="AJ668" s="128"/>
      <c r="AY668" s="128"/>
      <c r="BN668" s="128"/>
      <c r="BQ668" s="128"/>
      <c r="BR668" s="128"/>
      <c r="BT668" s="128"/>
      <c r="BV668" s="128"/>
      <c r="BX668" s="128"/>
      <c r="CU668" s="128"/>
      <c r="CW668" s="128"/>
      <c r="DN668" s="128"/>
      <c r="DP668" s="128"/>
      <c r="DR668" s="128"/>
      <c r="DV668" s="128"/>
      <c r="DX668" s="128"/>
      <c r="DY668" s="128"/>
      <c r="EA668" s="128"/>
      <c r="EB668" s="128"/>
      <c r="EC668" s="128"/>
      <c r="EG668" s="128"/>
      <c r="EL668" s="128"/>
      <c r="EM668" s="128"/>
      <c r="EO668" s="128"/>
      <c r="EQ668" s="128"/>
      <c r="ES668" s="128"/>
      <c r="EU668" s="128"/>
      <c r="EW668" s="128"/>
      <c r="EY668" s="128"/>
    </row>
    <row r="669" spans="3:155">
      <c r="C669" s="128"/>
      <c r="D669" s="128"/>
      <c r="E669" s="128"/>
      <c r="F669" s="128" t="str">
        <f>IF(E669 &lt;&gt; "", VLOOKUP(E669, '[2]Internal-logic'!G$1:I$364, 2, FALSE),"")</f>
        <v/>
      </c>
      <c r="G669" s="128" t="str">
        <f>IF(E669 &lt;&gt; "", VLOOKUP(E669, '[2]Internal-logic'!G$1:I$364, 3, FALSE),"")</f>
        <v/>
      </c>
      <c r="H669" s="128"/>
      <c r="I669" s="128"/>
      <c r="J669" s="128"/>
      <c r="K669" s="128"/>
      <c r="Q669" s="128"/>
      <c r="R669" s="128"/>
      <c r="S669" s="128"/>
      <c r="U669" s="128"/>
      <c r="X669" s="128"/>
      <c r="Y669" s="128"/>
      <c r="Z669" s="128"/>
      <c r="AA669" s="128"/>
      <c r="AB669" s="128"/>
      <c r="AC669" s="128"/>
      <c r="AD669" s="128"/>
      <c r="AE669" s="128"/>
      <c r="AF669" s="128"/>
      <c r="AG669" s="128"/>
      <c r="AI669" s="128"/>
      <c r="AJ669" s="128"/>
      <c r="AY669" s="128"/>
      <c r="BN669" s="128"/>
      <c r="BQ669" s="128"/>
      <c r="BR669" s="128"/>
      <c r="BT669" s="128"/>
      <c r="BV669" s="128"/>
      <c r="BX669" s="128"/>
      <c r="CU669" s="128"/>
      <c r="CW669" s="128"/>
      <c r="DN669" s="128"/>
      <c r="DP669" s="128"/>
      <c r="DR669" s="128"/>
      <c r="DV669" s="128"/>
      <c r="DX669" s="128"/>
      <c r="DY669" s="128"/>
      <c r="EA669" s="128"/>
      <c r="EB669" s="128"/>
      <c r="EC669" s="128"/>
      <c r="EG669" s="128"/>
      <c r="EL669" s="128"/>
      <c r="EM669" s="128"/>
      <c r="EO669" s="128"/>
      <c r="EQ669" s="128"/>
      <c r="ES669" s="128"/>
      <c r="EU669" s="128"/>
      <c r="EW669" s="128"/>
      <c r="EY669" s="128"/>
    </row>
    <row r="670" spans="3:155">
      <c r="C670" s="128"/>
      <c r="D670" s="128"/>
      <c r="E670" s="128"/>
      <c r="F670" s="128" t="str">
        <f>IF(E670 &lt;&gt; "", VLOOKUP(E670, '[2]Internal-logic'!G$1:I$364, 2, FALSE),"")</f>
        <v/>
      </c>
      <c r="G670" s="128" t="str">
        <f>IF(E670 &lt;&gt; "", VLOOKUP(E670, '[2]Internal-logic'!G$1:I$364, 3, FALSE),"")</f>
        <v/>
      </c>
      <c r="H670" s="128"/>
      <c r="I670" s="128"/>
      <c r="J670" s="128"/>
      <c r="K670" s="128"/>
      <c r="Q670" s="128"/>
      <c r="R670" s="128"/>
      <c r="S670" s="128"/>
      <c r="U670" s="128"/>
      <c r="X670" s="128"/>
      <c r="Y670" s="128"/>
      <c r="Z670" s="128"/>
      <c r="AA670" s="128"/>
      <c r="AB670" s="128"/>
      <c r="AC670" s="128"/>
      <c r="AD670" s="128"/>
      <c r="AE670" s="128"/>
      <c r="AF670" s="128"/>
      <c r="AG670" s="128"/>
      <c r="AI670" s="128"/>
      <c r="AJ670" s="128"/>
      <c r="AY670" s="128"/>
      <c r="BN670" s="128"/>
      <c r="BQ670" s="128"/>
      <c r="BR670" s="128"/>
      <c r="BT670" s="128"/>
      <c r="BV670" s="128"/>
      <c r="BX670" s="128"/>
      <c r="CU670" s="128"/>
      <c r="CW670" s="128"/>
      <c r="DN670" s="128"/>
      <c r="DP670" s="128"/>
      <c r="DR670" s="128"/>
      <c r="DV670" s="128"/>
      <c r="DX670" s="128"/>
      <c r="DY670" s="128"/>
      <c r="EA670" s="128"/>
      <c r="EB670" s="128"/>
      <c r="EC670" s="128"/>
      <c r="EG670" s="128"/>
      <c r="EL670" s="128"/>
      <c r="EM670" s="128"/>
      <c r="EO670" s="128"/>
      <c r="EQ670" s="128"/>
      <c r="ES670" s="128"/>
      <c r="EU670" s="128"/>
      <c r="EW670" s="128"/>
      <c r="EY670" s="128"/>
    </row>
    <row r="671" spans="3:155">
      <c r="C671" s="128"/>
      <c r="D671" s="128"/>
      <c r="E671" s="128"/>
      <c r="F671" s="128" t="str">
        <f>IF(E671 &lt;&gt; "", VLOOKUP(E671, '[2]Internal-logic'!G$1:I$364, 2, FALSE),"")</f>
        <v/>
      </c>
      <c r="G671" s="128" t="str">
        <f>IF(E671 &lt;&gt; "", VLOOKUP(E671, '[2]Internal-logic'!G$1:I$364, 3, FALSE),"")</f>
        <v/>
      </c>
      <c r="H671" s="128"/>
      <c r="I671" s="128"/>
      <c r="J671" s="128"/>
      <c r="K671" s="128"/>
      <c r="Q671" s="128"/>
      <c r="R671" s="128"/>
      <c r="S671" s="128"/>
      <c r="U671" s="128"/>
      <c r="X671" s="128"/>
      <c r="Y671" s="128"/>
      <c r="Z671" s="128"/>
      <c r="AA671" s="128"/>
      <c r="AB671" s="128"/>
      <c r="AC671" s="128"/>
      <c r="AD671" s="128"/>
      <c r="AE671" s="128"/>
      <c r="AF671" s="128"/>
      <c r="AG671" s="128"/>
      <c r="AI671" s="128"/>
      <c r="AJ671" s="128"/>
      <c r="AY671" s="128"/>
      <c r="BN671" s="128"/>
      <c r="BQ671" s="128"/>
      <c r="BR671" s="128"/>
      <c r="BT671" s="128"/>
      <c r="BV671" s="128"/>
      <c r="BX671" s="128"/>
      <c r="CU671" s="128"/>
      <c r="CW671" s="128"/>
      <c r="DN671" s="128"/>
      <c r="DP671" s="128"/>
      <c r="DR671" s="128"/>
      <c r="DV671" s="128"/>
      <c r="DX671" s="128"/>
      <c r="DY671" s="128"/>
      <c r="EA671" s="128"/>
      <c r="EB671" s="128"/>
      <c r="EC671" s="128"/>
      <c r="EG671" s="128"/>
      <c r="EL671" s="128"/>
      <c r="EM671" s="128"/>
      <c r="EO671" s="128"/>
      <c r="EQ671" s="128"/>
      <c r="ES671" s="128"/>
      <c r="EU671" s="128"/>
      <c r="EW671" s="128"/>
      <c r="EY671" s="128"/>
    </row>
    <row r="672" spans="3:155">
      <c r="C672" s="128"/>
      <c r="D672" s="128"/>
      <c r="E672" s="128"/>
      <c r="F672" s="128" t="str">
        <f>IF(E672 &lt;&gt; "", VLOOKUP(E672, '[2]Internal-logic'!G$1:I$364, 2, FALSE),"")</f>
        <v/>
      </c>
      <c r="G672" s="128" t="str">
        <f>IF(E672 &lt;&gt; "", VLOOKUP(E672, '[2]Internal-logic'!G$1:I$364, 3, FALSE),"")</f>
        <v/>
      </c>
      <c r="H672" s="128"/>
      <c r="I672" s="128"/>
      <c r="J672" s="128"/>
      <c r="K672" s="128"/>
      <c r="Q672" s="128"/>
      <c r="R672" s="128"/>
      <c r="S672" s="128"/>
      <c r="U672" s="128"/>
      <c r="X672" s="128"/>
      <c r="Y672" s="128"/>
      <c r="Z672" s="128"/>
      <c r="AA672" s="128"/>
      <c r="AB672" s="128"/>
      <c r="AC672" s="128"/>
      <c r="AD672" s="128"/>
      <c r="AE672" s="128"/>
      <c r="AF672" s="128"/>
      <c r="AG672" s="128"/>
      <c r="AI672" s="128"/>
      <c r="AJ672" s="128"/>
      <c r="AY672" s="128"/>
      <c r="BN672" s="128"/>
      <c r="BQ672" s="128"/>
      <c r="BR672" s="128"/>
      <c r="BT672" s="128"/>
      <c r="BV672" s="128"/>
      <c r="BX672" s="128"/>
      <c r="CU672" s="128"/>
      <c r="CW672" s="128"/>
      <c r="DN672" s="128"/>
      <c r="DP672" s="128"/>
      <c r="DR672" s="128"/>
      <c r="DV672" s="128"/>
      <c r="DX672" s="128"/>
      <c r="DY672" s="128"/>
      <c r="EA672" s="128"/>
      <c r="EB672" s="128"/>
      <c r="EC672" s="128"/>
      <c r="EG672" s="128"/>
      <c r="EL672" s="128"/>
      <c r="EM672" s="128"/>
      <c r="EO672" s="128"/>
      <c r="EQ672" s="128"/>
      <c r="ES672" s="128"/>
      <c r="EU672" s="128"/>
      <c r="EW672" s="128"/>
      <c r="EY672" s="128"/>
    </row>
    <row r="673" spans="3:155">
      <c r="C673" s="128"/>
      <c r="D673" s="128"/>
      <c r="E673" s="128"/>
      <c r="F673" s="128" t="str">
        <f>IF(E673 &lt;&gt; "", VLOOKUP(E673, '[2]Internal-logic'!G$1:I$364, 2, FALSE),"")</f>
        <v/>
      </c>
      <c r="G673" s="128" t="str">
        <f>IF(E673 &lt;&gt; "", VLOOKUP(E673, '[2]Internal-logic'!G$1:I$364, 3, FALSE),"")</f>
        <v/>
      </c>
      <c r="H673" s="128"/>
      <c r="I673" s="128"/>
      <c r="J673" s="128"/>
      <c r="K673" s="128"/>
      <c r="Q673" s="128"/>
      <c r="R673" s="128"/>
      <c r="S673" s="128"/>
      <c r="U673" s="128"/>
      <c r="X673" s="128"/>
      <c r="Y673" s="128"/>
      <c r="Z673" s="128"/>
      <c r="AA673" s="128"/>
      <c r="AB673" s="128"/>
      <c r="AC673" s="128"/>
      <c r="AD673" s="128"/>
      <c r="AE673" s="128"/>
      <c r="AF673" s="128"/>
      <c r="AG673" s="128"/>
      <c r="AI673" s="128"/>
      <c r="AJ673" s="128"/>
      <c r="AY673" s="128"/>
      <c r="BN673" s="128"/>
      <c r="BQ673" s="128"/>
      <c r="BR673" s="128"/>
      <c r="BT673" s="128"/>
      <c r="BV673" s="128"/>
      <c r="BX673" s="128"/>
      <c r="CU673" s="128"/>
      <c r="CW673" s="128"/>
      <c r="DN673" s="128"/>
      <c r="DP673" s="128"/>
      <c r="DR673" s="128"/>
      <c r="DV673" s="128"/>
      <c r="DX673" s="128"/>
      <c r="DY673" s="128"/>
      <c r="EA673" s="128"/>
      <c r="EB673" s="128"/>
      <c r="EC673" s="128"/>
      <c r="EG673" s="128"/>
      <c r="EL673" s="128"/>
      <c r="EM673" s="128"/>
      <c r="EO673" s="128"/>
      <c r="EQ673" s="128"/>
      <c r="ES673" s="128"/>
      <c r="EU673" s="128"/>
      <c r="EW673" s="128"/>
      <c r="EY673" s="128"/>
    </row>
    <row r="674" spans="3:155">
      <c r="C674" s="128"/>
      <c r="D674" s="128"/>
      <c r="E674" s="128"/>
      <c r="F674" s="128" t="str">
        <f>IF(E674 &lt;&gt; "", VLOOKUP(E674, '[2]Internal-logic'!G$1:I$364, 2, FALSE),"")</f>
        <v/>
      </c>
      <c r="G674" s="128" t="str">
        <f>IF(E674 &lt;&gt; "", VLOOKUP(E674, '[2]Internal-logic'!G$1:I$364, 3, FALSE),"")</f>
        <v/>
      </c>
      <c r="H674" s="128"/>
      <c r="I674" s="128"/>
      <c r="J674" s="128"/>
      <c r="K674" s="128"/>
      <c r="Q674" s="128"/>
      <c r="R674" s="128"/>
      <c r="S674" s="128"/>
      <c r="U674" s="128"/>
      <c r="X674" s="128"/>
      <c r="Y674" s="128"/>
      <c r="Z674" s="128"/>
      <c r="AA674" s="128"/>
      <c r="AB674" s="128"/>
      <c r="AC674" s="128"/>
      <c r="AD674" s="128"/>
      <c r="AE674" s="128"/>
      <c r="AF674" s="128"/>
      <c r="AG674" s="128"/>
      <c r="AI674" s="128"/>
      <c r="AJ674" s="128"/>
      <c r="AY674" s="128"/>
      <c r="BN674" s="128"/>
      <c r="BQ674" s="128"/>
      <c r="BR674" s="128"/>
      <c r="BT674" s="128"/>
      <c r="BV674" s="128"/>
      <c r="BX674" s="128"/>
      <c r="CU674" s="128"/>
      <c r="CW674" s="128"/>
      <c r="DN674" s="128"/>
      <c r="DP674" s="128"/>
      <c r="DR674" s="128"/>
      <c r="DV674" s="128"/>
      <c r="DX674" s="128"/>
      <c r="DY674" s="128"/>
      <c r="EA674" s="128"/>
      <c r="EB674" s="128"/>
      <c r="EC674" s="128"/>
      <c r="EG674" s="128"/>
      <c r="EL674" s="128"/>
      <c r="EM674" s="128"/>
      <c r="EO674" s="128"/>
      <c r="EQ674" s="128"/>
      <c r="ES674" s="128"/>
      <c r="EU674" s="128"/>
      <c r="EW674" s="128"/>
      <c r="EY674" s="128"/>
    </row>
    <row r="675" spans="3:155">
      <c r="C675" s="128"/>
      <c r="D675" s="128"/>
      <c r="E675" s="128"/>
      <c r="F675" s="128" t="str">
        <f>IF(E675 &lt;&gt; "", VLOOKUP(E675, '[2]Internal-logic'!G$1:I$364, 2, FALSE),"")</f>
        <v/>
      </c>
      <c r="G675" s="128" t="str">
        <f>IF(E675 &lt;&gt; "", VLOOKUP(E675, '[2]Internal-logic'!G$1:I$364, 3, FALSE),"")</f>
        <v/>
      </c>
      <c r="H675" s="128"/>
      <c r="I675" s="128"/>
      <c r="J675" s="128"/>
      <c r="K675" s="128"/>
      <c r="Q675" s="128"/>
      <c r="R675" s="128"/>
      <c r="S675" s="128"/>
      <c r="U675" s="128"/>
      <c r="X675" s="128"/>
      <c r="Y675" s="128"/>
      <c r="Z675" s="128"/>
      <c r="AA675" s="128"/>
      <c r="AB675" s="128"/>
      <c r="AC675" s="128"/>
      <c r="AD675" s="128"/>
      <c r="AE675" s="128"/>
      <c r="AF675" s="128"/>
      <c r="AG675" s="128"/>
      <c r="AI675" s="128"/>
      <c r="AJ675" s="128"/>
      <c r="AY675" s="128"/>
      <c r="BN675" s="128"/>
      <c r="BQ675" s="128"/>
      <c r="BR675" s="128"/>
      <c r="BT675" s="128"/>
      <c r="BV675" s="128"/>
      <c r="BX675" s="128"/>
      <c r="CU675" s="128"/>
      <c r="CW675" s="128"/>
      <c r="DN675" s="128"/>
      <c r="DP675" s="128"/>
      <c r="DR675" s="128"/>
      <c r="DV675" s="128"/>
      <c r="DX675" s="128"/>
      <c r="DY675" s="128"/>
      <c r="EA675" s="128"/>
      <c r="EB675" s="128"/>
      <c r="EC675" s="128"/>
      <c r="EG675" s="128"/>
      <c r="EL675" s="128"/>
      <c r="EM675" s="128"/>
      <c r="EO675" s="128"/>
      <c r="EQ675" s="128"/>
      <c r="ES675" s="128"/>
      <c r="EU675" s="128"/>
      <c r="EW675" s="128"/>
      <c r="EY675" s="128"/>
    </row>
    <row r="676" spans="3:155">
      <c r="C676" s="128"/>
      <c r="D676" s="128"/>
      <c r="E676" s="128"/>
      <c r="F676" s="128" t="str">
        <f>IF(E676 &lt;&gt; "", VLOOKUP(E676, '[2]Internal-logic'!G$1:I$364, 2, FALSE),"")</f>
        <v/>
      </c>
      <c r="G676" s="128" t="str">
        <f>IF(E676 &lt;&gt; "", VLOOKUP(E676, '[2]Internal-logic'!G$1:I$364, 3, FALSE),"")</f>
        <v/>
      </c>
      <c r="H676" s="128"/>
      <c r="I676" s="128"/>
      <c r="J676" s="128"/>
      <c r="K676" s="128"/>
      <c r="Q676" s="128"/>
      <c r="R676" s="128"/>
      <c r="S676" s="128"/>
      <c r="U676" s="128"/>
      <c r="X676" s="128"/>
      <c r="Y676" s="128"/>
      <c r="Z676" s="128"/>
      <c r="AA676" s="128"/>
      <c r="AB676" s="128"/>
      <c r="AC676" s="128"/>
      <c r="AD676" s="128"/>
      <c r="AE676" s="128"/>
      <c r="AF676" s="128"/>
      <c r="AG676" s="128"/>
      <c r="AI676" s="128"/>
      <c r="AJ676" s="128"/>
      <c r="AY676" s="128"/>
      <c r="BN676" s="128"/>
      <c r="BQ676" s="128"/>
      <c r="BR676" s="128"/>
      <c r="BT676" s="128"/>
      <c r="BV676" s="128"/>
      <c r="BX676" s="128"/>
      <c r="CU676" s="128"/>
      <c r="CW676" s="128"/>
      <c r="DN676" s="128"/>
      <c r="DP676" s="128"/>
      <c r="DR676" s="128"/>
      <c r="DV676" s="128"/>
      <c r="DX676" s="128"/>
      <c r="DY676" s="128"/>
      <c r="EA676" s="128"/>
      <c r="EB676" s="128"/>
      <c r="EC676" s="128"/>
      <c r="EG676" s="128"/>
      <c r="EL676" s="128"/>
      <c r="EM676" s="128"/>
      <c r="EO676" s="128"/>
      <c r="EQ676" s="128"/>
      <c r="ES676" s="128"/>
      <c r="EU676" s="128"/>
      <c r="EW676" s="128"/>
      <c r="EY676" s="128"/>
    </row>
    <row r="677" spans="3:155">
      <c r="C677" s="128"/>
      <c r="D677" s="128"/>
      <c r="E677" s="128"/>
      <c r="F677" s="128" t="str">
        <f>IF(E677 &lt;&gt; "", VLOOKUP(E677, '[2]Internal-logic'!G$1:I$364, 2, FALSE),"")</f>
        <v/>
      </c>
      <c r="G677" s="128" t="str">
        <f>IF(E677 &lt;&gt; "", VLOOKUP(E677, '[2]Internal-logic'!G$1:I$364, 3, FALSE),"")</f>
        <v/>
      </c>
      <c r="H677" s="128"/>
      <c r="I677" s="128"/>
      <c r="J677" s="128"/>
      <c r="K677" s="128"/>
      <c r="Q677" s="128"/>
      <c r="R677" s="128"/>
      <c r="S677" s="128"/>
      <c r="U677" s="128"/>
      <c r="X677" s="128"/>
      <c r="Y677" s="128"/>
      <c r="Z677" s="128"/>
      <c r="AA677" s="128"/>
      <c r="AB677" s="128"/>
      <c r="AC677" s="128"/>
      <c r="AD677" s="128"/>
      <c r="AE677" s="128"/>
      <c r="AF677" s="128"/>
      <c r="AG677" s="128"/>
      <c r="AI677" s="128"/>
      <c r="AJ677" s="128"/>
      <c r="AY677" s="128"/>
      <c r="BN677" s="128"/>
      <c r="BQ677" s="128"/>
      <c r="BR677" s="128"/>
      <c r="BT677" s="128"/>
      <c r="BV677" s="128"/>
      <c r="BX677" s="128"/>
      <c r="CU677" s="128"/>
      <c r="CW677" s="128"/>
      <c r="DN677" s="128"/>
      <c r="DP677" s="128"/>
      <c r="DR677" s="128"/>
      <c r="DV677" s="128"/>
      <c r="DX677" s="128"/>
      <c r="DY677" s="128"/>
      <c r="EA677" s="128"/>
      <c r="EB677" s="128"/>
      <c r="EC677" s="128"/>
      <c r="EG677" s="128"/>
      <c r="EL677" s="128"/>
      <c r="EM677" s="128"/>
      <c r="EO677" s="128"/>
      <c r="EQ677" s="128"/>
      <c r="ES677" s="128"/>
      <c r="EU677" s="128"/>
      <c r="EW677" s="128"/>
      <c r="EY677" s="128"/>
    </row>
    <row r="678" spans="3:155">
      <c r="C678" s="128"/>
      <c r="D678" s="128"/>
      <c r="E678" s="128"/>
      <c r="F678" s="128" t="str">
        <f>IF(E678 &lt;&gt; "", VLOOKUP(E678, '[2]Internal-logic'!G$1:I$364, 2, FALSE),"")</f>
        <v/>
      </c>
      <c r="G678" s="128" t="str">
        <f>IF(E678 &lt;&gt; "", VLOOKUP(E678, '[2]Internal-logic'!G$1:I$364, 3, FALSE),"")</f>
        <v/>
      </c>
      <c r="H678" s="128"/>
      <c r="I678" s="128"/>
      <c r="J678" s="128"/>
      <c r="K678" s="128"/>
      <c r="Q678" s="128"/>
      <c r="R678" s="128"/>
      <c r="S678" s="128"/>
      <c r="U678" s="128"/>
      <c r="X678" s="128"/>
      <c r="Y678" s="128"/>
      <c r="Z678" s="128"/>
      <c r="AA678" s="128"/>
      <c r="AB678" s="128"/>
      <c r="AC678" s="128"/>
      <c r="AD678" s="128"/>
      <c r="AE678" s="128"/>
      <c r="AF678" s="128"/>
      <c r="AG678" s="128"/>
      <c r="AI678" s="128"/>
      <c r="AJ678" s="128"/>
      <c r="AY678" s="128"/>
      <c r="BN678" s="128"/>
      <c r="BQ678" s="128"/>
      <c r="BR678" s="128"/>
      <c r="BT678" s="128"/>
      <c r="BV678" s="128"/>
      <c r="BX678" s="128"/>
      <c r="CU678" s="128"/>
      <c r="CW678" s="128"/>
      <c r="DN678" s="128"/>
      <c r="DP678" s="128"/>
      <c r="DR678" s="128"/>
      <c r="DV678" s="128"/>
      <c r="DX678" s="128"/>
      <c r="DY678" s="128"/>
      <c r="EA678" s="128"/>
      <c r="EB678" s="128"/>
      <c r="EC678" s="128"/>
      <c r="EG678" s="128"/>
      <c r="EL678" s="128"/>
      <c r="EM678" s="128"/>
      <c r="EO678" s="128"/>
      <c r="EQ678" s="128"/>
      <c r="ES678" s="128"/>
      <c r="EU678" s="128"/>
      <c r="EW678" s="128"/>
      <c r="EY678" s="128"/>
    </row>
    <row r="679" spans="3:155">
      <c r="C679" s="128"/>
      <c r="D679" s="128"/>
      <c r="E679" s="128"/>
      <c r="F679" s="128" t="str">
        <f>IF(E679 &lt;&gt; "", VLOOKUP(E679, '[2]Internal-logic'!G$1:I$364, 2, FALSE),"")</f>
        <v/>
      </c>
      <c r="G679" s="128" t="str">
        <f>IF(E679 &lt;&gt; "", VLOOKUP(E679, '[2]Internal-logic'!G$1:I$364, 3, FALSE),"")</f>
        <v/>
      </c>
      <c r="H679" s="128"/>
      <c r="I679" s="128"/>
      <c r="J679" s="128"/>
      <c r="K679" s="128"/>
      <c r="Q679" s="128"/>
      <c r="R679" s="128"/>
      <c r="S679" s="128"/>
      <c r="U679" s="128"/>
      <c r="X679" s="128"/>
      <c r="Y679" s="128"/>
      <c r="Z679" s="128"/>
      <c r="AA679" s="128"/>
      <c r="AB679" s="128"/>
      <c r="AC679" s="128"/>
      <c r="AD679" s="128"/>
      <c r="AE679" s="128"/>
      <c r="AF679" s="128"/>
      <c r="AG679" s="128"/>
      <c r="AI679" s="128"/>
      <c r="AJ679" s="128"/>
      <c r="AY679" s="128"/>
      <c r="BN679" s="128"/>
      <c r="BQ679" s="128"/>
      <c r="BR679" s="128"/>
      <c r="BT679" s="128"/>
      <c r="BV679" s="128"/>
      <c r="BX679" s="128"/>
      <c r="CU679" s="128"/>
      <c r="CW679" s="128"/>
      <c r="DN679" s="128"/>
      <c r="DP679" s="128"/>
      <c r="DR679" s="128"/>
      <c r="DV679" s="128"/>
      <c r="DX679" s="128"/>
      <c r="DY679" s="128"/>
      <c r="EA679" s="128"/>
      <c r="EB679" s="128"/>
      <c r="EC679" s="128"/>
      <c r="EG679" s="128"/>
      <c r="EL679" s="128"/>
      <c r="EM679" s="128"/>
      <c r="EO679" s="128"/>
      <c r="EQ679" s="128"/>
      <c r="ES679" s="128"/>
      <c r="EU679" s="128"/>
      <c r="EW679" s="128"/>
      <c r="EY679" s="128"/>
    </row>
    <row r="680" spans="3:155">
      <c r="C680" s="128"/>
      <c r="D680" s="128"/>
      <c r="E680" s="128"/>
      <c r="F680" s="128" t="str">
        <f>IF(E680 &lt;&gt; "", VLOOKUP(E680, '[2]Internal-logic'!G$1:I$364, 2, FALSE),"")</f>
        <v/>
      </c>
      <c r="G680" s="128" t="str">
        <f>IF(E680 &lt;&gt; "", VLOOKUP(E680, '[2]Internal-logic'!G$1:I$364, 3, FALSE),"")</f>
        <v/>
      </c>
      <c r="H680" s="128"/>
      <c r="I680" s="128"/>
      <c r="J680" s="128"/>
      <c r="K680" s="128"/>
      <c r="Q680" s="128"/>
      <c r="R680" s="128"/>
      <c r="S680" s="128"/>
      <c r="U680" s="128"/>
      <c r="X680" s="128"/>
      <c r="Y680" s="128"/>
      <c r="Z680" s="128"/>
      <c r="AA680" s="128"/>
      <c r="AB680" s="128"/>
      <c r="AC680" s="128"/>
      <c r="AD680" s="128"/>
      <c r="AE680" s="128"/>
      <c r="AF680" s="128"/>
      <c r="AG680" s="128"/>
      <c r="AI680" s="128"/>
      <c r="AJ680" s="128"/>
      <c r="AY680" s="128"/>
      <c r="BN680" s="128"/>
      <c r="BQ680" s="128"/>
      <c r="BR680" s="128"/>
      <c r="BT680" s="128"/>
      <c r="BV680" s="128"/>
      <c r="BX680" s="128"/>
      <c r="CU680" s="128"/>
      <c r="CW680" s="128"/>
      <c r="DN680" s="128"/>
      <c r="DP680" s="128"/>
      <c r="DR680" s="128"/>
      <c r="DV680" s="128"/>
      <c r="DX680" s="128"/>
      <c r="DY680" s="128"/>
      <c r="EA680" s="128"/>
      <c r="EB680" s="128"/>
      <c r="EC680" s="128"/>
      <c r="EG680" s="128"/>
      <c r="EL680" s="128"/>
      <c r="EM680" s="128"/>
      <c r="EO680" s="128"/>
      <c r="EQ680" s="128"/>
      <c r="ES680" s="128"/>
      <c r="EU680" s="128"/>
      <c r="EW680" s="128"/>
      <c r="EY680" s="128"/>
    </row>
    <row r="681" spans="3:155">
      <c r="C681" s="128"/>
      <c r="D681" s="128"/>
      <c r="E681" s="128"/>
      <c r="F681" s="128" t="str">
        <f>IF(E681 &lt;&gt; "", VLOOKUP(E681, '[2]Internal-logic'!G$1:I$364, 2, FALSE),"")</f>
        <v/>
      </c>
      <c r="G681" s="128" t="str">
        <f>IF(E681 &lt;&gt; "", VLOOKUP(E681, '[2]Internal-logic'!G$1:I$364, 3, FALSE),"")</f>
        <v/>
      </c>
      <c r="H681" s="128"/>
      <c r="I681" s="128"/>
      <c r="J681" s="128"/>
      <c r="K681" s="128"/>
      <c r="Q681" s="128"/>
      <c r="R681" s="128"/>
      <c r="S681" s="128"/>
      <c r="U681" s="128"/>
      <c r="X681" s="128"/>
      <c r="Y681" s="128"/>
      <c r="Z681" s="128"/>
      <c r="AA681" s="128"/>
      <c r="AB681" s="128"/>
      <c r="AC681" s="128"/>
      <c r="AD681" s="128"/>
      <c r="AE681" s="128"/>
      <c r="AF681" s="128"/>
      <c r="AG681" s="128"/>
      <c r="AI681" s="128"/>
      <c r="AJ681" s="128"/>
      <c r="AY681" s="128"/>
      <c r="BN681" s="128"/>
      <c r="BQ681" s="128"/>
      <c r="BR681" s="128"/>
      <c r="BT681" s="128"/>
      <c r="BV681" s="128"/>
      <c r="BX681" s="128"/>
      <c r="CU681" s="128"/>
      <c r="CW681" s="128"/>
      <c r="DN681" s="128"/>
      <c r="DP681" s="128"/>
      <c r="DR681" s="128"/>
      <c r="DV681" s="128"/>
      <c r="DX681" s="128"/>
      <c r="DY681" s="128"/>
      <c r="EA681" s="128"/>
      <c r="EB681" s="128"/>
      <c r="EC681" s="128"/>
      <c r="EG681" s="128"/>
      <c r="EL681" s="128"/>
      <c r="EM681" s="128"/>
      <c r="EO681" s="128"/>
      <c r="EQ681" s="128"/>
      <c r="ES681" s="128"/>
      <c r="EU681" s="128"/>
      <c r="EW681" s="128"/>
      <c r="EY681" s="128"/>
    </row>
    <row r="682" spans="3:155">
      <c r="C682" s="128"/>
      <c r="D682" s="128"/>
      <c r="E682" s="128"/>
      <c r="F682" s="128" t="str">
        <f>IF(E682 &lt;&gt; "", VLOOKUP(E682, '[2]Internal-logic'!G$1:I$364, 2, FALSE),"")</f>
        <v/>
      </c>
      <c r="G682" s="128" t="str">
        <f>IF(E682 &lt;&gt; "", VLOOKUP(E682, '[2]Internal-logic'!G$1:I$364, 3, FALSE),"")</f>
        <v/>
      </c>
      <c r="H682" s="128"/>
      <c r="I682" s="128"/>
      <c r="J682" s="128"/>
      <c r="K682" s="128"/>
      <c r="Q682" s="128"/>
      <c r="R682" s="128"/>
      <c r="S682" s="128"/>
      <c r="U682" s="128"/>
      <c r="X682" s="128"/>
      <c r="Y682" s="128"/>
      <c r="Z682" s="128"/>
      <c r="AA682" s="128"/>
      <c r="AB682" s="128"/>
      <c r="AC682" s="128"/>
      <c r="AD682" s="128"/>
      <c r="AE682" s="128"/>
      <c r="AF682" s="128"/>
      <c r="AG682" s="128"/>
      <c r="AI682" s="128"/>
      <c r="AJ682" s="128"/>
      <c r="AY682" s="128"/>
      <c r="BN682" s="128"/>
      <c r="BQ682" s="128"/>
      <c r="BR682" s="128"/>
      <c r="BT682" s="128"/>
      <c r="BV682" s="128"/>
      <c r="BX682" s="128"/>
      <c r="CU682" s="128"/>
      <c r="CW682" s="128"/>
      <c r="DN682" s="128"/>
      <c r="DP682" s="128"/>
      <c r="DR682" s="128"/>
      <c r="DV682" s="128"/>
      <c r="DX682" s="128"/>
      <c r="DY682" s="128"/>
      <c r="EA682" s="128"/>
      <c r="EB682" s="128"/>
      <c r="EC682" s="128"/>
      <c r="EG682" s="128"/>
      <c r="EL682" s="128"/>
      <c r="EM682" s="128"/>
      <c r="EO682" s="128"/>
      <c r="EQ682" s="128"/>
      <c r="ES682" s="128"/>
      <c r="EU682" s="128"/>
      <c r="EW682" s="128"/>
      <c r="EY682" s="128"/>
    </row>
    <row r="683" spans="3:155">
      <c r="C683" s="128"/>
      <c r="D683" s="128"/>
      <c r="E683" s="128"/>
      <c r="F683" s="128" t="str">
        <f>IF(E683 &lt;&gt; "", VLOOKUP(E683, '[2]Internal-logic'!G$1:I$364, 2, FALSE),"")</f>
        <v/>
      </c>
      <c r="G683" s="128" t="str">
        <f>IF(E683 &lt;&gt; "", VLOOKUP(E683, '[2]Internal-logic'!G$1:I$364, 3, FALSE),"")</f>
        <v/>
      </c>
      <c r="H683" s="128"/>
      <c r="I683" s="128"/>
      <c r="J683" s="128"/>
      <c r="K683" s="128"/>
      <c r="Q683" s="128"/>
      <c r="R683" s="128"/>
      <c r="S683" s="128"/>
      <c r="U683" s="128"/>
      <c r="X683" s="128"/>
      <c r="Y683" s="128"/>
      <c r="Z683" s="128"/>
      <c r="AA683" s="128"/>
      <c r="AB683" s="128"/>
      <c r="AC683" s="128"/>
      <c r="AD683" s="128"/>
      <c r="AE683" s="128"/>
      <c r="AF683" s="128"/>
      <c r="AG683" s="128"/>
      <c r="AI683" s="128"/>
      <c r="AJ683" s="128"/>
      <c r="AY683" s="128"/>
      <c r="BN683" s="128"/>
      <c r="BQ683" s="128"/>
      <c r="BR683" s="128"/>
      <c r="BT683" s="128"/>
      <c r="BV683" s="128"/>
      <c r="BX683" s="128"/>
      <c r="CU683" s="128"/>
      <c r="CW683" s="128"/>
      <c r="DN683" s="128"/>
      <c r="DP683" s="128"/>
      <c r="DR683" s="128"/>
      <c r="DV683" s="128"/>
      <c r="DX683" s="128"/>
      <c r="DY683" s="128"/>
      <c r="EA683" s="128"/>
      <c r="EB683" s="128"/>
      <c r="EC683" s="128"/>
      <c r="EG683" s="128"/>
      <c r="EL683" s="128"/>
      <c r="EM683" s="128"/>
      <c r="EO683" s="128"/>
      <c r="EQ683" s="128"/>
      <c r="ES683" s="128"/>
      <c r="EU683" s="128"/>
      <c r="EW683" s="128"/>
      <c r="EY683" s="128"/>
    </row>
    <row r="684" spans="3:155">
      <c r="C684" s="128"/>
      <c r="D684" s="128"/>
      <c r="E684" s="128"/>
      <c r="F684" s="128" t="str">
        <f>IF(E684 &lt;&gt; "", VLOOKUP(E684, '[2]Internal-logic'!G$1:I$364, 2, FALSE),"")</f>
        <v/>
      </c>
      <c r="G684" s="128" t="str">
        <f>IF(E684 &lt;&gt; "", VLOOKUP(E684, '[2]Internal-logic'!G$1:I$364, 3, FALSE),"")</f>
        <v/>
      </c>
      <c r="H684" s="128"/>
      <c r="I684" s="128"/>
      <c r="J684" s="128"/>
      <c r="K684" s="128"/>
      <c r="Q684" s="128"/>
      <c r="R684" s="128"/>
      <c r="S684" s="128"/>
      <c r="U684" s="128"/>
      <c r="X684" s="128"/>
      <c r="Y684" s="128"/>
      <c r="Z684" s="128"/>
      <c r="AA684" s="128"/>
      <c r="AB684" s="128"/>
      <c r="AC684" s="128"/>
      <c r="AD684" s="128"/>
      <c r="AE684" s="128"/>
      <c r="AF684" s="128"/>
      <c r="AG684" s="128"/>
      <c r="AI684" s="128"/>
      <c r="AJ684" s="128"/>
      <c r="AY684" s="128"/>
      <c r="BN684" s="128"/>
      <c r="BQ684" s="128"/>
      <c r="BR684" s="128"/>
      <c r="BT684" s="128"/>
      <c r="BV684" s="128"/>
      <c r="BX684" s="128"/>
      <c r="CU684" s="128"/>
      <c r="CW684" s="128"/>
      <c r="DN684" s="128"/>
      <c r="DP684" s="128"/>
      <c r="DR684" s="128"/>
      <c r="DV684" s="128"/>
      <c r="DX684" s="128"/>
      <c r="DY684" s="128"/>
      <c r="EA684" s="128"/>
      <c r="EB684" s="128"/>
      <c r="EC684" s="128"/>
      <c r="EG684" s="128"/>
      <c r="EL684" s="128"/>
      <c r="EM684" s="128"/>
      <c r="EO684" s="128"/>
      <c r="EQ684" s="128"/>
      <c r="ES684" s="128"/>
      <c r="EU684" s="128"/>
      <c r="EW684" s="128"/>
      <c r="EY684" s="128"/>
    </row>
    <row r="685" spans="3:155">
      <c r="C685" s="128"/>
      <c r="D685" s="128"/>
      <c r="E685" s="128"/>
      <c r="F685" s="128" t="str">
        <f>IF(E685 &lt;&gt; "", VLOOKUP(E685, '[2]Internal-logic'!G$1:I$364, 2, FALSE),"")</f>
        <v/>
      </c>
      <c r="G685" s="128" t="str">
        <f>IF(E685 &lt;&gt; "", VLOOKUP(E685, '[2]Internal-logic'!G$1:I$364, 3, FALSE),"")</f>
        <v/>
      </c>
      <c r="H685" s="128"/>
      <c r="I685" s="128"/>
      <c r="J685" s="128"/>
      <c r="K685" s="128"/>
      <c r="Q685" s="128"/>
      <c r="R685" s="128"/>
      <c r="S685" s="128"/>
      <c r="U685" s="128"/>
      <c r="X685" s="128"/>
      <c r="Y685" s="128"/>
      <c r="Z685" s="128"/>
      <c r="AA685" s="128"/>
      <c r="AB685" s="128"/>
      <c r="AC685" s="128"/>
      <c r="AD685" s="128"/>
      <c r="AE685" s="128"/>
      <c r="AF685" s="128"/>
      <c r="AG685" s="128"/>
      <c r="AI685" s="128"/>
      <c r="AJ685" s="128"/>
      <c r="AY685" s="128"/>
      <c r="BN685" s="128"/>
      <c r="BQ685" s="128"/>
      <c r="BR685" s="128"/>
      <c r="BT685" s="128"/>
      <c r="BV685" s="128"/>
      <c r="BX685" s="128"/>
      <c r="CU685" s="128"/>
      <c r="CW685" s="128"/>
      <c r="DN685" s="128"/>
      <c r="DP685" s="128"/>
      <c r="DR685" s="128"/>
      <c r="DV685" s="128"/>
      <c r="DX685" s="128"/>
      <c r="DY685" s="128"/>
      <c r="EA685" s="128"/>
      <c r="EB685" s="128"/>
      <c r="EC685" s="128"/>
      <c r="EG685" s="128"/>
      <c r="EL685" s="128"/>
      <c r="EM685" s="128"/>
      <c r="EO685" s="128"/>
      <c r="EQ685" s="128"/>
      <c r="ES685" s="128"/>
      <c r="EU685" s="128"/>
      <c r="EW685" s="128"/>
      <c r="EY685" s="128"/>
    </row>
    <row r="686" spans="3:155">
      <c r="C686" s="128"/>
      <c r="D686" s="128"/>
      <c r="E686" s="128"/>
      <c r="F686" s="128" t="str">
        <f>IF(E686 &lt;&gt; "", VLOOKUP(E686, '[2]Internal-logic'!G$1:I$364, 2, FALSE),"")</f>
        <v/>
      </c>
      <c r="G686" s="128" t="str">
        <f>IF(E686 &lt;&gt; "", VLOOKUP(E686, '[2]Internal-logic'!G$1:I$364, 3, FALSE),"")</f>
        <v/>
      </c>
      <c r="H686" s="128"/>
      <c r="I686" s="128"/>
      <c r="J686" s="128"/>
      <c r="K686" s="128"/>
      <c r="Q686" s="128"/>
      <c r="R686" s="128"/>
      <c r="S686" s="128"/>
      <c r="U686" s="128"/>
      <c r="X686" s="128"/>
      <c r="Y686" s="128"/>
      <c r="Z686" s="128"/>
      <c r="AA686" s="128"/>
      <c r="AB686" s="128"/>
      <c r="AC686" s="128"/>
      <c r="AD686" s="128"/>
      <c r="AE686" s="128"/>
      <c r="AF686" s="128"/>
      <c r="AG686" s="128"/>
      <c r="AI686" s="128"/>
      <c r="AJ686" s="128"/>
      <c r="AY686" s="128"/>
      <c r="BN686" s="128"/>
      <c r="BQ686" s="128"/>
      <c r="BR686" s="128"/>
      <c r="BT686" s="128"/>
      <c r="BV686" s="128"/>
      <c r="BX686" s="128"/>
      <c r="CU686" s="128"/>
      <c r="CW686" s="128"/>
      <c r="DN686" s="128"/>
      <c r="DP686" s="128"/>
      <c r="DR686" s="128"/>
      <c r="DV686" s="128"/>
      <c r="DX686" s="128"/>
      <c r="DY686" s="128"/>
      <c r="EA686" s="128"/>
      <c r="EB686" s="128"/>
      <c r="EC686" s="128"/>
      <c r="EG686" s="128"/>
      <c r="EL686" s="128"/>
      <c r="EM686" s="128"/>
      <c r="EO686" s="128"/>
      <c r="EQ686" s="128"/>
      <c r="ES686" s="128"/>
      <c r="EU686" s="128"/>
      <c r="EW686" s="128"/>
      <c r="EY686" s="128"/>
    </row>
    <row r="687" spans="3:155">
      <c r="C687" s="128"/>
      <c r="D687" s="128"/>
      <c r="E687" s="128"/>
      <c r="F687" s="128" t="str">
        <f>IF(E687 &lt;&gt; "", VLOOKUP(E687, '[2]Internal-logic'!G$1:I$364, 2, FALSE),"")</f>
        <v/>
      </c>
      <c r="G687" s="128" t="str">
        <f>IF(E687 &lt;&gt; "", VLOOKUP(E687, '[2]Internal-logic'!G$1:I$364, 3, FALSE),"")</f>
        <v/>
      </c>
      <c r="H687" s="128"/>
      <c r="I687" s="128"/>
      <c r="J687" s="128"/>
      <c r="K687" s="128"/>
      <c r="Q687" s="128"/>
      <c r="R687" s="128"/>
      <c r="S687" s="128"/>
      <c r="U687" s="128"/>
      <c r="X687" s="128"/>
      <c r="Y687" s="128"/>
      <c r="Z687" s="128"/>
      <c r="AA687" s="128"/>
      <c r="AB687" s="128"/>
      <c r="AC687" s="128"/>
      <c r="AD687" s="128"/>
      <c r="AE687" s="128"/>
      <c r="AF687" s="128"/>
      <c r="AG687" s="128"/>
      <c r="AI687" s="128"/>
      <c r="AJ687" s="128"/>
      <c r="AY687" s="128"/>
      <c r="BN687" s="128"/>
      <c r="BQ687" s="128"/>
      <c r="BR687" s="128"/>
      <c r="BT687" s="128"/>
      <c r="BV687" s="128"/>
      <c r="BX687" s="128"/>
      <c r="CU687" s="128"/>
      <c r="CW687" s="128"/>
      <c r="DN687" s="128"/>
      <c r="DP687" s="128"/>
      <c r="DR687" s="128"/>
      <c r="DV687" s="128"/>
      <c r="DX687" s="128"/>
      <c r="DY687" s="128"/>
      <c r="EA687" s="128"/>
      <c r="EB687" s="128"/>
      <c r="EC687" s="128"/>
      <c r="EG687" s="128"/>
      <c r="EL687" s="128"/>
      <c r="EM687" s="128"/>
      <c r="EO687" s="128"/>
      <c r="EQ687" s="128"/>
      <c r="ES687" s="128"/>
      <c r="EU687" s="128"/>
      <c r="EW687" s="128"/>
      <c r="EY687" s="128"/>
    </row>
    <row r="688" spans="3:155">
      <c r="C688" s="128"/>
      <c r="D688" s="128"/>
      <c r="E688" s="128"/>
      <c r="F688" s="128" t="str">
        <f>IF(E688 &lt;&gt; "", VLOOKUP(E688, '[2]Internal-logic'!G$1:I$364, 2, FALSE),"")</f>
        <v/>
      </c>
      <c r="G688" s="128" t="str">
        <f>IF(E688 &lt;&gt; "", VLOOKUP(E688, '[2]Internal-logic'!G$1:I$364, 3, FALSE),"")</f>
        <v/>
      </c>
      <c r="H688" s="128"/>
      <c r="I688" s="128"/>
      <c r="J688" s="128"/>
      <c r="K688" s="128"/>
      <c r="Q688" s="128"/>
      <c r="R688" s="128"/>
      <c r="S688" s="128"/>
      <c r="U688" s="128"/>
      <c r="X688" s="128"/>
      <c r="Y688" s="128"/>
      <c r="Z688" s="128"/>
      <c r="AA688" s="128"/>
      <c r="AB688" s="128"/>
      <c r="AC688" s="128"/>
      <c r="AD688" s="128"/>
      <c r="AE688" s="128"/>
      <c r="AF688" s="128"/>
      <c r="AG688" s="128"/>
      <c r="AI688" s="128"/>
      <c r="AJ688" s="128"/>
      <c r="AY688" s="128"/>
      <c r="BN688" s="128"/>
      <c r="BQ688" s="128"/>
      <c r="BR688" s="128"/>
      <c r="BT688" s="128"/>
      <c r="BV688" s="128"/>
      <c r="BX688" s="128"/>
      <c r="CU688" s="128"/>
      <c r="CW688" s="128"/>
      <c r="DN688" s="128"/>
      <c r="DP688" s="128"/>
      <c r="DR688" s="128"/>
      <c r="DV688" s="128"/>
      <c r="DX688" s="128"/>
      <c r="DY688" s="128"/>
      <c r="EA688" s="128"/>
      <c r="EB688" s="128"/>
      <c r="EC688" s="128"/>
      <c r="EG688" s="128"/>
      <c r="EL688" s="128"/>
      <c r="EM688" s="128"/>
      <c r="EO688" s="128"/>
      <c r="EQ688" s="128"/>
      <c r="ES688" s="128"/>
      <c r="EU688" s="128"/>
      <c r="EW688" s="128"/>
      <c r="EY688" s="128"/>
    </row>
    <row r="689" spans="3:155">
      <c r="C689" s="128"/>
      <c r="D689" s="128"/>
      <c r="E689" s="128"/>
      <c r="F689" s="128" t="str">
        <f>IF(E689 &lt;&gt; "", VLOOKUP(E689, '[2]Internal-logic'!G$1:I$364, 2, FALSE),"")</f>
        <v/>
      </c>
      <c r="G689" s="128" t="str">
        <f>IF(E689 &lt;&gt; "", VLOOKUP(E689, '[2]Internal-logic'!G$1:I$364, 3, FALSE),"")</f>
        <v/>
      </c>
      <c r="H689" s="128"/>
      <c r="I689" s="128"/>
      <c r="J689" s="128"/>
      <c r="K689" s="128"/>
      <c r="Q689" s="128"/>
      <c r="R689" s="128"/>
      <c r="S689" s="128"/>
      <c r="U689" s="128"/>
      <c r="X689" s="128"/>
      <c r="Y689" s="128"/>
      <c r="Z689" s="128"/>
      <c r="AA689" s="128"/>
      <c r="AB689" s="128"/>
      <c r="AC689" s="128"/>
      <c r="AD689" s="128"/>
      <c r="AE689" s="128"/>
      <c r="AF689" s="128"/>
      <c r="AG689" s="128"/>
      <c r="AI689" s="128"/>
      <c r="AJ689" s="128"/>
      <c r="AY689" s="128"/>
      <c r="BN689" s="128"/>
      <c r="BQ689" s="128"/>
      <c r="BR689" s="128"/>
      <c r="BT689" s="128"/>
      <c r="BV689" s="128"/>
      <c r="BX689" s="128"/>
      <c r="CU689" s="128"/>
      <c r="CW689" s="128"/>
      <c r="DN689" s="128"/>
      <c r="DP689" s="128"/>
      <c r="DR689" s="128"/>
      <c r="DV689" s="128"/>
      <c r="DX689" s="128"/>
      <c r="DY689" s="128"/>
      <c r="EA689" s="128"/>
      <c r="EB689" s="128"/>
      <c r="EC689" s="128"/>
      <c r="EG689" s="128"/>
      <c r="EL689" s="128"/>
      <c r="EM689" s="128"/>
      <c r="EO689" s="128"/>
      <c r="EQ689" s="128"/>
      <c r="ES689" s="128"/>
      <c r="EU689" s="128"/>
      <c r="EW689" s="128"/>
      <c r="EY689" s="128"/>
    </row>
    <row r="690" spans="3:155">
      <c r="C690" s="128"/>
      <c r="D690" s="128"/>
      <c r="E690" s="128"/>
      <c r="F690" s="128" t="str">
        <f>IF(E690 &lt;&gt; "", VLOOKUP(E690, '[2]Internal-logic'!G$1:I$364, 2, FALSE),"")</f>
        <v/>
      </c>
      <c r="G690" s="128" t="str">
        <f>IF(E690 &lt;&gt; "", VLOOKUP(E690, '[2]Internal-logic'!G$1:I$364, 3, FALSE),"")</f>
        <v/>
      </c>
      <c r="H690" s="128"/>
      <c r="I690" s="128"/>
      <c r="J690" s="128"/>
      <c r="K690" s="128"/>
      <c r="Q690" s="128"/>
      <c r="R690" s="128"/>
      <c r="S690" s="128"/>
      <c r="U690" s="128"/>
      <c r="X690" s="128"/>
      <c r="Y690" s="128"/>
      <c r="Z690" s="128"/>
      <c r="AA690" s="128"/>
      <c r="AB690" s="128"/>
      <c r="AC690" s="128"/>
      <c r="AD690" s="128"/>
      <c r="AE690" s="128"/>
      <c r="AF690" s="128"/>
      <c r="AG690" s="128"/>
      <c r="AI690" s="128"/>
      <c r="AJ690" s="128"/>
      <c r="AY690" s="128"/>
      <c r="BN690" s="128"/>
      <c r="BQ690" s="128"/>
      <c r="BR690" s="128"/>
      <c r="BT690" s="128"/>
      <c r="BV690" s="128"/>
      <c r="BX690" s="128"/>
      <c r="CU690" s="128"/>
      <c r="CW690" s="128"/>
      <c r="DN690" s="128"/>
      <c r="DP690" s="128"/>
      <c r="DR690" s="128"/>
      <c r="DV690" s="128"/>
      <c r="DX690" s="128"/>
      <c r="DY690" s="128"/>
      <c r="EA690" s="128"/>
      <c r="EB690" s="128"/>
      <c r="EC690" s="128"/>
      <c r="EG690" s="128"/>
      <c r="EL690" s="128"/>
      <c r="EM690" s="128"/>
      <c r="EO690" s="128"/>
      <c r="EQ690" s="128"/>
      <c r="ES690" s="128"/>
      <c r="EU690" s="128"/>
      <c r="EW690" s="128"/>
      <c r="EY690" s="128"/>
    </row>
    <row r="691" spans="3:155">
      <c r="C691" s="128"/>
      <c r="D691" s="128"/>
      <c r="E691" s="128"/>
      <c r="F691" s="128" t="str">
        <f>IF(E691 &lt;&gt; "", VLOOKUP(E691, '[2]Internal-logic'!G$1:I$364, 2, FALSE),"")</f>
        <v/>
      </c>
      <c r="G691" s="128" t="str">
        <f>IF(E691 &lt;&gt; "", VLOOKUP(E691, '[2]Internal-logic'!G$1:I$364, 3, FALSE),"")</f>
        <v/>
      </c>
      <c r="H691" s="128"/>
      <c r="I691" s="128"/>
      <c r="J691" s="128"/>
      <c r="K691" s="128"/>
      <c r="Q691" s="128"/>
      <c r="R691" s="128"/>
      <c r="S691" s="128"/>
      <c r="U691" s="128"/>
      <c r="X691" s="128"/>
      <c r="Y691" s="128"/>
      <c r="Z691" s="128"/>
      <c r="AA691" s="128"/>
      <c r="AB691" s="128"/>
      <c r="AC691" s="128"/>
      <c r="AD691" s="128"/>
      <c r="AE691" s="128"/>
      <c r="AF691" s="128"/>
      <c r="AG691" s="128"/>
      <c r="AI691" s="128"/>
      <c r="AJ691" s="128"/>
      <c r="AY691" s="128"/>
      <c r="BN691" s="128"/>
      <c r="BQ691" s="128"/>
      <c r="BR691" s="128"/>
      <c r="BT691" s="128"/>
      <c r="BV691" s="128"/>
      <c r="BX691" s="128"/>
      <c r="CU691" s="128"/>
      <c r="CW691" s="128"/>
      <c r="DN691" s="128"/>
      <c r="DP691" s="128"/>
      <c r="DR691" s="128"/>
      <c r="DV691" s="128"/>
      <c r="DX691" s="128"/>
      <c r="DY691" s="128"/>
      <c r="EA691" s="128"/>
      <c r="EB691" s="128"/>
      <c r="EC691" s="128"/>
      <c r="EG691" s="128"/>
      <c r="EL691" s="128"/>
      <c r="EM691" s="128"/>
      <c r="EO691" s="128"/>
      <c r="EQ691" s="128"/>
      <c r="ES691" s="128"/>
      <c r="EU691" s="128"/>
      <c r="EW691" s="128"/>
      <c r="EY691" s="128"/>
    </row>
    <row r="692" spans="3:155">
      <c r="C692" s="128"/>
      <c r="D692" s="128"/>
      <c r="E692" s="128"/>
      <c r="F692" s="128" t="str">
        <f>IF(E692 &lt;&gt; "", VLOOKUP(E692, '[2]Internal-logic'!G$1:I$364, 2, FALSE),"")</f>
        <v/>
      </c>
      <c r="G692" s="128" t="str">
        <f>IF(E692 &lt;&gt; "", VLOOKUP(E692, '[2]Internal-logic'!G$1:I$364, 3, FALSE),"")</f>
        <v/>
      </c>
      <c r="H692" s="128"/>
      <c r="I692" s="128"/>
      <c r="J692" s="128"/>
      <c r="K692" s="128"/>
      <c r="Q692" s="128"/>
      <c r="R692" s="128"/>
      <c r="S692" s="128"/>
      <c r="U692" s="128"/>
      <c r="X692" s="128"/>
      <c r="Y692" s="128"/>
      <c r="Z692" s="128"/>
      <c r="AA692" s="128"/>
      <c r="AB692" s="128"/>
      <c r="AC692" s="128"/>
      <c r="AD692" s="128"/>
      <c r="AE692" s="128"/>
      <c r="AF692" s="128"/>
      <c r="AG692" s="128"/>
      <c r="AI692" s="128"/>
      <c r="AJ692" s="128"/>
      <c r="AY692" s="128"/>
      <c r="BN692" s="128"/>
      <c r="BQ692" s="128"/>
      <c r="BR692" s="128"/>
      <c r="BT692" s="128"/>
      <c r="BV692" s="128"/>
      <c r="BX692" s="128"/>
      <c r="CU692" s="128"/>
      <c r="CW692" s="128"/>
      <c r="DN692" s="128"/>
      <c r="DP692" s="128"/>
      <c r="DR692" s="128"/>
      <c r="DV692" s="128"/>
      <c r="DX692" s="128"/>
      <c r="DY692" s="128"/>
      <c r="EA692" s="128"/>
      <c r="EB692" s="128"/>
      <c r="EC692" s="128"/>
      <c r="EG692" s="128"/>
      <c r="EL692" s="128"/>
      <c r="EM692" s="128"/>
      <c r="EO692" s="128"/>
      <c r="EQ692" s="128"/>
      <c r="ES692" s="128"/>
      <c r="EU692" s="128"/>
      <c r="EW692" s="128"/>
      <c r="EY692" s="128"/>
    </row>
    <row r="693" spans="3:155">
      <c r="C693" s="128"/>
      <c r="D693" s="128"/>
      <c r="E693" s="128"/>
      <c r="F693" s="128" t="str">
        <f>IF(E693 &lt;&gt; "", VLOOKUP(E693, '[2]Internal-logic'!G$1:I$364, 2, FALSE),"")</f>
        <v/>
      </c>
      <c r="G693" s="128" t="str">
        <f>IF(E693 &lt;&gt; "", VLOOKUP(E693, '[2]Internal-logic'!G$1:I$364, 3, FALSE),"")</f>
        <v/>
      </c>
      <c r="H693" s="128"/>
      <c r="I693" s="128"/>
      <c r="J693" s="128"/>
      <c r="K693" s="128"/>
      <c r="Q693" s="128"/>
      <c r="R693" s="128"/>
      <c r="S693" s="128"/>
      <c r="U693" s="128"/>
      <c r="X693" s="128"/>
      <c r="Y693" s="128"/>
      <c r="Z693" s="128"/>
      <c r="AA693" s="128"/>
      <c r="AB693" s="128"/>
      <c r="AC693" s="128"/>
      <c r="AD693" s="128"/>
      <c r="AE693" s="128"/>
      <c r="AF693" s="128"/>
      <c r="AG693" s="128"/>
      <c r="AI693" s="128"/>
      <c r="AJ693" s="128"/>
      <c r="AY693" s="128"/>
      <c r="BN693" s="128"/>
      <c r="BQ693" s="128"/>
      <c r="BR693" s="128"/>
      <c r="BT693" s="128"/>
      <c r="BV693" s="128"/>
      <c r="BX693" s="128"/>
      <c r="CU693" s="128"/>
      <c r="CW693" s="128"/>
      <c r="DN693" s="128"/>
      <c r="DP693" s="128"/>
      <c r="DR693" s="128"/>
      <c r="DV693" s="128"/>
      <c r="DX693" s="128"/>
      <c r="DY693" s="128"/>
      <c r="EA693" s="128"/>
      <c r="EB693" s="128"/>
      <c r="EC693" s="128"/>
      <c r="EG693" s="128"/>
      <c r="EL693" s="128"/>
      <c r="EM693" s="128"/>
      <c r="EO693" s="128"/>
      <c r="EQ693" s="128"/>
      <c r="ES693" s="128"/>
      <c r="EU693" s="128"/>
      <c r="EW693" s="128"/>
      <c r="EY693" s="128"/>
    </row>
    <row r="694" spans="3:155">
      <c r="C694" s="128"/>
      <c r="D694" s="128"/>
      <c r="E694" s="128"/>
      <c r="F694" s="128" t="str">
        <f>IF(E694 &lt;&gt; "", VLOOKUP(E694, '[2]Internal-logic'!G$1:I$364, 2, FALSE),"")</f>
        <v/>
      </c>
      <c r="G694" s="128" t="str">
        <f>IF(E694 &lt;&gt; "", VLOOKUP(E694, '[2]Internal-logic'!G$1:I$364, 3, FALSE),"")</f>
        <v/>
      </c>
      <c r="H694" s="128"/>
      <c r="I694" s="128"/>
      <c r="J694" s="128"/>
      <c r="K694" s="128"/>
      <c r="Q694" s="128"/>
      <c r="R694" s="128"/>
      <c r="S694" s="128"/>
      <c r="U694" s="128"/>
      <c r="X694" s="128"/>
      <c r="Y694" s="128"/>
      <c r="Z694" s="128"/>
      <c r="AA694" s="128"/>
      <c r="AB694" s="128"/>
      <c r="AC694" s="128"/>
      <c r="AD694" s="128"/>
      <c r="AE694" s="128"/>
      <c r="AF694" s="128"/>
      <c r="AG694" s="128"/>
      <c r="AI694" s="128"/>
      <c r="AJ694" s="128"/>
      <c r="AY694" s="128"/>
      <c r="BN694" s="128"/>
      <c r="BQ694" s="128"/>
      <c r="BR694" s="128"/>
      <c r="BT694" s="128"/>
      <c r="BV694" s="128"/>
      <c r="BX694" s="128"/>
      <c r="CU694" s="128"/>
      <c r="CW694" s="128"/>
      <c r="DN694" s="128"/>
      <c r="DP694" s="128"/>
      <c r="DR694" s="128"/>
      <c r="DV694" s="128"/>
      <c r="DX694" s="128"/>
      <c r="DY694" s="128"/>
      <c r="EA694" s="128"/>
      <c r="EB694" s="128"/>
      <c r="EC694" s="128"/>
      <c r="EG694" s="128"/>
      <c r="EL694" s="128"/>
      <c r="EM694" s="128"/>
      <c r="EO694" s="128"/>
      <c r="EQ694" s="128"/>
      <c r="ES694" s="128"/>
      <c r="EU694" s="128"/>
      <c r="EW694" s="128"/>
      <c r="EY694" s="128"/>
    </row>
    <row r="695" spans="3:155">
      <c r="C695" s="128"/>
      <c r="D695" s="128"/>
      <c r="E695" s="128"/>
      <c r="F695" s="128" t="str">
        <f>IF(E695 &lt;&gt; "", VLOOKUP(E695, '[2]Internal-logic'!G$1:I$364, 2, FALSE),"")</f>
        <v/>
      </c>
      <c r="G695" s="128" t="str">
        <f>IF(E695 &lt;&gt; "", VLOOKUP(E695, '[2]Internal-logic'!G$1:I$364, 3, FALSE),"")</f>
        <v/>
      </c>
      <c r="H695" s="128"/>
      <c r="I695" s="128"/>
      <c r="J695" s="128"/>
      <c r="K695" s="128"/>
      <c r="Q695" s="128"/>
      <c r="R695" s="128"/>
      <c r="S695" s="128"/>
      <c r="U695" s="128"/>
      <c r="X695" s="128"/>
      <c r="Y695" s="128"/>
      <c r="Z695" s="128"/>
      <c r="AA695" s="128"/>
      <c r="AB695" s="128"/>
      <c r="AC695" s="128"/>
      <c r="AD695" s="128"/>
      <c r="AE695" s="128"/>
      <c r="AF695" s="128"/>
      <c r="AG695" s="128"/>
      <c r="AI695" s="128"/>
      <c r="AJ695" s="128"/>
      <c r="AY695" s="128"/>
      <c r="BN695" s="128"/>
      <c r="BQ695" s="128"/>
      <c r="BR695" s="128"/>
      <c r="BT695" s="128"/>
      <c r="BV695" s="128"/>
      <c r="BX695" s="128"/>
      <c r="CU695" s="128"/>
      <c r="CW695" s="128"/>
      <c r="DN695" s="128"/>
      <c r="DP695" s="128"/>
      <c r="DR695" s="128"/>
      <c r="DV695" s="128"/>
      <c r="DX695" s="128"/>
      <c r="DY695" s="128"/>
      <c r="EA695" s="128"/>
      <c r="EB695" s="128"/>
      <c r="EC695" s="128"/>
      <c r="EG695" s="128"/>
      <c r="EL695" s="128"/>
      <c r="EM695" s="128"/>
      <c r="EO695" s="128"/>
      <c r="EQ695" s="128"/>
      <c r="ES695" s="128"/>
      <c r="EU695" s="128"/>
      <c r="EW695" s="128"/>
      <c r="EY695" s="128"/>
    </row>
    <row r="696" spans="3:155">
      <c r="C696" s="128"/>
      <c r="D696" s="128"/>
      <c r="E696" s="128"/>
      <c r="F696" s="128" t="str">
        <f>IF(E696 &lt;&gt; "", VLOOKUP(E696, '[2]Internal-logic'!G$1:I$364, 2, FALSE),"")</f>
        <v/>
      </c>
      <c r="G696" s="128" t="str">
        <f>IF(E696 &lt;&gt; "", VLOOKUP(E696, '[2]Internal-logic'!G$1:I$364, 3, FALSE),"")</f>
        <v/>
      </c>
      <c r="H696" s="128"/>
      <c r="I696" s="128"/>
      <c r="J696" s="128"/>
      <c r="K696" s="128"/>
      <c r="Q696" s="128"/>
      <c r="R696" s="128"/>
      <c r="S696" s="128"/>
      <c r="U696" s="128"/>
      <c r="X696" s="128"/>
      <c r="Y696" s="128"/>
      <c r="Z696" s="128"/>
      <c r="AA696" s="128"/>
      <c r="AB696" s="128"/>
      <c r="AC696" s="128"/>
      <c r="AD696" s="128"/>
      <c r="AE696" s="128"/>
      <c r="AF696" s="128"/>
      <c r="AG696" s="128"/>
      <c r="AI696" s="128"/>
      <c r="AJ696" s="128"/>
      <c r="AY696" s="128"/>
      <c r="BN696" s="128"/>
      <c r="BQ696" s="128"/>
      <c r="BR696" s="128"/>
      <c r="BT696" s="128"/>
      <c r="BV696" s="128"/>
      <c r="BX696" s="128"/>
      <c r="CU696" s="128"/>
      <c r="CW696" s="128"/>
      <c r="DN696" s="128"/>
      <c r="DP696" s="128"/>
      <c r="DR696" s="128"/>
      <c r="DV696" s="128"/>
      <c r="DX696" s="128"/>
      <c r="DY696" s="128"/>
      <c r="EA696" s="128"/>
      <c r="EB696" s="128"/>
      <c r="EC696" s="128"/>
      <c r="EG696" s="128"/>
      <c r="EL696" s="128"/>
      <c r="EM696" s="128"/>
      <c r="EO696" s="128"/>
      <c r="EQ696" s="128"/>
      <c r="ES696" s="128"/>
      <c r="EU696" s="128"/>
      <c r="EW696" s="128"/>
      <c r="EY696" s="128"/>
    </row>
    <row r="697" spans="3:155">
      <c r="C697" s="128"/>
      <c r="D697" s="128"/>
      <c r="E697" s="128"/>
      <c r="F697" s="128" t="str">
        <f>IF(E697 &lt;&gt; "", VLOOKUP(E697, '[2]Internal-logic'!G$1:I$364, 2, FALSE),"")</f>
        <v/>
      </c>
      <c r="G697" s="128" t="str">
        <f>IF(E697 &lt;&gt; "", VLOOKUP(E697, '[2]Internal-logic'!G$1:I$364, 3, FALSE),"")</f>
        <v/>
      </c>
      <c r="H697" s="128"/>
      <c r="I697" s="128"/>
      <c r="J697" s="128"/>
      <c r="K697" s="128"/>
      <c r="Q697" s="128"/>
      <c r="R697" s="128"/>
      <c r="S697" s="128"/>
      <c r="U697" s="128"/>
      <c r="X697" s="128"/>
      <c r="Y697" s="128"/>
      <c r="Z697" s="128"/>
      <c r="AA697" s="128"/>
      <c r="AB697" s="128"/>
      <c r="AC697" s="128"/>
      <c r="AD697" s="128"/>
      <c r="AE697" s="128"/>
      <c r="AF697" s="128"/>
      <c r="AG697" s="128"/>
      <c r="AI697" s="128"/>
      <c r="AJ697" s="128"/>
      <c r="AY697" s="128"/>
      <c r="BN697" s="128"/>
      <c r="BQ697" s="128"/>
      <c r="BR697" s="128"/>
      <c r="BT697" s="128"/>
      <c r="BV697" s="128"/>
      <c r="BX697" s="128"/>
      <c r="CU697" s="128"/>
      <c r="CW697" s="128"/>
      <c r="DN697" s="128"/>
      <c r="DP697" s="128"/>
      <c r="DR697" s="128"/>
      <c r="DV697" s="128"/>
      <c r="DX697" s="128"/>
      <c r="DY697" s="128"/>
      <c r="EA697" s="128"/>
      <c r="EB697" s="128"/>
      <c r="EC697" s="128"/>
      <c r="EG697" s="128"/>
      <c r="EL697" s="128"/>
      <c r="EM697" s="128"/>
      <c r="EO697" s="128"/>
      <c r="EQ697" s="128"/>
      <c r="ES697" s="128"/>
      <c r="EU697" s="128"/>
      <c r="EW697" s="128"/>
      <c r="EY697" s="128"/>
    </row>
    <row r="698" spans="3:155">
      <c r="C698" s="128"/>
      <c r="D698" s="128"/>
      <c r="E698" s="128"/>
      <c r="F698" s="128" t="str">
        <f>IF(E698 &lt;&gt; "", VLOOKUP(E698, '[2]Internal-logic'!G$1:I$364, 2, FALSE),"")</f>
        <v/>
      </c>
      <c r="G698" s="128" t="str">
        <f>IF(E698 &lt;&gt; "", VLOOKUP(E698, '[2]Internal-logic'!G$1:I$364, 3, FALSE),"")</f>
        <v/>
      </c>
      <c r="H698" s="128"/>
      <c r="I698" s="128"/>
      <c r="J698" s="128"/>
      <c r="K698" s="128"/>
      <c r="Q698" s="128"/>
      <c r="R698" s="128"/>
      <c r="S698" s="128"/>
      <c r="U698" s="128"/>
      <c r="X698" s="128"/>
      <c r="Y698" s="128"/>
      <c r="Z698" s="128"/>
      <c r="AA698" s="128"/>
      <c r="AB698" s="128"/>
      <c r="AC698" s="128"/>
      <c r="AD698" s="128"/>
      <c r="AE698" s="128"/>
      <c r="AF698" s="128"/>
      <c r="AG698" s="128"/>
      <c r="AI698" s="128"/>
      <c r="AJ698" s="128"/>
      <c r="AY698" s="128"/>
      <c r="BN698" s="128"/>
      <c r="BQ698" s="128"/>
      <c r="BR698" s="128"/>
      <c r="BT698" s="128"/>
      <c r="BV698" s="128"/>
      <c r="BX698" s="128"/>
      <c r="CU698" s="128"/>
      <c r="CW698" s="128"/>
      <c r="DN698" s="128"/>
      <c r="DP698" s="128"/>
      <c r="DR698" s="128"/>
      <c r="DV698" s="128"/>
      <c r="DX698" s="128"/>
      <c r="DY698" s="128"/>
      <c r="EA698" s="128"/>
      <c r="EB698" s="128"/>
      <c r="EC698" s="128"/>
      <c r="EG698" s="128"/>
      <c r="EL698" s="128"/>
      <c r="EM698" s="128"/>
      <c r="EO698" s="128"/>
      <c r="EQ698" s="128"/>
      <c r="ES698" s="128"/>
      <c r="EU698" s="128"/>
      <c r="EW698" s="128"/>
      <c r="EY698" s="128"/>
    </row>
    <row r="699" spans="3:155">
      <c r="C699" s="128"/>
      <c r="D699" s="128"/>
      <c r="E699" s="128"/>
      <c r="F699" s="128" t="str">
        <f>IF(E699 &lt;&gt; "", VLOOKUP(E699, '[2]Internal-logic'!G$1:I$364, 2, FALSE),"")</f>
        <v/>
      </c>
      <c r="G699" s="128" t="str">
        <f>IF(E699 &lt;&gt; "", VLOOKUP(E699, '[2]Internal-logic'!G$1:I$364, 3, FALSE),"")</f>
        <v/>
      </c>
      <c r="H699" s="128"/>
      <c r="I699" s="128"/>
      <c r="J699" s="128"/>
      <c r="K699" s="128"/>
      <c r="Q699" s="128"/>
      <c r="R699" s="128"/>
      <c r="S699" s="128"/>
      <c r="U699" s="128"/>
      <c r="X699" s="128"/>
      <c r="Y699" s="128"/>
      <c r="Z699" s="128"/>
      <c r="AA699" s="128"/>
      <c r="AB699" s="128"/>
      <c r="AC699" s="128"/>
      <c r="AD699" s="128"/>
      <c r="AE699" s="128"/>
      <c r="AF699" s="128"/>
      <c r="AG699" s="128"/>
      <c r="AI699" s="128"/>
      <c r="AJ699" s="128"/>
      <c r="AY699" s="128"/>
      <c r="BN699" s="128"/>
      <c r="BQ699" s="128"/>
      <c r="BR699" s="128"/>
      <c r="BT699" s="128"/>
      <c r="BV699" s="128"/>
      <c r="BX699" s="128"/>
      <c r="CU699" s="128"/>
      <c r="CW699" s="128"/>
      <c r="DN699" s="128"/>
      <c r="DP699" s="128"/>
      <c r="DR699" s="128"/>
      <c r="DV699" s="128"/>
      <c r="DX699" s="128"/>
      <c r="DY699" s="128"/>
      <c r="EA699" s="128"/>
      <c r="EB699" s="128"/>
      <c r="EC699" s="128"/>
      <c r="EG699" s="128"/>
      <c r="EL699" s="128"/>
      <c r="EM699" s="128"/>
      <c r="EO699" s="128"/>
      <c r="EQ699" s="128"/>
      <c r="ES699" s="128"/>
      <c r="EU699" s="128"/>
      <c r="EW699" s="128"/>
      <c r="EY699" s="128"/>
    </row>
    <row r="700" spans="3:155">
      <c r="C700" s="128"/>
      <c r="D700" s="128"/>
      <c r="E700" s="128"/>
      <c r="F700" s="128" t="str">
        <f>IF(E700 &lt;&gt; "", VLOOKUP(E700, '[2]Internal-logic'!G$1:I$364, 2, FALSE),"")</f>
        <v/>
      </c>
      <c r="G700" s="128" t="str">
        <f>IF(E700 &lt;&gt; "", VLOOKUP(E700, '[2]Internal-logic'!G$1:I$364, 3, FALSE),"")</f>
        <v/>
      </c>
      <c r="H700" s="128"/>
      <c r="I700" s="128"/>
      <c r="J700" s="128"/>
      <c r="K700" s="128"/>
      <c r="Q700" s="128"/>
      <c r="R700" s="128"/>
      <c r="S700" s="128"/>
      <c r="U700" s="128"/>
      <c r="X700" s="128"/>
      <c r="Y700" s="128"/>
      <c r="Z700" s="128"/>
      <c r="AA700" s="128"/>
      <c r="AB700" s="128"/>
      <c r="AC700" s="128"/>
      <c r="AD700" s="128"/>
      <c r="AE700" s="128"/>
      <c r="AF700" s="128"/>
      <c r="AG700" s="128"/>
      <c r="AI700" s="128"/>
      <c r="AJ700" s="128"/>
      <c r="AY700" s="128"/>
      <c r="BN700" s="128"/>
      <c r="BQ700" s="128"/>
      <c r="BR700" s="128"/>
      <c r="BT700" s="128"/>
      <c r="BV700" s="128"/>
      <c r="BX700" s="128"/>
      <c r="CU700" s="128"/>
      <c r="CW700" s="128"/>
      <c r="DN700" s="128"/>
      <c r="DP700" s="128"/>
      <c r="DR700" s="128"/>
      <c r="DV700" s="128"/>
      <c r="DX700" s="128"/>
      <c r="DY700" s="128"/>
      <c r="EA700" s="128"/>
      <c r="EB700" s="128"/>
      <c r="EC700" s="128"/>
      <c r="EG700" s="128"/>
      <c r="EL700" s="128"/>
      <c r="EM700" s="128"/>
      <c r="EO700" s="128"/>
      <c r="EQ700" s="128"/>
      <c r="ES700" s="128"/>
      <c r="EU700" s="128"/>
      <c r="EW700" s="128"/>
      <c r="EY700" s="128"/>
    </row>
    <row r="701" spans="3:155">
      <c r="C701" s="128"/>
      <c r="D701" s="128"/>
      <c r="E701" s="128"/>
      <c r="F701" s="128" t="str">
        <f>IF(E701 &lt;&gt; "", VLOOKUP(E701, '[2]Internal-logic'!G$1:I$364, 2, FALSE),"")</f>
        <v/>
      </c>
      <c r="G701" s="128" t="str">
        <f>IF(E701 &lt;&gt; "", VLOOKUP(E701, '[2]Internal-logic'!G$1:I$364, 3, FALSE),"")</f>
        <v/>
      </c>
      <c r="H701" s="128"/>
      <c r="I701" s="128"/>
      <c r="J701" s="128"/>
      <c r="K701" s="128"/>
      <c r="Q701" s="128"/>
      <c r="R701" s="128"/>
      <c r="S701" s="128"/>
      <c r="U701" s="128"/>
      <c r="X701" s="128"/>
      <c r="Y701" s="128"/>
      <c r="Z701" s="128"/>
      <c r="AA701" s="128"/>
      <c r="AB701" s="128"/>
      <c r="AC701" s="128"/>
      <c r="AD701" s="128"/>
      <c r="AE701" s="128"/>
      <c r="AF701" s="128"/>
      <c r="AG701" s="128"/>
      <c r="AI701" s="128"/>
      <c r="AJ701" s="128"/>
      <c r="AY701" s="128"/>
      <c r="BN701" s="128"/>
      <c r="BQ701" s="128"/>
      <c r="BR701" s="128"/>
      <c r="BT701" s="128"/>
      <c r="BV701" s="128"/>
      <c r="BX701" s="128"/>
      <c r="CU701" s="128"/>
      <c r="CW701" s="128"/>
      <c r="DN701" s="128"/>
      <c r="DP701" s="128"/>
      <c r="DR701" s="128"/>
      <c r="DV701" s="128"/>
      <c r="DX701" s="128"/>
      <c r="DY701" s="128"/>
      <c r="EA701" s="128"/>
      <c r="EB701" s="128"/>
      <c r="EC701" s="128"/>
      <c r="EG701" s="128"/>
      <c r="EL701" s="128"/>
      <c r="EM701" s="128"/>
      <c r="EO701" s="128"/>
      <c r="EQ701" s="128"/>
      <c r="ES701" s="128"/>
      <c r="EU701" s="128"/>
      <c r="EW701" s="128"/>
      <c r="EY701" s="128"/>
    </row>
    <row r="702" spans="3:155">
      <c r="C702" s="128"/>
      <c r="D702" s="128"/>
      <c r="E702" s="128"/>
      <c r="F702" s="128" t="str">
        <f>IF(E702 &lt;&gt; "", VLOOKUP(E702, '[2]Internal-logic'!G$1:I$364, 2, FALSE),"")</f>
        <v/>
      </c>
      <c r="G702" s="128" t="str">
        <f>IF(E702 &lt;&gt; "", VLOOKUP(E702, '[2]Internal-logic'!G$1:I$364, 3, FALSE),"")</f>
        <v/>
      </c>
      <c r="H702" s="128"/>
      <c r="I702" s="128"/>
      <c r="J702" s="128"/>
      <c r="K702" s="128"/>
      <c r="Q702" s="128"/>
      <c r="R702" s="128"/>
      <c r="S702" s="128"/>
      <c r="U702" s="128"/>
      <c r="X702" s="128"/>
      <c r="Y702" s="128"/>
      <c r="Z702" s="128"/>
      <c r="AA702" s="128"/>
      <c r="AB702" s="128"/>
      <c r="AC702" s="128"/>
      <c r="AD702" s="128"/>
      <c r="AE702" s="128"/>
      <c r="AF702" s="128"/>
      <c r="AG702" s="128"/>
      <c r="AI702" s="128"/>
      <c r="AJ702" s="128"/>
      <c r="AY702" s="128"/>
      <c r="BN702" s="128"/>
      <c r="BQ702" s="128"/>
      <c r="BR702" s="128"/>
      <c r="BT702" s="128"/>
      <c r="BV702" s="128"/>
      <c r="BX702" s="128"/>
      <c r="CU702" s="128"/>
      <c r="CW702" s="128"/>
      <c r="DN702" s="128"/>
      <c r="DP702" s="128"/>
      <c r="DR702" s="128"/>
      <c r="DV702" s="128"/>
      <c r="DX702" s="128"/>
      <c r="DY702" s="128"/>
      <c r="EA702" s="128"/>
      <c r="EB702" s="128"/>
      <c r="EC702" s="128"/>
      <c r="EG702" s="128"/>
      <c r="EL702" s="128"/>
      <c r="EM702" s="128"/>
      <c r="EO702" s="128"/>
      <c r="EQ702" s="128"/>
      <c r="ES702" s="128"/>
      <c r="EU702" s="128"/>
      <c r="EW702" s="128"/>
      <c r="EY702" s="128"/>
    </row>
    <row r="703" spans="3:155">
      <c r="C703" s="128"/>
      <c r="D703" s="128"/>
      <c r="E703" s="128"/>
      <c r="F703" s="128" t="str">
        <f>IF(E703 &lt;&gt; "", VLOOKUP(E703, '[2]Internal-logic'!G$1:I$364, 2, FALSE),"")</f>
        <v/>
      </c>
      <c r="G703" s="128" t="str">
        <f>IF(E703 &lt;&gt; "", VLOOKUP(E703, '[2]Internal-logic'!G$1:I$364, 3, FALSE),"")</f>
        <v/>
      </c>
      <c r="H703" s="128"/>
      <c r="I703" s="128"/>
      <c r="J703" s="128"/>
      <c r="K703" s="128"/>
      <c r="Q703" s="128"/>
      <c r="R703" s="128"/>
      <c r="S703" s="128"/>
      <c r="U703" s="128"/>
      <c r="X703" s="128"/>
      <c r="Y703" s="128"/>
      <c r="Z703" s="128"/>
      <c r="AA703" s="128"/>
      <c r="AB703" s="128"/>
      <c r="AC703" s="128"/>
      <c r="AD703" s="128"/>
      <c r="AE703" s="128"/>
      <c r="AF703" s="128"/>
      <c r="AG703" s="128"/>
      <c r="AI703" s="128"/>
      <c r="AJ703" s="128"/>
      <c r="AY703" s="128"/>
      <c r="BN703" s="128"/>
      <c r="BQ703" s="128"/>
      <c r="BR703" s="128"/>
      <c r="BT703" s="128"/>
      <c r="BV703" s="128"/>
      <c r="BX703" s="128"/>
      <c r="CU703" s="128"/>
      <c r="CW703" s="128"/>
      <c r="DN703" s="128"/>
      <c r="DP703" s="128"/>
      <c r="DR703" s="128"/>
      <c r="DV703" s="128"/>
      <c r="DX703" s="128"/>
      <c r="DY703" s="128"/>
      <c r="EA703" s="128"/>
      <c r="EB703" s="128"/>
      <c r="EC703" s="128"/>
      <c r="EG703" s="128"/>
      <c r="EL703" s="128"/>
      <c r="EM703" s="128"/>
      <c r="EO703" s="128"/>
      <c r="EQ703" s="128"/>
      <c r="ES703" s="128"/>
      <c r="EU703" s="128"/>
      <c r="EW703" s="128"/>
      <c r="EY703" s="128"/>
    </row>
    <row r="704" spans="3:155">
      <c r="C704" s="128"/>
      <c r="D704" s="128"/>
      <c r="E704" s="128"/>
      <c r="F704" s="128" t="str">
        <f>IF(E704 &lt;&gt; "", VLOOKUP(E704, '[2]Internal-logic'!G$1:I$364, 2, FALSE),"")</f>
        <v/>
      </c>
      <c r="G704" s="128" t="str">
        <f>IF(E704 &lt;&gt; "", VLOOKUP(E704, '[2]Internal-logic'!G$1:I$364, 3, FALSE),"")</f>
        <v/>
      </c>
      <c r="H704" s="128"/>
      <c r="I704" s="128"/>
      <c r="J704" s="128"/>
      <c r="K704" s="128"/>
      <c r="Q704" s="128"/>
      <c r="R704" s="128"/>
      <c r="S704" s="128"/>
      <c r="U704" s="128"/>
      <c r="X704" s="128"/>
      <c r="Y704" s="128"/>
      <c r="Z704" s="128"/>
      <c r="AA704" s="128"/>
      <c r="AB704" s="128"/>
      <c r="AC704" s="128"/>
      <c r="AD704" s="128"/>
      <c r="AE704" s="128"/>
      <c r="AF704" s="128"/>
      <c r="AG704" s="128"/>
      <c r="AI704" s="128"/>
      <c r="AJ704" s="128"/>
      <c r="AY704" s="128"/>
      <c r="BN704" s="128"/>
      <c r="BQ704" s="128"/>
      <c r="BR704" s="128"/>
      <c r="BT704" s="128"/>
      <c r="BV704" s="128"/>
      <c r="BX704" s="128"/>
      <c r="CU704" s="128"/>
      <c r="CW704" s="128"/>
      <c r="DN704" s="128"/>
      <c r="DP704" s="128"/>
      <c r="DR704" s="128"/>
      <c r="DV704" s="128"/>
      <c r="DX704" s="128"/>
      <c r="DY704" s="128"/>
      <c r="EA704" s="128"/>
      <c r="EB704" s="128"/>
      <c r="EC704" s="128"/>
      <c r="EG704" s="128"/>
      <c r="EL704" s="128"/>
      <c r="EM704" s="128"/>
      <c r="EO704" s="128"/>
      <c r="EQ704" s="128"/>
      <c r="ES704" s="128"/>
      <c r="EU704" s="128"/>
      <c r="EW704" s="128"/>
      <c r="EY704" s="128"/>
    </row>
    <row r="705" spans="3:155">
      <c r="C705" s="128"/>
      <c r="D705" s="128"/>
      <c r="E705" s="128"/>
      <c r="F705" s="128" t="str">
        <f>IF(E705 &lt;&gt; "", VLOOKUP(E705, '[2]Internal-logic'!G$1:I$364, 2, FALSE),"")</f>
        <v/>
      </c>
      <c r="G705" s="128" t="str">
        <f>IF(E705 &lt;&gt; "", VLOOKUP(E705, '[2]Internal-logic'!G$1:I$364, 3, FALSE),"")</f>
        <v/>
      </c>
      <c r="H705" s="128"/>
      <c r="I705" s="128"/>
      <c r="J705" s="128"/>
      <c r="K705" s="128"/>
      <c r="Q705" s="128"/>
      <c r="R705" s="128"/>
      <c r="S705" s="128"/>
      <c r="U705" s="128"/>
      <c r="X705" s="128"/>
      <c r="Y705" s="128"/>
      <c r="Z705" s="128"/>
      <c r="AA705" s="128"/>
      <c r="AB705" s="128"/>
      <c r="AC705" s="128"/>
      <c r="AD705" s="128"/>
      <c r="AE705" s="128"/>
      <c r="AF705" s="128"/>
      <c r="AG705" s="128"/>
      <c r="AI705" s="128"/>
      <c r="AJ705" s="128"/>
      <c r="AY705" s="128"/>
      <c r="BN705" s="128"/>
      <c r="BQ705" s="128"/>
      <c r="BR705" s="128"/>
      <c r="BT705" s="128"/>
      <c r="BV705" s="128"/>
      <c r="BX705" s="128"/>
      <c r="CU705" s="128"/>
      <c r="CW705" s="128"/>
      <c r="DN705" s="128"/>
      <c r="DP705" s="128"/>
      <c r="DR705" s="128"/>
      <c r="DV705" s="128"/>
      <c r="DX705" s="128"/>
      <c r="DY705" s="128"/>
      <c r="EA705" s="128"/>
      <c r="EB705" s="128"/>
      <c r="EC705" s="128"/>
      <c r="EG705" s="128"/>
      <c r="EL705" s="128"/>
      <c r="EM705" s="128"/>
      <c r="EO705" s="128"/>
      <c r="EQ705" s="128"/>
      <c r="ES705" s="128"/>
      <c r="EU705" s="128"/>
      <c r="EW705" s="128"/>
      <c r="EY705" s="128"/>
    </row>
    <row r="706" spans="3:155">
      <c r="C706" s="128"/>
      <c r="D706" s="128"/>
      <c r="E706" s="128"/>
      <c r="F706" s="128" t="str">
        <f>IF(E706 &lt;&gt; "", VLOOKUP(E706, '[2]Internal-logic'!G$1:I$364, 2, FALSE),"")</f>
        <v/>
      </c>
      <c r="G706" s="128" t="str">
        <f>IF(E706 &lt;&gt; "", VLOOKUP(E706, '[2]Internal-logic'!G$1:I$364, 3, FALSE),"")</f>
        <v/>
      </c>
      <c r="H706" s="128"/>
      <c r="I706" s="128"/>
      <c r="J706" s="128"/>
      <c r="K706" s="128"/>
      <c r="Q706" s="128"/>
      <c r="R706" s="128"/>
      <c r="S706" s="128"/>
      <c r="U706" s="128"/>
      <c r="X706" s="128"/>
      <c r="Y706" s="128"/>
      <c r="Z706" s="128"/>
      <c r="AA706" s="128"/>
      <c r="AB706" s="128"/>
      <c r="AC706" s="128"/>
      <c r="AD706" s="128"/>
      <c r="AE706" s="128"/>
      <c r="AF706" s="128"/>
      <c r="AG706" s="128"/>
      <c r="AI706" s="128"/>
      <c r="AJ706" s="128"/>
      <c r="AY706" s="128"/>
      <c r="BN706" s="128"/>
      <c r="BQ706" s="128"/>
      <c r="BR706" s="128"/>
      <c r="BT706" s="128"/>
      <c r="BV706" s="128"/>
      <c r="BX706" s="128"/>
      <c r="CU706" s="128"/>
      <c r="CW706" s="128"/>
      <c r="DN706" s="128"/>
      <c r="DP706" s="128"/>
      <c r="DR706" s="128"/>
      <c r="DV706" s="128"/>
      <c r="DX706" s="128"/>
      <c r="DY706" s="128"/>
      <c r="EA706" s="128"/>
      <c r="EB706" s="128"/>
      <c r="EC706" s="128"/>
      <c r="EG706" s="128"/>
      <c r="EL706" s="128"/>
      <c r="EM706" s="128"/>
      <c r="EO706" s="128"/>
      <c r="EQ706" s="128"/>
      <c r="ES706" s="128"/>
      <c r="EU706" s="128"/>
      <c r="EW706" s="128"/>
      <c r="EY706" s="128"/>
    </row>
    <row r="707" spans="3:155">
      <c r="C707" s="128"/>
      <c r="D707" s="128"/>
      <c r="E707" s="128"/>
      <c r="F707" s="128" t="str">
        <f>IF(E707 &lt;&gt; "", VLOOKUP(E707, '[2]Internal-logic'!G$1:I$364, 2, FALSE),"")</f>
        <v/>
      </c>
      <c r="G707" s="128" t="str">
        <f>IF(E707 &lt;&gt; "", VLOOKUP(E707, '[2]Internal-logic'!G$1:I$364, 3, FALSE),"")</f>
        <v/>
      </c>
      <c r="H707" s="128"/>
      <c r="I707" s="128"/>
      <c r="J707" s="128"/>
      <c r="K707" s="128"/>
      <c r="Q707" s="128"/>
      <c r="R707" s="128"/>
      <c r="S707" s="128"/>
      <c r="U707" s="128"/>
      <c r="X707" s="128"/>
      <c r="Y707" s="128"/>
      <c r="Z707" s="128"/>
      <c r="AA707" s="128"/>
      <c r="AB707" s="128"/>
      <c r="AC707" s="128"/>
      <c r="AD707" s="128"/>
      <c r="AE707" s="128"/>
      <c r="AF707" s="128"/>
      <c r="AG707" s="128"/>
      <c r="AI707" s="128"/>
      <c r="AJ707" s="128"/>
      <c r="AY707" s="128"/>
      <c r="BN707" s="128"/>
      <c r="BQ707" s="128"/>
      <c r="BR707" s="128"/>
      <c r="BT707" s="128"/>
      <c r="BV707" s="128"/>
      <c r="BX707" s="128"/>
      <c r="CU707" s="128"/>
      <c r="CW707" s="128"/>
      <c r="DN707" s="128"/>
      <c r="DP707" s="128"/>
      <c r="DR707" s="128"/>
      <c r="DV707" s="128"/>
      <c r="DX707" s="128"/>
      <c r="DY707" s="128"/>
      <c r="EA707" s="128"/>
      <c r="EB707" s="128"/>
      <c r="EC707" s="128"/>
      <c r="EG707" s="128"/>
      <c r="EL707" s="128"/>
      <c r="EM707" s="128"/>
      <c r="EO707" s="128"/>
      <c r="EQ707" s="128"/>
      <c r="ES707" s="128"/>
      <c r="EU707" s="128"/>
      <c r="EW707" s="128"/>
      <c r="EY707" s="128"/>
    </row>
    <row r="708" spans="3:155">
      <c r="C708" s="128"/>
      <c r="D708" s="128"/>
      <c r="E708" s="128"/>
      <c r="F708" s="128" t="str">
        <f>IF(E708 &lt;&gt; "", VLOOKUP(E708, '[2]Internal-logic'!G$1:I$364, 2, FALSE),"")</f>
        <v/>
      </c>
      <c r="G708" s="128" t="str">
        <f>IF(E708 &lt;&gt; "", VLOOKUP(E708, '[2]Internal-logic'!G$1:I$364, 3, FALSE),"")</f>
        <v/>
      </c>
      <c r="H708" s="128"/>
      <c r="I708" s="128"/>
      <c r="J708" s="128"/>
      <c r="K708" s="128"/>
      <c r="Q708" s="128"/>
      <c r="R708" s="128"/>
      <c r="S708" s="128"/>
      <c r="U708" s="128"/>
      <c r="X708" s="128"/>
      <c r="Y708" s="128"/>
      <c r="Z708" s="128"/>
      <c r="AA708" s="128"/>
      <c r="AB708" s="128"/>
      <c r="AC708" s="128"/>
      <c r="AD708" s="128"/>
      <c r="AE708" s="128"/>
      <c r="AF708" s="128"/>
      <c r="AG708" s="128"/>
      <c r="AI708" s="128"/>
      <c r="AJ708" s="128"/>
      <c r="AY708" s="128"/>
      <c r="BN708" s="128"/>
      <c r="BQ708" s="128"/>
      <c r="BR708" s="128"/>
      <c r="BT708" s="128"/>
      <c r="BV708" s="128"/>
      <c r="BX708" s="128"/>
      <c r="CU708" s="128"/>
      <c r="CW708" s="128"/>
      <c r="DN708" s="128"/>
      <c r="DP708" s="128"/>
      <c r="DR708" s="128"/>
      <c r="DV708" s="128"/>
      <c r="DX708" s="128"/>
      <c r="DY708" s="128"/>
      <c r="EA708" s="128"/>
      <c r="EB708" s="128"/>
      <c r="EC708" s="128"/>
      <c r="EG708" s="128"/>
      <c r="EL708" s="128"/>
      <c r="EM708" s="128"/>
      <c r="EO708" s="128"/>
      <c r="EQ708" s="128"/>
      <c r="ES708" s="128"/>
      <c r="EU708" s="128"/>
      <c r="EW708" s="128"/>
      <c r="EY708" s="128"/>
    </row>
    <row r="709" spans="3:155">
      <c r="C709" s="128"/>
      <c r="D709" s="128"/>
      <c r="E709" s="128"/>
      <c r="F709" s="128" t="str">
        <f>IF(E709 &lt;&gt; "", VLOOKUP(E709, '[2]Internal-logic'!G$1:I$364, 2, FALSE),"")</f>
        <v/>
      </c>
      <c r="G709" s="128" t="str">
        <f>IF(E709 &lt;&gt; "", VLOOKUP(E709, '[2]Internal-logic'!G$1:I$364, 3, FALSE),"")</f>
        <v/>
      </c>
      <c r="H709" s="128"/>
      <c r="I709" s="128"/>
      <c r="J709" s="128"/>
      <c r="K709" s="128"/>
      <c r="Q709" s="128"/>
      <c r="R709" s="128"/>
      <c r="S709" s="128"/>
      <c r="U709" s="128"/>
      <c r="X709" s="128"/>
      <c r="Y709" s="128"/>
      <c r="Z709" s="128"/>
      <c r="AA709" s="128"/>
      <c r="AB709" s="128"/>
      <c r="AC709" s="128"/>
      <c r="AD709" s="128"/>
      <c r="AE709" s="128"/>
      <c r="AF709" s="128"/>
      <c r="AG709" s="128"/>
      <c r="AI709" s="128"/>
      <c r="AJ709" s="128"/>
      <c r="AY709" s="128"/>
      <c r="BN709" s="128"/>
      <c r="BQ709" s="128"/>
      <c r="BR709" s="128"/>
      <c r="BT709" s="128"/>
      <c r="BV709" s="128"/>
      <c r="BX709" s="128"/>
      <c r="CU709" s="128"/>
      <c r="CW709" s="128"/>
      <c r="DN709" s="128"/>
      <c r="DP709" s="128"/>
      <c r="DR709" s="128"/>
      <c r="DV709" s="128"/>
      <c r="DX709" s="128"/>
      <c r="DY709" s="128"/>
      <c r="EA709" s="128"/>
      <c r="EB709" s="128"/>
      <c r="EC709" s="128"/>
      <c r="EG709" s="128"/>
      <c r="EL709" s="128"/>
      <c r="EM709" s="128"/>
      <c r="EO709" s="128"/>
      <c r="EQ709" s="128"/>
      <c r="ES709" s="128"/>
      <c r="EU709" s="128"/>
      <c r="EW709" s="128"/>
      <c r="EY709" s="128"/>
    </row>
    <row r="710" spans="3:155">
      <c r="C710" s="128"/>
      <c r="D710" s="128"/>
      <c r="E710" s="128"/>
      <c r="F710" s="128" t="str">
        <f>IF(E710 &lt;&gt; "", VLOOKUP(E710, '[2]Internal-logic'!G$1:I$364, 2, FALSE),"")</f>
        <v/>
      </c>
      <c r="G710" s="128" t="str">
        <f>IF(E710 &lt;&gt; "", VLOOKUP(E710, '[2]Internal-logic'!G$1:I$364, 3, FALSE),"")</f>
        <v/>
      </c>
      <c r="H710" s="128"/>
      <c r="I710" s="128"/>
      <c r="J710" s="128"/>
      <c r="K710" s="128"/>
      <c r="Q710" s="128"/>
      <c r="R710" s="128"/>
      <c r="S710" s="128"/>
      <c r="U710" s="128"/>
      <c r="X710" s="128"/>
      <c r="Y710" s="128"/>
      <c r="Z710" s="128"/>
      <c r="AA710" s="128"/>
      <c r="AB710" s="128"/>
      <c r="AC710" s="128"/>
      <c r="AD710" s="128"/>
      <c r="AE710" s="128"/>
      <c r="AF710" s="128"/>
      <c r="AG710" s="128"/>
      <c r="AI710" s="128"/>
      <c r="AJ710" s="128"/>
      <c r="AY710" s="128"/>
      <c r="BN710" s="128"/>
      <c r="BQ710" s="128"/>
      <c r="BR710" s="128"/>
      <c r="BT710" s="128"/>
      <c r="BV710" s="128"/>
      <c r="BX710" s="128"/>
      <c r="CU710" s="128"/>
      <c r="CW710" s="128"/>
      <c r="DN710" s="128"/>
      <c r="DP710" s="128"/>
      <c r="DR710" s="128"/>
      <c r="DV710" s="128"/>
      <c r="DX710" s="128"/>
      <c r="DY710" s="128"/>
      <c r="EA710" s="128"/>
      <c r="EB710" s="128"/>
      <c r="EC710" s="128"/>
      <c r="EG710" s="128"/>
      <c r="EL710" s="128"/>
      <c r="EM710" s="128"/>
      <c r="EO710" s="128"/>
      <c r="EQ710" s="128"/>
      <c r="ES710" s="128"/>
      <c r="EU710" s="128"/>
      <c r="EW710" s="128"/>
      <c r="EY710" s="128"/>
    </row>
    <row r="711" spans="3:155">
      <c r="C711" s="128"/>
      <c r="D711" s="128"/>
      <c r="E711" s="128"/>
      <c r="F711" s="128" t="str">
        <f>IF(E711 &lt;&gt; "", VLOOKUP(E711, '[2]Internal-logic'!G$1:I$364, 2, FALSE),"")</f>
        <v/>
      </c>
      <c r="G711" s="128" t="str">
        <f>IF(E711 &lt;&gt; "", VLOOKUP(E711, '[2]Internal-logic'!G$1:I$364, 3, FALSE),"")</f>
        <v/>
      </c>
      <c r="H711" s="128"/>
      <c r="I711" s="128"/>
      <c r="J711" s="128"/>
      <c r="K711" s="128"/>
      <c r="Q711" s="128"/>
      <c r="R711" s="128"/>
      <c r="S711" s="128"/>
      <c r="U711" s="128"/>
      <c r="X711" s="128"/>
      <c r="Y711" s="128"/>
      <c r="Z711" s="128"/>
      <c r="AA711" s="128"/>
      <c r="AB711" s="128"/>
      <c r="AC711" s="128"/>
      <c r="AD711" s="128"/>
      <c r="AE711" s="128"/>
      <c r="AF711" s="128"/>
      <c r="AG711" s="128"/>
      <c r="AI711" s="128"/>
      <c r="AJ711" s="128"/>
      <c r="AY711" s="128"/>
      <c r="BN711" s="128"/>
      <c r="BQ711" s="128"/>
      <c r="BR711" s="128"/>
      <c r="BT711" s="128"/>
      <c r="BV711" s="128"/>
      <c r="BX711" s="128"/>
      <c r="CU711" s="128"/>
      <c r="CW711" s="128"/>
      <c r="DN711" s="128"/>
      <c r="DP711" s="128"/>
      <c r="DR711" s="128"/>
      <c r="DV711" s="128"/>
      <c r="DX711" s="128"/>
      <c r="DY711" s="128"/>
      <c r="EA711" s="128"/>
      <c r="EB711" s="128"/>
      <c r="EC711" s="128"/>
      <c r="EG711" s="128"/>
      <c r="EL711" s="128"/>
      <c r="EM711" s="128"/>
      <c r="EO711" s="128"/>
      <c r="EQ711" s="128"/>
      <c r="ES711" s="128"/>
      <c r="EU711" s="128"/>
      <c r="EW711" s="128"/>
      <c r="EY711" s="128"/>
    </row>
    <row r="712" spans="3:155">
      <c r="C712" s="128"/>
      <c r="D712" s="128"/>
      <c r="E712" s="128"/>
      <c r="F712" s="128" t="str">
        <f>IF(E712 &lt;&gt; "", VLOOKUP(E712, '[2]Internal-logic'!G$1:I$364, 2, FALSE),"")</f>
        <v/>
      </c>
      <c r="G712" s="128" t="str">
        <f>IF(E712 &lt;&gt; "", VLOOKUP(E712, '[2]Internal-logic'!G$1:I$364, 3, FALSE),"")</f>
        <v/>
      </c>
      <c r="H712" s="128"/>
      <c r="I712" s="128"/>
      <c r="J712" s="128"/>
      <c r="K712" s="128"/>
      <c r="Q712" s="128"/>
      <c r="R712" s="128"/>
      <c r="S712" s="128"/>
      <c r="U712" s="128"/>
      <c r="X712" s="128"/>
      <c r="Y712" s="128"/>
      <c r="Z712" s="128"/>
      <c r="AA712" s="128"/>
      <c r="AB712" s="128"/>
      <c r="AC712" s="128"/>
      <c r="AD712" s="128"/>
      <c r="AE712" s="128"/>
      <c r="AF712" s="128"/>
      <c r="AG712" s="128"/>
      <c r="AI712" s="128"/>
      <c r="AJ712" s="128"/>
      <c r="AY712" s="128"/>
      <c r="BN712" s="128"/>
      <c r="BQ712" s="128"/>
      <c r="BR712" s="128"/>
      <c r="BT712" s="128"/>
      <c r="BV712" s="128"/>
      <c r="BX712" s="128"/>
      <c r="CU712" s="128"/>
      <c r="CW712" s="128"/>
      <c r="DN712" s="128"/>
      <c r="DP712" s="128"/>
      <c r="DR712" s="128"/>
      <c r="DV712" s="128"/>
      <c r="DX712" s="128"/>
      <c r="DY712" s="128"/>
      <c r="EA712" s="128"/>
      <c r="EB712" s="128"/>
      <c r="EC712" s="128"/>
      <c r="EG712" s="128"/>
      <c r="EL712" s="128"/>
      <c r="EM712" s="128"/>
      <c r="EO712" s="128"/>
      <c r="EQ712" s="128"/>
      <c r="ES712" s="128"/>
      <c r="EU712" s="128"/>
      <c r="EW712" s="128"/>
      <c r="EY712" s="128"/>
    </row>
    <row r="713" spans="3:155">
      <c r="C713" s="128"/>
      <c r="D713" s="128"/>
      <c r="E713" s="128"/>
      <c r="F713" s="128" t="str">
        <f>IF(E713 &lt;&gt; "", VLOOKUP(E713, '[2]Internal-logic'!G$1:I$364, 2, FALSE),"")</f>
        <v/>
      </c>
      <c r="G713" s="128" t="str">
        <f>IF(E713 &lt;&gt; "", VLOOKUP(E713, '[2]Internal-logic'!G$1:I$364, 3, FALSE),"")</f>
        <v/>
      </c>
      <c r="H713" s="128"/>
      <c r="I713" s="128"/>
      <c r="J713" s="128"/>
      <c r="K713" s="128"/>
      <c r="Q713" s="128"/>
      <c r="R713" s="128"/>
      <c r="S713" s="128"/>
      <c r="U713" s="128"/>
      <c r="X713" s="128"/>
      <c r="Y713" s="128"/>
      <c r="Z713" s="128"/>
      <c r="AA713" s="128"/>
      <c r="AB713" s="128"/>
      <c r="AC713" s="128"/>
      <c r="AD713" s="128"/>
      <c r="AE713" s="128"/>
      <c r="AF713" s="128"/>
      <c r="AG713" s="128"/>
      <c r="AI713" s="128"/>
      <c r="AJ713" s="128"/>
      <c r="AY713" s="128"/>
      <c r="BN713" s="128"/>
      <c r="BQ713" s="128"/>
      <c r="BR713" s="128"/>
      <c r="BT713" s="128"/>
      <c r="BV713" s="128"/>
      <c r="BX713" s="128"/>
      <c r="CU713" s="128"/>
      <c r="CW713" s="128"/>
      <c r="DN713" s="128"/>
      <c r="DP713" s="128"/>
      <c r="DR713" s="128"/>
      <c r="DV713" s="128"/>
      <c r="DX713" s="128"/>
      <c r="DY713" s="128"/>
      <c r="EA713" s="128"/>
      <c r="EB713" s="128"/>
      <c r="EC713" s="128"/>
      <c r="EG713" s="128"/>
      <c r="EL713" s="128"/>
      <c r="EM713" s="128"/>
      <c r="EO713" s="128"/>
      <c r="EQ713" s="128"/>
      <c r="ES713" s="128"/>
      <c r="EU713" s="128"/>
      <c r="EW713" s="128"/>
      <c r="EY713" s="128"/>
    </row>
    <row r="714" spans="3:155">
      <c r="C714" s="128"/>
      <c r="D714" s="128"/>
      <c r="E714" s="128"/>
      <c r="F714" s="128" t="str">
        <f>IF(E714 &lt;&gt; "", VLOOKUP(E714, '[2]Internal-logic'!G$1:I$364, 2, FALSE),"")</f>
        <v/>
      </c>
      <c r="G714" s="128" t="str">
        <f>IF(E714 &lt;&gt; "", VLOOKUP(E714, '[2]Internal-logic'!G$1:I$364, 3, FALSE),"")</f>
        <v/>
      </c>
      <c r="H714" s="128"/>
      <c r="I714" s="128"/>
      <c r="J714" s="128"/>
      <c r="K714" s="128"/>
      <c r="Q714" s="128"/>
      <c r="R714" s="128"/>
      <c r="S714" s="128"/>
      <c r="U714" s="128"/>
      <c r="X714" s="128"/>
      <c r="Y714" s="128"/>
      <c r="Z714" s="128"/>
      <c r="AA714" s="128"/>
      <c r="AB714" s="128"/>
      <c r="AC714" s="128"/>
      <c r="AD714" s="128"/>
      <c r="AE714" s="128"/>
      <c r="AF714" s="128"/>
      <c r="AG714" s="128"/>
      <c r="AI714" s="128"/>
      <c r="AJ714" s="128"/>
      <c r="AY714" s="128"/>
      <c r="BN714" s="128"/>
      <c r="BQ714" s="128"/>
      <c r="BR714" s="128"/>
      <c r="BT714" s="128"/>
      <c r="BV714" s="128"/>
      <c r="BX714" s="128"/>
      <c r="CU714" s="128"/>
      <c r="CW714" s="128"/>
      <c r="DN714" s="128"/>
      <c r="DP714" s="128"/>
      <c r="DR714" s="128"/>
      <c r="DV714" s="128"/>
      <c r="DX714" s="128"/>
      <c r="DY714" s="128"/>
      <c r="EA714" s="128"/>
      <c r="EB714" s="128"/>
      <c r="EC714" s="128"/>
      <c r="EG714" s="128"/>
      <c r="EL714" s="128"/>
      <c r="EM714" s="128"/>
      <c r="EO714" s="128"/>
      <c r="EQ714" s="128"/>
      <c r="ES714" s="128"/>
      <c r="EU714" s="128"/>
      <c r="EW714" s="128"/>
      <c r="EY714" s="128"/>
    </row>
    <row r="715" spans="3:155">
      <c r="C715" s="128"/>
      <c r="D715" s="128"/>
      <c r="E715" s="128"/>
      <c r="F715" s="128" t="str">
        <f>IF(E715 &lt;&gt; "", VLOOKUP(E715, '[2]Internal-logic'!G$1:I$364, 2, FALSE),"")</f>
        <v/>
      </c>
      <c r="G715" s="128" t="str">
        <f>IF(E715 &lt;&gt; "", VLOOKUP(E715, '[2]Internal-logic'!G$1:I$364, 3, FALSE),"")</f>
        <v/>
      </c>
      <c r="H715" s="128"/>
      <c r="I715" s="128"/>
      <c r="J715" s="128"/>
      <c r="K715" s="128"/>
      <c r="Q715" s="128"/>
      <c r="R715" s="128"/>
      <c r="S715" s="128"/>
      <c r="U715" s="128"/>
      <c r="X715" s="128"/>
      <c r="Y715" s="128"/>
      <c r="Z715" s="128"/>
      <c r="AA715" s="128"/>
      <c r="AB715" s="128"/>
      <c r="AC715" s="128"/>
      <c r="AD715" s="128"/>
      <c r="AE715" s="128"/>
      <c r="AF715" s="128"/>
      <c r="AG715" s="128"/>
      <c r="AI715" s="128"/>
      <c r="AJ715" s="128"/>
      <c r="AY715" s="128"/>
      <c r="BN715" s="128"/>
      <c r="BQ715" s="128"/>
      <c r="BR715" s="128"/>
      <c r="BT715" s="128"/>
      <c r="BV715" s="128"/>
      <c r="BX715" s="128"/>
      <c r="CU715" s="128"/>
      <c r="CW715" s="128"/>
      <c r="DN715" s="128"/>
      <c r="DP715" s="128"/>
      <c r="DR715" s="128"/>
      <c r="DV715" s="128"/>
      <c r="DX715" s="128"/>
      <c r="DY715" s="128"/>
      <c r="EA715" s="128"/>
      <c r="EB715" s="128"/>
      <c r="EC715" s="128"/>
      <c r="EG715" s="128"/>
      <c r="EL715" s="128"/>
      <c r="EM715" s="128"/>
      <c r="EO715" s="128"/>
      <c r="EQ715" s="128"/>
      <c r="ES715" s="128"/>
      <c r="EU715" s="128"/>
      <c r="EW715" s="128"/>
      <c r="EY715" s="128"/>
    </row>
    <row r="716" spans="3:155">
      <c r="C716" s="128"/>
      <c r="D716" s="128"/>
      <c r="E716" s="128"/>
      <c r="F716" s="128" t="str">
        <f>IF(E716 &lt;&gt; "", VLOOKUP(E716, '[2]Internal-logic'!G$1:I$364, 2, FALSE),"")</f>
        <v/>
      </c>
      <c r="G716" s="128" t="str">
        <f>IF(E716 &lt;&gt; "", VLOOKUP(E716, '[2]Internal-logic'!G$1:I$364, 3, FALSE),"")</f>
        <v/>
      </c>
      <c r="H716" s="128"/>
      <c r="I716" s="128"/>
      <c r="J716" s="128"/>
      <c r="K716" s="128"/>
      <c r="Q716" s="128"/>
      <c r="R716" s="128"/>
      <c r="S716" s="128"/>
      <c r="U716" s="128"/>
      <c r="X716" s="128"/>
      <c r="Y716" s="128"/>
      <c r="Z716" s="128"/>
      <c r="AA716" s="128"/>
      <c r="AB716" s="128"/>
      <c r="AC716" s="128"/>
      <c r="AD716" s="128"/>
      <c r="AE716" s="128"/>
      <c r="AF716" s="128"/>
      <c r="AG716" s="128"/>
      <c r="AI716" s="128"/>
      <c r="AJ716" s="128"/>
      <c r="AY716" s="128"/>
      <c r="BN716" s="128"/>
      <c r="BQ716" s="128"/>
      <c r="BR716" s="128"/>
      <c r="BT716" s="128"/>
      <c r="BV716" s="128"/>
      <c r="BX716" s="128"/>
      <c r="CU716" s="128"/>
      <c r="CW716" s="128"/>
      <c r="DN716" s="128"/>
      <c r="DP716" s="128"/>
      <c r="DR716" s="128"/>
      <c r="DV716" s="128"/>
      <c r="DX716" s="128"/>
      <c r="DY716" s="128"/>
      <c r="EA716" s="128"/>
      <c r="EB716" s="128"/>
      <c r="EC716" s="128"/>
      <c r="EG716" s="128"/>
      <c r="EL716" s="128"/>
      <c r="EM716" s="128"/>
      <c r="EO716" s="128"/>
      <c r="EQ716" s="128"/>
      <c r="ES716" s="128"/>
      <c r="EU716" s="128"/>
      <c r="EW716" s="128"/>
      <c r="EY716" s="128"/>
    </row>
    <row r="717" spans="3:155">
      <c r="C717" s="128"/>
      <c r="D717" s="128"/>
      <c r="E717" s="128"/>
      <c r="F717" s="128" t="str">
        <f>IF(E717 &lt;&gt; "", VLOOKUP(E717, '[2]Internal-logic'!G$1:I$364, 2, FALSE),"")</f>
        <v/>
      </c>
      <c r="G717" s="128" t="str">
        <f>IF(E717 &lt;&gt; "", VLOOKUP(E717, '[2]Internal-logic'!G$1:I$364, 3, FALSE),"")</f>
        <v/>
      </c>
      <c r="H717" s="128"/>
      <c r="I717" s="128"/>
      <c r="J717" s="128"/>
      <c r="K717" s="128"/>
      <c r="Q717" s="128"/>
      <c r="R717" s="128"/>
      <c r="S717" s="128"/>
      <c r="U717" s="128"/>
      <c r="X717" s="128"/>
      <c r="Y717" s="128"/>
      <c r="Z717" s="128"/>
      <c r="AA717" s="128"/>
      <c r="AB717" s="128"/>
      <c r="AC717" s="128"/>
      <c r="AD717" s="128"/>
      <c r="AE717" s="128"/>
      <c r="AF717" s="128"/>
      <c r="AG717" s="128"/>
      <c r="AI717" s="128"/>
      <c r="AJ717" s="128"/>
      <c r="AY717" s="128"/>
      <c r="BN717" s="128"/>
      <c r="BQ717" s="128"/>
      <c r="BR717" s="128"/>
      <c r="BT717" s="128"/>
      <c r="BV717" s="128"/>
      <c r="BX717" s="128"/>
      <c r="CU717" s="128"/>
      <c r="CW717" s="128"/>
      <c r="DN717" s="128"/>
      <c r="DP717" s="128"/>
      <c r="DR717" s="128"/>
      <c r="DV717" s="128"/>
      <c r="DX717" s="128"/>
      <c r="DY717" s="128"/>
      <c r="EA717" s="128"/>
      <c r="EB717" s="128"/>
      <c r="EC717" s="128"/>
      <c r="EG717" s="128"/>
      <c r="EL717" s="128"/>
      <c r="EM717" s="128"/>
      <c r="EO717" s="128"/>
      <c r="EQ717" s="128"/>
      <c r="ES717" s="128"/>
      <c r="EU717" s="128"/>
      <c r="EW717" s="128"/>
      <c r="EY717" s="128"/>
    </row>
    <row r="718" spans="3:155">
      <c r="C718" s="128"/>
      <c r="D718" s="128"/>
      <c r="E718" s="128"/>
      <c r="F718" s="128" t="str">
        <f>IF(E718 &lt;&gt; "", VLOOKUP(E718, '[2]Internal-logic'!G$1:I$364, 2, FALSE),"")</f>
        <v/>
      </c>
      <c r="G718" s="128" t="str">
        <f>IF(E718 &lt;&gt; "", VLOOKUP(E718, '[2]Internal-logic'!G$1:I$364, 3, FALSE),"")</f>
        <v/>
      </c>
      <c r="H718" s="128"/>
      <c r="I718" s="128"/>
      <c r="J718" s="128"/>
      <c r="K718" s="128"/>
      <c r="Q718" s="128"/>
      <c r="R718" s="128"/>
      <c r="S718" s="128"/>
      <c r="U718" s="128"/>
      <c r="X718" s="128"/>
      <c r="Y718" s="128"/>
      <c r="Z718" s="128"/>
      <c r="AA718" s="128"/>
      <c r="AB718" s="128"/>
      <c r="AC718" s="128"/>
      <c r="AD718" s="128"/>
      <c r="AE718" s="128"/>
      <c r="AF718" s="128"/>
      <c r="AG718" s="128"/>
      <c r="AI718" s="128"/>
      <c r="AJ718" s="128"/>
      <c r="AY718" s="128"/>
      <c r="BN718" s="128"/>
      <c r="BQ718" s="128"/>
      <c r="BR718" s="128"/>
      <c r="BT718" s="128"/>
      <c r="BV718" s="128"/>
      <c r="BX718" s="128"/>
      <c r="CU718" s="128"/>
      <c r="CW718" s="128"/>
      <c r="DN718" s="128"/>
      <c r="DP718" s="128"/>
      <c r="DR718" s="128"/>
      <c r="DV718" s="128"/>
      <c r="DX718" s="128"/>
      <c r="DY718" s="128"/>
      <c r="EA718" s="128"/>
      <c r="EB718" s="128"/>
      <c r="EC718" s="128"/>
      <c r="EG718" s="128"/>
      <c r="EL718" s="128"/>
      <c r="EM718" s="128"/>
      <c r="EO718" s="128"/>
      <c r="EQ718" s="128"/>
      <c r="ES718" s="128"/>
      <c r="EU718" s="128"/>
      <c r="EW718" s="128"/>
      <c r="EY718" s="128"/>
    </row>
    <row r="719" spans="3:155">
      <c r="C719" s="128"/>
      <c r="D719" s="128"/>
      <c r="E719" s="128"/>
      <c r="F719" s="128" t="str">
        <f>IF(E719 &lt;&gt; "", VLOOKUP(E719, '[2]Internal-logic'!G$1:I$364, 2, FALSE),"")</f>
        <v/>
      </c>
      <c r="G719" s="128" t="str">
        <f>IF(E719 &lt;&gt; "", VLOOKUP(E719, '[2]Internal-logic'!G$1:I$364, 3, FALSE),"")</f>
        <v/>
      </c>
      <c r="H719" s="128"/>
      <c r="I719" s="128"/>
      <c r="J719" s="128"/>
      <c r="K719" s="128"/>
      <c r="Q719" s="128"/>
      <c r="R719" s="128"/>
      <c r="S719" s="128"/>
      <c r="U719" s="128"/>
      <c r="X719" s="128"/>
      <c r="Y719" s="128"/>
      <c r="Z719" s="128"/>
      <c r="AA719" s="128"/>
      <c r="AB719" s="128"/>
      <c r="AC719" s="128"/>
      <c r="AD719" s="128"/>
      <c r="AE719" s="128"/>
      <c r="AF719" s="128"/>
      <c r="AG719" s="128"/>
      <c r="AI719" s="128"/>
      <c r="AJ719" s="128"/>
      <c r="AY719" s="128"/>
      <c r="BN719" s="128"/>
      <c r="BQ719" s="128"/>
      <c r="BR719" s="128"/>
      <c r="BT719" s="128"/>
      <c r="BV719" s="128"/>
      <c r="BX719" s="128"/>
      <c r="CU719" s="128"/>
      <c r="CW719" s="128"/>
      <c r="DN719" s="128"/>
      <c r="DP719" s="128"/>
      <c r="DR719" s="128"/>
      <c r="DV719" s="128"/>
      <c r="DX719" s="128"/>
      <c r="DY719" s="128"/>
      <c r="EA719" s="128"/>
      <c r="EB719" s="128"/>
      <c r="EC719" s="128"/>
      <c r="EG719" s="128"/>
      <c r="EL719" s="128"/>
      <c r="EM719" s="128"/>
      <c r="EO719" s="128"/>
      <c r="EQ719" s="128"/>
      <c r="ES719" s="128"/>
      <c r="EU719" s="128"/>
      <c r="EW719" s="128"/>
      <c r="EY719" s="128"/>
    </row>
    <row r="720" spans="3:155">
      <c r="C720" s="128"/>
      <c r="D720" s="128"/>
      <c r="E720" s="128"/>
      <c r="F720" s="128" t="str">
        <f>IF(E720 &lt;&gt; "", VLOOKUP(E720, '[2]Internal-logic'!G$1:I$364, 2, FALSE),"")</f>
        <v/>
      </c>
      <c r="G720" s="128" t="str">
        <f>IF(E720 &lt;&gt; "", VLOOKUP(E720, '[2]Internal-logic'!G$1:I$364, 3, FALSE),"")</f>
        <v/>
      </c>
      <c r="H720" s="128"/>
      <c r="I720" s="128"/>
      <c r="J720" s="128"/>
      <c r="K720" s="128"/>
      <c r="Q720" s="128"/>
      <c r="R720" s="128"/>
      <c r="S720" s="128"/>
      <c r="U720" s="128"/>
      <c r="X720" s="128"/>
      <c r="Y720" s="128"/>
      <c r="Z720" s="128"/>
      <c r="AA720" s="128"/>
      <c r="AB720" s="128"/>
      <c r="AC720" s="128"/>
      <c r="AD720" s="128"/>
      <c r="AE720" s="128"/>
      <c r="AF720" s="128"/>
      <c r="AG720" s="128"/>
      <c r="AI720" s="128"/>
      <c r="AJ720" s="128"/>
      <c r="AY720" s="128"/>
      <c r="BN720" s="128"/>
      <c r="BQ720" s="128"/>
      <c r="BR720" s="128"/>
      <c r="BT720" s="128"/>
      <c r="BV720" s="128"/>
      <c r="BX720" s="128"/>
      <c r="CU720" s="128"/>
      <c r="CW720" s="128"/>
      <c r="DN720" s="128"/>
      <c r="DP720" s="128"/>
      <c r="DR720" s="128"/>
      <c r="DV720" s="128"/>
      <c r="DX720" s="128"/>
      <c r="DY720" s="128"/>
      <c r="EA720" s="128"/>
      <c r="EB720" s="128"/>
      <c r="EC720" s="128"/>
      <c r="EG720" s="128"/>
      <c r="EL720" s="128"/>
      <c r="EM720" s="128"/>
      <c r="EO720" s="128"/>
      <c r="EQ720" s="128"/>
      <c r="ES720" s="128"/>
      <c r="EU720" s="128"/>
      <c r="EW720" s="128"/>
      <c r="EY720" s="128"/>
    </row>
    <row r="721" spans="3:155">
      <c r="C721" s="128"/>
      <c r="D721" s="128"/>
      <c r="E721" s="128"/>
      <c r="F721" s="128" t="str">
        <f>IF(E721 &lt;&gt; "", VLOOKUP(E721, '[2]Internal-logic'!G$1:I$364, 2, FALSE),"")</f>
        <v/>
      </c>
      <c r="G721" s="128" t="str">
        <f>IF(E721 &lt;&gt; "", VLOOKUP(E721, '[2]Internal-logic'!G$1:I$364, 3, FALSE),"")</f>
        <v/>
      </c>
      <c r="H721" s="128"/>
      <c r="I721" s="128"/>
      <c r="J721" s="128"/>
      <c r="K721" s="128"/>
      <c r="Q721" s="128"/>
      <c r="R721" s="128"/>
      <c r="S721" s="128"/>
      <c r="U721" s="128"/>
      <c r="X721" s="128"/>
      <c r="Y721" s="128"/>
      <c r="Z721" s="128"/>
      <c r="AA721" s="128"/>
      <c r="AB721" s="128"/>
      <c r="AC721" s="128"/>
      <c r="AD721" s="128"/>
      <c r="AE721" s="128"/>
      <c r="AF721" s="128"/>
      <c r="AG721" s="128"/>
      <c r="AI721" s="128"/>
      <c r="AJ721" s="128"/>
      <c r="AY721" s="128"/>
      <c r="BN721" s="128"/>
      <c r="BQ721" s="128"/>
      <c r="BR721" s="128"/>
      <c r="BT721" s="128"/>
      <c r="BV721" s="128"/>
      <c r="BX721" s="128"/>
      <c r="CU721" s="128"/>
      <c r="CW721" s="128"/>
      <c r="DN721" s="128"/>
      <c r="DP721" s="128"/>
      <c r="DR721" s="128"/>
      <c r="DV721" s="128"/>
      <c r="DX721" s="128"/>
      <c r="DY721" s="128"/>
      <c r="EA721" s="128"/>
      <c r="EB721" s="128"/>
      <c r="EC721" s="128"/>
      <c r="EG721" s="128"/>
      <c r="EL721" s="128"/>
      <c r="EM721" s="128"/>
      <c r="EO721" s="128"/>
      <c r="EQ721" s="128"/>
      <c r="ES721" s="128"/>
      <c r="EU721" s="128"/>
      <c r="EW721" s="128"/>
      <c r="EY721" s="128"/>
    </row>
    <row r="722" spans="3:155">
      <c r="C722" s="128"/>
      <c r="D722" s="128"/>
      <c r="E722" s="128"/>
      <c r="F722" s="128" t="str">
        <f>IF(E722 &lt;&gt; "", VLOOKUP(E722, '[2]Internal-logic'!G$1:I$364, 2, FALSE),"")</f>
        <v/>
      </c>
      <c r="G722" s="128" t="str">
        <f>IF(E722 &lt;&gt; "", VLOOKUP(E722, '[2]Internal-logic'!G$1:I$364, 3, FALSE),"")</f>
        <v/>
      </c>
      <c r="H722" s="128"/>
      <c r="I722" s="128"/>
      <c r="J722" s="128"/>
      <c r="K722" s="128"/>
      <c r="Q722" s="128"/>
      <c r="R722" s="128"/>
      <c r="S722" s="128"/>
      <c r="U722" s="128"/>
      <c r="X722" s="128"/>
      <c r="Y722" s="128"/>
      <c r="Z722" s="128"/>
      <c r="AA722" s="128"/>
      <c r="AB722" s="128"/>
      <c r="AC722" s="128"/>
      <c r="AD722" s="128"/>
      <c r="AE722" s="128"/>
      <c r="AF722" s="128"/>
      <c r="AG722" s="128"/>
      <c r="AI722" s="128"/>
      <c r="AJ722" s="128"/>
      <c r="AY722" s="128"/>
      <c r="BN722" s="128"/>
      <c r="BQ722" s="128"/>
      <c r="BR722" s="128"/>
      <c r="BT722" s="128"/>
      <c r="BV722" s="128"/>
      <c r="BX722" s="128"/>
      <c r="CU722" s="128"/>
      <c r="CW722" s="128"/>
      <c r="DN722" s="128"/>
      <c r="DP722" s="128"/>
      <c r="DR722" s="128"/>
      <c r="DV722" s="128"/>
      <c r="DX722" s="128"/>
      <c r="DY722" s="128"/>
      <c r="EA722" s="128"/>
      <c r="EB722" s="128"/>
      <c r="EC722" s="128"/>
      <c r="EG722" s="128"/>
      <c r="EL722" s="128"/>
      <c r="EM722" s="128"/>
      <c r="EO722" s="128"/>
      <c r="EQ722" s="128"/>
      <c r="ES722" s="128"/>
      <c r="EU722" s="128"/>
      <c r="EW722" s="128"/>
      <c r="EY722" s="128"/>
    </row>
    <row r="723" spans="3:155">
      <c r="C723" s="128"/>
      <c r="D723" s="128"/>
      <c r="E723" s="128"/>
      <c r="F723" s="128" t="str">
        <f>IF(E723 &lt;&gt; "", VLOOKUP(E723, '[2]Internal-logic'!G$1:I$364, 2, FALSE),"")</f>
        <v/>
      </c>
      <c r="G723" s="128" t="str">
        <f>IF(E723 &lt;&gt; "", VLOOKUP(E723, '[2]Internal-logic'!G$1:I$364, 3, FALSE),"")</f>
        <v/>
      </c>
      <c r="H723" s="128"/>
      <c r="I723" s="128"/>
      <c r="J723" s="128"/>
      <c r="K723" s="128"/>
      <c r="Q723" s="128"/>
      <c r="R723" s="128"/>
      <c r="S723" s="128"/>
      <c r="U723" s="128"/>
      <c r="X723" s="128"/>
      <c r="Y723" s="128"/>
      <c r="Z723" s="128"/>
      <c r="AA723" s="128"/>
      <c r="AB723" s="128"/>
      <c r="AC723" s="128"/>
      <c r="AD723" s="128"/>
      <c r="AE723" s="128"/>
      <c r="AF723" s="128"/>
      <c r="AG723" s="128"/>
      <c r="AI723" s="128"/>
      <c r="AJ723" s="128"/>
      <c r="AY723" s="128"/>
      <c r="BN723" s="128"/>
      <c r="BQ723" s="128"/>
      <c r="BR723" s="128"/>
      <c r="BT723" s="128"/>
      <c r="BV723" s="128"/>
      <c r="BX723" s="128"/>
      <c r="CU723" s="128"/>
      <c r="CW723" s="128"/>
      <c r="DN723" s="128"/>
      <c r="DP723" s="128"/>
      <c r="DR723" s="128"/>
      <c r="DV723" s="128"/>
      <c r="DX723" s="128"/>
      <c r="DY723" s="128"/>
      <c r="EA723" s="128"/>
      <c r="EB723" s="128"/>
      <c r="EC723" s="128"/>
      <c r="EG723" s="128"/>
      <c r="EL723" s="128"/>
      <c r="EM723" s="128"/>
      <c r="EO723" s="128"/>
      <c r="EQ723" s="128"/>
      <c r="ES723" s="128"/>
      <c r="EU723" s="128"/>
      <c r="EW723" s="128"/>
      <c r="EY723" s="128"/>
    </row>
    <row r="724" spans="3:155">
      <c r="C724" s="128"/>
      <c r="D724" s="128"/>
      <c r="E724" s="128"/>
      <c r="F724" s="128" t="str">
        <f>IF(E724 &lt;&gt; "", VLOOKUP(E724, '[2]Internal-logic'!G$1:I$364, 2, FALSE),"")</f>
        <v/>
      </c>
      <c r="G724" s="128" t="str">
        <f>IF(E724 &lt;&gt; "", VLOOKUP(E724, '[2]Internal-logic'!G$1:I$364, 3, FALSE),"")</f>
        <v/>
      </c>
      <c r="H724" s="128"/>
      <c r="I724" s="128"/>
      <c r="J724" s="128"/>
      <c r="K724" s="128"/>
      <c r="Q724" s="128"/>
      <c r="R724" s="128"/>
      <c r="S724" s="128"/>
      <c r="U724" s="128"/>
      <c r="X724" s="128"/>
      <c r="Y724" s="128"/>
      <c r="Z724" s="128"/>
      <c r="AA724" s="128"/>
      <c r="AB724" s="128"/>
      <c r="AC724" s="128"/>
      <c r="AD724" s="128"/>
      <c r="AE724" s="128"/>
      <c r="AF724" s="128"/>
      <c r="AG724" s="128"/>
      <c r="AI724" s="128"/>
      <c r="AJ724" s="128"/>
      <c r="AY724" s="128"/>
      <c r="BN724" s="128"/>
      <c r="BQ724" s="128"/>
      <c r="BR724" s="128"/>
      <c r="BT724" s="128"/>
      <c r="BV724" s="128"/>
      <c r="BX724" s="128"/>
      <c r="CU724" s="128"/>
      <c r="CW724" s="128"/>
      <c r="DN724" s="128"/>
      <c r="DP724" s="128"/>
      <c r="DR724" s="128"/>
      <c r="DV724" s="128"/>
      <c r="DX724" s="128"/>
      <c r="DY724" s="128"/>
      <c r="EA724" s="128"/>
      <c r="EB724" s="128"/>
      <c r="EC724" s="128"/>
      <c r="EG724" s="128"/>
      <c r="EL724" s="128"/>
      <c r="EM724" s="128"/>
      <c r="EO724" s="128"/>
      <c r="EQ724" s="128"/>
      <c r="ES724" s="128"/>
      <c r="EU724" s="128"/>
      <c r="EW724" s="128"/>
      <c r="EY724" s="128"/>
    </row>
    <row r="725" spans="3:155">
      <c r="C725" s="128"/>
      <c r="D725" s="128"/>
      <c r="E725" s="128"/>
      <c r="F725" s="128" t="str">
        <f>IF(E725 &lt;&gt; "", VLOOKUP(E725, '[2]Internal-logic'!G$1:I$364, 2, FALSE),"")</f>
        <v/>
      </c>
      <c r="G725" s="128" t="str">
        <f>IF(E725 &lt;&gt; "", VLOOKUP(E725, '[2]Internal-logic'!G$1:I$364, 3, FALSE),"")</f>
        <v/>
      </c>
      <c r="H725" s="128"/>
      <c r="I725" s="128"/>
      <c r="J725" s="128"/>
      <c r="K725" s="128"/>
      <c r="Q725" s="128"/>
      <c r="R725" s="128"/>
      <c r="S725" s="128"/>
      <c r="U725" s="128"/>
      <c r="X725" s="128"/>
      <c r="Y725" s="128"/>
      <c r="Z725" s="128"/>
      <c r="AA725" s="128"/>
      <c r="AB725" s="128"/>
      <c r="AC725" s="128"/>
      <c r="AD725" s="128"/>
      <c r="AE725" s="128"/>
      <c r="AF725" s="128"/>
      <c r="AG725" s="128"/>
      <c r="AI725" s="128"/>
      <c r="AJ725" s="128"/>
      <c r="AY725" s="128"/>
      <c r="BN725" s="128"/>
      <c r="BQ725" s="128"/>
      <c r="BR725" s="128"/>
      <c r="BT725" s="128"/>
      <c r="BV725" s="128"/>
      <c r="BX725" s="128"/>
      <c r="CU725" s="128"/>
      <c r="CW725" s="128"/>
      <c r="DN725" s="128"/>
      <c r="DP725" s="128"/>
      <c r="DR725" s="128"/>
      <c r="DV725" s="128"/>
      <c r="DX725" s="128"/>
      <c r="DY725" s="128"/>
      <c r="EA725" s="128"/>
      <c r="EB725" s="128"/>
      <c r="EC725" s="128"/>
      <c r="EG725" s="128"/>
      <c r="EL725" s="128"/>
      <c r="EM725" s="128"/>
      <c r="EO725" s="128"/>
      <c r="EQ725" s="128"/>
      <c r="ES725" s="128"/>
      <c r="EU725" s="128"/>
      <c r="EW725" s="128"/>
      <c r="EY725" s="128"/>
    </row>
    <row r="726" spans="3:155">
      <c r="C726" s="128"/>
      <c r="D726" s="128"/>
      <c r="E726" s="128"/>
      <c r="F726" s="128" t="str">
        <f>IF(E726 &lt;&gt; "", VLOOKUP(E726, '[2]Internal-logic'!G$1:I$364, 2, FALSE),"")</f>
        <v/>
      </c>
      <c r="G726" s="128" t="str">
        <f>IF(E726 &lt;&gt; "", VLOOKUP(E726, '[2]Internal-logic'!G$1:I$364, 3, FALSE),"")</f>
        <v/>
      </c>
      <c r="H726" s="128"/>
      <c r="I726" s="128"/>
      <c r="J726" s="128"/>
      <c r="K726" s="128"/>
      <c r="Q726" s="128"/>
      <c r="R726" s="128"/>
      <c r="S726" s="128"/>
      <c r="U726" s="128"/>
      <c r="X726" s="128"/>
      <c r="Y726" s="128"/>
      <c r="Z726" s="128"/>
      <c r="AA726" s="128"/>
      <c r="AB726" s="128"/>
      <c r="AC726" s="128"/>
      <c r="AD726" s="128"/>
      <c r="AE726" s="128"/>
      <c r="AF726" s="128"/>
      <c r="AG726" s="128"/>
      <c r="AI726" s="128"/>
      <c r="AJ726" s="128"/>
      <c r="AY726" s="128"/>
      <c r="BN726" s="128"/>
      <c r="BQ726" s="128"/>
      <c r="BR726" s="128"/>
      <c r="BT726" s="128"/>
      <c r="BV726" s="128"/>
      <c r="BX726" s="128"/>
      <c r="CU726" s="128"/>
      <c r="CW726" s="128"/>
      <c r="DN726" s="128"/>
      <c r="DP726" s="128"/>
      <c r="DR726" s="128"/>
      <c r="DV726" s="128"/>
      <c r="DX726" s="128"/>
      <c r="DY726" s="128"/>
      <c r="EA726" s="128"/>
      <c r="EB726" s="128"/>
      <c r="EC726" s="128"/>
      <c r="EG726" s="128"/>
      <c r="EL726" s="128"/>
      <c r="EM726" s="128"/>
      <c r="EO726" s="128"/>
      <c r="EQ726" s="128"/>
      <c r="ES726" s="128"/>
      <c r="EU726" s="128"/>
      <c r="EW726" s="128"/>
      <c r="EY726" s="128"/>
    </row>
    <row r="727" spans="3:155">
      <c r="C727" s="128"/>
      <c r="D727" s="128"/>
      <c r="E727" s="128"/>
      <c r="F727" s="128" t="str">
        <f>IF(E727 &lt;&gt; "", VLOOKUP(E727, '[2]Internal-logic'!G$1:I$364, 2, FALSE),"")</f>
        <v/>
      </c>
      <c r="G727" s="128" t="str">
        <f>IF(E727 &lt;&gt; "", VLOOKUP(E727, '[2]Internal-logic'!G$1:I$364, 3, FALSE),"")</f>
        <v/>
      </c>
      <c r="H727" s="128"/>
      <c r="I727" s="128"/>
      <c r="J727" s="128"/>
      <c r="K727" s="128"/>
      <c r="Q727" s="128"/>
      <c r="R727" s="128"/>
      <c r="S727" s="128"/>
      <c r="U727" s="128"/>
      <c r="X727" s="128"/>
      <c r="Y727" s="128"/>
      <c r="Z727" s="128"/>
      <c r="AA727" s="128"/>
      <c r="AB727" s="128"/>
      <c r="AC727" s="128"/>
      <c r="AD727" s="128"/>
      <c r="AE727" s="128"/>
      <c r="AF727" s="128"/>
      <c r="AG727" s="128"/>
      <c r="AI727" s="128"/>
      <c r="AJ727" s="128"/>
      <c r="AY727" s="128"/>
      <c r="BN727" s="128"/>
      <c r="BQ727" s="128"/>
      <c r="BR727" s="128"/>
      <c r="BT727" s="128"/>
      <c r="BV727" s="128"/>
      <c r="BX727" s="128"/>
      <c r="CU727" s="128"/>
      <c r="CW727" s="128"/>
      <c r="DN727" s="128"/>
      <c r="DP727" s="128"/>
      <c r="DR727" s="128"/>
      <c r="DV727" s="128"/>
      <c r="DX727" s="128"/>
      <c r="DY727" s="128"/>
      <c r="EA727" s="128"/>
      <c r="EB727" s="128"/>
      <c r="EC727" s="128"/>
      <c r="EG727" s="128"/>
      <c r="EL727" s="128"/>
      <c r="EM727" s="128"/>
      <c r="EO727" s="128"/>
      <c r="EQ727" s="128"/>
      <c r="ES727" s="128"/>
      <c r="EU727" s="128"/>
      <c r="EW727" s="128"/>
      <c r="EY727" s="128"/>
    </row>
    <row r="728" spans="3:155">
      <c r="C728" s="128"/>
      <c r="D728" s="128"/>
      <c r="E728" s="128"/>
      <c r="F728" s="128" t="str">
        <f>IF(E728 &lt;&gt; "", VLOOKUP(E728, '[2]Internal-logic'!G$1:I$364, 2, FALSE),"")</f>
        <v/>
      </c>
      <c r="G728" s="128" t="str">
        <f>IF(E728 &lt;&gt; "", VLOOKUP(E728, '[2]Internal-logic'!G$1:I$364, 3, FALSE),"")</f>
        <v/>
      </c>
      <c r="H728" s="128"/>
      <c r="I728" s="128"/>
      <c r="J728" s="128"/>
      <c r="K728" s="128"/>
      <c r="Q728" s="128"/>
      <c r="R728" s="128"/>
      <c r="S728" s="128"/>
      <c r="U728" s="128"/>
      <c r="X728" s="128"/>
      <c r="Y728" s="128"/>
      <c r="Z728" s="128"/>
      <c r="AA728" s="128"/>
      <c r="AB728" s="128"/>
      <c r="AC728" s="128"/>
      <c r="AD728" s="128"/>
      <c r="AE728" s="128"/>
      <c r="AF728" s="128"/>
      <c r="AG728" s="128"/>
      <c r="AI728" s="128"/>
      <c r="AJ728" s="128"/>
      <c r="AY728" s="128"/>
      <c r="BN728" s="128"/>
      <c r="BQ728" s="128"/>
      <c r="BR728" s="128"/>
      <c r="BT728" s="128"/>
      <c r="BV728" s="128"/>
      <c r="BX728" s="128"/>
      <c r="CU728" s="128"/>
      <c r="CW728" s="128"/>
      <c r="DN728" s="128"/>
      <c r="DP728" s="128"/>
      <c r="DR728" s="128"/>
      <c r="DV728" s="128"/>
      <c r="DX728" s="128"/>
      <c r="DY728" s="128"/>
      <c r="EA728" s="128"/>
      <c r="EB728" s="128"/>
      <c r="EC728" s="128"/>
      <c r="EG728" s="128"/>
      <c r="EL728" s="128"/>
      <c r="EM728" s="128"/>
      <c r="EO728" s="128"/>
      <c r="EQ728" s="128"/>
      <c r="ES728" s="128"/>
      <c r="EU728" s="128"/>
      <c r="EW728" s="128"/>
      <c r="EY728" s="128"/>
    </row>
    <row r="729" spans="3:155">
      <c r="C729" s="128"/>
      <c r="D729" s="128"/>
      <c r="E729" s="128"/>
      <c r="F729" s="128" t="str">
        <f>IF(E729 &lt;&gt; "", VLOOKUP(E729, '[2]Internal-logic'!G$1:I$364, 2, FALSE),"")</f>
        <v/>
      </c>
      <c r="G729" s="128" t="str">
        <f>IF(E729 &lt;&gt; "", VLOOKUP(E729, '[2]Internal-logic'!G$1:I$364, 3, FALSE),"")</f>
        <v/>
      </c>
      <c r="H729" s="128"/>
      <c r="I729" s="128"/>
      <c r="J729" s="128"/>
      <c r="K729" s="128"/>
      <c r="Q729" s="128"/>
      <c r="R729" s="128"/>
      <c r="S729" s="128"/>
      <c r="U729" s="128"/>
      <c r="X729" s="128"/>
      <c r="Y729" s="128"/>
      <c r="Z729" s="128"/>
      <c r="AA729" s="128"/>
      <c r="AB729" s="128"/>
      <c r="AC729" s="128"/>
      <c r="AD729" s="128"/>
      <c r="AE729" s="128"/>
      <c r="AF729" s="128"/>
      <c r="AG729" s="128"/>
      <c r="AI729" s="128"/>
      <c r="AJ729" s="128"/>
      <c r="AY729" s="128"/>
      <c r="BN729" s="128"/>
      <c r="BQ729" s="128"/>
      <c r="BR729" s="128"/>
      <c r="BT729" s="128"/>
      <c r="BV729" s="128"/>
      <c r="BX729" s="128"/>
      <c r="CU729" s="128"/>
      <c r="CW729" s="128"/>
      <c r="DN729" s="128"/>
      <c r="DP729" s="128"/>
      <c r="DR729" s="128"/>
      <c r="DV729" s="128"/>
      <c r="DX729" s="128"/>
      <c r="DY729" s="128"/>
      <c r="EA729" s="128"/>
      <c r="EB729" s="128"/>
      <c r="EC729" s="128"/>
      <c r="EG729" s="128"/>
      <c r="EL729" s="128"/>
      <c r="EM729" s="128"/>
      <c r="EO729" s="128"/>
      <c r="EQ729" s="128"/>
      <c r="ES729" s="128"/>
      <c r="EU729" s="128"/>
      <c r="EW729" s="128"/>
      <c r="EY729" s="128"/>
    </row>
    <row r="730" spans="3:155">
      <c r="C730" s="128"/>
      <c r="D730" s="128"/>
      <c r="E730" s="128"/>
      <c r="F730" s="128" t="str">
        <f>IF(E730 &lt;&gt; "", VLOOKUP(E730, '[2]Internal-logic'!G$1:I$364, 2, FALSE),"")</f>
        <v/>
      </c>
      <c r="G730" s="128" t="str">
        <f>IF(E730 &lt;&gt; "", VLOOKUP(E730, '[2]Internal-logic'!G$1:I$364, 3, FALSE),"")</f>
        <v/>
      </c>
      <c r="H730" s="128"/>
      <c r="I730" s="128"/>
      <c r="J730" s="128"/>
      <c r="K730" s="128"/>
      <c r="Q730" s="128"/>
      <c r="R730" s="128"/>
      <c r="S730" s="128"/>
      <c r="U730" s="128"/>
      <c r="X730" s="128"/>
      <c r="Y730" s="128"/>
      <c r="Z730" s="128"/>
      <c r="AA730" s="128"/>
      <c r="AB730" s="128"/>
      <c r="AC730" s="128"/>
      <c r="AD730" s="128"/>
      <c r="AE730" s="128"/>
      <c r="AF730" s="128"/>
      <c r="AG730" s="128"/>
      <c r="AI730" s="128"/>
      <c r="AJ730" s="128"/>
      <c r="AY730" s="128"/>
      <c r="BN730" s="128"/>
      <c r="BQ730" s="128"/>
      <c r="BR730" s="128"/>
      <c r="BT730" s="128"/>
      <c r="BV730" s="128"/>
      <c r="BX730" s="128"/>
      <c r="CU730" s="128"/>
      <c r="CW730" s="128"/>
      <c r="DN730" s="128"/>
      <c r="DP730" s="128"/>
      <c r="DR730" s="128"/>
      <c r="DV730" s="128"/>
      <c r="DX730" s="128"/>
      <c r="DY730" s="128"/>
      <c r="EA730" s="128"/>
      <c r="EB730" s="128"/>
      <c r="EC730" s="128"/>
      <c r="EG730" s="128"/>
      <c r="EL730" s="128"/>
      <c r="EM730" s="128"/>
      <c r="EO730" s="128"/>
      <c r="EQ730" s="128"/>
      <c r="ES730" s="128"/>
      <c r="EU730" s="128"/>
      <c r="EW730" s="128"/>
      <c r="EY730" s="128"/>
    </row>
    <row r="731" spans="3:155">
      <c r="C731" s="128"/>
      <c r="D731" s="128"/>
      <c r="E731" s="128"/>
      <c r="F731" s="128" t="str">
        <f>IF(E731 &lt;&gt; "", VLOOKUP(E731, '[2]Internal-logic'!G$1:I$364, 2, FALSE),"")</f>
        <v/>
      </c>
      <c r="G731" s="128" t="str">
        <f>IF(E731 &lt;&gt; "", VLOOKUP(E731, '[2]Internal-logic'!G$1:I$364, 3, FALSE),"")</f>
        <v/>
      </c>
      <c r="H731" s="128"/>
      <c r="I731" s="128"/>
      <c r="J731" s="128"/>
      <c r="K731" s="128"/>
      <c r="Q731" s="128"/>
      <c r="R731" s="128"/>
      <c r="S731" s="128"/>
      <c r="U731" s="128"/>
      <c r="X731" s="128"/>
      <c r="Y731" s="128"/>
      <c r="Z731" s="128"/>
      <c r="AA731" s="128"/>
      <c r="AB731" s="128"/>
      <c r="AC731" s="128"/>
      <c r="AD731" s="128"/>
      <c r="AE731" s="128"/>
      <c r="AF731" s="128"/>
      <c r="AG731" s="128"/>
      <c r="AI731" s="128"/>
      <c r="AJ731" s="128"/>
      <c r="AY731" s="128"/>
      <c r="BN731" s="128"/>
      <c r="BQ731" s="128"/>
      <c r="BR731" s="128"/>
      <c r="BT731" s="128"/>
      <c r="BV731" s="128"/>
      <c r="BX731" s="128"/>
      <c r="CU731" s="128"/>
      <c r="CW731" s="128"/>
      <c r="DN731" s="128"/>
      <c r="DP731" s="128"/>
      <c r="DR731" s="128"/>
      <c r="DV731" s="128"/>
      <c r="DX731" s="128"/>
      <c r="DY731" s="128"/>
      <c r="EA731" s="128"/>
      <c r="EB731" s="128"/>
      <c r="EC731" s="128"/>
      <c r="EG731" s="128"/>
      <c r="EL731" s="128"/>
      <c r="EM731" s="128"/>
      <c r="EO731" s="128"/>
      <c r="EQ731" s="128"/>
      <c r="ES731" s="128"/>
      <c r="EU731" s="128"/>
      <c r="EW731" s="128"/>
      <c r="EY731" s="128"/>
    </row>
    <row r="732" spans="3:155">
      <c r="C732" s="128"/>
      <c r="D732" s="128"/>
      <c r="E732" s="128"/>
      <c r="F732" s="128" t="str">
        <f>IF(E732 &lt;&gt; "", VLOOKUP(E732, '[2]Internal-logic'!G$1:I$364, 2, FALSE),"")</f>
        <v/>
      </c>
      <c r="G732" s="128" t="str">
        <f>IF(E732 &lt;&gt; "", VLOOKUP(E732, '[2]Internal-logic'!G$1:I$364, 3, FALSE),"")</f>
        <v/>
      </c>
      <c r="H732" s="128"/>
      <c r="I732" s="128"/>
      <c r="J732" s="128"/>
      <c r="K732" s="128"/>
      <c r="Q732" s="128"/>
      <c r="R732" s="128"/>
      <c r="S732" s="128"/>
      <c r="U732" s="128"/>
      <c r="X732" s="128"/>
      <c r="Y732" s="128"/>
      <c r="Z732" s="128"/>
      <c r="AA732" s="128"/>
      <c r="AB732" s="128"/>
      <c r="AC732" s="128"/>
      <c r="AD732" s="128"/>
      <c r="AE732" s="128"/>
      <c r="AF732" s="128"/>
      <c r="AG732" s="128"/>
      <c r="AI732" s="128"/>
      <c r="AJ732" s="128"/>
      <c r="AY732" s="128"/>
      <c r="BN732" s="128"/>
      <c r="BQ732" s="128"/>
      <c r="BR732" s="128"/>
      <c r="BT732" s="128"/>
      <c r="BV732" s="128"/>
      <c r="BX732" s="128"/>
      <c r="CU732" s="128"/>
      <c r="CW732" s="128"/>
      <c r="DN732" s="128"/>
      <c r="DP732" s="128"/>
      <c r="DR732" s="128"/>
      <c r="DV732" s="128"/>
      <c r="DX732" s="128"/>
      <c r="DY732" s="128"/>
      <c r="EA732" s="128"/>
      <c r="EB732" s="128"/>
      <c r="EC732" s="128"/>
      <c r="EG732" s="128"/>
      <c r="EL732" s="128"/>
      <c r="EM732" s="128"/>
      <c r="EO732" s="128"/>
      <c r="EQ732" s="128"/>
      <c r="ES732" s="128"/>
      <c r="EU732" s="128"/>
      <c r="EW732" s="128"/>
      <c r="EY732" s="128"/>
    </row>
    <row r="733" spans="3:155">
      <c r="C733" s="128"/>
      <c r="D733" s="128"/>
      <c r="E733" s="128"/>
      <c r="F733" s="128" t="str">
        <f>IF(E733 &lt;&gt; "", VLOOKUP(E733, '[2]Internal-logic'!G$1:I$364, 2, FALSE),"")</f>
        <v/>
      </c>
      <c r="G733" s="128" t="str">
        <f>IF(E733 &lt;&gt; "", VLOOKUP(E733, '[2]Internal-logic'!G$1:I$364, 3, FALSE),"")</f>
        <v/>
      </c>
      <c r="H733" s="128"/>
      <c r="I733" s="128"/>
      <c r="J733" s="128"/>
      <c r="K733" s="128"/>
      <c r="Q733" s="128"/>
      <c r="R733" s="128"/>
      <c r="S733" s="128"/>
      <c r="U733" s="128"/>
      <c r="X733" s="128"/>
      <c r="Y733" s="128"/>
      <c r="Z733" s="128"/>
      <c r="AA733" s="128"/>
      <c r="AB733" s="128"/>
      <c r="AC733" s="128"/>
      <c r="AD733" s="128"/>
      <c r="AE733" s="128"/>
      <c r="AF733" s="128"/>
      <c r="AG733" s="128"/>
      <c r="AI733" s="128"/>
      <c r="AJ733" s="128"/>
      <c r="AY733" s="128"/>
      <c r="BN733" s="128"/>
      <c r="BQ733" s="128"/>
      <c r="BR733" s="128"/>
      <c r="BT733" s="128"/>
      <c r="BV733" s="128"/>
      <c r="BX733" s="128"/>
      <c r="CU733" s="128"/>
      <c r="CW733" s="128"/>
      <c r="DN733" s="128"/>
      <c r="DP733" s="128"/>
      <c r="DR733" s="128"/>
      <c r="DV733" s="128"/>
      <c r="DX733" s="128"/>
      <c r="DY733" s="128"/>
      <c r="EA733" s="128"/>
      <c r="EB733" s="128"/>
      <c r="EC733" s="128"/>
      <c r="EG733" s="128"/>
      <c r="EL733" s="128"/>
      <c r="EM733" s="128"/>
      <c r="EO733" s="128"/>
      <c r="EQ733" s="128"/>
      <c r="ES733" s="128"/>
      <c r="EU733" s="128"/>
      <c r="EW733" s="128"/>
      <c r="EY733" s="128"/>
    </row>
    <row r="734" spans="3:155">
      <c r="C734" s="128"/>
      <c r="D734" s="128"/>
      <c r="E734" s="128"/>
      <c r="F734" s="128" t="str">
        <f>IF(E734 &lt;&gt; "", VLOOKUP(E734, '[2]Internal-logic'!G$1:I$364, 2, FALSE),"")</f>
        <v/>
      </c>
      <c r="G734" s="128" t="str">
        <f>IF(E734 &lt;&gt; "", VLOOKUP(E734, '[2]Internal-logic'!G$1:I$364, 3, FALSE),"")</f>
        <v/>
      </c>
      <c r="H734" s="128"/>
      <c r="I734" s="128"/>
      <c r="J734" s="128"/>
      <c r="K734" s="128"/>
      <c r="Q734" s="128"/>
      <c r="R734" s="128"/>
      <c r="S734" s="128"/>
      <c r="U734" s="128"/>
      <c r="X734" s="128"/>
      <c r="Y734" s="128"/>
      <c r="Z734" s="128"/>
      <c r="AA734" s="128"/>
      <c r="AB734" s="128"/>
      <c r="AC734" s="128"/>
      <c r="AD734" s="128"/>
      <c r="AE734" s="128"/>
      <c r="AF734" s="128"/>
      <c r="AG734" s="128"/>
      <c r="AI734" s="128"/>
      <c r="AJ734" s="128"/>
      <c r="AY734" s="128"/>
      <c r="BN734" s="128"/>
      <c r="BQ734" s="128"/>
      <c r="BR734" s="128"/>
      <c r="BT734" s="128"/>
      <c r="BV734" s="128"/>
      <c r="BX734" s="128"/>
      <c r="CU734" s="128"/>
      <c r="CW734" s="128"/>
      <c r="DN734" s="128"/>
      <c r="DP734" s="128"/>
      <c r="DR734" s="128"/>
      <c r="DV734" s="128"/>
      <c r="DX734" s="128"/>
      <c r="DY734" s="128"/>
      <c r="EA734" s="128"/>
      <c r="EB734" s="128"/>
      <c r="EC734" s="128"/>
      <c r="EG734" s="128"/>
      <c r="EL734" s="128"/>
      <c r="EM734" s="128"/>
      <c r="EO734" s="128"/>
      <c r="EQ734" s="128"/>
      <c r="ES734" s="128"/>
      <c r="EU734" s="128"/>
      <c r="EW734" s="128"/>
      <c r="EY734" s="128"/>
    </row>
    <row r="735" spans="3:155">
      <c r="C735" s="128"/>
      <c r="D735" s="128"/>
      <c r="E735" s="128"/>
      <c r="F735" s="128" t="str">
        <f>IF(E735 &lt;&gt; "", VLOOKUP(E735, '[2]Internal-logic'!G$1:I$364, 2, FALSE),"")</f>
        <v/>
      </c>
      <c r="G735" s="128" t="str">
        <f>IF(E735 &lt;&gt; "", VLOOKUP(E735, '[2]Internal-logic'!G$1:I$364, 3, FALSE),"")</f>
        <v/>
      </c>
      <c r="H735" s="128"/>
      <c r="I735" s="128"/>
      <c r="J735" s="128"/>
      <c r="K735" s="128"/>
      <c r="Q735" s="128"/>
      <c r="R735" s="128"/>
      <c r="S735" s="128"/>
      <c r="U735" s="128"/>
      <c r="X735" s="128"/>
      <c r="Y735" s="128"/>
      <c r="Z735" s="128"/>
      <c r="AA735" s="128"/>
      <c r="AB735" s="128"/>
      <c r="AC735" s="128"/>
      <c r="AD735" s="128"/>
      <c r="AE735" s="128"/>
      <c r="AF735" s="128"/>
      <c r="AG735" s="128"/>
      <c r="AI735" s="128"/>
      <c r="AJ735" s="128"/>
      <c r="AY735" s="128"/>
      <c r="BN735" s="128"/>
      <c r="BQ735" s="128"/>
      <c r="BR735" s="128"/>
      <c r="BT735" s="128"/>
      <c r="BV735" s="128"/>
      <c r="BX735" s="128"/>
      <c r="CU735" s="128"/>
      <c r="CW735" s="128"/>
      <c r="DN735" s="128"/>
      <c r="DP735" s="128"/>
      <c r="DR735" s="128"/>
      <c r="DV735" s="128"/>
      <c r="DX735" s="128"/>
      <c r="DY735" s="128"/>
      <c r="EA735" s="128"/>
      <c r="EB735" s="128"/>
      <c r="EC735" s="128"/>
      <c r="EG735" s="128"/>
      <c r="EL735" s="128"/>
      <c r="EM735" s="128"/>
      <c r="EO735" s="128"/>
      <c r="EQ735" s="128"/>
      <c r="ES735" s="128"/>
      <c r="EU735" s="128"/>
      <c r="EW735" s="128"/>
      <c r="EY735" s="128"/>
    </row>
    <row r="736" spans="3:155">
      <c r="C736" s="128"/>
      <c r="D736" s="128"/>
      <c r="E736" s="128"/>
      <c r="F736" s="128" t="str">
        <f>IF(E736 &lt;&gt; "", VLOOKUP(E736, '[2]Internal-logic'!G$1:I$364, 2, FALSE),"")</f>
        <v/>
      </c>
      <c r="G736" s="128" t="str">
        <f>IF(E736 &lt;&gt; "", VLOOKUP(E736, '[2]Internal-logic'!G$1:I$364, 3, FALSE),"")</f>
        <v/>
      </c>
      <c r="H736" s="128"/>
      <c r="I736" s="128"/>
      <c r="J736" s="128"/>
      <c r="K736" s="128"/>
      <c r="Q736" s="128"/>
      <c r="R736" s="128"/>
      <c r="S736" s="128"/>
      <c r="U736" s="128"/>
      <c r="X736" s="128"/>
      <c r="Y736" s="128"/>
      <c r="Z736" s="128"/>
      <c r="AA736" s="128"/>
      <c r="AB736" s="128"/>
      <c r="AC736" s="128"/>
      <c r="AD736" s="128"/>
      <c r="AE736" s="128"/>
      <c r="AF736" s="128"/>
      <c r="AG736" s="128"/>
      <c r="AI736" s="128"/>
      <c r="AJ736" s="128"/>
      <c r="AY736" s="128"/>
      <c r="BN736" s="128"/>
      <c r="BQ736" s="128"/>
      <c r="BR736" s="128"/>
      <c r="BT736" s="128"/>
      <c r="BV736" s="128"/>
      <c r="BX736" s="128"/>
      <c r="CU736" s="128"/>
      <c r="CW736" s="128"/>
      <c r="DN736" s="128"/>
      <c r="DP736" s="128"/>
      <c r="DR736" s="128"/>
      <c r="DV736" s="128"/>
      <c r="DX736" s="128"/>
      <c r="DY736" s="128"/>
      <c r="EA736" s="128"/>
      <c r="EB736" s="128"/>
      <c r="EC736" s="128"/>
      <c r="EG736" s="128"/>
      <c r="EL736" s="128"/>
      <c r="EM736" s="128"/>
      <c r="EO736" s="128"/>
      <c r="EQ736" s="128"/>
      <c r="ES736" s="128"/>
      <c r="EU736" s="128"/>
      <c r="EW736" s="128"/>
      <c r="EY736" s="128"/>
    </row>
    <row r="737" spans="3:155">
      <c r="C737" s="128"/>
      <c r="D737" s="128"/>
      <c r="E737" s="128"/>
      <c r="F737" s="128" t="str">
        <f>IF(E737 &lt;&gt; "", VLOOKUP(E737, '[2]Internal-logic'!G$1:I$364, 2, FALSE),"")</f>
        <v/>
      </c>
      <c r="G737" s="128" t="str">
        <f>IF(E737 &lt;&gt; "", VLOOKUP(E737, '[2]Internal-logic'!G$1:I$364, 3, FALSE),"")</f>
        <v/>
      </c>
      <c r="H737" s="128"/>
      <c r="I737" s="128"/>
      <c r="J737" s="128"/>
      <c r="K737" s="128"/>
      <c r="Q737" s="128"/>
      <c r="R737" s="128"/>
      <c r="S737" s="128"/>
      <c r="U737" s="128"/>
      <c r="X737" s="128"/>
      <c r="Y737" s="128"/>
      <c r="Z737" s="128"/>
      <c r="AA737" s="128"/>
      <c r="AB737" s="128"/>
      <c r="AC737" s="128"/>
      <c r="AD737" s="128"/>
      <c r="AE737" s="128"/>
      <c r="AF737" s="128"/>
      <c r="AG737" s="128"/>
      <c r="AI737" s="128"/>
      <c r="AJ737" s="128"/>
      <c r="AY737" s="128"/>
      <c r="BN737" s="128"/>
      <c r="BQ737" s="128"/>
      <c r="BR737" s="128"/>
      <c r="BT737" s="128"/>
      <c r="BV737" s="128"/>
      <c r="BX737" s="128"/>
      <c r="CU737" s="128"/>
      <c r="CW737" s="128"/>
      <c r="DN737" s="128"/>
      <c r="DP737" s="128"/>
      <c r="DR737" s="128"/>
      <c r="DV737" s="128"/>
      <c r="DX737" s="128"/>
      <c r="DY737" s="128"/>
      <c r="EA737" s="128"/>
      <c r="EB737" s="128"/>
      <c r="EC737" s="128"/>
      <c r="EG737" s="128"/>
      <c r="EL737" s="128"/>
      <c r="EM737" s="128"/>
      <c r="EO737" s="128"/>
      <c r="EQ737" s="128"/>
      <c r="ES737" s="128"/>
      <c r="EU737" s="128"/>
      <c r="EW737" s="128"/>
      <c r="EY737" s="128"/>
    </row>
    <row r="738" spans="3:155">
      <c r="C738" s="128"/>
      <c r="D738" s="128"/>
      <c r="E738" s="128"/>
      <c r="F738" s="128" t="str">
        <f>IF(E738 &lt;&gt; "", VLOOKUP(E738, '[2]Internal-logic'!G$1:I$364, 2, FALSE),"")</f>
        <v/>
      </c>
      <c r="G738" s="128" t="str">
        <f>IF(E738 &lt;&gt; "", VLOOKUP(E738, '[2]Internal-logic'!G$1:I$364, 3, FALSE),"")</f>
        <v/>
      </c>
      <c r="H738" s="128"/>
      <c r="I738" s="128"/>
      <c r="J738" s="128"/>
      <c r="K738" s="128"/>
      <c r="Q738" s="128"/>
      <c r="R738" s="128"/>
      <c r="S738" s="128"/>
      <c r="U738" s="128"/>
      <c r="X738" s="128"/>
      <c r="Y738" s="128"/>
      <c r="Z738" s="128"/>
      <c r="AA738" s="128"/>
      <c r="AB738" s="128"/>
      <c r="AC738" s="128"/>
      <c r="AD738" s="128"/>
      <c r="AE738" s="128"/>
      <c r="AF738" s="128"/>
      <c r="AG738" s="128"/>
      <c r="AI738" s="128"/>
      <c r="AJ738" s="128"/>
      <c r="AY738" s="128"/>
      <c r="BN738" s="128"/>
      <c r="BQ738" s="128"/>
      <c r="BR738" s="128"/>
      <c r="BT738" s="128"/>
      <c r="BV738" s="128"/>
      <c r="BX738" s="128"/>
      <c r="CU738" s="128"/>
      <c r="CW738" s="128"/>
      <c r="DN738" s="128"/>
      <c r="DP738" s="128"/>
      <c r="DR738" s="128"/>
      <c r="DV738" s="128"/>
      <c r="DX738" s="128"/>
      <c r="DY738" s="128"/>
      <c r="EA738" s="128"/>
      <c r="EB738" s="128"/>
      <c r="EC738" s="128"/>
      <c r="EG738" s="128"/>
      <c r="EL738" s="128"/>
      <c r="EM738" s="128"/>
      <c r="EO738" s="128"/>
      <c r="EQ738" s="128"/>
      <c r="ES738" s="128"/>
      <c r="EU738" s="128"/>
      <c r="EW738" s="128"/>
      <c r="EY738" s="128"/>
    </row>
    <row r="739" spans="3:155">
      <c r="C739" s="128"/>
      <c r="D739" s="128"/>
      <c r="E739" s="128"/>
      <c r="F739" s="128" t="str">
        <f>IF(E739 &lt;&gt; "", VLOOKUP(E739, '[2]Internal-logic'!G$1:I$364, 2, FALSE),"")</f>
        <v/>
      </c>
      <c r="G739" s="128" t="str">
        <f>IF(E739 &lt;&gt; "", VLOOKUP(E739, '[2]Internal-logic'!G$1:I$364, 3, FALSE),"")</f>
        <v/>
      </c>
      <c r="H739" s="128"/>
      <c r="I739" s="128"/>
      <c r="J739" s="128"/>
      <c r="K739" s="128"/>
      <c r="Q739" s="128"/>
      <c r="R739" s="128"/>
      <c r="S739" s="128"/>
      <c r="U739" s="128"/>
      <c r="X739" s="128"/>
      <c r="Y739" s="128"/>
      <c r="Z739" s="128"/>
      <c r="AA739" s="128"/>
      <c r="AB739" s="128"/>
      <c r="AC739" s="128"/>
      <c r="AD739" s="128"/>
      <c r="AE739" s="128"/>
      <c r="AF739" s="128"/>
      <c r="AG739" s="128"/>
      <c r="AI739" s="128"/>
      <c r="AJ739" s="128"/>
      <c r="AY739" s="128"/>
      <c r="BN739" s="128"/>
      <c r="BQ739" s="128"/>
      <c r="BR739" s="128"/>
      <c r="BT739" s="128"/>
      <c r="BV739" s="128"/>
      <c r="BX739" s="128"/>
      <c r="CU739" s="128"/>
      <c r="CW739" s="128"/>
      <c r="DN739" s="128"/>
      <c r="DP739" s="128"/>
      <c r="DR739" s="128"/>
      <c r="DV739" s="128"/>
      <c r="DX739" s="128"/>
      <c r="DY739" s="128"/>
      <c r="EA739" s="128"/>
      <c r="EB739" s="128"/>
      <c r="EC739" s="128"/>
      <c r="EG739" s="128"/>
      <c r="EL739" s="128"/>
      <c r="EM739" s="128"/>
      <c r="EO739" s="128"/>
      <c r="EQ739" s="128"/>
      <c r="ES739" s="128"/>
      <c r="EU739" s="128"/>
      <c r="EW739" s="128"/>
      <c r="EY739" s="128"/>
    </row>
    <row r="740" spans="3:155">
      <c r="C740" s="128"/>
      <c r="D740" s="128"/>
      <c r="E740" s="128"/>
      <c r="F740" s="128" t="str">
        <f>IF(E740 &lt;&gt; "", VLOOKUP(E740, '[2]Internal-logic'!G$1:I$364, 2, FALSE),"")</f>
        <v/>
      </c>
      <c r="G740" s="128" t="str">
        <f>IF(E740 &lt;&gt; "", VLOOKUP(E740, '[2]Internal-logic'!G$1:I$364, 3, FALSE),"")</f>
        <v/>
      </c>
      <c r="H740" s="128"/>
      <c r="I740" s="128"/>
      <c r="J740" s="128"/>
      <c r="K740" s="128"/>
      <c r="Q740" s="128"/>
      <c r="R740" s="128"/>
      <c r="S740" s="128"/>
      <c r="U740" s="128"/>
      <c r="X740" s="128"/>
      <c r="Y740" s="128"/>
      <c r="Z740" s="128"/>
      <c r="AA740" s="128"/>
      <c r="AB740" s="128"/>
      <c r="AC740" s="128"/>
      <c r="AD740" s="128"/>
      <c r="AE740" s="128"/>
      <c r="AF740" s="128"/>
      <c r="AG740" s="128"/>
      <c r="AI740" s="128"/>
      <c r="AJ740" s="128"/>
      <c r="AY740" s="128"/>
      <c r="BN740" s="128"/>
      <c r="BQ740" s="128"/>
      <c r="BR740" s="128"/>
      <c r="BT740" s="128"/>
      <c r="BV740" s="128"/>
      <c r="BX740" s="128"/>
      <c r="CU740" s="128"/>
      <c r="CW740" s="128"/>
      <c r="DN740" s="128"/>
      <c r="DP740" s="128"/>
      <c r="DR740" s="128"/>
      <c r="DV740" s="128"/>
      <c r="DX740" s="128"/>
      <c r="DY740" s="128"/>
      <c r="EA740" s="128"/>
      <c r="EB740" s="128"/>
      <c r="EC740" s="128"/>
      <c r="EG740" s="128"/>
      <c r="EL740" s="128"/>
      <c r="EM740" s="128"/>
      <c r="EO740" s="128"/>
      <c r="EQ740" s="128"/>
      <c r="ES740" s="128"/>
      <c r="EU740" s="128"/>
      <c r="EW740" s="128"/>
      <c r="EY740" s="128"/>
    </row>
    <row r="741" spans="3:155">
      <c r="C741" s="128"/>
      <c r="D741" s="128"/>
      <c r="E741" s="128"/>
      <c r="F741" s="128" t="str">
        <f>IF(E741 &lt;&gt; "", VLOOKUP(E741, '[2]Internal-logic'!G$1:I$364, 2, FALSE),"")</f>
        <v/>
      </c>
      <c r="G741" s="128" t="str">
        <f>IF(E741 &lt;&gt; "", VLOOKUP(E741, '[2]Internal-logic'!G$1:I$364, 3, FALSE),"")</f>
        <v/>
      </c>
      <c r="H741" s="128"/>
      <c r="I741" s="128"/>
      <c r="J741" s="128"/>
      <c r="K741" s="128"/>
      <c r="Q741" s="128"/>
      <c r="R741" s="128"/>
      <c r="S741" s="128"/>
      <c r="U741" s="128"/>
      <c r="X741" s="128"/>
      <c r="Y741" s="128"/>
      <c r="Z741" s="128"/>
      <c r="AA741" s="128"/>
      <c r="AB741" s="128"/>
      <c r="AC741" s="128"/>
      <c r="AD741" s="128"/>
      <c r="AE741" s="128"/>
      <c r="AF741" s="128"/>
      <c r="AG741" s="128"/>
      <c r="AI741" s="128"/>
      <c r="AJ741" s="128"/>
      <c r="AY741" s="128"/>
      <c r="BN741" s="128"/>
      <c r="BQ741" s="128"/>
      <c r="BR741" s="128"/>
      <c r="BT741" s="128"/>
      <c r="BV741" s="128"/>
      <c r="BX741" s="128"/>
      <c r="CU741" s="128"/>
      <c r="CW741" s="128"/>
      <c r="DN741" s="128"/>
      <c r="DP741" s="128"/>
      <c r="DR741" s="128"/>
      <c r="DV741" s="128"/>
      <c r="DX741" s="128"/>
      <c r="DY741" s="128"/>
      <c r="EA741" s="128"/>
      <c r="EB741" s="128"/>
      <c r="EC741" s="128"/>
      <c r="EG741" s="128"/>
      <c r="EL741" s="128"/>
      <c r="EM741" s="128"/>
      <c r="EO741" s="128"/>
      <c r="EQ741" s="128"/>
      <c r="ES741" s="128"/>
      <c r="EU741" s="128"/>
      <c r="EW741" s="128"/>
      <c r="EY741" s="128"/>
    </row>
    <row r="742" spans="3:155">
      <c r="C742" s="128"/>
      <c r="D742" s="128"/>
      <c r="E742" s="128"/>
      <c r="F742" s="128" t="str">
        <f>IF(E742 &lt;&gt; "", VLOOKUP(E742, '[2]Internal-logic'!G$1:I$364, 2, FALSE),"")</f>
        <v/>
      </c>
      <c r="G742" s="128" t="str">
        <f>IF(E742 &lt;&gt; "", VLOOKUP(E742, '[2]Internal-logic'!G$1:I$364, 3, FALSE),"")</f>
        <v/>
      </c>
      <c r="H742" s="128"/>
      <c r="I742" s="128"/>
      <c r="J742" s="128"/>
      <c r="K742" s="128"/>
      <c r="Q742" s="128"/>
      <c r="R742" s="128"/>
      <c r="S742" s="128"/>
      <c r="U742" s="128"/>
      <c r="X742" s="128"/>
      <c r="Y742" s="128"/>
      <c r="Z742" s="128"/>
      <c r="AA742" s="128"/>
      <c r="AB742" s="128"/>
      <c r="AC742" s="128"/>
      <c r="AD742" s="128"/>
      <c r="AE742" s="128"/>
      <c r="AF742" s="128"/>
      <c r="AG742" s="128"/>
      <c r="AI742" s="128"/>
      <c r="AJ742" s="128"/>
      <c r="AY742" s="128"/>
      <c r="BN742" s="128"/>
      <c r="BQ742" s="128"/>
      <c r="BR742" s="128"/>
      <c r="BT742" s="128"/>
      <c r="BV742" s="128"/>
      <c r="BX742" s="128"/>
      <c r="CU742" s="128"/>
      <c r="CW742" s="128"/>
      <c r="DN742" s="128"/>
      <c r="DP742" s="128"/>
      <c r="DR742" s="128"/>
      <c r="DV742" s="128"/>
      <c r="DX742" s="128"/>
      <c r="DY742" s="128"/>
      <c r="EA742" s="128"/>
      <c r="EB742" s="128"/>
      <c r="EC742" s="128"/>
      <c r="EG742" s="128"/>
      <c r="EL742" s="128"/>
      <c r="EM742" s="128"/>
      <c r="EO742" s="128"/>
      <c r="EQ742" s="128"/>
      <c r="ES742" s="128"/>
      <c r="EU742" s="128"/>
      <c r="EW742" s="128"/>
      <c r="EY742" s="128"/>
    </row>
    <row r="743" spans="3:155">
      <c r="C743" s="128"/>
      <c r="D743" s="128"/>
      <c r="E743" s="128"/>
      <c r="F743" s="128" t="str">
        <f>IF(E743 &lt;&gt; "", VLOOKUP(E743, '[2]Internal-logic'!G$1:I$364, 2, FALSE),"")</f>
        <v/>
      </c>
      <c r="G743" s="128" t="str">
        <f>IF(E743 &lt;&gt; "", VLOOKUP(E743, '[2]Internal-logic'!G$1:I$364, 3, FALSE),"")</f>
        <v/>
      </c>
      <c r="H743" s="128"/>
      <c r="I743" s="128"/>
      <c r="J743" s="128"/>
      <c r="K743" s="128"/>
      <c r="Q743" s="128"/>
      <c r="R743" s="128"/>
      <c r="S743" s="128"/>
      <c r="U743" s="128"/>
      <c r="X743" s="128"/>
      <c r="Y743" s="128"/>
      <c r="Z743" s="128"/>
      <c r="AA743" s="128"/>
      <c r="AB743" s="128"/>
      <c r="AC743" s="128"/>
      <c r="AD743" s="128"/>
      <c r="AE743" s="128"/>
      <c r="AF743" s="128"/>
      <c r="AG743" s="128"/>
      <c r="AI743" s="128"/>
      <c r="AJ743" s="128"/>
      <c r="AY743" s="128"/>
      <c r="BN743" s="128"/>
      <c r="BQ743" s="128"/>
      <c r="BR743" s="128"/>
      <c r="BT743" s="128"/>
      <c r="BV743" s="128"/>
      <c r="BX743" s="128"/>
      <c r="CU743" s="128"/>
      <c r="CW743" s="128"/>
      <c r="DN743" s="128"/>
      <c r="DP743" s="128"/>
      <c r="DR743" s="128"/>
      <c r="DV743" s="128"/>
      <c r="DX743" s="128"/>
      <c r="DY743" s="128"/>
      <c r="EA743" s="128"/>
      <c r="EB743" s="128"/>
      <c r="EC743" s="128"/>
      <c r="EG743" s="128"/>
      <c r="EL743" s="128"/>
      <c r="EM743" s="128"/>
      <c r="EO743" s="128"/>
      <c r="EQ743" s="128"/>
      <c r="ES743" s="128"/>
      <c r="EU743" s="128"/>
      <c r="EW743" s="128"/>
      <c r="EY743" s="128"/>
    </row>
    <row r="744" spans="3:155">
      <c r="C744" s="128"/>
      <c r="D744" s="128"/>
      <c r="E744" s="128"/>
      <c r="F744" s="128" t="str">
        <f>IF(E744 &lt;&gt; "", VLOOKUP(E744, '[2]Internal-logic'!G$1:I$364, 2, FALSE),"")</f>
        <v/>
      </c>
      <c r="G744" s="128" t="str">
        <f>IF(E744 &lt;&gt; "", VLOOKUP(E744, '[2]Internal-logic'!G$1:I$364, 3, FALSE),"")</f>
        <v/>
      </c>
      <c r="H744" s="128"/>
      <c r="I744" s="128"/>
      <c r="J744" s="128"/>
      <c r="K744" s="128"/>
      <c r="Q744" s="128"/>
      <c r="R744" s="128"/>
      <c r="S744" s="128"/>
      <c r="U744" s="128"/>
      <c r="X744" s="128"/>
      <c r="Y744" s="128"/>
      <c r="Z744" s="128"/>
      <c r="AA744" s="128"/>
      <c r="AB744" s="128"/>
      <c r="AC744" s="128"/>
      <c r="AD744" s="128"/>
      <c r="AE744" s="128"/>
      <c r="AF744" s="128"/>
      <c r="AG744" s="128"/>
      <c r="AI744" s="128"/>
      <c r="AJ744" s="128"/>
      <c r="AY744" s="128"/>
      <c r="BN744" s="128"/>
      <c r="BQ744" s="128"/>
      <c r="BR744" s="128"/>
      <c r="BT744" s="128"/>
      <c r="BV744" s="128"/>
      <c r="BX744" s="128"/>
      <c r="CU744" s="128"/>
      <c r="CW744" s="128"/>
      <c r="DN744" s="128"/>
      <c r="DP744" s="128"/>
      <c r="DR744" s="128"/>
      <c r="DV744" s="128"/>
      <c r="DX744" s="128"/>
      <c r="DY744" s="128"/>
      <c r="EA744" s="128"/>
      <c r="EB744" s="128"/>
      <c r="EC744" s="128"/>
      <c r="EG744" s="128"/>
      <c r="EL744" s="128"/>
      <c r="EM744" s="128"/>
      <c r="EO744" s="128"/>
      <c r="EQ744" s="128"/>
      <c r="ES744" s="128"/>
      <c r="EU744" s="128"/>
      <c r="EW744" s="128"/>
      <c r="EY744" s="128"/>
    </row>
    <row r="745" spans="3:155">
      <c r="C745" s="128"/>
      <c r="D745" s="128"/>
      <c r="E745" s="128"/>
      <c r="F745" s="128" t="str">
        <f>IF(E745 &lt;&gt; "", VLOOKUP(E745, '[2]Internal-logic'!G$1:I$364, 2, FALSE),"")</f>
        <v/>
      </c>
      <c r="G745" s="128" t="str">
        <f>IF(E745 &lt;&gt; "", VLOOKUP(E745, '[2]Internal-logic'!G$1:I$364, 3, FALSE),"")</f>
        <v/>
      </c>
      <c r="H745" s="128"/>
      <c r="I745" s="128"/>
      <c r="J745" s="128"/>
      <c r="K745" s="128"/>
      <c r="Q745" s="128"/>
      <c r="R745" s="128"/>
      <c r="S745" s="128"/>
      <c r="U745" s="128"/>
      <c r="X745" s="128"/>
      <c r="Y745" s="128"/>
      <c r="Z745" s="128"/>
      <c r="AA745" s="128"/>
      <c r="AB745" s="128"/>
      <c r="AC745" s="128"/>
      <c r="AD745" s="128"/>
      <c r="AE745" s="128"/>
      <c r="AF745" s="128"/>
      <c r="AG745" s="128"/>
      <c r="AI745" s="128"/>
      <c r="AJ745" s="128"/>
      <c r="AY745" s="128"/>
      <c r="BN745" s="128"/>
      <c r="BQ745" s="128"/>
      <c r="BR745" s="128"/>
      <c r="BT745" s="128"/>
      <c r="BV745" s="128"/>
      <c r="BX745" s="128"/>
      <c r="CU745" s="128"/>
      <c r="CW745" s="128"/>
      <c r="DN745" s="128"/>
      <c r="DP745" s="128"/>
      <c r="DR745" s="128"/>
      <c r="DV745" s="128"/>
      <c r="DX745" s="128"/>
      <c r="DY745" s="128"/>
      <c r="EA745" s="128"/>
      <c r="EB745" s="128"/>
      <c r="EC745" s="128"/>
      <c r="EG745" s="128"/>
      <c r="EL745" s="128"/>
      <c r="EM745" s="128"/>
      <c r="EO745" s="128"/>
      <c r="EQ745" s="128"/>
      <c r="ES745" s="128"/>
      <c r="EU745" s="128"/>
      <c r="EW745" s="128"/>
      <c r="EY745" s="128"/>
    </row>
    <row r="746" spans="3:155">
      <c r="C746" s="128"/>
      <c r="D746" s="128"/>
      <c r="E746" s="128"/>
      <c r="F746" s="128" t="str">
        <f>IF(E746 &lt;&gt; "", VLOOKUP(E746, '[2]Internal-logic'!G$1:I$364, 2, FALSE),"")</f>
        <v/>
      </c>
      <c r="G746" s="128" t="str">
        <f>IF(E746 &lt;&gt; "", VLOOKUP(E746, '[2]Internal-logic'!G$1:I$364, 3, FALSE),"")</f>
        <v/>
      </c>
      <c r="H746" s="128"/>
      <c r="I746" s="128"/>
      <c r="J746" s="128"/>
      <c r="K746" s="128"/>
      <c r="Q746" s="128"/>
      <c r="R746" s="128"/>
      <c r="S746" s="128"/>
      <c r="U746" s="128"/>
      <c r="X746" s="128"/>
      <c r="Y746" s="128"/>
      <c r="Z746" s="128"/>
      <c r="AA746" s="128"/>
      <c r="AB746" s="128"/>
      <c r="AC746" s="128"/>
      <c r="AD746" s="128"/>
      <c r="AE746" s="128"/>
      <c r="AF746" s="128"/>
      <c r="AG746" s="128"/>
      <c r="AI746" s="128"/>
      <c r="AJ746" s="128"/>
      <c r="AY746" s="128"/>
      <c r="BN746" s="128"/>
      <c r="BQ746" s="128"/>
      <c r="BR746" s="128"/>
      <c r="BT746" s="128"/>
      <c r="BV746" s="128"/>
      <c r="BX746" s="128"/>
      <c r="CU746" s="128"/>
      <c r="CW746" s="128"/>
      <c r="DN746" s="128"/>
      <c r="DP746" s="128"/>
      <c r="DR746" s="128"/>
      <c r="DV746" s="128"/>
      <c r="DX746" s="128"/>
      <c r="DY746" s="128"/>
      <c r="EA746" s="128"/>
      <c r="EB746" s="128"/>
      <c r="EC746" s="128"/>
      <c r="EG746" s="128"/>
      <c r="EL746" s="128"/>
      <c r="EM746" s="128"/>
      <c r="EO746" s="128"/>
      <c r="EQ746" s="128"/>
      <c r="ES746" s="128"/>
      <c r="EU746" s="128"/>
      <c r="EW746" s="128"/>
      <c r="EY746" s="128"/>
    </row>
    <row r="747" spans="3:155">
      <c r="C747" s="128"/>
      <c r="D747" s="128"/>
      <c r="E747" s="128"/>
      <c r="F747" s="128" t="str">
        <f>IF(E747 &lt;&gt; "", VLOOKUP(E747, '[2]Internal-logic'!G$1:I$364, 2, FALSE),"")</f>
        <v/>
      </c>
      <c r="G747" s="128" t="str">
        <f>IF(E747 &lt;&gt; "", VLOOKUP(E747, '[2]Internal-logic'!G$1:I$364, 3, FALSE),"")</f>
        <v/>
      </c>
      <c r="H747" s="128"/>
      <c r="I747" s="128"/>
      <c r="J747" s="128"/>
      <c r="K747" s="128"/>
      <c r="Q747" s="128"/>
      <c r="R747" s="128"/>
      <c r="S747" s="128"/>
      <c r="U747" s="128"/>
      <c r="X747" s="128"/>
      <c r="Y747" s="128"/>
      <c r="Z747" s="128"/>
      <c r="AA747" s="128"/>
      <c r="AB747" s="128"/>
      <c r="AC747" s="128"/>
      <c r="AD747" s="128"/>
      <c r="AE747" s="128"/>
      <c r="AF747" s="128"/>
      <c r="AG747" s="128"/>
      <c r="AI747" s="128"/>
      <c r="AJ747" s="128"/>
      <c r="AY747" s="128"/>
      <c r="BN747" s="128"/>
      <c r="BQ747" s="128"/>
      <c r="BR747" s="128"/>
      <c r="BT747" s="128"/>
      <c r="BV747" s="128"/>
      <c r="BX747" s="128"/>
      <c r="CU747" s="128"/>
      <c r="CW747" s="128"/>
      <c r="DN747" s="128"/>
      <c r="DP747" s="128"/>
      <c r="DR747" s="128"/>
      <c r="DV747" s="128"/>
      <c r="DX747" s="128"/>
      <c r="DY747" s="128"/>
      <c r="EA747" s="128"/>
      <c r="EB747" s="128"/>
      <c r="EC747" s="128"/>
      <c r="EG747" s="128"/>
      <c r="EL747" s="128"/>
      <c r="EM747" s="128"/>
      <c r="EO747" s="128"/>
      <c r="EQ747" s="128"/>
      <c r="ES747" s="128"/>
      <c r="EU747" s="128"/>
      <c r="EW747" s="128"/>
      <c r="EY747" s="128"/>
    </row>
    <row r="748" spans="3:155">
      <c r="C748" s="128"/>
      <c r="D748" s="128"/>
      <c r="E748" s="128"/>
      <c r="F748" s="128" t="str">
        <f>IF(E748 &lt;&gt; "", VLOOKUP(E748, '[2]Internal-logic'!G$1:I$364, 2, FALSE),"")</f>
        <v/>
      </c>
      <c r="G748" s="128" t="str">
        <f>IF(E748 &lt;&gt; "", VLOOKUP(E748, '[2]Internal-logic'!G$1:I$364, 3, FALSE),"")</f>
        <v/>
      </c>
      <c r="H748" s="128"/>
      <c r="I748" s="128"/>
      <c r="J748" s="128"/>
      <c r="K748" s="128"/>
      <c r="Q748" s="128"/>
      <c r="R748" s="128"/>
      <c r="S748" s="128"/>
      <c r="U748" s="128"/>
      <c r="X748" s="128"/>
      <c r="Y748" s="128"/>
      <c r="Z748" s="128"/>
      <c r="AA748" s="128"/>
      <c r="AB748" s="128"/>
      <c r="AC748" s="128"/>
      <c r="AD748" s="128"/>
      <c r="AE748" s="128"/>
      <c r="AF748" s="128"/>
      <c r="AG748" s="128"/>
      <c r="AI748" s="128"/>
      <c r="AJ748" s="128"/>
      <c r="AY748" s="128"/>
      <c r="BN748" s="128"/>
      <c r="BQ748" s="128"/>
      <c r="BR748" s="128"/>
      <c r="BT748" s="128"/>
      <c r="BV748" s="128"/>
      <c r="BX748" s="128"/>
      <c r="CU748" s="128"/>
      <c r="CW748" s="128"/>
      <c r="DN748" s="128"/>
      <c r="DP748" s="128"/>
      <c r="DR748" s="128"/>
      <c r="DV748" s="128"/>
      <c r="DX748" s="128"/>
      <c r="DY748" s="128"/>
      <c r="EA748" s="128"/>
      <c r="EB748" s="128"/>
      <c r="EC748" s="128"/>
      <c r="EG748" s="128"/>
      <c r="EL748" s="128"/>
      <c r="EM748" s="128"/>
      <c r="EO748" s="128"/>
      <c r="EQ748" s="128"/>
      <c r="ES748" s="128"/>
      <c r="EU748" s="128"/>
      <c r="EW748" s="128"/>
      <c r="EY748" s="128"/>
    </row>
    <row r="749" spans="3:155">
      <c r="C749" s="128"/>
      <c r="D749" s="128"/>
      <c r="E749" s="128"/>
      <c r="F749" s="128" t="str">
        <f>IF(E749 &lt;&gt; "", VLOOKUP(E749, '[2]Internal-logic'!G$1:I$364, 2, FALSE),"")</f>
        <v/>
      </c>
      <c r="G749" s="128" t="str">
        <f>IF(E749 &lt;&gt; "", VLOOKUP(E749, '[2]Internal-logic'!G$1:I$364, 3, FALSE),"")</f>
        <v/>
      </c>
      <c r="H749" s="128"/>
      <c r="I749" s="128"/>
      <c r="J749" s="128"/>
      <c r="K749" s="128"/>
      <c r="Q749" s="128"/>
      <c r="R749" s="128"/>
      <c r="S749" s="128"/>
      <c r="U749" s="128"/>
      <c r="X749" s="128"/>
      <c r="Y749" s="128"/>
      <c r="Z749" s="128"/>
      <c r="AA749" s="128"/>
      <c r="AB749" s="128"/>
      <c r="AC749" s="128"/>
      <c r="AD749" s="128"/>
      <c r="AE749" s="128"/>
      <c r="AF749" s="128"/>
      <c r="AG749" s="128"/>
      <c r="AI749" s="128"/>
      <c r="AJ749" s="128"/>
      <c r="AY749" s="128"/>
      <c r="BN749" s="128"/>
      <c r="BQ749" s="128"/>
      <c r="BR749" s="128"/>
      <c r="BT749" s="128"/>
      <c r="BV749" s="128"/>
      <c r="BX749" s="128"/>
      <c r="CU749" s="128"/>
      <c r="CW749" s="128"/>
      <c r="DN749" s="128"/>
      <c r="DP749" s="128"/>
      <c r="DR749" s="128"/>
      <c r="DV749" s="128"/>
      <c r="DX749" s="128"/>
      <c r="DY749" s="128"/>
      <c r="EA749" s="128"/>
      <c r="EB749" s="128"/>
      <c r="EC749" s="128"/>
      <c r="EG749" s="128"/>
      <c r="EL749" s="128"/>
      <c r="EM749" s="128"/>
      <c r="EO749" s="128"/>
      <c r="EQ749" s="128"/>
      <c r="ES749" s="128"/>
      <c r="EU749" s="128"/>
      <c r="EW749" s="128"/>
      <c r="EY749" s="128"/>
    </row>
    <row r="750" spans="3:155">
      <c r="C750" s="128"/>
      <c r="D750" s="128"/>
      <c r="E750" s="128"/>
      <c r="F750" s="128" t="str">
        <f>IF(E750 &lt;&gt; "", VLOOKUP(E750, '[2]Internal-logic'!G$1:I$364, 2, FALSE),"")</f>
        <v/>
      </c>
      <c r="G750" s="128" t="str">
        <f>IF(E750 &lt;&gt; "", VLOOKUP(E750, '[2]Internal-logic'!G$1:I$364, 3, FALSE),"")</f>
        <v/>
      </c>
      <c r="H750" s="128"/>
      <c r="I750" s="128"/>
      <c r="J750" s="128"/>
      <c r="K750" s="128"/>
      <c r="Q750" s="128"/>
      <c r="R750" s="128"/>
      <c r="S750" s="128"/>
      <c r="U750" s="128"/>
      <c r="X750" s="128"/>
      <c r="Y750" s="128"/>
      <c r="Z750" s="128"/>
      <c r="AA750" s="128"/>
      <c r="AB750" s="128"/>
      <c r="AC750" s="128"/>
      <c r="AD750" s="128"/>
      <c r="AE750" s="128"/>
      <c r="AF750" s="128"/>
      <c r="AG750" s="128"/>
      <c r="AI750" s="128"/>
      <c r="AJ750" s="128"/>
      <c r="AY750" s="128"/>
      <c r="BN750" s="128"/>
      <c r="BQ750" s="128"/>
      <c r="BR750" s="128"/>
      <c r="BT750" s="128"/>
      <c r="BV750" s="128"/>
      <c r="BX750" s="128"/>
      <c r="CU750" s="128"/>
      <c r="CW750" s="128"/>
      <c r="DN750" s="128"/>
      <c r="DP750" s="128"/>
      <c r="DR750" s="128"/>
      <c r="DV750" s="128"/>
      <c r="DX750" s="128"/>
      <c r="DY750" s="128"/>
      <c r="EA750" s="128"/>
      <c r="EB750" s="128"/>
      <c r="EC750" s="128"/>
      <c r="EG750" s="128"/>
      <c r="EL750" s="128"/>
      <c r="EM750" s="128"/>
      <c r="EO750" s="128"/>
      <c r="EQ750" s="128"/>
      <c r="ES750" s="128"/>
      <c r="EU750" s="128"/>
      <c r="EW750" s="128"/>
      <c r="EY750" s="128"/>
    </row>
    <row r="751" spans="3:155">
      <c r="C751" s="128"/>
      <c r="D751" s="128"/>
      <c r="E751" s="128"/>
      <c r="F751" s="128" t="str">
        <f>IF(E751 &lt;&gt; "", VLOOKUP(E751, '[2]Internal-logic'!G$1:I$364, 2, FALSE),"")</f>
        <v/>
      </c>
      <c r="G751" s="128" t="str">
        <f>IF(E751 &lt;&gt; "", VLOOKUP(E751, '[2]Internal-logic'!G$1:I$364, 3, FALSE),"")</f>
        <v/>
      </c>
      <c r="H751" s="128"/>
      <c r="I751" s="128"/>
      <c r="J751" s="128"/>
      <c r="K751" s="128"/>
      <c r="Q751" s="128"/>
      <c r="R751" s="128"/>
      <c r="S751" s="128"/>
      <c r="U751" s="128"/>
      <c r="X751" s="128"/>
      <c r="Y751" s="128"/>
      <c r="Z751" s="128"/>
      <c r="AA751" s="128"/>
      <c r="AB751" s="128"/>
      <c r="AC751" s="128"/>
      <c r="AD751" s="128"/>
      <c r="AE751" s="128"/>
      <c r="AF751" s="128"/>
      <c r="AG751" s="128"/>
      <c r="AI751" s="128"/>
      <c r="AJ751" s="128"/>
      <c r="AY751" s="128"/>
      <c r="BN751" s="128"/>
      <c r="BQ751" s="128"/>
      <c r="BR751" s="128"/>
      <c r="BT751" s="128"/>
      <c r="BV751" s="128"/>
      <c r="BX751" s="128"/>
      <c r="CU751" s="128"/>
      <c r="CW751" s="128"/>
      <c r="DN751" s="128"/>
      <c r="DP751" s="128"/>
      <c r="DR751" s="128"/>
      <c r="DV751" s="128"/>
      <c r="DX751" s="128"/>
      <c r="DY751" s="128"/>
      <c r="EA751" s="128"/>
      <c r="EB751" s="128"/>
      <c r="EC751" s="128"/>
      <c r="EG751" s="128"/>
      <c r="EL751" s="128"/>
      <c r="EM751" s="128"/>
      <c r="EO751" s="128"/>
      <c r="EQ751" s="128"/>
      <c r="ES751" s="128"/>
      <c r="EU751" s="128"/>
      <c r="EW751" s="128"/>
      <c r="EY751" s="128"/>
    </row>
    <row r="752" spans="3:155">
      <c r="C752" s="128"/>
      <c r="D752" s="128"/>
      <c r="E752" s="128"/>
      <c r="F752" s="128" t="str">
        <f>IF(E752 &lt;&gt; "", VLOOKUP(E752, '[2]Internal-logic'!G$1:I$364, 2, FALSE),"")</f>
        <v/>
      </c>
      <c r="G752" s="128" t="str">
        <f>IF(E752 &lt;&gt; "", VLOOKUP(E752, '[2]Internal-logic'!G$1:I$364, 3, FALSE),"")</f>
        <v/>
      </c>
      <c r="H752" s="128"/>
      <c r="I752" s="128"/>
      <c r="J752" s="128"/>
      <c r="K752" s="128"/>
      <c r="Q752" s="128"/>
      <c r="R752" s="128"/>
      <c r="S752" s="128"/>
      <c r="U752" s="128"/>
      <c r="X752" s="128"/>
      <c r="Y752" s="128"/>
      <c r="Z752" s="128"/>
      <c r="AA752" s="128"/>
      <c r="AB752" s="128"/>
      <c r="AC752" s="128"/>
      <c r="AD752" s="128"/>
      <c r="AE752" s="128"/>
      <c r="AF752" s="128"/>
      <c r="AG752" s="128"/>
      <c r="AI752" s="128"/>
      <c r="AJ752" s="128"/>
      <c r="AY752" s="128"/>
      <c r="BN752" s="128"/>
      <c r="BQ752" s="128"/>
      <c r="BR752" s="128"/>
      <c r="BT752" s="128"/>
      <c r="BV752" s="128"/>
      <c r="BX752" s="128"/>
      <c r="CU752" s="128"/>
      <c r="CW752" s="128"/>
      <c r="DN752" s="128"/>
      <c r="DP752" s="128"/>
      <c r="DR752" s="128"/>
      <c r="DV752" s="128"/>
      <c r="DX752" s="128"/>
      <c r="DY752" s="128"/>
      <c r="EA752" s="128"/>
      <c r="EB752" s="128"/>
      <c r="EC752" s="128"/>
      <c r="EG752" s="128"/>
      <c r="EL752" s="128"/>
      <c r="EM752" s="128"/>
      <c r="EO752" s="128"/>
      <c r="EQ752" s="128"/>
      <c r="ES752" s="128"/>
      <c r="EU752" s="128"/>
      <c r="EW752" s="128"/>
      <c r="EY752" s="128"/>
    </row>
    <row r="753" spans="3:155">
      <c r="C753" s="128"/>
      <c r="D753" s="128"/>
      <c r="E753" s="128"/>
      <c r="F753" s="128" t="str">
        <f>IF(E753 &lt;&gt; "", VLOOKUP(E753, '[2]Internal-logic'!G$1:I$364, 2, FALSE),"")</f>
        <v/>
      </c>
      <c r="G753" s="128" t="str">
        <f>IF(E753 &lt;&gt; "", VLOOKUP(E753, '[2]Internal-logic'!G$1:I$364, 3, FALSE),"")</f>
        <v/>
      </c>
      <c r="H753" s="128"/>
      <c r="I753" s="128"/>
      <c r="J753" s="128"/>
      <c r="K753" s="128"/>
      <c r="Q753" s="128"/>
      <c r="R753" s="128"/>
      <c r="S753" s="128"/>
      <c r="U753" s="128"/>
      <c r="X753" s="128"/>
      <c r="Y753" s="128"/>
      <c r="Z753" s="128"/>
      <c r="AA753" s="128"/>
      <c r="AB753" s="128"/>
      <c r="AC753" s="128"/>
      <c r="AD753" s="128"/>
      <c r="AE753" s="128"/>
      <c r="AF753" s="128"/>
      <c r="AG753" s="128"/>
      <c r="AI753" s="128"/>
      <c r="AJ753" s="128"/>
      <c r="AY753" s="128"/>
      <c r="BN753" s="128"/>
      <c r="BQ753" s="128"/>
      <c r="BR753" s="128"/>
      <c r="BT753" s="128"/>
      <c r="BV753" s="128"/>
      <c r="BX753" s="128"/>
      <c r="CU753" s="128"/>
      <c r="CW753" s="128"/>
      <c r="DN753" s="128"/>
      <c r="DP753" s="128"/>
      <c r="DR753" s="128"/>
      <c r="DV753" s="128"/>
      <c r="DX753" s="128"/>
      <c r="DY753" s="128"/>
      <c r="EA753" s="128"/>
      <c r="EB753" s="128"/>
      <c r="EC753" s="128"/>
      <c r="EG753" s="128"/>
      <c r="EL753" s="128"/>
      <c r="EM753" s="128"/>
      <c r="EO753" s="128"/>
      <c r="EQ753" s="128"/>
      <c r="ES753" s="128"/>
      <c r="EU753" s="128"/>
      <c r="EW753" s="128"/>
      <c r="EY753" s="128"/>
    </row>
    <row r="754" spans="3:155">
      <c r="C754" s="128"/>
      <c r="D754" s="128"/>
      <c r="E754" s="128"/>
      <c r="F754" s="128" t="str">
        <f>IF(E754 &lt;&gt; "", VLOOKUP(E754, '[2]Internal-logic'!G$1:I$364, 2, FALSE),"")</f>
        <v/>
      </c>
      <c r="G754" s="128" t="str">
        <f>IF(E754 &lt;&gt; "", VLOOKUP(E754, '[2]Internal-logic'!G$1:I$364, 3, FALSE),"")</f>
        <v/>
      </c>
      <c r="H754" s="128"/>
      <c r="I754" s="128"/>
      <c r="J754" s="128"/>
      <c r="K754" s="128"/>
      <c r="Q754" s="128"/>
      <c r="R754" s="128"/>
      <c r="S754" s="128"/>
      <c r="U754" s="128"/>
      <c r="X754" s="128"/>
      <c r="Y754" s="128"/>
      <c r="Z754" s="128"/>
      <c r="AA754" s="128"/>
      <c r="AB754" s="128"/>
      <c r="AC754" s="128"/>
      <c r="AD754" s="128"/>
      <c r="AE754" s="128"/>
      <c r="AF754" s="128"/>
      <c r="AG754" s="128"/>
      <c r="AI754" s="128"/>
      <c r="AJ754" s="128"/>
      <c r="AY754" s="128"/>
      <c r="BN754" s="128"/>
      <c r="BQ754" s="128"/>
      <c r="BR754" s="128"/>
      <c r="BT754" s="128"/>
      <c r="BV754" s="128"/>
      <c r="BX754" s="128"/>
      <c r="CU754" s="128"/>
      <c r="CW754" s="128"/>
      <c r="DN754" s="128"/>
      <c r="DP754" s="128"/>
      <c r="DR754" s="128"/>
      <c r="DV754" s="128"/>
      <c r="DX754" s="128"/>
      <c r="DY754" s="128"/>
      <c r="EA754" s="128"/>
      <c r="EB754" s="128"/>
      <c r="EC754" s="128"/>
      <c r="EG754" s="128"/>
      <c r="EL754" s="128"/>
      <c r="EM754" s="128"/>
      <c r="EO754" s="128"/>
      <c r="EQ754" s="128"/>
      <c r="ES754" s="128"/>
      <c r="EU754" s="128"/>
      <c r="EW754" s="128"/>
      <c r="EY754" s="128"/>
    </row>
    <row r="755" spans="3:155">
      <c r="C755" s="128"/>
      <c r="D755" s="128"/>
      <c r="E755" s="128"/>
      <c r="F755" s="128" t="str">
        <f>IF(E755 &lt;&gt; "", VLOOKUP(E755, '[2]Internal-logic'!G$1:I$364, 2, FALSE),"")</f>
        <v/>
      </c>
      <c r="G755" s="128" t="str">
        <f>IF(E755 &lt;&gt; "", VLOOKUP(E755, '[2]Internal-logic'!G$1:I$364, 3, FALSE),"")</f>
        <v/>
      </c>
      <c r="H755" s="128"/>
      <c r="I755" s="128"/>
      <c r="J755" s="128"/>
      <c r="K755" s="128"/>
      <c r="Q755" s="128"/>
      <c r="R755" s="128"/>
      <c r="S755" s="128"/>
      <c r="U755" s="128"/>
      <c r="X755" s="128"/>
      <c r="Y755" s="128"/>
      <c r="Z755" s="128"/>
      <c r="AA755" s="128"/>
      <c r="AB755" s="128"/>
      <c r="AC755" s="128"/>
      <c r="AD755" s="128"/>
      <c r="AE755" s="128"/>
      <c r="AF755" s="128"/>
      <c r="AG755" s="128"/>
      <c r="AI755" s="128"/>
      <c r="AJ755" s="128"/>
      <c r="AY755" s="128"/>
      <c r="BN755" s="128"/>
      <c r="BQ755" s="128"/>
      <c r="BR755" s="128"/>
      <c r="BT755" s="128"/>
      <c r="BV755" s="128"/>
      <c r="BX755" s="128"/>
      <c r="CU755" s="128"/>
      <c r="CW755" s="128"/>
      <c r="DN755" s="128"/>
      <c r="DP755" s="128"/>
      <c r="DR755" s="128"/>
      <c r="DV755" s="128"/>
      <c r="DX755" s="128"/>
      <c r="DY755" s="128"/>
      <c r="EA755" s="128"/>
      <c r="EB755" s="128"/>
      <c r="EC755" s="128"/>
      <c r="EG755" s="128"/>
      <c r="EL755" s="128"/>
      <c r="EM755" s="128"/>
      <c r="EO755" s="128"/>
      <c r="EQ755" s="128"/>
      <c r="ES755" s="128"/>
      <c r="EU755" s="128"/>
      <c r="EW755" s="128"/>
      <c r="EY755" s="128"/>
    </row>
    <row r="756" spans="3:155">
      <c r="C756" s="128"/>
      <c r="D756" s="128"/>
      <c r="E756" s="128"/>
      <c r="F756" s="128" t="str">
        <f>IF(E756 &lt;&gt; "", VLOOKUP(E756, '[2]Internal-logic'!G$1:I$364, 2, FALSE),"")</f>
        <v/>
      </c>
      <c r="G756" s="128" t="str">
        <f>IF(E756 &lt;&gt; "", VLOOKUP(E756, '[2]Internal-logic'!G$1:I$364, 3, FALSE),"")</f>
        <v/>
      </c>
      <c r="H756" s="128"/>
      <c r="I756" s="128"/>
      <c r="J756" s="128"/>
      <c r="K756" s="128"/>
      <c r="Q756" s="128"/>
      <c r="R756" s="128"/>
      <c r="S756" s="128"/>
      <c r="U756" s="128"/>
      <c r="X756" s="128"/>
      <c r="Y756" s="128"/>
      <c r="Z756" s="128"/>
      <c r="AA756" s="128"/>
      <c r="AB756" s="128"/>
      <c r="AC756" s="128"/>
      <c r="AD756" s="128"/>
      <c r="AE756" s="128"/>
      <c r="AF756" s="128"/>
      <c r="AG756" s="128"/>
      <c r="AI756" s="128"/>
      <c r="AJ756" s="128"/>
      <c r="AY756" s="128"/>
      <c r="BN756" s="128"/>
      <c r="BQ756" s="128"/>
      <c r="BR756" s="128"/>
      <c r="BT756" s="128"/>
      <c r="BV756" s="128"/>
      <c r="BX756" s="128"/>
      <c r="CU756" s="128"/>
      <c r="CW756" s="128"/>
      <c r="DN756" s="128"/>
      <c r="DP756" s="128"/>
      <c r="DR756" s="128"/>
      <c r="DV756" s="128"/>
      <c r="DX756" s="128"/>
      <c r="DY756" s="128"/>
      <c r="EA756" s="128"/>
      <c r="EB756" s="128"/>
      <c r="EC756" s="128"/>
      <c r="EG756" s="128"/>
      <c r="EL756" s="128"/>
      <c r="EM756" s="128"/>
      <c r="EO756" s="128"/>
      <c r="EQ756" s="128"/>
      <c r="ES756" s="128"/>
      <c r="EU756" s="128"/>
      <c r="EW756" s="128"/>
      <c r="EY756" s="128"/>
    </row>
    <row r="757" spans="3:155">
      <c r="C757" s="128"/>
      <c r="D757" s="128"/>
      <c r="E757" s="128"/>
      <c r="F757" s="128" t="str">
        <f>IF(E757 &lt;&gt; "", VLOOKUP(E757, '[2]Internal-logic'!G$1:I$364, 2, FALSE),"")</f>
        <v/>
      </c>
      <c r="G757" s="128" t="str">
        <f>IF(E757 &lt;&gt; "", VLOOKUP(E757, '[2]Internal-logic'!G$1:I$364, 3, FALSE),"")</f>
        <v/>
      </c>
      <c r="H757" s="128"/>
      <c r="I757" s="128"/>
      <c r="J757" s="128"/>
      <c r="K757" s="128"/>
      <c r="Q757" s="128"/>
      <c r="R757" s="128"/>
      <c r="S757" s="128"/>
      <c r="U757" s="128"/>
      <c r="X757" s="128"/>
      <c r="Y757" s="128"/>
      <c r="Z757" s="128"/>
      <c r="AA757" s="128"/>
      <c r="AB757" s="128"/>
      <c r="AC757" s="128"/>
      <c r="AD757" s="128"/>
      <c r="AE757" s="128"/>
      <c r="AF757" s="128"/>
      <c r="AG757" s="128"/>
      <c r="AI757" s="128"/>
      <c r="AJ757" s="128"/>
      <c r="AY757" s="128"/>
      <c r="BN757" s="128"/>
      <c r="BQ757" s="128"/>
      <c r="BR757" s="128"/>
      <c r="BT757" s="128"/>
      <c r="BV757" s="128"/>
      <c r="BX757" s="128"/>
      <c r="CU757" s="128"/>
      <c r="CW757" s="128"/>
      <c r="DN757" s="128"/>
      <c r="DP757" s="128"/>
      <c r="DR757" s="128"/>
      <c r="DV757" s="128"/>
      <c r="DX757" s="128"/>
      <c r="DY757" s="128"/>
      <c r="EA757" s="128"/>
      <c r="EB757" s="128"/>
      <c r="EC757" s="128"/>
      <c r="EG757" s="128"/>
      <c r="EL757" s="128"/>
      <c r="EM757" s="128"/>
      <c r="EO757" s="128"/>
      <c r="EQ757" s="128"/>
      <c r="ES757" s="128"/>
      <c r="EU757" s="128"/>
      <c r="EW757" s="128"/>
      <c r="EY757" s="128"/>
    </row>
    <row r="758" spans="3:155">
      <c r="C758" s="128"/>
      <c r="D758" s="128"/>
      <c r="E758" s="128"/>
      <c r="F758" s="128" t="str">
        <f>IF(E758 &lt;&gt; "", VLOOKUP(E758, '[2]Internal-logic'!G$1:I$364, 2, FALSE),"")</f>
        <v/>
      </c>
      <c r="G758" s="128" t="str">
        <f>IF(E758 &lt;&gt; "", VLOOKUP(E758, '[2]Internal-logic'!G$1:I$364, 3, FALSE),"")</f>
        <v/>
      </c>
      <c r="H758" s="128"/>
      <c r="I758" s="128"/>
      <c r="J758" s="128"/>
      <c r="K758" s="128"/>
      <c r="Q758" s="128"/>
      <c r="R758" s="128"/>
      <c r="S758" s="128"/>
      <c r="U758" s="128"/>
      <c r="X758" s="128"/>
      <c r="Y758" s="128"/>
      <c r="Z758" s="128"/>
      <c r="AA758" s="128"/>
      <c r="AB758" s="128"/>
      <c r="AC758" s="128"/>
      <c r="AD758" s="128"/>
      <c r="AE758" s="128"/>
      <c r="AF758" s="128"/>
      <c r="AG758" s="128"/>
      <c r="AI758" s="128"/>
      <c r="AJ758" s="128"/>
      <c r="AY758" s="128"/>
      <c r="BN758" s="128"/>
      <c r="BQ758" s="128"/>
      <c r="BR758" s="128"/>
      <c r="BT758" s="128"/>
      <c r="BV758" s="128"/>
      <c r="BX758" s="128"/>
      <c r="CU758" s="128"/>
      <c r="CW758" s="128"/>
      <c r="DN758" s="128"/>
      <c r="DP758" s="128"/>
      <c r="DR758" s="128"/>
      <c r="DV758" s="128"/>
      <c r="DX758" s="128"/>
      <c r="DY758" s="128"/>
      <c r="EA758" s="128"/>
      <c r="EB758" s="128"/>
      <c r="EC758" s="128"/>
      <c r="EG758" s="128"/>
      <c r="EL758" s="128"/>
      <c r="EM758" s="128"/>
      <c r="EO758" s="128"/>
      <c r="EQ758" s="128"/>
      <c r="ES758" s="128"/>
      <c r="EU758" s="128"/>
      <c r="EW758" s="128"/>
      <c r="EY758" s="128"/>
    </row>
    <row r="759" spans="3:155">
      <c r="C759" s="128"/>
      <c r="D759" s="128"/>
      <c r="E759" s="128"/>
      <c r="F759" s="128" t="str">
        <f>IF(E759 &lt;&gt; "", VLOOKUP(E759, '[2]Internal-logic'!G$1:I$364, 2, FALSE),"")</f>
        <v/>
      </c>
      <c r="G759" s="128" t="str">
        <f>IF(E759 &lt;&gt; "", VLOOKUP(E759, '[2]Internal-logic'!G$1:I$364, 3, FALSE),"")</f>
        <v/>
      </c>
      <c r="H759" s="128"/>
      <c r="I759" s="128"/>
      <c r="J759" s="128"/>
      <c r="K759" s="128"/>
      <c r="Q759" s="128"/>
      <c r="R759" s="128"/>
      <c r="S759" s="128"/>
      <c r="U759" s="128"/>
      <c r="X759" s="128"/>
      <c r="Y759" s="128"/>
      <c r="Z759" s="128"/>
      <c r="AA759" s="128"/>
      <c r="AB759" s="128"/>
      <c r="AC759" s="128"/>
      <c r="AD759" s="128"/>
      <c r="AE759" s="128"/>
      <c r="AF759" s="128"/>
      <c r="AG759" s="128"/>
      <c r="AI759" s="128"/>
      <c r="AJ759" s="128"/>
      <c r="AY759" s="128"/>
      <c r="BN759" s="128"/>
      <c r="BQ759" s="128"/>
      <c r="BR759" s="128"/>
      <c r="BT759" s="128"/>
      <c r="BV759" s="128"/>
      <c r="BX759" s="128"/>
      <c r="CU759" s="128"/>
      <c r="CW759" s="128"/>
      <c r="DN759" s="128"/>
      <c r="DP759" s="128"/>
      <c r="DR759" s="128"/>
      <c r="DV759" s="128"/>
      <c r="DX759" s="128"/>
      <c r="DY759" s="128"/>
      <c r="EA759" s="128"/>
      <c r="EB759" s="128"/>
      <c r="EC759" s="128"/>
      <c r="EG759" s="128"/>
      <c r="EL759" s="128"/>
      <c r="EM759" s="128"/>
      <c r="EO759" s="128"/>
      <c r="EQ759" s="128"/>
      <c r="ES759" s="128"/>
      <c r="EU759" s="128"/>
      <c r="EW759" s="128"/>
      <c r="EY759" s="128"/>
    </row>
    <row r="760" spans="3:155">
      <c r="C760" s="128"/>
      <c r="D760" s="128"/>
      <c r="E760" s="128"/>
      <c r="F760" s="128" t="str">
        <f>IF(E760 &lt;&gt; "", VLOOKUP(E760, '[2]Internal-logic'!G$1:I$364, 2, FALSE),"")</f>
        <v/>
      </c>
      <c r="G760" s="128" t="str">
        <f>IF(E760 &lt;&gt; "", VLOOKUP(E760, '[2]Internal-logic'!G$1:I$364, 3, FALSE),"")</f>
        <v/>
      </c>
      <c r="H760" s="128"/>
      <c r="I760" s="128"/>
      <c r="J760" s="128"/>
      <c r="K760" s="128"/>
      <c r="Q760" s="128"/>
      <c r="R760" s="128"/>
      <c r="S760" s="128"/>
      <c r="U760" s="128"/>
      <c r="X760" s="128"/>
      <c r="Y760" s="128"/>
      <c r="Z760" s="128"/>
      <c r="AA760" s="128"/>
      <c r="AB760" s="128"/>
      <c r="AC760" s="128"/>
      <c r="AD760" s="128"/>
      <c r="AE760" s="128"/>
      <c r="AF760" s="128"/>
      <c r="AG760" s="128"/>
      <c r="AI760" s="128"/>
      <c r="AJ760" s="128"/>
      <c r="AY760" s="128"/>
      <c r="BN760" s="128"/>
      <c r="BQ760" s="128"/>
      <c r="BR760" s="128"/>
      <c r="BT760" s="128"/>
      <c r="BV760" s="128"/>
      <c r="BX760" s="128"/>
      <c r="CU760" s="128"/>
      <c r="CW760" s="128"/>
      <c r="DN760" s="128"/>
      <c r="DP760" s="128"/>
      <c r="DR760" s="128"/>
      <c r="DV760" s="128"/>
      <c r="DX760" s="128"/>
      <c r="DY760" s="128"/>
      <c r="EA760" s="128"/>
      <c r="EB760" s="128"/>
      <c r="EC760" s="128"/>
      <c r="EG760" s="128"/>
      <c r="EL760" s="128"/>
      <c r="EM760" s="128"/>
      <c r="EO760" s="128"/>
      <c r="EQ760" s="128"/>
      <c r="ES760" s="128"/>
      <c r="EU760" s="128"/>
      <c r="EW760" s="128"/>
      <c r="EY760" s="128"/>
    </row>
    <row r="761" spans="3:155">
      <c r="C761" s="128"/>
      <c r="D761" s="128"/>
      <c r="E761" s="128"/>
      <c r="F761" s="128" t="str">
        <f>IF(E761 &lt;&gt; "", VLOOKUP(E761, '[2]Internal-logic'!G$1:I$364, 2, FALSE),"")</f>
        <v/>
      </c>
      <c r="G761" s="128" t="str">
        <f>IF(E761 &lt;&gt; "", VLOOKUP(E761, '[2]Internal-logic'!G$1:I$364, 3, FALSE),"")</f>
        <v/>
      </c>
      <c r="H761" s="128"/>
      <c r="I761" s="128"/>
      <c r="J761" s="128"/>
      <c r="K761" s="128"/>
      <c r="Q761" s="128"/>
      <c r="R761" s="128"/>
      <c r="S761" s="128"/>
      <c r="U761" s="128"/>
      <c r="X761" s="128"/>
      <c r="Y761" s="128"/>
      <c r="Z761" s="128"/>
      <c r="AA761" s="128"/>
      <c r="AB761" s="128"/>
      <c r="AC761" s="128"/>
      <c r="AD761" s="128"/>
      <c r="AE761" s="128"/>
      <c r="AF761" s="128"/>
      <c r="AG761" s="128"/>
      <c r="AI761" s="128"/>
      <c r="AJ761" s="128"/>
      <c r="AY761" s="128"/>
      <c r="BN761" s="128"/>
      <c r="BQ761" s="128"/>
      <c r="BR761" s="128"/>
      <c r="BT761" s="128"/>
      <c r="BV761" s="128"/>
      <c r="BX761" s="128"/>
      <c r="CU761" s="128"/>
      <c r="CW761" s="128"/>
      <c r="DN761" s="128"/>
      <c r="DP761" s="128"/>
      <c r="DR761" s="128"/>
      <c r="DV761" s="128"/>
      <c r="DX761" s="128"/>
      <c r="DY761" s="128"/>
      <c r="EA761" s="128"/>
      <c r="EB761" s="128"/>
      <c r="EC761" s="128"/>
      <c r="EG761" s="128"/>
      <c r="EL761" s="128"/>
      <c r="EM761" s="128"/>
      <c r="EO761" s="128"/>
      <c r="EQ761" s="128"/>
      <c r="ES761" s="128"/>
      <c r="EU761" s="128"/>
      <c r="EW761" s="128"/>
      <c r="EY761" s="128"/>
    </row>
    <row r="762" spans="3:155">
      <c r="C762" s="128"/>
      <c r="D762" s="128"/>
      <c r="E762" s="128"/>
      <c r="F762" s="128" t="str">
        <f>IF(E762 &lt;&gt; "", VLOOKUP(E762, '[2]Internal-logic'!G$1:I$364, 2, FALSE),"")</f>
        <v/>
      </c>
      <c r="G762" s="128" t="str">
        <f>IF(E762 &lt;&gt; "", VLOOKUP(E762, '[2]Internal-logic'!G$1:I$364, 3, FALSE),"")</f>
        <v/>
      </c>
      <c r="H762" s="128"/>
      <c r="I762" s="128"/>
      <c r="J762" s="128"/>
      <c r="K762" s="128"/>
      <c r="Q762" s="128"/>
      <c r="R762" s="128"/>
      <c r="S762" s="128"/>
      <c r="U762" s="128"/>
      <c r="X762" s="128"/>
      <c r="Y762" s="128"/>
      <c r="Z762" s="128"/>
      <c r="AA762" s="128"/>
      <c r="AB762" s="128"/>
      <c r="AC762" s="128"/>
      <c r="AD762" s="128"/>
      <c r="AE762" s="128"/>
      <c r="AF762" s="128"/>
      <c r="AG762" s="128"/>
      <c r="AI762" s="128"/>
      <c r="AJ762" s="128"/>
      <c r="AY762" s="128"/>
      <c r="BN762" s="128"/>
      <c r="BQ762" s="128"/>
      <c r="BR762" s="128"/>
      <c r="BT762" s="128"/>
      <c r="BV762" s="128"/>
      <c r="BX762" s="128"/>
      <c r="CU762" s="128"/>
      <c r="CW762" s="128"/>
      <c r="DN762" s="128"/>
      <c r="DP762" s="128"/>
      <c r="DR762" s="128"/>
      <c r="DV762" s="128"/>
      <c r="DX762" s="128"/>
      <c r="DY762" s="128"/>
      <c r="EA762" s="128"/>
      <c r="EB762" s="128"/>
      <c r="EC762" s="128"/>
      <c r="EG762" s="128"/>
      <c r="EL762" s="128"/>
      <c r="EM762" s="128"/>
      <c r="EO762" s="128"/>
      <c r="EQ762" s="128"/>
      <c r="ES762" s="128"/>
      <c r="EU762" s="128"/>
      <c r="EW762" s="128"/>
      <c r="EY762" s="128"/>
    </row>
    <row r="763" spans="3:155">
      <c r="C763" s="128"/>
      <c r="D763" s="128"/>
      <c r="E763" s="128"/>
      <c r="F763" s="128" t="str">
        <f>IF(E763 &lt;&gt; "", VLOOKUP(E763, '[2]Internal-logic'!G$1:I$364, 2, FALSE),"")</f>
        <v/>
      </c>
      <c r="G763" s="128" t="str">
        <f>IF(E763 &lt;&gt; "", VLOOKUP(E763, '[2]Internal-logic'!G$1:I$364, 3, FALSE),"")</f>
        <v/>
      </c>
      <c r="H763" s="128"/>
      <c r="I763" s="128"/>
      <c r="J763" s="128"/>
      <c r="K763" s="128"/>
      <c r="Q763" s="128"/>
      <c r="R763" s="128"/>
      <c r="S763" s="128"/>
      <c r="U763" s="128"/>
      <c r="X763" s="128"/>
      <c r="Y763" s="128"/>
      <c r="Z763" s="128"/>
      <c r="AA763" s="128"/>
      <c r="AB763" s="128"/>
      <c r="AC763" s="128"/>
      <c r="AD763" s="128"/>
      <c r="AE763" s="128"/>
      <c r="AF763" s="128"/>
      <c r="AG763" s="128"/>
      <c r="AI763" s="128"/>
      <c r="AJ763" s="128"/>
      <c r="AY763" s="128"/>
      <c r="BN763" s="128"/>
      <c r="BQ763" s="128"/>
      <c r="BR763" s="128"/>
      <c r="BT763" s="128"/>
      <c r="BV763" s="128"/>
      <c r="BX763" s="128"/>
      <c r="CU763" s="128"/>
      <c r="CW763" s="128"/>
      <c r="DN763" s="128"/>
      <c r="DP763" s="128"/>
      <c r="DR763" s="128"/>
      <c r="DV763" s="128"/>
      <c r="DX763" s="128"/>
      <c r="DY763" s="128"/>
      <c r="EA763" s="128"/>
      <c r="EB763" s="128"/>
      <c r="EC763" s="128"/>
      <c r="EG763" s="128"/>
      <c r="EL763" s="128"/>
      <c r="EM763" s="128"/>
      <c r="EO763" s="128"/>
      <c r="EQ763" s="128"/>
      <c r="ES763" s="128"/>
      <c r="EU763" s="128"/>
      <c r="EW763" s="128"/>
      <c r="EY763" s="128"/>
    </row>
    <row r="764" spans="3:155">
      <c r="C764" s="128"/>
      <c r="D764" s="128"/>
      <c r="E764" s="128"/>
      <c r="F764" s="128" t="str">
        <f>IF(E764 &lt;&gt; "", VLOOKUP(E764, '[2]Internal-logic'!G$1:I$364, 2, FALSE),"")</f>
        <v/>
      </c>
      <c r="G764" s="128" t="str">
        <f>IF(E764 &lt;&gt; "", VLOOKUP(E764, '[2]Internal-logic'!G$1:I$364, 3, FALSE),"")</f>
        <v/>
      </c>
      <c r="H764" s="128"/>
      <c r="I764" s="128"/>
      <c r="J764" s="128"/>
      <c r="K764" s="128"/>
      <c r="Q764" s="128"/>
      <c r="R764" s="128"/>
      <c r="S764" s="128"/>
      <c r="U764" s="128"/>
      <c r="X764" s="128"/>
      <c r="Y764" s="128"/>
      <c r="Z764" s="128"/>
      <c r="AA764" s="128"/>
      <c r="AB764" s="128"/>
      <c r="AC764" s="128"/>
      <c r="AD764" s="128"/>
      <c r="AE764" s="128"/>
      <c r="AF764" s="128"/>
      <c r="AG764" s="128"/>
      <c r="AI764" s="128"/>
      <c r="AJ764" s="128"/>
      <c r="AY764" s="128"/>
      <c r="BN764" s="128"/>
      <c r="BQ764" s="128"/>
      <c r="BR764" s="128"/>
      <c r="BT764" s="128"/>
      <c r="BV764" s="128"/>
      <c r="BX764" s="128"/>
      <c r="CU764" s="128"/>
      <c r="CW764" s="128"/>
      <c r="DN764" s="128"/>
      <c r="DP764" s="128"/>
      <c r="DR764" s="128"/>
      <c r="DV764" s="128"/>
      <c r="DX764" s="128"/>
      <c r="DY764" s="128"/>
      <c r="EA764" s="128"/>
      <c r="EB764" s="128"/>
      <c r="EC764" s="128"/>
      <c r="EG764" s="128"/>
      <c r="EL764" s="128"/>
      <c r="EM764" s="128"/>
      <c r="EO764" s="128"/>
      <c r="EQ764" s="128"/>
      <c r="ES764" s="128"/>
      <c r="EU764" s="128"/>
      <c r="EW764" s="128"/>
      <c r="EY764" s="128"/>
    </row>
    <row r="765" spans="3:155">
      <c r="C765" s="128"/>
      <c r="D765" s="128"/>
      <c r="E765" s="128"/>
      <c r="F765" s="128" t="str">
        <f>IF(E765 &lt;&gt; "", VLOOKUP(E765, '[2]Internal-logic'!G$1:I$364, 2, FALSE),"")</f>
        <v/>
      </c>
      <c r="G765" s="128" t="str">
        <f>IF(E765 &lt;&gt; "", VLOOKUP(E765, '[2]Internal-logic'!G$1:I$364, 3, FALSE),"")</f>
        <v/>
      </c>
      <c r="H765" s="128"/>
      <c r="I765" s="128"/>
      <c r="J765" s="128"/>
      <c r="K765" s="128"/>
      <c r="Q765" s="128"/>
      <c r="R765" s="128"/>
      <c r="S765" s="128"/>
      <c r="U765" s="128"/>
      <c r="X765" s="128"/>
      <c r="Y765" s="128"/>
      <c r="Z765" s="128"/>
      <c r="AA765" s="128"/>
      <c r="AB765" s="128"/>
      <c r="AC765" s="128"/>
      <c r="AD765" s="128"/>
      <c r="AE765" s="128"/>
      <c r="AF765" s="128"/>
      <c r="AG765" s="128"/>
      <c r="AI765" s="128"/>
      <c r="AJ765" s="128"/>
      <c r="AY765" s="128"/>
      <c r="BN765" s="128"/>
      <c r="BQ765" s="128"/>
      <c r="BR765" s="128"/>
      <c r="BT765" s="128"/>
      <c r="BV765" s="128"/>
      <c r="BX765" s="128"/>
      <c r="CU765" s="128"/>
      <c r="CW765" s="128"/>
      <c r="DN765" s="128"/>
      <c r="DP765" s="128"/>
      <c r="DR765" s="128"/>
      <c r="DV765" s="128"/>
      <c r="DX765" s="128"/>
      <c r="DY765" s="128"/>
      <c r="EA765" s="128"/>
      <c r="EB765" s="128"/>
      <c r="EC765" s="128"/>
      <c r="EG765" s="128"/>
      <c r="EL765" s="128"/>
      <c r="EM765" s="128"/>
      <c r="EO765" s="128"/>
      <c r="EQ765" s="128"/>
      <c r="ES765" s="128"/>
      <c r="EU765" s="128"/>
      <c r="EW765" s="128"/>
      <c r="EY765" s="128"/>
    </row>
    <row r="766" spans="3:155">
      <c r="C766" s="128"/>
      <c r="D766" s="128"/>
      <c r="E766" s="128"/>
      <c r="F766" s="128" t="str">
        <f>IF(E766 &lt;&gt; "", VLOOKUP(E766, '[2]Internal-logic'!G$1:I$364, 2, FALSE),"")</f>
        <v/>
      </c>
      <c r="G766" s="128" t="str">
        <f>IF(E766 &lt;&gt; "", VLOOKUP(E766, '[2]Internal-logic'!G$1:I$364, 3, FALSE),"")</f>
        <v/>
      </c>
      <c r="H766" s="128"/>
      <c r="I766" s="128"/>
      <c r="J766" s="128"/>
      <c r="K766" s="128"/>
      <c r="Q766" s="128"/>
      <c r="R766" s="128"/>
      <c r="S766" s="128"/>
      <c r="U766" s="128"/>
      <c r="X766" s="128"/>
      <c r="Y766" s="128"/>
      <c r="Z766" s="128"/>
      <c r="AA766" s="128"/>
      <c r="AB766" s="128"/>
      <c r="AC766" s="128"/>
      <c r="AD766" s="128"/>
      <c r="AE766" s="128"/>
      <c r="AF766" s="128"/>
      <c r="AG766" s="128"/>
      <c r="AI766" s="128"/>
      <c r="AJ766" s="128"/>
      <c r="AY766" s="128"/>
      <c r="BN766" s="128"/>
      <c r="BQ766" s="128"/>
      <c r="BR766" s="128"/>
      <c r="BT766" s="128"/>
      <c r="BV766" s="128"/>
      <c r="BX766" s="128"/>
      <c r="CU766" s="128"/>
      <c r="CW766" s="128"/>
      <c r="DN766" s="128"/>
      <c r="DP766" s="128"/>
      <c r="DR766" s="128"/>
      <c r="DV766" s="128"/>
      <c r="DX766" s="128"/>
      <c r="DY766" s="128"/>
      <c r="EA766" s="128"/>
      <c r="EB766" s="128"/>
      <c r="EC766" s="128"/>
      <c r="EG766" s="128"/>
      <c r="EL766" s="128"/>
      <c r="EM766" s="128"/>
      <c r="EO766" s="128"/>
      <c r="EQ766" s="128"/>
      <c r="ES766" s="128"/>
      <c r="EU766" s="128"/>
      <c r="EW766" s="128"/>
      <c r="EY766" s="128"/>
    </row>
    <row r="767" spans="3:155">
      <c r="C767" s="128"/>
      <c r="D767" s="128"/>
      <c r="E767" s="128"/>
      <c r="F767" s="128" t="str">
        <f>IF(E767 &lt;&gt; "", VLOOKUP(E767, '[2]Internal-logic'!G$1:I$364, 2, FALSE),"")</f>
        <v/>
      </c>
      <c r="G767" s="128" t="str">
        <f>IF(E767 &lt;&gt; "", VLOOKUP(E767, '[2]Internal-logic'!G$1:I$364, 3, FALSE),"")</f>
        <v/>
      </c>
      <c r="H767" s="128"/>
      <c r="I767" s="128"/>
      <c r="J767" s="128"/>
      <c r="K767" s="128"/>
      <c r="Q767" s="128"/>
      <c r="R767" s="128"/>
      <c r="S767" s="128"/>
      <c r="U767" s="128"/>
      <c r="X767" s="128"/>
      <c r="Y767" s="128"/>
      <c r="Z767" s="128"/>
      <c r="AA767" s="128"/>
      <c r="AB767" s="128"/>
      <c r="AC767" s="128"/>
      <c r="AD767" s="128"/>
      <c r="AE767" s="128"/>
      <c r="AF767" s="128"/>
      <c r="AG767" s="128"/>
      <c r="AI767" s="128"/>
      <c r="AJ767" s="128"/>
      <c r="AY767" s="128"/>
      <c r="BN767" s="128"/>
      <c r="BQ767" s="128"/>
      <c r="BR767" s="128"/>
      <c r="BT767" s="128"/>
      <c r="BV767" s="128"/>
      <c r="BX767" s="128"/>
      <c r="CU767" s="128"/>
      <c r="CW767" s="128"/>
      <c r="DN767" s="128"/>
      <c r="DP767" s="128"/>
      <c r="DR767" s="128"/>
      <c r="DV767" s="128"/>
      <c r="DX767" s="128"/>
      <c r="DY767" s="128"/>
      <c r="EA767" s="128"/>
      <c r="EB767" s="128"/>
      <c r="EC767" s="128"/>
      <c r="EG767" s="128"/>
      <c r="EL767" s="128"/>
      <c r="EM767" s="128"/>
      <c r="EO767" s="128"/>
      <c r="EQ767" s="128"/>
      <c r="ES767" s="128"/>
      <c r="EU767" s="128"/>
      <c r="EW767" s="128"/>
      <c r="EY767" s="128"/>
    </row>
    <row r="768" spans="3:155">
      <c r="C768" s="128"/>
      <c r="D768" s="128"/>
      <c r="E768" s="128"/>
      <c r="F768" s="128" t="str">
        <f>IF(E768 &lt;&gt; "", VLOOKUP(E768, '[2]Internal-logic'!G$1:I$364, 2, FALSE),"")</f>
        <v/>
      </c>
      <c r="G768" s="128" t="str">
        <f>IF(E768 &lt;&gt; "", VLOOKUP(E768, '[2]Internal-logic'!G$1:I$364, 3, FALSE),"")</f>
        <v/>
      </c>
      <c r="H768" s="128"/>
      <c r="I768" s="128"/>
      <c r="J768" s="128"/>
      <c r="K768" s="128"/>
      <c r="Q768" s="128"/>
      <c r="R768" s="128"/>
      <c r="S768" s="128"/>
      <c r="U768" s="128"/>
      <c r="X768" s="128"/>
      <c r="Y768" s="128"/>
      <c r="Z768" s="128"/>
      <c r="AA768" s="128"/>
      <c r="AB768" s="128"/>
      <c r="AC768" s="128"/>
      <c r="AD768" s="128"/>
      <c r="AE768" s="128"/>
      <c r="AF768" s="128"/>
      <c r="AG768" s="128"/>
      <c r="AI768" s="128"/>
      <c r="AJ768" s="128"/>
      <c r="AY768" s="128"/>
      <c r="BN768" s="128"/>
      <c r="BQ768" s="128"/>
      <c r="BR768" s="128"/>
      <c r="BT768" s="128"/>
      <c r="BV768" s="128"/>
      <c r="BX768" s="128"/>
      <c r="CU768" s="128"/>
      <c r="CW768" s="128"/>
      <c r="DN768" s="128"/>
      <c r="DP768" s="128"/>
      <c r="DR768" s="128"/>
      <c r="DV768" s="128"/>
      <c r="DX768" s="128"/>
      <c r="DY768" s="128"/>
      <c r="EA768" s="128"/>
      <c r="EB768" s="128"/>
      <c r="EC768" s="128"/>
      <c r="EG768" s="128"/>
      <c r="EL768" s="128"/>
      <c r="EM768" s="128"/>
      <c r="EO768" s="128"/>
      <c r="EQ768" s="128"/>
      <c r="ES768" s="128"/>
      <c r="EU768" s="128"/>
      <c r="EW768" s="128"/>
      <c r="EY768" s="128"/>
    </row>
    <row r="769" spans="3:155">
      <c r="C769" s="128"/>
      <c r="D769" s="128"/>
      <c r="E769" s="128"/>
      <c r="F769" s="128" t="str">
        <f>IF(E769 &lt;&gt; "", VLOOKUP(E769, '[2]Internal-logic'!G$1:I$364, 2, FALSE),"")</f>
        <v/>
      </c>
      <c r="G769" s="128" t="str">
        <f>IF(E769 &lt;&gt; "", VLOOKUP(E769, '[2]Internal-logic'!G$1:I$364, 3, FALSE),"")</f>
        <v/>
      </c>
      <c r="H769" s="128"/>
      <c r="I769" s="128"/>
      <c r="J769" s="128"/>
      <c r="K769" s="128"/>
      <c r="Q769" s="128"/>
      <c r="R769" s="128"/>
      <c r="S769" s="128"/>
      <c r="U769" s="128"/>
      <c r="X769" s="128"/>
      <c r="Y769" s="128"/>
      <c r="Z769" s="128"/>
      <c r="AA769" s="128"/>
      <c r="AB769" s="128"/>
      <c r="AC769" s="128"/>
      <c r="AD769" s="128"/>
      <c r="AE769" s="128"/>
      <c r="AF769" s="128"/>
      <c r="AG769" s="128"/>
      <c r="AI769" s="128"/>
      <c r="AJ769" s="128"/>
      <c r="AY769" s="128"/>
      <c r="BN769" s="128"/>
      <c r="BQ769" s="128"/>
      <c r="BR769" s="128"/>
      <c r="BT769" s="128"/>
      <c r="BV769" s="128"/>
      <c r="BX769" s="128"/>
      <c r="CU769" s="128"/>
      <c r="CW769" s="128"/>
      <c r="DN769" s="128"/>
      <c r="DP769" s="128"/>
      <c r="DR769" s="128"/>
      <c r="DV769" s="128"/>
      <c r="DX769" s="128"/>
      <c r="DY769" s="128"/>
      <c r="EA769" s="128"/>
      <c r="EB769" s="128"/>
      <c r="EC769" s="128"/>
      <c r="EG769" s="128"/>
      <c r="EL769" s="128"/>
      <c r="EM769" s="128"/>
      <c r="EO769" s="128"/>
      <c r="EQ769" s="128"/>
      <c r="ES769" s="128"/>
      <c r="EU769" s="128"/>
      <c r="EW769" s="128"/>
      <c r="EY769" s="128"/>
    </row>
    <row r="770" spans="3:155">
      <c r="C770" s="128"/>
      <c r="D770" s="128"/>
      <c r="E770" s="128"/>
      <c r="F770" s="128" t="str">
        <f>IF(E770 &lt;&gt; "", VLOOKUP(E770, '[2]Internal-logic'!G$1:I$364, 2, FALSE),"")</f>
        <v/>
      </c>
      <c r="G770" s="128" t="str">
        <f>IF(E770 &lt;&gt; "", VLOOKUP(E770, '[2]Internal-logic'!G$1:I$364, 3, FALSE),"")</f>
        <v/>
      </c>
      <c r="H770" s="128"/>
      <c r="I770" s="128"/>
      <c r="J770" s="128"/>
      <c r="K770" s="128"/>
      <c r="Q770" s="128"/>
      <c r="R770" s="128"/>
      <c r="S770" s="128"/>
      <c r="U770" s="128"/>
      <c r="X770" s="128"/>
      <c r="Y770" s="128"/>
      <c r="Z770" s="128"/>
      <c r="AA770" s="128"/>
      <c r="AB770" s="128"/>
      <c r="AC770" s="128"/>
      <c r="AD770" s="128"/>
      <c r="AE770" s="128"/>
      <c r="AF770" s="128"/>
      <c r="AG770" s="128"/>
      <c r="AI770" s="128"/>
      <c r="AJ770" s="128"/>
      <c r="AY770" s="128"/>
      <c r="BN770" s="128"/>
      <c r="BQ770" s="128"/>
      <c r="BR770" s="128"/>
      <c r="BT770" s="128"/>
      <c r="BV770" s="128"/>
      <c r="BX770" s="128"/>
      <c r="CU770" s="128"/>
      <c r="CW770" s="128"/>
      <c r="DN770" s="128"/>
      <c r="DP770" s="128"/>
      <c r="DR770" s="128"/>
      <c r="DV770" s="128"/>
      <c r="DX770" s="128"/>
      <c r="DY770" s="128"/>
      <c r="EA770" s="128"/>
      <c r="EB770" s="128"/>
      <c r="EC770" s="128"/>
      <c r="EG770" s="128"/>
      <c r="EL770" s="128"/>
      <c r="EM770" s="128"/>
      <c r="EO770" s="128"/>
      <c r="EQ770" s="128"/>
      <c r="ES770" s="128"/>
      <c r="EU770" s="128"/>
      <c r="EW770" s="128"/>
      <c r="EY770" s="128"/>
    </row>
    <row r="771" spans="3:155">
      <c r="C771" s="128"/>
      <c r="D771" s="128"/>
      <c r="E771" s="128"/>
      <c r="F771" s="128" t="str">
        <f>IF(E771 &lt;&gt; "", VLOOKUP(E771, '[2]Internal-logic'!G$1:I$364, 2, FALSE),"")</f>
        <v/>
      </c>
      <c r="G771" s="128" t="str">
        <f>IF(E771 &lt;&gt; "", VLOOKUP(E771, '[2]Internal-logic'!G$1:I$364, 3, FALSE),"")</f>
        <v/>
      </c>
      <c r="H771" s="128"/>
      <c r="I771" s="128"/>
      <c r="J771" s="128"/>
      <c r="K771" s="128"/>
      <c r="Q771" s="128"/>
      <c r="R771" s="128"/>
      <c r="S771" s="128"/>
      <c r="U771" s="128"/>
      <c r="X771" s="128"/>
      <c r="Y771" s="128"/>
      <c r="Z771" s="128"/>
      <c r="AA771" s="128"/>
      <c r="AB771" s="128"/>
      <c r="AC771" s="128"/>
      <c r="AD771" s="128"/>
      <c r="AE771" s="128"/>
      <c r="AF771" s="128"/>
      <c r="AG771" s="128"/>
      <c r="AI771" s="128"/>
      <c r="AJ771" s="128"/>
      <c r="AY771" s="128"/>
      <c r="BN771" s="128"/>
      <c r="BQ771" s="128"/>
      <c r="BR771" s="128"/>
      <c r="BT771" s="128"/>
      <c r="BV771" s="128"/>
      <c r="BX771" s="128"/>
      <c r="CU771" s="128"/>
      <c r="CW771" s="128"/>
      <c r="DN771" s="128"/>
      <c r="DP771" s="128"/>
      <c r="DR771" s="128"/>
      <c r="DV771" s="128"/>
      <c r="DX771" s="128"/>
      <c r="DY771" s="128"/>
      <c r="EA771" s="128"/>
      <c r="EB771" s="128"/>
      <c r="EC771" s="128"/>
      <c r="EG771" s="128"/>
      <c r="EL771" s="128"/>
      <c r="EM771" s="128"/>
      <c r="EO771" s="128"/>
      <c r="EQ771" s="128"/>
      <c r="ES771" s="128"/>
      <c r="EU771" s="128"/>
      <c r="EW771" s="128"/>
      <c r="EY771" s="128"/>
    </row>
    <row r="772" spans="3:155">
      <c r="C772" s="128"/>
      <c r="D772" s="128"/>
      <c r="E772" s="128"/>
      <c r="F772" s="128" t="str">
        <f>IF(E772 &lt;&gt; "", VLOOKUP(E772, '[2]Internal-logic'!G$1:I$364, 2, FALSE),"")</f>
        <v/>
      </c>
      <c r="G772" s="128" t="str">
        <f>IF(E772 &lt;&gt; "", VLOOKUP(E772, '[2]Internal-logic'!G$1:I$364, 3, FALSE),"")</f>
        <v/>
      </c>
      <c r="H772" s="128"/>
      <c r="I772" s="128"/>
      <c r="J772" s="128"/>
      <c r="K772" s="128"/>
      <c r="Q772" s="128"/>
      <c r="R772" s="128"/>
      <c r="S772" s="128"/>
      <c r="U772" s="128"/>
      <c r="X772" s="128"/>
      <c r="Y772" s="128"/>
      <c r="Z772" s="128"/>
      <c r="AA772" s="128"/>
      <c r="AB772" s="128"/>
      <c r="AC772" s="128"/>
      <c r="AD772" s="128"/>
      <c r="AE772" s="128"/>
      <c r="AF772" s="128"/>
      <c r="AG772" s="128"/>
      <c r="AI772" s="128"/>
      <c r="AJ772" s="128"/>
      <c r="AY772" s="128"/>
      <c r="BN772" s="128"/>
      <c r="BQ772" s="128"/>
      <c r="BR772" s="128"/>
      <c r="BT772" s="128"/>
      <c r="BV772" s="128"/>
      <c r="BX772" s="128"/>
      <c r="CU772" s="128"/>
      <c r="CW772" s="128"/>
      <c r="DN772" s="128"/>
      <c r="DP772" s="128"/>
      <c r="DR772" s="128"/>
      <c r="DV772" s="128"/>
      <c r="DX772" s="128"/>
      <c r="DY772" s="128"/>
      <c r="EA772" s="128"/>
      <c r="EB772" s="128"/>
      <c r="EC772" s="128"/>
      <c r="EG772" s="128"/>
      <c r="EL772" s="128"/>
      <c r="EM772" s="128"/>
      <c r="EO772" s="128"/>
      <c r="EQ772" s="128"/>
      <c r="ES772" s="128"/>
      <c r="EU772" s="128"/>
      <c r="EW772" s="128"/>
      <c r="EY772" s="128"/>
    </row>
    <row r="773" spans="3:155">
      <c r="C773" s="128"/>
      <c r="D773" s="128"/>
      <c r="E773" s="128"/>
      <c r="F773" s="128" t="str">
        <f>IF(E773 &lt;&gt; "", VLOOKUP(E773, '[2]Internal-logic'!G$1:I$364, 2, FALSE),"")</f>
        <v/>
      </c>
      <c r="G773" s="128" t="str">
        <f>IF(E773 &lt;&gt; "", VLOOKUP(E773, '[2]Internal-logic'!G$1:I$364, 3, FALSE),"")</f>
        <v/>
      </c>
      <c r="H773" s="128"/>
      <c r="I773" s="128"/>
      <c r="J773" s="128"/>
      <c r="K773" s="128"/>
      <c r="Q773" s="128"/>
      <c r="R773" s="128"/>
      <c r="S773" s="128"/>
      <c r="U773" s="128"/>
      <c r="X773" s="128"/>
      <c r="Y773" s="128"/>
      <c r="Z773" s="128"/>
      <c r="AA773" s="128"/>
      <c r="AB773" s="128"/>
      <c r="AC773" s="128"/>
      <c r="AD773" s="128"/>
      <c r="AE773" s="128"/>
      <c r="AF773" s="128"/>
      <c r="AG773" s="128"/>
      <c r="AI773" s="128"/>
      <c r="AJ773" s="128"/>
      <c r="AY773" s="128"/>
      <c r="BN773" s="128"/>
      <c r="BQ773" s="128"/>
      <c r="BR773" s="128"/>
      <c r="BT773" s="128"/>
      <c r="BV773" s="128"/>
      <c r="BX773" s="128"/>
      <c r="CU773" s="128"/>
      <c r="CW773" s="128"/>
      <c r="DN773" s="128"/>
      <c r="DP773" s="128"/>
      <c r="DR773" s="128"/>
      <c r="DV773" s="128"/>
      <c r="DX773" s="128"/>
      <c r="DY773" s="128"/>
      <c r="EA773" s="128"/>
      <c r="EB773" s="128"/>
      <c r="EC773" s="128"/>
      <c r="EG773" s="128"/>
      <c r="EL773" s="128"/>
      <c r="EM773" s="128"/>
      <c r="EO773" s="128"/>
      <c r="EQ773" s="128"/>
      <c r="ES773" s="128"/>
      <c r="EU773" s="128"/>
      <c r="EW773" s="128"/>
      <c r="EY773" s="128"/>
    </row>
    <row r="774" spans="3:155">
      <c r="C774" s="128"/>
      <c r="D774" s="128"/>
      <c r="E774" s="128"/>
      <c r="F774" s="128" t="str">
        <f>IF(E774 &lt;&gt; "", VLOOKUP(E774, '[2]Internal-logic'!G$1:I$364, 2, FALSE),"")</f>
        <v/>
      </c>
      <c r="G774" s="128" t="str">
        <f>IF(E774 &lt;&gt; "", VLOOKUP(E774, '[2]Internal-logic'!G$1:I$364, 3, FALSE),"")</f>
        <v/>
      </c>
      <c r="H774" s="128"/>
      <c r="I774" s="128"/>
      <c r="J774" s="128"/>
      <c r="K774" s="128"/>
      <c r="Q774" s="128"/>
      <c r="R774" s="128"/>
      <c r="S774" s="128"/>
      <c r="U774" s="128"/>
      <c r="X774" s="128"/>
      <c r="Y774" s="128"/>
      <c r="Z774" s="128"/>
      <c r="AA774" s="128"/>
      <c r="AB774" s="128"/>
      <c r="AC774" s="128"/>
      <c r="AD774" s="128"/>
      <c r="AE774" s="128"/>
      <c r="AF774" s="128"/>
      <c r="AG774" s="128"/>
      <c r="AI774" s="128"/>
      <c r="AJ774" s="128"/>
      <c r="AY774" s="128"/>
      <c r="BN774" s="128"/>
      <c r="BQ774" s="128"/>
      <c r="BR774" s="128"/>
      <c r="BT774" s="128"/>
      <c r="BV774" s="128"/>
      <c r="BX774" s="128"/>
      <c r="CU774" s="128"/>
      <c r="CW774" s="128"/>
      <c r="DN774" s="128"/>
      <c r="DP774" s="128"/>
      <c r="DR774" s="128"/>
      <c r="DV774" s="128"/>
      <c r="DX774" s="128"/>
      <c r="DY774" s="128"/>
      <c r="EA774" s="128"/>
      <c r="EB774" s="128"/>
      <c r="EC774" s="128"/>
      <c r="EG774" s="128"/>
      <c r="EL774" s="128"/>
      <c r="EM774" s="128"/>
      <c r="EO774" s="128"/>
      <c r="EQ774" s="128"/>
      <c r="ES774" s="128"/>
      <c r="EU774" s="128"/>
      <c r="EW774" s="128"/>
      <c r="EY774" s="128"/>
    </row>
    <row r="775" spans="3:155">
      <c r="C775" s="128"/>
      <c r="D775" s="128"/>
      <c r="E775" s="128"/>
      <c r="F775" s="128" t="str">
        <f>IF(E775 &lt;&gt; "", VLOOKUP(E775, '[2]Internal-logic'!G$1:I$364, 2, FALSE),"")</f>
        <v/>
      </c>
      <c r="G775" s="128" t="str">
        <f>IF(E775 &lt;&gt; "", VLOOKUP(E775, '[2]Internal-logic'!G$1:I$364, 3, FALSE),"")</f>
        <v/>
      </c>
      <c r="H775" s="128"/>
      <c r="I775" s="128"/>
      <c r="J775" s="128"/>
      <c r="K775" s="128"/>
      <c r="Q775" s="128"/>
      <c r="R775" s="128"/>
      <c r="S775" s="128"/>
      <c r="U775" s="128"/>
      <c r="X775" s="128"/>
      <c r="Y775" s="128"/>
      <c r="Z775" s="128"/>
      <c r="AA775" s="128"/>
      <c r="AB775" s="128"/>
      <c r="AC775" s="128"/>
      <c r="AD775" s="128"/>
      <c r="AE775" s="128"/>
      <c r="AF775" s="128"/>
      <c r="AG775" s="128"/>
      <c r="AI775" s="128"/>
      <c r="AJ775" s="128"/>
      <c r="AY775" s="128"/>
      <c r="BN775" s="128"/>
      <c r="BQ775" s="128"/>
      <c r="BR775" s="128"/>
      <c r="BT775" s="128"/>
      <c r="BV775" s="128"/>
      <c r="BX775" s="128"/>
      <c r="CU775" s="128"/>
      <c r="CW775" s="128"/>
      <c r="DN775" s="128"/>
      <c r="DP775" s="128"/>
      <c r="DR775" s="128"/>
      <c r="DV775" s="128"/>
      <c r="DX775" s="128"/>
      <c r="DY775" s="128"/>
      <c r="EA775" s="128"/>
      <c r="EB775" s="128"/>
      <c r="EC775" s="128"/>
      <c r="EG775" s="128"/>
      <c r="EL775" s="128"/>
      <c r="EM775" s="128"/>
      <c r="EO775" s="128"/>
      <c r="EQ775" s="128"/>
      <c r="ES775" s="128"/>
      <c r="EU775" s="128"/>
      <c r="EW775" s="128"/>
      <c r="EY775" s="128"/>
    </row>
    <row r="776" spans="3:155">
      <c r="C776" s="128"/>
      <c r="D776" s="128"/>
      <c r="E776" s="128"/>
      <c r="F776" s="128" t="str">
        <f>IF(E776 &lt;&gt; "", VLOOKUP(E776, '[2]Internal-logic'!G$1:I$364, 2, FALSE),"")</f>
        <v/>
      </c>
      <c r="G776" s="128" t="str">
        <f>IF(E776 &lt;&gt; "", VLOOKUP(E776, '[2]Internal-logic'!G$1:I$364, 3, FALSE),"")</f>
        <v/>
      </c>
      <c r="H776" s="128"/>
      <c r="I776" s="128"/>
      <c r="J776" s="128"/>
      <c r="K776" s="128"/>
      <c r="Q776" s="128"/>
      <c r="R776" s="128"/>
      <c r="S776" s="128"/>
      <c r="U776" s="128"/>
      <c r="X776" s="128"/>
      <c r="Y776" s="128"/>
      <c r="Z776" s="128"/>
      <c r="AA776" s="128"/>
      <c r="AB776" s="128"/>
      <c r="AC776" s="128"/>
      <c r="AD776" s="128"/>
      <c r="AE776" s="128"/>
      <c r="AF776" s="128"/>
      <c r="AG776" s="128"/>
      <c r="AI776" s="128"/>
      <c r="AJ776" s="128"/>
      <c r="AY776" s="128"/>
      <c r="BN776" s="128"/>
      <c r="BQ776" s="128"/>
      <c r="BR776" s="128"/>
      <c r="BT776" s="128"/>
      <c r="BV776" s="128"/>
      <c r="BX776" s="128"/>
      <c r="CU776" s="128"/>
      <c r="CW776" s="128"/>
      <c r="DN776" s="128"/>
      <c r="DP776" s="128"/>
      <c r="DR776" s="128"/>
      <c r="DV776" s="128"/>
      <c r="DX776" s="128"/>
      <c r="DY776" s="128"/>
      <c r="EA776" s="128"/>
      <c r="EB776" s="128"/>
      <c r="EC776" s="128"/>
      <c r="EG776" s="128"/>
      <c r="EL776" s="128"/>
      <c r="EM776" s="128"/>
      <c r="EO776" s="128"/>
      <c r="EQ776" s="128"/>
      <c r="ES776" s="128"/>
      <c r="EU776" s="128"/>
      <c r="EW776" s="128"/>
      <c r="EY776" s="128"/>
    </row>
    <row r="777" spans="3:155">
      <c r="C777" s="128"/>
      <c r="D777" s="128"/>
      <c r="E777" s="128"/>
      <c r="F777" s="128" t="str">
        <f>IF(E777 &lt;&gt; "", VLOOKUP(E777, '[2]Internal-logic'!G$1:I$364, 2, FALSE),"")</f>
        <v/>
      </c>
      <c r="G777" s="128" t="str">
        <f>IF(E777 &lt;&gt; "", VLOOKUP(E777, '[2]Internal-logic'!G$1:I$364, 3, FALSE),"")</f>
        <v/>
      </c>
      <c r="H777" s="128"/>
      <c r="I777" s="128"/>
      <c r="J777" s="128"/>
      <c r="K777" s="128"/>
      <c r="Q777" s="128"/>
      <c r="R777" s="128"/>
      <c r="S777" s="128"/>
      <c r="U777" s="128"/>
      <c r="X777" s="128"/>
      <c r="Y777" s="128"/>
      <c r="Z777" s="128"/>
      <c r="AA777" s="128"/>
      <c r="AB777" s="128"/>
      <c r="AC777" s="128"/>
      <c r="AD777" s="128"/>
      <c r="AE777" s="128"/>
      <c r="AF777" s="128"/>
      <c r="AG777" s="128"/>
      <c r="AI777" s="128"/>
      <c r="AJ777" s="128"/>
      <c r="AY777" s="128"/>
      <c r="BN777" s="128"/>
      <c r="BQ777" s="128"/>
      <c r="BR777" s="128"/>
      <c r="BT777" s="128"/>
      <c r="BV777" s="128"/>
      <c r="BX777" s="128"/>
      <c r="CU777" s="128"/>
      <c r="CW777" s="128"/>
      <c r="DN777" s="128"/>
      <c r="DP777" s="128"/>
      <c r="DR777" s="128"/>
      <c r="DV777" s="128"/>
      <c r="DX777" s="128"/>
      <c r="DY777" s="128"/>
      <c r="EA777" s="128"/>
      <c r="EB777" s="128"/>
      <c r="EC777" s="128"/>
      <c r="EG777" s="128"/>
      <c r="EL777" s="128"/>
      <c r="EM777" s="128"/>
      <c r="EO777" s="128"/>
      <c r="EQ777" s="128"/>
      <c r="ES777" s="128"/>
      <c r="EU777" s="128"/>
      <c r="EW777" s="128"/>
      <c r="EY777" s="128"/>
    </row>
    <row r="778" spans="3:155">
      <c r="C778" s="128"/>
      <c r="D778" s="128"/>
      <c r="E778" s="128"/>
      <c r="F778" s="128" t="str">
        <f>IF(E778 &lt;&gt; "", VLOOKUP(E778, '[2]Internal-logic'!G$1:I$364, 2, FALSE),"")</f>
        <v/>
      </c>
      <c r="G778" s="128" t="str">
        <f>IF(E778 &lt;&gt; "", VLOOKUP(E778, '[2]Internal-logic'!G$1:I$364, 3, FALSE),"")</f>
        <v/>
      </c>
      <c r="H778" s="128"/>
      <c r="I778" s="128"/>
      <c r="J778" s="128"/>
      <c r="K778" s="128"/>
      <c r="Q778" s="128"/>
      <c r="R778" s="128"/>
      <c r="S778" s="128"/>
      <c r="U778" s="128"/>
      <c r="X778" s="128"/>
      <c r="Y778" s="128"/>
      <c r="Z778" s="128"/>
      <c r="AA778" s="128"/>
      <c r="AB778" s="128"/>
      <c r="AC778" s="128"/>
      <c r="AD778" s="128"/>
      <c r="AE778" s="128"/>
      <c r="AF778" s="128"/>
      <c r="AG778" s="128"/>
      <c r="AI778" s="128"/>
      <c r="AJ778" s="128"/>
      <c r="AY778" s="128"/>
      <c r="BN778" s="128"/>
      <c r="BQ778" s="128"/>
      <c r="BR778" s="128"/>
      <c r="BT778" s="128"/>
      <c r="BV778" s="128"/>
      <c r="BX778" s="128"/>
      <c r="CU778" s="128"/>
      <c r="CW778" s="128"/>
      <c r="DN778" s="128"/>
      <c r="DP778" s="128"/>
      <c r="DR778" s="128"/>
      <c r="DV778" s="128"/>
      <c r="DX778" s="128"/>
      <c r="DY778" s="128"/>
      <c r="EA778" s="128"/>
      <c r="EB778" s="128"/>
      <c r="EC778" s="128"/>
      <c r="EG778" s="128"/>
      <c r="EL778" s="128"/>
      <c r="EM778" s="128"/>
      <c r="EO778" s="128"/>
      <c r="EQ778" s="128"/>
      <c r="ES778" s="128"/>
      <c r="EU778" s="128"/>
      <c r="EW778" s="128"/>
      <c r="EY778" s="128"/>
    </row>
    <row r="779" spans="3:155">
      <c r="C779" s="128"/>
      <c r="D779" s="128"/>
      <c r="E779" s="128"/>
      <c r="F779" s="128" t="str">
        <f>IF(E779 &lt;&gt; "", VLOOKUP(E779, '[2]Internal-logic'!G$1:I$364, 2, FALSE),"")</f>
        <v/>
      </c>
      <c r="G779" s="128" t="str">
        <f>IF(E779 &lt;&gt; "", VLOOKUP(E779, '[2]Internal-logic'!G$1:I$364, 3, FALSE),"")</f>
        <v/>
      </c>
      <c r="H779" s="128"/>
      <c r="I779" s="128"/>
      <c r="J779" s="128"/>
      <c r="K779" s="128"/>
      <c r="Q779" s="128"/>
      <c r="R779" s="128"/>
      <c r="S779" s="128"/>
      <c r="U779" s="128"/>
      <c r="X779" s="128"/>
      <c r="Y779" s="128"/>
      <c r="Z779" s="128"/>
      <c r="AA779" s="128"/>
      <c r="AB779" s="128"/>
      <c r="AC779" s="128"/>
      <c r="AD779" s="128"/>
      <c r="AE779" s="128"/>
      <c r="AF779" s="128"/>
      <c r="AG779" s="128"/>
      <c r="AI779" s="128"/>
      <c r="AJ779" s="128"/>
      <c r="AY779" s="128"/>
      <c r="BN779" s="128"/>
      <c r="BQ779" s="128"/>
      <c r="BR779" s="128"/>
      <c r="BT779" s="128"/>
      <c r="BV779" s="128"/>
      <c r="BX779" s="128"/>
      <c r="CU779" s="128"/>
      <c r="CW779" s="128"/>
      <c r="DN779" s="128"/>
      <c r="DP779" s="128"/>
      <c r="DR779" s="128"/>
      <c r="DV779" s="128"/>
      <c r="DX779" s="128"/>
      <c r="DY779" s="128"/>
      <c r="EA779" s="128"/>
      <c r="EB779" s="128"/>
      <c r="EC779" s="128"/>
      <c r="EG779" s="128"/>
      <c r="EL779" s="128"/>
      <c r="EM779" s="128"/>
      <c r="EO779" s="128"/>
      <c r="EQ779" s="128"/>
      <c r="ES779" s="128"/>
      <c r="EU779" s="128"/>
      <c r="EW779" s="128"/>
      <c r="EY779" s="128"/>
    </row>
    <row r="780" spans="3:155">
      <c r="C780" s="128"/>
      <c r="D780" s="128"/>
      <c r="E780" s="128"/>
      <c r="F780" s="128" t="str">
        <f>IF(E780 &lt;&gt; "", VLOOKUP(E780, '[2]Internal-logic'!G$1:I$364, 2, FALSE),"")</f>
        <v/>
      </c>
      <c r="G780" s="128" t="str">
        <f>IF(E780 &lt;&gt; "", VLOOKUP(E780, '[2]Internal-logic'!G$1:I$364, 3, FALSE),"")</f>
        <v/>
      </c>
      <c r="H780" s="128"/>
      <c r="I780" s="128"/>
      <c r="J780" s="128"/>
      <c r="K780" s="128"/>
      <c r="Q780" s="128"/>
      <c r="R780" s="128"/>
      <c r="S780" s="128"/>
      <c r="U780" s="128"/>
      <c r="X780" s="128"/>
      <c r="Y780" s="128"/>
      <c r="Z780" s="128"/>
      <c r="AA780" s="128"/>
      <c r="AB780" s="128"/>
      <c r="AC780" s="128"/>
      <c r="AD780" s="128"/>
      <c r="AE780" s="128"/>
      <c r="AF780" s="128"/>
      <c r="AG780" s="128"/>
      <c r="AI780" s="128"/>
      <c r="AJ780" s="128"/>
      <c r="AY780" s="128"/>
      <c r="BN780" s="128"/>
      <c r="BQ780" s="128"/>
      <c r="BR780" s="128"/>
      <c r="BT780" s="128"/>
      <c r="BV780" s="128"/>
      <c r="BX780" s="128"/>
      <c r="CU780" s="128"/>
      <c r="CW780" s="128"/>
      <c r="DN780" s="128"/>
      <c r="DP780" s="128"/>
      <c r="DR780" s="128"/>
      <c r="DV780" s="128"/>
      <c r="DX780" s="128"/>
      <c r="DY780" s="128"/>
      <c r="EA780" s="128"/>
      <c r="EB780" s="128"/>
      <c r="EC780" s="128"/>
      <c r="EG780" s="128"/>
      <c r="EL780" s="128"/>
      <c r="EM780" s="128"/>
      <c r="EO780" s="128"/>
      <c r="EQ780" s="128"/>
      <c r="ES780" s="128"/>
      <c r="EU780" s="128"/>
      <c r="EW780" s="128"/>
      <c r="EY780" s="128"/>
    </row>
    <row r="781" spans="3:155">
      <c r="C781" s="128"/>
      <c r="D781" s="128"/>
      <c r="E781" s="128"/>
      <c r="F781" s="128" t="str">
        <f>IF(E781 &lt;&gt; "", VLOOKUP(E781, '[2]Internal-logic'!G$1:I$364, 2, FALSE),"")</f>
        <v/>
      </c>
      <c r="G781" s="128" t="str">
        <f>IF(E781 &lt;&gt; "", VLOOKUP(E781, '[2]Internal-logic'!G$1:I$364, 3, FALSE),"")</f>
        <v/>
      </c>
      <c r="H781" s="128"/>
      <c r="I781" s="128"/>
      <c r="J781" s="128"/>
      <c r="K781" s="128"/>
      <c r="Q781" s="128"/>
      <c r="R781" s="128"/>
      <c r="S781" s="128"/>
      <c r="U781" s="128"/>
      <c r="X781" s="128"/>
      <c r="Y781" s="128"/>
      <c r="Z781" s="128"/>
      <c r="AA781" s="128"/>
      <c r="AB781" s="128"/>
      <c r="AC781" s="128"/>
      <c r="AD781" s="128"/>
      <c r="AE781" s="128"/>
      <c r="AF781" s="128"/>
      <c r="AG781" s="128"/>
      <c r="AI781" s="128"/>
      <c r="AJ781" s="128"/>
      <c r="AY781" s="128"/>
      <c r="BN781" s="128"/>
      <c r="BQ781" s="128"/>
      <c r="BR781" s="128"/>
      <c r="BT781" s="128"/>
      <c r="BV781" s="128"/>
      <c r="BX781" s="128"/>
      <c r="CU781" s="128"/>
      <c r="CW781" s="128"/>
      <c r="DN781" s="128"/>
      <c r="DP781" s="128"/>
      <c r="DR781" s="128"/>
      <c r="DV781" s="128"/>
      <c r="DX781" s="128"/>
      <c r="DY781" s="128"/>
      <c r="EA781" s="128"/>
      <c r="EB781" s="128"/>
      <c r="EC781" s="128"/>
      <c r="EG781" s="128"/>
      <c r="EL781" s="128"/>
      <c r="EM781" s="128"/>
      <c r="EO781" s="128"/>
      <c r="EQ781" s="128"/>
      <c r="ES781" s="128"/>
      <c r="EU781" s="128"/>
      <c r="EW781" s="128"/>
      <c r="EY781" s="128"/>
    </row>
    <row r="782" spans="3:155">
      <c r="C782" s="128"/>
      <c r="D782" s="128"/>
      <c r="E782" s="128"/>
      <c r="F782" s="128" t="str">
        <f>IF(E782 &lt;&gt; "", VLOOKUP(E782, '[2]Internal-logic'!G$1:I$364, 2, FALSE),"")</f>
        <v/>
      </c>
      <c r="G782" s="128" t="str">
        <f>IF(E782 &lt;&gt; "", VLOOKUP(E782, '[2]Internal-logic'!G$1:I$364, 3, FALSE),"")</f>
        <v/>
      </c>
      <c r="H782" s="128"/>
      <c r="I782" s="128"/>
      <c r="J782" s="128"/>
      <c r="K782" s="128"/>
      <c r="Q782" s="128"/>
      <c r="R782" s="128"/>
      <c r="S782" s="128"/>
      <c r="U782" s="128"/>
      <c r="X782" s="128"/>
      <c r="Y782" s="128"/>
      <c r="Z782" s="128"/>
      <c r="AA782" s="128"/>
      <c r="AB782" s="128"/>
      <c r="AC782" s="128"/>
      <c r="AD782" s="128"/>
      <c r="AE782" s="128"/>
      <c r="AF782" s="128"/>
      <c r="AG782" s="128"/>
      <c r="AI782" s="128"/>
      <c r="AJ782" s="128"/>
      <c r="AY782" s="128"/>
      <c r="BN782" s="128"/>
      <c r="BQ782" s="128"/>
      <c r="BR782" s="128"/>
      <c r="BT782" s="128"/>
      <c r="BV782" s="128"/>
      <c r="BX782" s="128"/>
      <c r="CU782" s="128"/>
      <c r="CW782" s="128"/>
      <c r="DN782" s="128"/>
      <c r="DP782" s="128"/>
      <c r="DR782" s="128"/>
      <c r="DV782" s="128"/>
      <c r="DX782" s="128"/>
      <c r="DY782" s="128"/>
      <c r="EA782" s="128"/>
      <c r="EB782" s="128"/>
      <c r="EC782" s="128"/>
      <c r="EG782" s="128"/>
      <c r="EL782" s="128"/>
      <c r="EM782" s="128"/>
      <c r="EO782" s="128"/>
      <c r="EQ782" s="128"/>
      <c r="ES782" s="128"/>
      <c r="EU782" s="128"/>
      <c r="EW782" s="128"/>
      <c r="EY782" s="128"/>
    </row>
    <row r="783" spans="3:155">
      <c r="C783" s="128"/>
      <c r="D783" s="128"/>
      <c r="E783" s="128"/>
      <c r="F783" s="128" t="str">
        <f>IF(E783 &lt;&gt; "", VLOOKUP(E783, '[2]Internal-logic'!G$1:I$364, 2, FALSE),"")</f>
        <v/>
      </c>
      <c r="G783" s="128" t="str">
        <f>IF(E783 &lt;&gt; "", VLOOKUP(E783, '[2]Internal-logic'!G$1:I$364, 3, FALSE),"")</f>
        <v/>
      </c>
      <c r="H783" s="128"/>
      <c r="I783" s="128"/>
      <c r="J783" s="128"/>
      <c r="K783" s="128"/>
      <c r="Q783" s="128"/>
      <c r="R783" s="128"/>
      <c r="S783" s="128"/>
      <c r="U783" s="128"/>
      <c r="X783" s="128"/>
      <c r="Y783" s="128"/>
      <c r="Z783" s="128"/>
      <c r="AA783" s="128"/>
      <c r="AB783" s="128"/>
      <c r="AC783" s="128"/>
      <c r="AD783" s="128"/>
      <c r="AE783" s="128"/>
      <c r="AF783" s="128"/>
      <c r="AG783" s="128"/>
      <c r="AI783" s="128"/>
      <c r="AJ783" s="128"/>
      <c r="AY783" s="128"/>
      <c r="BN783" s="128"/>
      <c r="BQ783" s="128"/>
      <c r="BR783" s="128"/>
      <c r="BT783" s="128"/>
      <c r="BV783" s="128"/>
      <c r="BX783" s="128"/>
      <c r="CU783" s="128"/>
      <c r="CW783" s="128"/>
      <c r="DN783" s="128"/>
      <c r="DP783" s="128"/>
      <c r="DR783" s="128"/>
      <c r="DV783" s="128"/>
      <c r="DX783" s="128"/>
      <c r="DY783" s="128"/>
      <c r="EA783" s="128"/>
      <c r="EB783" s="128"/>
      <c r="EC783" s="128"/>
      <c r="EG783" s="128"/>
      <c r="EL783" s="128"/>
      <c r="EM783" s="128"/>
      <c r="EO783" s="128"/>
      <c r="EQ783" s="128"/>
      <c r="ES783" s="128"/>
      <c r="EU783" s="128"/>
      <c r="EW783" s="128"/>
      <c r="EY783" s="128"/>
    </row>
    <row r="784" spans="3:155">
      <c r="C784" s="128"/>
      <c r="D784" s="128"/>
      <c r="E784" s="128"/>
      <c r="F784" s="128" t="str">
        <f>IF(E784 &lt;&gt; "", VLOOKUP(E784, '[2]Internal-logic'!G$1:I$364, 2, FALSE),"")</f>
        <v/>
      </c>
      <c r="G784" s="128" t="str">
        <f>IF(E784 &lt;&gt; "", VLOOKUP(E784, '[2]Internal-logic'!G$1:I$364, 3, FALSE),"")</f>
        <v/>
      </c>
      <c r="H784" s="128"/>
      <c r="I784" s="128"/>
      <c r="J784" s="128"/>
      <c r="K784" s="128"/>
      <c r="Q784" s="128"/>
      <c r="R784" s="128"/>
      <c r="S784" s="128"/>
      <c r="U784" s="128"/>
      <c r="X784" s="128"/>
      <c r="Y784" s="128"/>
      <c r="Z784" s="128"/>
      <c r="AA784" s="128"/>
      <c r="AB784" s="128"/>
      <c r="AC784" s="128"/>
      <c r="AD784" s="128"/>
      <c r="AE784" s="128"/>
      <c r="AF784" s="128"/>
      <c r="AG784" s="128"/>
      <c r="AI784" s="128"/>
      <c r="AJ784" s="128"/>
      <c r="AY784" s="128"/>
      <c r="BN784" s="128"/>
      <c r="BQ784" s="128"/>
      <c r="BR784" s="128"/>
      <c r="BT784" s="128"/>
      <c r="BV784" s="128"/>
      <c r="BX784" s="128"/>
      <c r="CU784" s="128"/>
      <c r="CW784" s="128"/>
      <c r="DN784" s="128"/>
      <c r="DP784" s="128"/>
      <c r="DR784" s="128"/>
      <c r="DV784" s="128"/>
      <c r="DX784" s="128"/>
      <c r="DY784" s="128"/>
      <c r="EA784" s="128"/>
      <c r="EB784" s="128"/>
      <c r="EC784" s="128"/>
      <c r="EG784" s="128"/>
      <c r="EL784" s="128"/>
      <c r="EM784" s="128"/>
      <c r="EO784" s="128"/>
      <c r="EQ784" s="128"/>
      <c r="ES784" s="128"/>
      <c r="EU784" s="128"/>
      <c r="EW784" s="128"/>
      <c r="EY784" s="128"/>
    </row>
    <row r="785" spans="3:155">
      <c r="C785" s="128"/>
      <c r="D785" s="128"/>
      <c r="E785" s="128"/>
      <c r="F785" s="128" t="str">
        <f>IF(E785 &lt;&gt; "", VLOOKUP(E785, '[2]Internal-logic'!G$1:I$364, 2, FALSE),"")</f>
        <v/>
      </c>
      <c r="G785" s="128" t="str">
        <f>IF(E785 &lt;&gt; "", VLOOKUP(E785, '[2]Internal-logic'!G$1:I$364, 3, FALSE),"")</f>
        <v/>
      </c>
      <c r="H785" s="128"/>
      <c r="I785" s="128"/>
      <c r="J785" s="128"/>
      <c r="K785" s="128"/>
      <c r="Q785" s="128"/>
      <c r="R785" s="128"/>
      <c r="S785" s="128"/>
      <c r="U785" s="128"/>
      <c r="X785" s="128"/>
      <c r="Y785" s="128"/>
      <c r="Z785" s="128"/>
      <c r="AA785" s="128"/>
      <c r="AB785" s="128"/>
      <c r="AC785" s="128"/>
      <c r="AD785" s="128"/>
      <c r="AE785" s="128"/>
      <c r="AF785" s="128"/>
      <c r="AG785" s="128"/>
      <c r="AI785" s="128"/>
      <c r="AJ785" s="128"/>
      <c r="AY785" s="128"/>
      <c r="BN785" s="128"/>
      <c r="BQ785" s="128"/>
      <c r="BR785" s="128"/>
      <c r="BT785" s="128"/>
      <c r="BV785" s="128"/>
      <c r="BX785" s="128"/>
      <c r="CU785" s="128"/>
      <c r="CW785" s="128"/>
      <c r="DN785" s="128"/>
      <c r="DP785" s="128"/>
      <c r="DR785" s="128"/>
      <c r="DV785" s="128"/>
      <c r="DX785" s="128"/>
      <c r="DY785" s="128"/>
      <c r="EA785" s="128"/>
      <c r="EB785" s="128"/>
      <c r="EC785" s="128"/>
      <c r="EG785" s="128"/>
      <c r="EL785" s="128"/>
      <c r="EM785" s="128"/>
      <c r="EO785" s="128"/>
      <c r="EQ785" s="128"/>
      <c r="ES785" s="128"/>
      <c r="EU785" s="128"/>
      <c r="EW785" s="128"/>
      <c r="EY785" s="128"/>
    </row>
    <row r="786" spans="3:155">
      <c r="C786" s="128"/>
      <c r="D786" s="128"/>
      <c r="E786" s="128"/>
      <c r="F786" s="128" t="str">
        <f>IF(E786 &lt;&gt; "", VLOOKUP(E786, '[2]Internal-logic'!G$1:I$364, 2, FALSE),"")</f>
        <v/>
      </c>
      <c r="G786" s="128" t="str">
        <f>IF(E786 &lt;&gt; "", VLOOKUP(E786, '[2]Internal-logic'!G$1:I$364, 3, FALSE),"")</f>
        <v/>
      </c>
      <c r="H786" s="128"/>
      <c r="I786" s="128"/>
      <c r="J786" s="128"/>
      <c r="K786" s="128"/>
      <c r="Q786" s="128"/>
      <c r="R786" s="128"/>
      <c r="S786" s="128"/>
      <c r="U786" s="128"/>
      <c r="X786" s="128"/>
      <c r="Y786" s="128"/>
      <c r="Z786" s="128"/>
      <c r="AA786" s="128"/>
      <c r="AB786" s="128"/>
      <c r="AC786" s="128"/>
      <c r="AD786" s="128"/>
      <c r="AE786" s="128"/>
      <c r="AF786" s="128"/>
      <c r="AG786" s="128"/>
      <c r="AI786" s="128"/>
      <c r="AJ786" s="128"/>
      <c r="AY786" s="128"/>
      <c r="BN786" s="128"/>
      <c r="BQ786" s="128"/>
      <c r="BR786" s="128"/>
      <c r="BT786" s="128"/>
      <c r="BV786" s="128"/>
      <c r="BX786" s="128"/>
      <c r="CU786" s="128"/>
      <c r="CW786" s="128"/>
      <c r="DN786" s="128"/>
      <c r="DP786" s="128"/>
      <c r="DR786" s="128"/>
      <c r="DV786" s="128"/>
      <c r="DX786" s="128"/>
      <c r="DY786" s="128"/>
      <c r="EA786" s="128"/>
      <c r="EB786" s="128"/>
      <c r="EC786" s="128"/>
      <c r="EG786" s="128"/>
      <c r="EL786" s="128"/>
      <c r="EM786" s="128"/>
      <c r="EO786" s="128"/>
      <c r="EQ786" s="128"/>
      <c r="ES786" s="128"/>
      <c r="EU786" s="128"/>
      <c r="EW786" s="128"/>
      <c r="EY786" s="128"/>
    </row>
    <row r="787" spans="3:155">
      <c r="C787" s="128"/>
      <c r="D787" s="128"/>
      <c r="E787" s="128"/>
      <c r="F787" s="128" t="str">
        <f>IF(E787 &lt;&gt; "", VLOOKUP(E787, '[2]Internal-logic'!G$1:I$364, 2, FALSE),"")</f>
        <v/>
      </c>
      <c r="G787" s="128" t="str">
        <f>IF(E787 &lt;&gt; "", VLOOKUP(E787, '[2]Internal-logic'!G$1:I$364, 3, FALSE),"")</f>
        <v/>
      </c>
      <c r="H787" s="128"/>
      <c r="I787" s="128"/>
      <c r="J787" s="128"/>
      <c r="K787" s="128"/>
      <c r="Q787" s="128"/>
      <c r="R787" s="128"/>
      <c r="S787" s="128"/>
      <c r="U787" s="128"/>
      <c r="X787" s="128"/>
      <c r="Y787" s="128"/>
      <c r="Z787" s="128"/>
      <c r="AA787" s="128"/>
      <c r="AB787" s="128"/>
      <c r="AC787" s="128"/>
      <c r="AD787" s="128"/>
      <c r="AE787" s="128"/>
      <c r="AF787" s="128"/>
      <c r="AG787" s="128"/>
      <c r="AI787" s="128"/>
      <c r="AJ787" s="128"/>
      <c r="AY787" s="128"/>
      <c r="BN787" s="128"/>
      <c r="BQ787" s="128"/>
      <c r="BR787" s="128"/>
      <c r="BT787" s="128"/>
      <c r="BV787" s="128"/>
      <c r="BX787" s="128"/>
      <c r="CU787" s="128"/>
      <c r="CW787" s="128"/>
      <c r="DN787" s="128"/>
      <c r="DP787" s="128"/>
      <c r="DR787" s="128"/>
      <c r="DV787" s="128"/>
      <c r="DX787" s="128"/>
      <c r="DY787" s="128"/>
      <c r="EA787" s="128"/>
      <c r="EB787" s="128"/>
      <c r="EC787" s="128"/>
      <c r="EG787" s="128"/>
      <c r="EL787" s="128"/>
      <c r="EM787" s="128"/>
      <c r="EO787" s="128"/>
      <c r="EQ787" s="128"/>
      <c r="ES787" s="128"/>
      <c r="EU787" s="128"/>
      <c r="EW787" s="128"/>
      <c r="EY787" s="128"/>
    </row>
    <row r="788" spans="3:155">
      <c r="C788" s="128"/>
      <c r="D788" s="128"/>
      <c r="E788" s="128"/>
      <c r="F788" s="128" t="str">
        <f>IF(E788 &lt;&gt; "", VLOOKUP(E788, '[2]Internal-logic'!G$1:I$364, 2, FALSE),"")</f>
        <v/>
      </c>
      <c r="G788" s="128" t="str">
        <f>IF(E788 &lt;&gt; "", VLOOKUP(E788, '[2]Internal-logic'!G$1:I$364, 3, FALSE),"")</f>
        <v/>
      </c>
      <c r="H788" s="128"/>
      <c r="I788" s="128"/>
      <c r="J788" s="128"/>
      <c r="K788" s="128"/>
      <c r="Q788" s="128"/>
      <c r="R788" s="128"/>
      <c r="S788" s="128"/>
      <c r="U788" s="128"/>
      <c r="X788" s="128"/>
      <c r="Y788" s="128"/>
      <c r="Z788" s="128"/>
      <c r="AA788" s="128"/>
      <c r="AB788" s="128"/>
      <c r="AC788" s="128"/>
      <c r="AD788" s="128"/>
      <c r="AE788" s="128"/>
      <c r="AF788" s="128"/>
      <c r="AG788" s="128"/>
      <c r="AI788" s="128"/>
      <c r="AJ788" s="128"/>
      <c r="AY788" s="128"/>
      <c r="BN788" s="128"/>
      <c r="BQ788" s="128"/>
      <c r="BR788" s="128"/>
      <c r="BT788" s="128"/>
      <c r="BV788" s="128"/>
      <c r="BX788" s="128"/>
      <c r="CU788" s="128"/>
      <c r="CW788" s="128"/>
      <c r="DN788" s="128"/>
      <c r="DP788" s="128"/>
      <c r="DR788" s="128"/>
      <c r="DV788" s="128"/>
      <c r="DX788" s="128"/>
      <c r="DY788" s="128"/>
      <c r="EA788" s="128"/>
      <c r="EB788" s="128"/>
      <c r="EC788" s="128"/>
      <c r="EG788" s="128"/>
      <c r="EL788" s="128"/>
      <c r="EM788" s="128"/>
      <c r="EO788" s="128"/>
      <c r="EQ788" s="128"/>
      <c r="ES788" s="128"/>
      <c r="EU788" s="128"/>
      <c r="EW788" s="128"/>
      <c r="EY788" s="128"/>
    </row>
    <row r="789" spans="3:155">
      <c r="C789" s="128"/>
      <c r="D789" s="128"/>
      <c r="E789" s="128"/>
      <c r="F789" s="128" t="str">
        <f>IF(E789 &lt;&gt; "", VLOOKUP(E789, '[2]Internal-logic'!G$1:I$364, 2, FALSE),"")</f>
        <v/>
      </c>
      <c r="G789" s="128" t="str">
        <f>IF(E789 &lt;&gt; "", VLOOKUP(E789, '[2]Internal-logic'!G$1:I$364, 3, FALSE),"")</f>
        <v/>
      </c>
      <c r="H789" s="128"/>
      <c r="I789" s="128"/>
      <c r="J789" s="128"/>
      <c r="K789" s="128"/>
      <c r="Q789" s="128"/>
      <c r="R789" s="128"/>
      <c r="S789" s="128"/>
      <c r="U789" s="128"/>
      <c r="X789" s="128"/>
      <c r="Y789" s="128"/>
      <c r="Z789" s="128"/>
      <c r="AA789" s="128"/>
      <c r="AB789" s="128"/>
      <c r="AC789" s="128"/>
      <c r="AD789" s="128"/>
      <c r="AE789" s="128"/>
      <c r="AF789" s="128"/>
      <c r="AG789" s="128"/>
      <c r="AI789" s="128"/>
      <c r="AJ789" s="128"/>
      <c r="AY789" s="128"/>
      <c r="BN789" s="128"/>
      <c r="BQ789" s="128"/>
      <c r="BR789" s="128"/>
      <c r="BT789" s="128"/>
      <c r="BV789" s="128"/>
      <c r="BX789" s="128"/>
      <c r="CU789" s="128"/>
      <c r="CW789" s="128"/>
      <c r="DN789" s="128"/>
      <c r="DP789" s="128"/>
      <c r="DR789" s="128"/>
      <c r="DV789" s="128"/>
      <c r="DX789" s="128"/>
      <c r="DY789" s="128"/>
      <c r="EA789" s="128"/>
      <c r="EB789" s="128"/>
      <c r="EC789" s="128"/>
      <c r="EG789" s="128"/>
      <c r="EL789" s="128"/>
      <c r="EM789" s="128"/>
      <c r="EO789" s="128"/>
      <c r="EQ789" s="128"/>
      <c r="ES789" s="128"/>
      <c r="EU789" s="128"/>
      <c r="EW789" s="128"/>
      <c r="EY789" s="128"/>
    </row>
    <row r="790" spans="3:155">
      <c r="C790" s="128"/>
      <c r="D790" s="128"/>
      <c r="E790" s="128"/>
      <c r="F790" s="128" t="str">
        <f>IF(E790 &lt;&gt; "", VLOOKUP(E790, '[2]Internal-logic'!G$1:I$364, 2, FALSE),"")</f>
        <v/>
      </c>
      <c r="G790" s="128" t="str">
        <f>IF(E790 &lt;&gt; "", VLOOKUP(E790, '[2]Internal-logic'!G$1:I$364, 3, FALSE),"")</f>
        <v/>
      </c>
      <c r="H790" s="128"/>
      <c r="I790" s="128"/>
      <c r="J790" s="128"/>
      <c r="K790" s="128"/>
      <c r="Q790" s="128"/>
      <c r="R790" s="128"/>
      <c r="S790" s="128"/>
      <c r="U790" s="128"/>
      <c r="X790" s="128"/>
      <c r="Y790" s="128"/>
      <c r="Z790" s="128"/>
      <c r="AA790" s="128"/>
      <c r="AB790" s="128"/>
      <c r="AC790" s="128"/>
      <c r="AD790" s="128"/>
      <c r="AE790" s="128"/>
      <c r="AF790" s="128"/>
      <c r="AG790" s="128"/>
      <c r="AI790" s="128"/>
      <c r="AJ790" s="128"/>
      <c r="AY790" s="128"/>
      <c r="BN790" s="128"/>
      <c r="BQ790" s="128"/>
      <c r="BR790" s="128"/>
      <c r="BT790" s="128"/>
      <c r="BV790" s="128"/>
      <c r="BX790" s="128"/>
      <c r="CU790" s="128"/>
      <c r="CW790" s="128"/>
      <c r="DN790" s="128"/>
      <c r="DP790" s="128"/>
      <c r="DR790" s="128"/>
      <c r="DV790" s="128"/>
      <c r="DX790" s="128"/>
      <c r="DY790" s="128"/>
      <c r="EA790" s="128"/>
      <c r="EB790" s="128"/>
      <c r="EC790" s="128"/>
      <c r="EG790" s="128"/>
      <c r="EL790" s="128"/>
      <c r="EM790" s="128"/>
      <c r="EO790" s="128"/>
      <c r="EQ790" s="128"/>
      <c r="ES790" s="128"/>
      <c r="EU790" s="128"/>
      <c r="EW790" s="128"/>
      <c r="EY790" s="128"/>
    </row>
    <row r="791" spans="3:155">
      <c r="C791" s="128"/>
      <c r="D791" s="128"/>
      <c r="E791" s="128"/>
      <c r="F791" s="128" t="str">
        <f>IF(E791 &lt;&gt; "", VLOOKUP(E791, '[2]Internal-logic'!G$1:I$364, 2, FALSE),"")</f>
        <v/>
      </c>
      <c r="G791" s="128" t="str">
        <f>IF(E791 &lt;&gt; "", VLOOKUP(E791, '[2]Internal-logic'!G$1:I$364, 3, FALSE),"")</f>
        <v/>
      </c>
      <c r="H791" s="128"/>
      <c r="I791" s="128"/>
      <c r="J791" s="128"/>
      <c r="K791" s="128"/>
      <c r="Q791" s="128"/>
      <c r="R791" s="128"/>
      <c r="S791" s="128"/>
      <c r="U791" s="128"/>
      <c r="X791" s="128"/>
      <c r="Y791" s="128"/>
      <c r="Z791" s="128"/>
      <c r="AA791" s="128"/>
      <c r="AB791" s="128"/>
      <c r="AC791" s="128"/>
      <c r="AD791" s="128"/>
      <c r="AE791" s="128"/>
      <c r="AF791" s="128"/>
      <c r="AG791" s="128"/>
      <c r="AI791" s="128"/>
      <c r="AJ791" s="128"/>
      <c r="AY791" s="128"/>
      <c r="BN791" s="128"/>
      <c r="BQ791" s="128"/>
      <c r="BR791" s="128"/>
      <c r="BT791" s="128"/>
      <c r="BV791" s="128"/>
      <c r="BX791" s="128"/>
      <c r="CU791" s="128"/>
      <c r="CW791" s="128"/>
      <c r="DN791" s="128"/>
      <c r="DP791" s="128"/>
      <c r="DR791" s="128"/>
      <c r="DV791" s="128"/>
      <c r="DX791" s="128"/>
      <c r="DY791" s="128"/>
      <c r="EA791" s="128"/>
      <c r="EB791" s="128"/>
      <c r="EC791" s="128"/>
      <c r="EG791" s="128"/>
      <c r="EL791" s="128"/>
      <c r="EM791" s="128"/>
      <c r="EO791" s="128"/>
      <c r="EQ791" s="128"/>
      <c r="ES791" s="128"/>
      <c r="EU791" s="128"/>
      <c r="EW791" s="128"/>
      <c r="EY791" s="128"/>
    </row>
    <row r="792" spans="3:155">
      <c r="C792" s="128"/>
      <c r="D792" s="128"/>
      <c r="E792" s="128"/>
      <c r="F792" s="128" t="str">
        <f>IF(E792 &lt;&gt; "", VLOOKUP(E792, '[2]Internal-logic'!G$1:I$364, 2, FALSE),"")</f>
        <v/>
      </c>
      <c r="G792" s="128" t="str">
        <f>IF(E792 &lt;&gt; "", VLOOKUP(E792, '[2]Internal-logic'!G$1:I$364, 3, FALSE),"")</f>
        <v/>
      </c>
      <c r="H792" s="128"/>
      <c r="I792" s="128"/>
      <c r="J792" s="128"/>
      <c r="K792" s="128"/>
      <c r="Q792" s="128"/>
      <c r="R792" s="128"/>
      <c r="S792" s="128"/>
      <c r="U792" s="128"/>
      <c r="X792" s="128"/>
      <c r="Y792" s="128"/>
      <c r="Z792" s="128"/>
      <c r="AA792" s="128"/>
      <c r="AB792" s="128"/>
      <c r="AC792" s="128"/>
      <c r="AD792" s="128"/>
      <c r="AE792" s="128"/>
      <c r="AF792" s="128"/>
      <c r="AG792" s="128"/>
      <c r="AI792" s="128"/>
      <c r="AJ792" s="128"/>
      <c r="AY792" s="128"/>
      <c r="BN792" s="128"/>
      <c r="BQ792" s="128"/>
      <c r="BR792" s="128"/>
      <c r="BT792" s="128"/>
      <c r="BV792" s="128"/>
      <c r="BX792" s="128"/>
      <c r="CU792" s="128"/>
      <c r="CW792" s="128"/>
      <c r="DN792" s="128"/>
      <c r="DP792" s="128"/>
      <c r="DR792" s="128"/>
      <c r="DV792" s="128"/>
      <c r="DX792" s="128"/>
      <c r="DY792" s="128"/>
      <c r="EA792" s="128"/>
      <c r="EB792" s="128"/>
      <c r="EC792" s="128"/>
      <c r="EG792" s="128"/>
      <c r="EL792" s="128"/>
      <c r="EM792" s="128"/>
      <c r="EO792" s="128"/>
      <c r="EQ792" s="128"/>
      <c r="ES792" s="128"/>
      <c r="EU792" s="128"/>
      <c r="EW792" s="128"/>
      <c r="EY792" s="128"/>
    </row>
    <row r="793" spans="3:155">
      <c r="C793" s="128"/>
      <c r="D793" s="128"/>
      <c r="E793" s="128"/>
      <c r="F793" s="128" t="str">
        <f>IF(E793 &lt;&gt; "", VLOOKUP(E793, '[2]Internal-logic'!G$1:I$364, 2, FALSE),"")</f>
        <v/>
      </c>
      <c r="G793" s="128" t="str">
        <f>IF(E793 &lt;&gt; "", VLOOKUP(E793, '[2]Internal-logic'!G$1:I$364, 3, FALSE),"")</f>
        <v/>
      </c>
      <c r="H793" s="128"/>
      <c r="I793" s="128"/>
      <c r="J793" s="128"/>
      <c r="K793" s="128"/>
      <c r="Q793" s="128"/>
      <c r="R793" s="128"/>
      <c r="S793" s="128"/>
      <c r="U793" s="128"/>
      <c r="X793" s="128"/>
      <c r="Y793" s="128"/>
      <c r="Z793" s="128"/>
      <c r="AA793" s="128"/>
      <c r="AB793" s="128"/>
      <c r="AC793" s="128"/>
      <c r="AD793" s="128"/>
      <c r="AE793" s="128"/>
      <c r="AF793" s="128"/>
      <c r="AG793" s="128"/>
      <c r="AI793" s="128"/>
      <c r="AJ793" s="128"/>
      <c r="AY793" s="128"/>
      <c r="BN793" s="128"/>
      <c r="BQ793" s="128"/>
      <c r="BR793" s="128"/>
      <c r="BT793" s="128"/>
      <c r="BV793" s="128"/>
      <c r="BX793" s="128"/>
      <c r="CU793" s="128"/>
      <c r="CW793" s="128"/>
      <c r="DN793" s="128"/>
      <c r="DP793" s="128"/>
      <c r="DR793" s="128"/>
      <c r="DV793" s="128"/>
      <c r="DX793" s="128"/>
      <c r="DY793" s="128"/>
      <c r="EA793" s="128"/>
      <c r="EB793" s="128"/>
      <c r="EC793" s="128"/>
      <c r="EG793" s="128"/>
      <c r="EL793" s="128"/>
      <c r="EM793" s="128"/>
      <c r="EO793" s="128"/>
      <c r="EQ793" s="128"/>
      <c r="ES793" s="128"/>
      <c r="EU793" s="128"/>
      <c r="EW793" s="128"/>
      <c r="EY793" s="128"/>
    </row>
    <row r="794" spans="3:155">
      <c r="C794" s="128"/>
      <c r="D794" s="128"/>
      <c r="E794" s="128"/>
      <c r="F794" s="128" t="str">
        <f>IF(E794 &lt;&gt; "", VLOOKUP(E794, '[2]Internal-logic'!G$1:I$364, 2, FALSE),"")</f>
        <v/>
      </c>
      <c r="G794" s="128" t="str">
        <f>IF(E794 &lt;&gt; "", VLOOKUP(E794, '[2]Internal-logic'!G$1:I$364, 3, FALSE),"")</f>
        <v/>
      </c>
      <c r="H794" s="128"/>
      <c r="I794" s="128"/>
      <c r="J794" s="128"/>
      <c r="K794" s="128"/>
      <c r="Q794" s="128"/>
      <c r="R794" s="128"/>
      <c r="S794" s="128"/>
      <c r="U794" s="128"/>
      <c r="X794" s="128"/>
      <c r="Y794" s="128"/>
      <c r="Z794" s="128"/>
      <c r="AA794" s="128"/>
      <c r="AB794" s="128"/>
      <c r="AC794" s="128"/>
      <c r="AD794" s="128"/>
      <c r="AE794" s="128"/>
      <c r="AF794" s="128"/>
      <c r="AG794" s="128"/>
      <c r="AI794" s="128"/>
      <c r="AJ794" s="128"/>
      <c r="AY794" s="128"/>
      <c r="BN794" s="128"/>
      <c r="BQ794" s="128"/>
      <c r="BR794" s="128"/>
      <c r="BT794" s="128"/>
      <c r="BV794" s="128"/>
      <c r="BX794" s="128"/>
      <c r="CU794" s="128"/>
      <c r="CW794" s="128"/>
      <c r="DN794" s="128"/>
      <c r="DP794" s="128"/>
      <c r="DR794" s="128"/>
      <c r="DV794" s="128"/>
      <c r="DX794" s="128"/>
      <c r="DY794" s="128"/>
      <c r="EA794" s="128"/>
      <c r="EB794" s="128"/>
      <c r="EC794" s="128"/>
      <c r="EG794" s="128"/>
      <c r="EL794" s="128"/>
      <c r="EM794" s="128"/>
      <c r="EO794" s="128"/>
      <c r="EQ794" s="128"/>
      <c r="ES794" s="128"/>
      <c r="EU794" s="128"/>
      <c r="EW794" s="128"/>
      <c r="EY794" s="128"/>
    </row>
    <row r="795" spans="3:155">
      <c r="C795" s="128"/>
      <c r="D795" s="128"/>
      <c r="E795" s="128"/>
      <c r="F795" s="128" t="str">
        <f>IF(E795 &lt;&gt; "", VLOOKUP(E795, '[2]Internal-logic'!G$1:I$364, 2, FALSE),"")</f>
        <v/>
      </c>
      <c r="G795" s="128" t="str">
        <f>IF(E795 &lt;&gt; "", VLOOKUP(E795, '[2]Internal-logic'!G$1:I$364, 3, FALSE),"")</f>
        <v/>
      </c>
      <c r="H795" s="128"/>
      <c r="I795" s="128"/>
      <c r="J795" s="128"/>
      <c r="K795" s="128"/>
      <c r="Q795" s="128"/>
      <c r="R795" s="128"/>
      <c r="S795" s="128"/>
      <c r="U795" s="128"/>
      <c r="X795" s="128"/>
      <c r="Y795" s="128"/>
      <c r="Z795" s="128"/>
      <c r="AA795" s="128"/>
      <c r="AB795" s="128"/>
      <c r="AC795" s="128"/>
      <c r="AD795" s="128"/>
      <c r="AE795" s="128"/>
      <c r="AF795" s="128"/>
      <c r="AG795" s="128"/>
      <c r="AI795" s="128"/>
      <c r="AJ795" s="128"/>
      <c r="AY795" s="128"/>
      <c r="BN795" s="128"/>
      <c r="BQ795" s="128"/>
      <c r="BR795" s="128"/>
      <c r="BT795" s="128"/>
      <c r="BV795" s="128"/>
      <c r="BX795" s="128"/>
      <c r="CU795" s="128"/>
      <c r="CW795" s="128"/>
      <c r="DN795" s="128"/>
      <c r="DP795" s="128"/>
      <c r="DR795" s="128"/>
      <c r="DV795" s="128"/>
      <c r="DX795" s="128"/>
      <c r="DY795" s="128"/>
      <c r="EA795" s="128"/>
      <c r="EB795" s="128"/>
      <c r="EC795" s="128"/>
      <c r="EG795" s="128"/>
      <c r="EL795" s="128"/>
      <c r="EM795" s="128"/>
      <c r="EO795" s="128"/>
      <c r="EQ795" s="128"/>
      <c r="ES795" s="128"/>
      <c r="EU795" s="128"/>
      <c r="EW795" s="128"/>
      <c r="EY795" s="128"/>
    </row>
    <row r="796" spans="3:155">
      <c r="C796" s="128"/>
      <c r="D796" s="128"/>
      <c r="E796" s="128"/>
      <c r="F796" s="128" t="str">
        <f>IF(E796 &lt;&gt; "", VLOOKUP(E796, '[2]Internal-logic'!G$1:I$364, 2, FALSE),"")</f>
        <v/>
      </c>
      <c r="G796" s="128" t="str">
        <f>IF(E796 &lt;&gt; "", VLOOKUP(E796, '[2]Internal-logic'!G$1:I$364, 3, FALSE),"")</f>
        <v/>
      </c>
      <c r="H796" s="128"/>
      <c r="I796" s="128"/>
      <c r="J796" s="128"/>
      <c r="K796" s="128"/>
      <c r="Q796" s="128"/>
      <c r="R796" s="128"/>
      <c r="S796" s="128"/>
      <c r="U796" s="128"/>
      <c r="X796" s="128"/>
      <c r="Y796" s="128"/>
      <c r="Z796" s="128"/>
      <c r="AA796" s="128"/>
      <c r="AB796" s="128"/>
      <c r="AC796" s="128"/>
      <c r="AD796" s="128"/>
      <c r="AE796" s="128"/>
      <c r="AF796" s="128"/>
      <c r="AG796" s="128"/>
      <c r="AI796" s="128"/>
      <c r="AJ796" s="128"/>
      <c r="AY796" s="128"/>
      <c r="BN796" s="128"/>
      <c r="BQ796" s="128"/>
      <c r="BR796" s="128"/>
      <c r="BT796" s="128"/>
      <c r="BV796" s="128"/>
      <c r="BX796" s="128"/>
      <c r="CU796" s="128"/>
      <c r="CW796" s="128"/>
      <c r="DN796" s="128"/>
      <c r="DP796" s="128"/>
      <c r="DR796" s="128"/>
      <c r="DV796" s="128"/>
      <c r="DX796" s="128"/>
      <c r="DY796" s="128"/>
      <c r="EA796" s="128"/>
      <c r="EB796" s="128"/>
      <c r="EC796" s="128"/>
      <c r="EG796" s="128"/>
      <c r="EL796" s="128"/>
      <c r="EM796" s="128"/>
      <c r="EO796" s="128"/>
      <c r="EQ796" s="128"/>
      <c r="ES796" s="128"/>
      <c r="EU796" s="128"/>
      <c r="EW796" s="128"/>
      <c r="EY796" s="128"/>
    </row>
    <row r="797" spans="3:155">
      <c r="C797" s="128"/>
      <c r="D797" s="128"/>
      <c r="E797" s="128"/>
      <c r="F797" s="128" t="str">
        <f>IF(E797 &lt;&gt; "", VLOOKUP(E797, '[2]Internal-logic'!G$1:I$364, 2, FALSE),"")</f>
        <v/>
      </c>
      <c r="G797" s="128" t="str">
        <f>IF(E797 &lt;&gt; "", VLOOKUP(E797, '[2]Internal-logic'!G$1:I$364, 3, FALSE),"")</f>
        <v/>
      </c>
      <c r="H797" s="128"/>
      <c r="I797" s="128"/>
      <c r="J797" s="128"/>
      <c r="K797" s="128"/>
      <c r="Q797" s="128"/>
      <c r="R797" s="128"/>
      <c r="S797" s="128"/>
      <c r="U797" s="128"/>
      <c r="X797" s="128"/>
      <c r="Y797" s="128"/>
      <c r="Z797" s="128"/>
      <c r="AA797" s="128"/>
      <c r="AB797" s="128"/>
      <c r="AC797" s="128"/>
      <c r="AD797" s="128"/>
      <c r="AE797" s="128"/>
      <c r="AF797" s="128"/>
      <c r="AG797" s="128"/>
      <c r="AI797" s="128"/>
      <c r="AJ797" s="128"/>
      <c r="AY797" s="128"/>
      <c r="BN797" s="128"/>
      <c r="BQ797" s="128"/>
      <c r="BR797" s="128"/>
      <c r="BT797" s="128"/>
      <c r="BV797" s="128"/>
      <c r="BX797" s="128"/>
      <c r="CU797" s="128"/>
      <c r="CW797" s="128"/>
      <c r="DN797" s="128"/>
      <c r="DP797" s="128"/>
      <c r="DR797" s="128"/>
      <c r="DV797" s="128"/>
      <c r="DX797" s="128"/>
      <c r="DY797" s="128"/>
      <c r="EA797" s="128"/>
      <c r="EB797" s="128"/>
      <c r="EC797" s="128"/>
      <c r="EG797" s="128"/>
      <c r="EL797" s="128"/>
      <c r="EM797" s="128"/>
      <c r="EO797" s="128"/>
      <c r="EQ797" s="128"/>
      <c r="ES797" s="128"/>
      <c r="EU797" s="128"/>
      <c r="EW797" s="128"/>
      <c r="EY797" s="128"/>
    </row>
    <row r="798" spans="3:155">
      <c r="C798" s="128"/>
      <c r="D798" s="128"/>
      <c r="E798" s="128"/>
      <c r="F798" s="128" t="str">
        <f>IF(E798 &lt;&gt; "", VLOOKUP(E798, '[2]Internal-logic'!G$1:I$364, 2, FALSE),"")</f>
        <v/>
      </c>
      <c r="G798" s="128" t="str">
        <f>IF(E798 &lt;&gt; "", VLOOKUP(E798, '[2]Internal-logic'!G$1:I$364, 3, FALSE),"")</f>
        <v/>
      </c>
      <c r="H798" s="128"/>
      <c r="I798" s="128"/>
      <c r="J798" s="128"/>
      <c r="K798" s="128"/>
      <c r="Q798" s="128"/>
      <c r="R798" s="128"/>
      <c r="S798" s="128"/>
      <c r="U798" s="128"/>
      <c r="X798" s="128"/>
      <c r="Y798" s="128"/>
      <c r="Z798" s="128"/>
      <c r="AA798" s="128"/>
      <c r="AB798" s="128"/>
      <c r="AC798" s="128"/>
      <c r="AD798" s="128"/>
      <c r="AE798" s="128"/>
      <c r="AF798" s="128"/>
      <c r="AG798" s="128"/>
      <c r="AI798" s="128"/>
      <c r="AJ798" s="128"/>
      <c r="AY798" s="128"/>
      <c r="BN798" s="128"/>
      <c r="BQ798" s="128"/>
      <c r="BR798" s="128"/>
      <c r="BT798" s="128"/>
      <c r="BV798" s="128"/>
      <c r="BX798" s="128"/>
      <c r="CU798" s="128"/>
      <c r="CW798" s="128"/>
      <c r="DN798" s="128"/>
      <c r="DP798" s="128"/>
      <c r="DR798" s="128"/>
      <c r="DV798" s="128"/>
      <c r="DX798" s="128"/>
      <c r="DY798" s="128"/>
      <c r="EA798" s="128"/>
      <c r="EB798" s="128"/>
      <c r="EC798" s="128"/>
      <c r="EG798" s="128"/>
      <c r="EL798" s="128"/>
      <c r="EM798" s="128"/>
      <c r="EO798" s="128"/>
      <c r="EQ798" s="128"/>
      <c r="ES798" s="128"/>
      <c r="EU798" s="128"/>
      <c r="EW798" s="128"/>
      <c r="EY798" s="128"/>
    </row>
    <row r="799" spans="3:155">
      <c r="C799" s="128"/>
      <c r="D799" s="128"/>
      <c r="E799" s="128"/>
      <c r="F799" s="128" t="str">
        <f>IF(E799 &lt;&gt; "", VLOOKUP(E799, '[2]Internal-logic'!G$1:I$364, 2, FALSE),"")</f>
        <v/>
      </c>
      <c r="G799" s="128" t="str">
        <f>IF(E799 &lt;&gt; "", VLOOKUP(E799, '[2]Internal-logic'!G$1:I$364, 3, FALSE),"")</f>
        <v/>
      </c>
      <c r="H799" s="128"/>
      <c r="I799" s="128"/>
      <c r="J799" s="128"/>
      <c r="K799" s="128"/>
      <c r="Q799" s="128"/>
      <c r="R799" s="128"/>
      <c r="S799" s="128"/>
      <c r="U799" s="128"/>
      <c r="X799" s="128"/>
      <c r="Y799" s="128"/>
      <c r="Z799" s="128"/>
      <c r="AA799" s="128"/>
      <c r="AB799" s="128"/>
      <c r="AC799" s="128"/>
      <c r="AD799" s="128"/>
      <c r="AE799" s="128"/>
      <c r="AF799" s="128"/>
      <c r="AG799" s="128"/>
      <c r="AI799" s="128"/>
      <c r="AJ799" s="128"/>
      <c r="AY799" s="128"/>
      <c r="BN799" s="128"/>
      <c r="BQ799" s="128"/>
      <c r="BR799" s="128"/>
      <c r="BT799" s="128"/>
      <c r="BV799" s="128"/>
      <c r="BX799" s="128"/>
      <c r="CU799" s="128"/>
      <c r="CW799" s="128"/>
      <c r="DN799" s="128"/>
      <c r="DP799" s="128"/>
      <c r="DR799" s="128"/>
      <c r="DV799" s="128"/>
      <c r="DX799" s="128"/>
      <c r="DY799" s="128"/>
      <c r="EA799" s="128"/>
      <c r="EB799" s="128"/>
      <c r="EC799" s="128"/>
      <c r="EG799" s="128"/>
      <c r="EL799" s="128"/>
      <c r="EM799" s="128"/>
      <c r="EO799" s="128"/>
      <c r="EQ799" s="128"/>
      <c r="ES799" s="128"/>
      <c r="EU799" s="128"/>
      <c r="EW799" s="128"/>
      <c r="EY799" s="128"/>
    </row>
    <row r="800" spans="3:155">
      <c r="C800" s="128"/>
      <c r="D800" s="128"/>
      <c r="E800" s="128"/>
      <c r="F800" s="128" t="str">
        <f>IF(E800 &lt;&gt; "", VLOOKUP(E800, '[2]Internal-logic'!G$1:I$364, 2, FALSE),"")</f>
        <v/>
      </c>
      <c r="G800" s="128" t="str">
        <f>IF(E800 &lt;&gt; "", VLOOKUP(E800, '[2]Internal-logic'!G$1:I$364, 3, FALSE),"")</f>
        <v/>
      </c>
      <c r="H800" s="128"/>
      <c r="I800" s="128"/>
      <c r="J800" s="128"/>
      <c r="K800" s="128"/>
      <c r="Q800" s="128"/>
      <c r="R800" s="128"/>
      <c r="S800" s="128"/>
      <c r="U800" s="128"/>
      <c r="X800" s="128"/>
      <c r="Y800" s="128"/>
      <c r="Z800" s="128"/>
      <c r="AA800" s="128"/>
      <c r="AB800" s="128"/>
      <c r="AC800" s="128"/>
      <c r="AD800" s="128"/>
      <c r="AE800" s="128"/>
      <c r="AF800" s="128"/>
      <c r="AG800" s="128"/>
      <c r="AI800" s="128"/>
      <c r="AJ800" s="128"/>
      <c r="AY800" s="128"/>
      <c r="BN800" s="128"/>
      <c r="BQ800" s="128"/>
      <c r="BR800" s="128"/>
      <c r="BT800" s="128"/>
      <c r="BV800" s="128"/>
      <c r="BX800" s="128"/>
      <c r="CU800" s="128"/>
      <c r="CW800" s="128"/>
      <c r="DN800" s="128"/>
      <c r="DP800" s="128"/>
      <c r="DR800" s="128"/>
      <c r="DV800" s="128"/>
      <c r="DX800" s="128"/>
      <c r="DY800" s="128"/>
      <c r="EA800" s="128"/>
      <c r="EB800" s="128"/>
      <c r="EC800" s="128"/>
      <c r="EG800" s="128"/>
      <c r="EL800" s="128"/>
      <c r="EM800" s="128"/>
      <c r="EO800" s="128"/>
      <c r="EQ800" s="128"/>
      <c r="ES800" s="128"/>
      <c r="EU800" s="128"/>
      <c r="EW800" s="128"/>
      <c r="EY800" s="128"/>
    </row>
    <row r="801" spans="3:155">
      <c r="C801" s="128"/>
      <c r="D801" s="128"/>
      <c r="E801" s="128"/>
      <c r="F801" s="128" t="str">
        <f>IF(E801 &lt;&gt; "", VLOOKUP(E801, '[2]Internal-logic'!G$1:I$364, 2, FALSE),"")</f>
        <v/>
      </c>
      <c r="G801" s="128" t="str">
        <f>IF(E801 &lt;&gt; "", VLOOKUP(E801, '[2]Internal-logic'!G$1:I$364, 3, FALSE),"")</f>
        <v/>
      </c>
      <c r="H801" s="128"/>
      <c r="I801" s="128"/>
      <c r="J801" s="128"/>
      <c r="K801" s="128"/>
      <c r="Q801" s="128"/>
      <c r="R801" s="128"/>
      <c r="S801" s="128"/>
      <c r="U801" s="128"/>
      <c r="X801" s="128"/>
      <c r="Y801" s="128"/>
      <c r="Z801" s="128"/>
      <c r="AA801" s="128"/>
      <c r="AB801" s="128"/>
      <c r="AC801" s="128"/>
      <c r="AD801" s="128"/>
      <c r="AE801" s="128"/>
      <c r="AF801" s="128"/>
      <c r="AG801" s="128"/>
      <c r="AI801" s="128"/>
      <c r="AJ801" s="128"/>
      <c r="AY801" s="128"/>
      <c r="BN801" s="128"/>
      <c r="BQ801" s="128"/>
      <c r="BR801" s="128"/>
      <c r="BT801" s="128"/>
      <c r="BV801" s="128"/>
      <c r="BX801" s="128"/>
      <c r="CU801" s="128"/>
      <c r="CW801" s="128"/>
      <c r="DN801" s="128"/>
      <c r="DP801" s="128"/>
      <c r="DR801" s="128"/>
      <c r="DV801" s="128"/>
      <c r="DX801" s="128"/>
      <c r="DY801" s="128"/>
      <c r="EA801" s="128"/>
      <c r="EB801" s="128"/>
      <c r="EC801" s="128"/>
      <c r="EG801" s="128"/>
      <c r="EL801" s="128"/>
      <c r="EM801" s="128"/>
      <c r="EO801" s="128"/>
      <c r="EQ801" s="128"/>
      <c r="ES801" s="128"/>
      <c r="EU801" s="128"/>
      <c r="EW801" s="128"/>
      <c r="EY801" s="128"/>
    </row>
    <row r="802" spans="3:155">
      <c r="C802" s="128"/>
      <c r="D802" s="128"/>
      <c r="E802" s="128"/>
      <c r="F802" s="128" t="str">
        <f>IF(E802 &lt;&gt; "", VLOOKUP(E802, '[2]Internal-logic'!G$1:I$364, 2, FALSE),"")</f>
        <v/>
      </c>
      <c r="G802" s="128" t="str">
        <f>IF(E802 &lt;&gt; "", VLOOKUP(E802, '[2]Internal-logic'!G$1:I$364, 3, FALSE),"")</f>
        <v/>
      </c>
      <c r="H802" s="128"/>
      <c r="I802" s="128"/>
      <c r="J802" s="128"/>
      <c r="K802" s="128"/>
      <c r="Q802" s="128"/>
      <c r="R802" s="128"/>
      <c r="S802" s="128"/>
      <c r="U802" s="128"/>
      <c r="X802" s="128"/>
      <c r="Y802" s="128"/>
      <c r="Z802" s="128"/>
      <c r="AA802" s="128"/>
      <c r="AB802" s="128"/>
      <c r="AC802" s="128"/>
      <c r="AD802" s="128"/>
      <c r="AE802" s="128"/>
      <c r="AF802" s="128"/>
      <c r="AG802" s="128"/>
      <c r="AI802" s="128"/>
      <c r="AJ802" s="128"/>
      <c r="AY802" s="128"/>
      <c r="BN802" s="128"/>
      <c r="BQ802" s="128"/>
      <c r="BR802" s="128"/>
      <c r="BT802" s="128"/>
      <c r="BV802" s="128"/>
      <c r="BX802" s="128"/>
      <c r="CU802" s="128"/>
      <c r="CW802" s="128"/>
      <c r="DN802" s="128"/>
      <c r="DP802" s="128"/>
      <c r="DR802" s="128"/>
      <c r="DV802" s="128"/>
      <c r="DX802" s="128"/>
      <c r="DY802" s="128"/>
      <c r="EA802" s="128"/>
      <c r="EB802" s="128"/>
      <c r="EC802" s="128"/>
      <c r="EG802" s="128"/>
      <c r="EL802" s="128"/>
      <c r="EM802" s="128"/>
      <c r="EO802" s="128"/>
      <c r="EQ802" s="128"/>
      <c r="ES802" s="128"/>
      <c r="EU802" s="128"/>
      <c r="EW802" s="128"/>
      <c r="EY802" s="128"/>
    </row>
    <row r="803" spans="3:155">
      <c r="C803" s="128"/>
      <c r="D803" s="128"/>
      <c r="E803" s="128"/>
      <c r="F803" s="128" t="str">
        <f>IF(E803 &lt;&gt; "", VLOOKUP(E803, '[2]Internal-logic'!G$1:I$364, 2, FALSE),"")</f>
        <v/>
      </c>
      <c r="G803" s="128" t="str">
        <f>IF(E803 &lt;&gt; "", VLOOKUP(E803, '[2]Internal-logic'!G$1:I$364, 3, FALSE),"")</f>
        <v/>
      </c>
      <c r="H803" s="128"/>
      <c r="I803" s="128"/>
      <c r="J803" s="128"/>
      <c r="K803" s="128"/>
      <c r="Q803" s="128"/>
      <c r="R803" s="128"/>
      <c r="S803" s="128"/>
      <c r="U803" s="128"/>
      <c r="X803" s="128"/>
      <c r="Y803" s="128"/>
      <c r="Z803" s="128"/>
      <c r="AA803" s="128"/>
      <c r="AB803" s="128"/>
      <c r="AC803" s="128"/>
      <c r="AD803" s="128"/>
      <c r="AE803" s="128"/>
      <c r="AF803" s="128"/>
      <c r="AG803" s="128"/>
      <c r="AI803" s="128"/>
      <c r="AJ803" s="128"/>
      <c r="AY803" s="128"/>
      <c r="BN803" s="128"/>
      <c r="BQ803" s="128"/>
      <c r="BR803" s="128"/>
      <c r="BT803" s="128"/>
      <c r="BV803" s="128"/>
      <c r="BX803" s="128"/>
      <c r="CU803" s="128"/>
      <c r="CW803" s="128"/>
      <c r="DN803" s="128"/>
      <c r="DP803" s="128"/>
      <c r="DR803" s="128"/>
      <c r="DV803" s="128"/>
      <c r="DX803" s="128"/>
      <c r="DY803" s="128"/>
      <c r="EA803" s="128"/>
      <c r="EB803" s="128"/>
      <c r="EC803" s="128"/>
      <c r="EG803" s="128"/>
      <c r="EL803" s="128"/>
      <c r="EM803" s="128"/>
      <c r="EO803" s="128"/>
      <c r="EQ803" s="128"/>
      <c r="ES803" s="128"/>
      <c r="EU803" s="128"/>
      <c r="EW803" s="128"/>
      <c r="EY803" s="128"/>
    </row>
    <row r="804" spans="3:155">
      <c r="C804" s="128"/>
      <c r="D804" s="128"/>
      <c r="E804" s="128"/>
      <c r="F804" s="128" t="str">
        <f>IF(E804 &lt;&gt; "", VLOOKUP(E804, '[2]Internal-logic'!G$1:I$364, 2, FALSE),"")</f>
        <v/>
      </c>
      <c r="G804" s="128" t="str">
        <f>IF(E804 &lt;&gt; "", VLOOKUP(E804, '[2]Internal-logic'!G$1:I$364, 3, FALSE),"")</f>
        <v/>
      </c>
      <c r="H804" s="128"/>
      <c r="I804" s="128"/>
      <c r="J804" s="128"/>
      <c r="K804" s="128"/>
      <c r="Q804" s="128"/>
      <c r="R804" s="128"/>
      <c r="S804" s="128"/>
      <c r="U804" s="128"/>
      <c r="X804" s="128"/>
      <c r="Y804" s="128"/>
      <c r="Z804" s="128"/>
      <c r="AA804" s="128"/>
      <c r="AB804" s="128"/>
      <c r="AC804" s="128"/>
      <c r="AD804" s="128"/>
      <c r="AE804" s="128"/>
      <c r="AF804" s="128"/>
      <c r="AG804" s="128"/>
      <c r="AI804" s="128"/>
      <c r="AJ804" s="128"/>
      <c r="AY804" s="128"/>
      <c r="BN804" s="128"/>
      <c r="BQ804" s="128"/>
      <c r="BR804" s="128"/>
      <c r="BT804" s="128"/>
      <c r="BV804" s="128"/>
      <c r="BX804" s="128"/>
      <c r="CU804" s="128"/>
      <c r="CW804" s="128"/>
      <c r="DN804" s="128"/>
      <c r="DP804" s="128"/>
      <c r="DR804" s="128"/>
      <c r="DV804" s="128"/>
      <c r="DX804" s="128"/>
      <c r="DY804" s="128"/>
      <c r="EA804" s="128"/>
      <c r="EB804" s="128"/>
      <c r="EC804" s="128"/>
      <c r="EG804" s="128"/>
      <c r="EL804" s="128"/>
      <c r="EM804" s="128"/>
      <c r="EO804" s="128"/>
      <c r="EQ804" s="128"/>
      <c r="ES804" s="128"/>
      <c r="EU804" s="128"/>
      <c r="EW804" s="128"/>
      <c r="EY804" s="128"/>
    </row>
    <row r="805" spans="3:155">
      <c r="C805" s="128"/>
      <c r="D805" s="128"/>
      <c r="E805" s="128"/>
      <c r="F805" s="128" t="str">
        <f>IF(E805 &lt;&gt; "", VLOOKUP(E805, '[2]Internal-logic'!G$1:I$364, 2, FALSE),"")</f>
        <v/>
      </c>
      <c r="G805" s="128" t="str">
        <f>IF(E805 &lt;&gt; "", VLOOKUP(E805, '[2]Internal-logic'!G$1:I$364, 3, FALSE),"")</f>
        <v/>
      </c>
      <c r="H805" s="128"/>
      <c r="I805" s="128"/>
      <c r="J805" s="128"/>
      <c r="K805" s="128"/>
      <c r="Q805" s="128"/>
      <c r="R805" s="128"/>
      <c r="S805" s="128"/>
      <c r="U805" s="128"/>
      <c r="X805" s="128"/>
      <c r="Y805" s="128"/>
      <c r="Z805" s="128"/>
      <c r="AA805" s="128"/>
      <c r="AB805" s="128"/>
      <c r="AC805" s="128"/>
      <c r="AD805" s="128"/>
      <c r="AE805" s="128"/>
      <c r="AF805" s="128"/>
      <c r="AG805" s="128"/>
      <c r="AI805" s="128"/>
      <c r="AJ805" s="128"/>
      <c r="AY805" s="128"/>
      <c r="BN805" s="128"/>
      <c r="BQ805" s="128"/>
      <c r="BR805" s="128"/>
      <c r="BT805" s="128"/>
      <c r="BV805" s="128"/>
      <c r="BX805" s="128"/>
      <c r="CU805" s="128"/>
      <c r="CW805" s="128"/>
      <c r="DN805" s="128"/>
      <c r="DP805" s="128"/>
      <c r="DR805" s="128"/>
      <c r="DV805" s="128"/>
      <c r="DX805" s="128"/>
      <c r="DY805" s="128"/>
      <c r="EA805" s="128"/>
      <c r="EB805" s="128"/>
      <c r="EC805" s="128"/>
      <c r="EG805" s="128"/>
      <c r="EL805" s="128"/>
      <c r="EM805" s="128"/>
      <c r="EO805" s="128"/>
      <c r="EQ805" s="128"/>
      <c r="ES805" s="128"/>
      <c r="EU805" s="128"/>
      <c r="EW805" s="128"/>
      <c r="EY805" s="128"/>
    </row>
    <row r="806" spans="3:155">
      <c r="C806" s="128"/>
      <c r="D806" s="128"/>
      <c r="E806" s="128"/>
      <c r="F806" s="128" t="str">
        <f>IF(E806 &lt;&gt; "", VLOOKUP(E806, '[2]Internal-logic'!G$1:I$364, 2, FALSE),"")</f>
        <v/>
      </c>
      <c r="G806" s="128" t="str">
        <f>IF(E806 &lt;&gt; "", VLOOKUP(E806, '[2]Internal-logic'!G$1:I$364, 3, FALSE),"")</f>
        <v/>
      </c>
      <c r="H806" s="128"/>
      <c r="I806" s="128"/>
      <c r="J806" s="128"/>
      <c r="K806" s="128"/>
      <c r="Q806" s="128"/>
      <c r="R806" s="128"/>
      <c r="S806" s="128"/>
      <c r="U806" s="128"/>
      <c r="X806" s="128"/>
      <c r="Y806" s="128"/>
      <c r="Z806" s="128"/>
      <c r="AA806" s="128"/>
      <c r="AB806" s="128"/>
      <c r="AC806" s="128"/>
      <c r="AD806" s="128"/>
      <c r="AE806" s="128"/>
      <c r="AF806" s="128"/>
      <c r="AG806" s="128"/>
      <c r="AI806" s="128"/>
      <c r="AJ806" s="128"/>
      <c r="AY806" s="128"/>
      <c r="BN806" s="128"/>
      <c r="BQ806" s="128"/>
      <c r="BR806" s="128"/>
      <c r="BT806" s="128"/>
      <c r="BV806" s="128"/>
      <c r="BX806" s="128"/>
      <c r="CU806" s="128"/>
      <c r="CW806" s="128"/>
      <c r="DN806" s="128"/>
      <c r="DP806" s="128"/>
      <c r="DR806" s="128"/>
      <c r="DV806" s="128"/>
      <c r="DX806" s="128"/>
      <c r="DY806" s="128"/>
      <c r="EA806" s="128"/>
      <c r="EB806" s="128"/>
      <c r="EC806" s="128"/>
      <c r="EG806" s="128"/>
      <c r="EL806" s="128"/>
      <c r="EM806" s="128"/>
      <c r="EO806" s="128"/>
      <c r="EQ806" s="128"/>
      <c r="ES806" s="128"/>
      <c r="EU806" s="128"/>
      <c r="EW806" s="128"/>
      <c r="EY806" s="128"/>
    </row>
    <row r="807" spans="3:155">
      <c r="C807" s="128"/>
      <c r="D807" s="128"/>
      <c r="E807" s="128"/>
      <c r="F807" s="128" t="str">
        <f>IF(E807 &lt;&gt; "", VLOOKUP(E807, '[2]Internal-logic'!G$1:I$364, 2, FALSE),"")</f>
        <v/>
      </c>
      <c r="G807" s="128" t="str">
        <f>IF(E807 &lt;&gt; "", VLOOKUP(E807, '[2]Internal-logic'!G$1:I$364, 3, FALSE),"")</f>
        <v/>
      </c>
      <c r="H807" s="128"/>
      <c r="I807" s="128"/>
      <c r="J807" s="128"/>
      <c r="K807" s="128"/>
      <c r="Q807" s="128"/>
      <c r="R807" s="128"/>
      <c r="S807" s="128"/>
      <c r="U807" s="128"/>
      <c r="X807" s="128"/>
      <c r="Y807" s="128"/>
      <c r="Z807" s="128"/>
      <c r="AA807" s="128"/>
      <c r="AB807" s="128"/>
      <c r="AC807" s="128"/>
      <c r="AD807" s="128"/>
      <c r="AE807" s="128"/>
      <c r="AF807" s="128"/>
      <c r="AG807" s="128"/>
      <c r="AI807" s="128"/>
      <c r="AJ807" s="128"/>
      <c r="AY807" s="128"/>
      <c r="BN807" s="128"/>
      <c r="BQ807" s="128"/>
      <c r="BR807" s="128"/>
      <c r="BT807" s="128"/>
      <c r="BV807" s="128"/>
      <c r="BX807" s="128"/>
      <c r="CU807" s="128"/>
      <c r="CW807" s="128"/>
      <c r="DN807" s="128"/>
      <c r="DP807" s="128"/>
      <c r="DR807" s="128"/>
      <c r="DV807" s="128"/>
      <c r="DX807" s="128"/>
      <c r="DY807" s="128"/>
      <c r="EA807" s="128"/>
      <c r="EB807" s="128"/>
      <c r="EC807" s="128"/>
      <c r="EG807" s="128"/>
      <c r="EL807" s="128"/>
      <c r="EM807" s="128"/>
      <c r="EO807" s="128"/>
      <c r="EQ807" s="128"/>
      <c r="ES807" s="128"/>
      <c r="EU807" s="128"/>
      <c r="EW807" s="128"/>
      <c r="EY807" s="128"/>
    </row>
    <row r="808" spans="3:155">
      <c r="C808" s="128"/>
      <c r="D808" s="128"/>
      <c r="E808" s="128"/>
      <c r="F808" s="128" t="str">
        <f>IF(E808 &lt;&gt; "", VLOOKUP(E808, '[2]Internal-logic'!G$1:I$364, 2, FALSE),"")</f>
        <v/>
      </c>
      <c r="G808" s="128" t="str">
        <f>IF(E808 &lt;&gt; "", VLOOKUP(E808, '[2]Internal-logic'!G$1:I$364, 3, FALSE),"")</f>
        <v/>
      </c>
      <c r="H808" s="128"/>
      <c r="I808" s="128"/>
      <c r="J808" s="128"/>
      <c r="K808" s="128"/>
      <c r="Q808" s="128"/>
      <c r="R808" s="128"/>
      <c r="S808" s="128"/>
      <c r="U808" s="128"/>
      <c r="X808" s="128"/>
      <c r="Y808" s="128"/>
      <c r="Z808" s="128"/>
      <c r="AA808" s="128"/>
      <c r="AB808" s="128"/>
      <c r="AC808" s="128"/>
      <c r="AD808" s="128"/>
      <c r="AE808" s="128"/>
      <c r="AF808" s="128"/>
      <c r="AG808" s="128"/>
      <c r="AI808" s="128"/>
      <c r="AJ808" s="128"/>
      <c r="AY808" s="128"/>
      <c r="BN808" s="128"/>
      <c r="BQ808" s="128"/>
      <c r="BR808" s="128"/>
      <c r="BT808" s="128"/>
      <c r="BV808" s="128"/>
      <c r="BX808" s="128"/>
      <c r="CU808" s="128"/>
      <c r="CW808" s="128"/>
      <c r="DN808" s="128"/>
      <c r="DP808" s="128"/>
      <c r="DR808" s="128"/>
      <c r="DV808" s="128"/>
      <c r="DX808" s="128"/>
      <c r="DY808" s="128"/>
      <c r="EA808" s="128"/>
      <c r="EB808" s="128"/>
      <c r="EC808" s="128"/>
      <c r="EG808" s="128"/>
      <c r="EL808" s="128"/>
      <c r="EM808" s="128"/>
      <c r="EO808" s="128"/>
      <c r="EQ808" s="128"/>
      <c r="ES808" s="128"/>
      <c r="EU808" s="128"/>
      <c r="EW808" s="128"/>
      <c r="EY808" s="128"/>
    </row>
    <row r="809" spans="3:155">
      <c r="C809" s="128"/>
      <c r="D809" s="128"/>
      <c r="E809" s="128"/>
      <c r="F809" s="128" t="str">
        <f>IF(E809 &lt;&gt; "", VLOOKUP(E809, '[2]Internal-logic'!G$1:I$364, 2, FALSE),"")</f>
        <v/>
      </c>
      <c r="G809" s="128" t="str">
        <f>IF(E809 &lt;&gt; "", VLOOKUP(E809, '[2]Internal-logic'!G$1:I$364, 3, FALSE),"")</f>
        <v/>
      </c>
      <c r="H809" s="128"/>
      <c r="I809" s="128"/>
      <c r="J809" s="128"/>
      <c r="K809" s="128"/>
      <c r="Q809" s="128"/>
      <c r="R809" s="128"/>
      <c r="S809" s="128"/>
      <c r="U809" s="128"/>
      <c r="X809" s="128"/>
      <c r="Y809" s="128"/>
      <c r="Z809" s="128"/>
      <c r="AA809" s="128"/>
      <c r="AB809" s="128"/>
      <c r="AC809" s="128"/>
      <c r="AD809" s="128"/>
      <c r="AE809" s="128"/>
      <c r="AF809" s="128"/>
      <c r="AG809" s="128"/>
      <c r="AI809" s="128"/>
      <c r="AJ809" s="128"/>
      <c r="AY809" s="128"/>
      <c r="BN809" s="128"/>
      <c r="BQ809" s="128"/>
      <c r="BR809" s="128"/>
      <c r="BT809" s="128"/>
      <c r="BV809" s="128"/>
      <c r="BX809" s="128"/>
      <c r="CU809" s="128"/>
      <c r="CW809" s="128"/>
      <c r="DN809" s="128"/>
      <c r="DP809" s="128"/>
      <c r="DR809" s="128"/>
      <c r="DV809" s="128"/>
      <c r="DX809" s="128"/>
      <c r="DY809" s="128"/>
      <c r="EA809" s="128"/>
      <c r="EB809" s="128"/>
      <c r="EC809" s="128"/>
      <c r="EG809" s="128"/>
      <c r="EL809" s="128"/>
      <c r="EM809" s="128"/>
      <c r="EO809" s="128"/>
      <c r="EQ809" s="128"/>
      <c r="ES809" s="128"/>
      <c r="EU809" s="128"/>
      <c r="EW809" s="128"/>
      <c r="EY809" s="128"/>
    </row>
    <row r="810" spans="3:155">
      <c r="C810" s="128"/>
      <c r="D810" s="128"/>
      <c r="E810" s="128"/>
      <c r="F810" s="128" t="str">
        <f>IF(E810 &lt;&gt; "", VLOOKUP(E810, '[2]Internal-logic'!G$1:I$364, 2, FALSE),"")</f>
        <v/>
      </c>
      <c r="G810" s="128" t="str">
        <f>IF(E810 &lt;&gt; "", VLOOKUP(E810, '[2]Internal-logic'!G$1:I$364, 3, FALSE),"")</f>
        <v/>
      </c>
      <c r="H810" s="128"/>
      <c r="I810" s="128"/>
      <c r="J810" s="128"/>
      <c r="K810" s="128"/>
      <c r="Q810" s="128"/>
      <c r="R810" s="128"/>
      <c r="S810" s="128"/>
      <c r="U810" s="128"/>
      <c r="X810" s="128"/>
      <c r="Y810" s="128"/>
      <c r="Z810" s="128"/>
      <c r="AA810" s="128"/>
      <c r="AB810" s="128"/>
      <c r="AC810" s="128"/>
      <c r="AD810" s="128"/>
      <c r="AE810" s="128"/>
      <c r="AF810" s="128"/>
      <c r="AG810" s="128"/>
      <c r="AI810" s="128"/>
      <c r="AJ810" s="128"/>
      <c r="AY810" s="128"/>
      <c r="BN810" s="128"/>
      <c r="BQ810" s="128"/>
      <c r="BR810" s="128"/>
      <c r="BT810" s="128"/>
      <c r="BV810" s="128"/>
      <c r="BX810" s="128"/>
      <c r="CU810" s="128"/>
      <c r="CW810" s="128"/>
      <c r="DN810" s="128"/>
      <c r="DP810" s="128"/>
      <c r="DR810" s="128"/>
      <c r="DV810" s="128"/>
      <c r="DX810" s="128"/>
      <c r="DY810" s="128"/>
      <c r="EA810" s="128"/>
      <c r="EB810" s="128"/>
      <c r="EC810" s="128"/>
      <c r="EG810" s="128"/>
      <c r="EL810" s="128"/>
      <c r="EM810" s="128"/>
      <c r="EO810" s="128"/>
      <c r="EQ810" s="128"/>
      <c r="ES810" s="128"/>
      <c r="EU810" s="128"/>
      <c r="EW810" s="128"/>
      <c r="EY810" s="128"/>
    </row>
    <row r="811" spans="3:155">
      <c r="C811" s="128"/>
      <c r="D811" s="128"/>
      <c r="E811" s="128"/>
      <c r="F811" s="128" t="str">
        <f>IF(E811 &lt;&gt; "", VLOOKUP(E811, '[2]Internal-logic'!G$1:I$364, 2, FALSE),"")</f>
        <v/>
      </c>
      <c r="G811" s="128" t="str">
        <f>IF(E811 &lt;&gt; "", VLOOKUP(E811, '[2]Internal-logic'!G$1:I$364, 3, FALSE),"")</f>
        <v/>
      </c>
      <c r="H811" s="128"/>
      <c r="I811" s="128"/>
      <c r="J811" s="128"/>
      <c r="K811" s="128"/>
      <c r="Q811" s="128"/>
      <c r="R811" s="128"/>
      <c r="S811" s="128"/>
      <c r="U811" s="128"/>
      <c r="X811" s="128"/>
      <c r="Y811" s="128"/>
      <c r="Z811" s="128"/>
      <c r="AA811" s="128"/>
      <c r="AB811" s="128"/>
      <c r="AC811" s="128"/>
      <c r="AD811" s="128"/>
      <c r="AE811" s="128"/>
      <c r="AF811" s="128"/>
      <c r="AG811" s="128"/>
      <c r="AI811" s="128"/>
      <c r="AJ811" s="128"/>
      <c r="AY811" s="128"/>
      <c r="BN811" s="128"/>
      <c r="BQ811" s="128"/>
      <c r="BR811" s="128"/>
      <c r="BT811" s="128"/>
      <c r="BV811" s="128"/>
      <c r="BX811" s="128"/>
      <c r="CU811" s="128"/>
      <c r="CW811" s="128"/>
      <c r="DN811" s="128"/>
      <c r="DP811" s="128"/>
      <c r="DR811" s="128"/>
      <c r="DV811" s="128"/>
      <c r="DX811" s="128"/>
      <c r="DY811" s="128"/>
      <c r="EA811" s="128"/>
      <c r="EB811" s="128"/>
      <c r="EC811" s="128"/>
      <c r="EG811" s="128"/>
      <c r="EL811" s="128"/>
      <c r="EM811" s="128"/>
      <c r="EO811" s="128"/>
      <c r="EQ811" s="128"/>
      <c r="ES811" s="128"/>
      <c r="EU811" s="128"/>
      <c r="EW811" s="128"/>
      <c r="EY811" s="128"/>
    </row>
    <row r="812" spans="3:155">
      <c r="C812" s="128"/>
      <c r="D812" s="128"/>
      <c r="E812" s="128"/>
      <c r="F812" s="128" t="str">
        <f>IF(E812 &lt;&gt; "", VLOOKUP(E812, '[2]Internal-logic'!G$1:I$364, 2, FALSE),"")</f>
        <v/>
      </c>
      <c r="G812" s="128" t="str">
        <f>IF(E812 &lt;&gt; "", VLOOKUP(E812, '[2]Internal-logic'!G$1:I$364, 3, FALSE),"")</f>
        <v/>
      </c>
      <c r="H812" s="128"/>
      <c r="I812" s="128"/>
      <c r="J812" s="128"/>
      <c r="K812" s="128"/>
      <c r="Q812" s="128"/>
      <c r="R812" s="128"/>
      <c r="S812" s="128"/>
      <c r="U812" s="128"/>
      <c r="X812" s="128"/>
      <c r="Y812" s="128"/>
      <c r="Z812" s="128"/>
      <c r="AA812" s="128"/>
      <c r="AB812" s="128"/>
      <c r="AC812" s="128"/>
      <c r="AD812" s="128"/>
      <c r="AE812" s="128"/>
      <c r="AF812" s="128"/>
      <c r="AG812" s="128"/>
      <c r="AI812" s="128"/>
      <c r="AJ812" s="128"/>
      <c r="AY812" s="128"/>
      <c r="BN812" s="128"/>
      <c r="BQ812" s="128"/>
      <c r="BR812" s="128"/>
      <c r="BT812" s="128"/>
      <c r="BV812" s="128"/>
      <c r="BX812" s="128"/>
      <c r="CU812" s="128"/>
      <c r="CW812" s="128"/>
      <c r="DN812" s="128"/>
      <c r="DP812" s="128"/>
      <c r="DR812" s="128"/>
      <c r="DV812" s="128"/>
      <c r="DX812" s="128"/>
      <c r="DY812" s="128"/>
      <c r="EA812" s="128"/>
      <c r="EB812" s="128"/>
      <c r="EC812" s="128"/>
      <c r="EG812" s="128"/>
      <c r="EL812" s="128"/>
      <c r="EM812" s="128"/>
      <c r="EO812" s="128"/>
      <c r="EQ812" s="128"/>
      <c r="ES812" s="128"/>
      <c r="EU812" s="128"/>
      <c r="EW812" s="128"/>
      <c r="EY812" s="128"/>
    </row>
    <row r="813" spans="3:155">
      <c r="C813" s="128"/>
      <c r="D813" s="128"/>
      <c r="E813" s="128"/>
      <c r="F813" s="128" t="str">
        <f>IF(E813 &lt;&gt; "", VLOOKUP(E813, '[2]Internal-logic'!G$1:I$364, 2, FALSE),"")</f>
        <v/>
      </c>
      <c r="G813" s="128" t="str">
        <f>IF(E813 &lt;&gt; "", VLOOKUP(E813, '[2]Internal-logic'!G$1:I$364, 3, FALSE),"")</f>
        <v/>
      </c>
      <c r="H813" s="128"/>
      <c r="I813" s="128"/>
      <c r="J813" s="128"/>
      <c r="K813" s="128"/>
      <c r="Q813" s="128"/>
      <c r="R813" s="128"/>
      <c r="S813" s="128"/>
      <c r="U813" s="128"/>
      <c r="X813" s="128"/>
      <c r="Y813" s="128"/>
      <c r="Z813" s="128"/>
      <c r="AA813" s="128"/>
      <c r="AB813" s="128"/>
      <c r="AC813" s="128"/>
      <c r="AD813" s="128"/>
      <c r="AE813" s="128"/>
      <c r="AF813" s="128"/>
      <c r="AG813" s="128"/>
      <c r="AI813" s="128"/>
      <c r="AJ813" s="128"/>
      <c r="AY813" s="128"/>
      <c r="BN813" s="128"/>
      <c r="BQ813" s="128"/>
      <c r="BR813" s="128"/>
      <c r="BT813" s="128"/>
      <c r="BV813" s="128"/>
      <c r="BX813" s="128"/>
      <c r="CU813" s="128"/>
      <c r="CW813" s="128"/>
      <c r="DN813" s="128"/>
      <c r="DP813" s="128"/>
      <c r="DR813" s="128"/>
      <c r="DV813" s="128"/>
      <c r="DX813" s="128"/>
      <c r="DY813" s="128"/>
      <c r="EA813" s="128"/>
      <c r="EB813" s="128"/>
      <c r="EC813" s="128"/>
      <c r="EG813" s="128"/>
      <c r="EL813" s="128"/>
      <c r="EM813" s="128"/>
      <c r="EO813" s="128"/>
      <c r="EQ813" s="128"/>
      <c r="ES813" s="128"/>
      <c r="EU813" s="128"/>
      <c r="EW813" s="128"/>
      <c r="EY813" s="128"/>
    </row>
    <row r="814" spans="3:155">
      <c r="C814" s="128"/>
      <c r="D814" s="128"/>
      <c r="E814" s="128"/>
      <c r="F814" s="128" t="str">
        <f>IF(E814 &lt;&gt; "", VLOOKUP(E814, '[2]Internal-logic'!G$1:I$364, 2, FALSE),"")</f>
        <v/>
      </c>
      <c r="G814" s="128" t="str">
        <f>IF(E814 &lt;&gt; "", VLOOKUP(E814, '[2]Internal-logic'!G$1:I$364, 3, FALSE),"")</f>
        <v/>
      </c>
      <c r="H814" s="128"/>
      <c r="I814" s="128"/>
      <c r="J814" s="128"/>
      <c r="K814" s="128"/>
      <c r="Q814" s="128"/>
      <c r="R814" s="128"/>
      <c r="S814" s="128"/>
      <c r="U814" s="128"/>
      <c r="X814" s="128"/>
      <c r="Y814" s="128"/>
      <c r="Z814" s="128"/>
      <c r="AA814" s="128"/>
      <c r="AB814" s="128"/>
      <c r="AC814" s="128"/>
      <c r="AD814" s="128"/>
      <c r="AE814" s="128"/>
      <c r="AF814" s="128"/>
      <c r="AG814" s="128"/>
      <c r="AI814" s="128"/>
      <c r="AJ814" s="128"/>
      <c r="AY814" s="128"/>
      <c r="BN814" s="128"/>
      <c r="BQ814" s="128"/>
      <c r="BR814" s="128"/>
      <c r="BT814" s="128"/>
      <c r="BV814" s="128"/>
      <c r="BX814" s="128"/>
      <c r="CU814" s="128"/>
      <c r="CW814" s="128"/>
      <c r="DN814" s="128"/>
      <c r="DP814" s="128"/>
      <c r="DR814" s="128"/>
      <c r="DV814" s="128"/>
      <c r="DX814" s="128"/>
      <c r="DY814" s="128"/>
      <c r="EA814" s="128"/>
      <c r="EB814" s="128"/>
      <c r="EC814" s="128"/>
      <c r="EG814" s="128"/>
      <c r="EL814" s="128"/>
      <c r="EM814" s="128"/>
      <c r="EO814" s="128"/>
      <c r="EQ814" s="128"/>
      <c r="ES814" s="128"/>
      <c r="EU814" s="128"/>
      <c r="EW814" s="128"/>
      <c r="EY814" s="128"/>
    </row>
    <row r="815" spans="3:155">
      <c r="C815" s="128"/>
      <c r="D815" s="128"/>
      <c r="E815" s="128"/>
      <c r="F815" s="128" t="str">
        <f>IF(E815 &lt;&gt; "", VLOOKUP(E815, '[2]Internal-logic'!G$1:I$364, 2, FALSE),"")</f>
        <v/>
      </c>
      <c r="G815" s="128" t="str">
        <f>IF(E815 &lt;&gt; "", VLOOKUP(E815, '[2]Internal-logic'!G$1:I$364, 3, FALSE),"")</f>
        <v/>
      </c>
      <c r="H815" s="128"/>
      <c r="I815" s="128"/>
      <c r="J815" s="128"/>
      <c r="K815" s="128"/>
      <c r="Q815" s="128"/>
      <c r="R815" s="128"/>
      <c r="S815" s="128"/>
      <c r="U815" s="128"/>
      <c r="X815" s="128"/>
      <c r="Y815" s="128"/>
      <c r="Z815" s="128"/>
      <c r="AA815" s="128"/>
      <c r="AB815" s="128"/>
      <c r="AC815" s="128"/>
      <c r="AD815" s="128"/>
      <c r="AE815" s="128"/>
      <c r="AF815" s="128"/>
      <c r="AG815" s="128"/>
      <c r="AI815" s="128"/>
      <c r="AJ815" s="128"/>
      <c r="AY815" s="128"/>
      <c r="BN815" s="128"/>
      <c r="BQ815" s="128"/>
      <c r="BR815" s="128"/>
      <c r="BT815" s="128"/>
      <c r="BV815" s="128"/>
      <c r="BX815" s="128"/>
      <c r="CU815" s="128"/>
      <c r="CW815" s="128"/>
      <c r="DN815" s="128"/>
      <c r="DP815" s="128"/>
      <c r="DR815" s="128"/>
      <c r="DV815" s="128"/>
      <c r="DX815" s="128"/>
      <c r="DY815" s="128"/>
      <c r="EA815" s="128"/>
      <c r="EB815" s="128"/>
      <c r="EC815" s="128"/>
      <c r="EG815" s="128"/>
      <c r="EL815" s="128"/>
      <c r="EM815" s="128"/>
      <c r="EO815" s="128"/>
      <c r="EQ815" s="128"/>
      <c r="ES815" s="128"/>
      <c r="EU815" s="128"/>
      <c r="EW815" s="128"/>
      <c r="EY815" s="128"/>
    </row>
    <row r="816" spans="3:155">
      <c r="C816" s="128"/>
      <c r="D816" s="128"/>
      <c r="E816" s="128"/>
      <c r="F816" s="128" t="str">
        <f>IF(E816 &lt;&gt; "", VLOOKUP(E816, '[2]Internal-logic'!G$1:I$364, 2, FALSE),"")</f>
        <v/>
      </c>
      <c r="G816" s="128" t="str">
        <f>IF(E816 &lt;&gt; "", VLOOKUP(E816, '[2]Internal-logic'!G$1:I$364, 3, FALSE),"")</f>
        <v/>
      </c>
      <c r="H816" s="128"/>
      <c r="I816" s="128"/>
      <c r="J816" s="128"/>
      <c r="K816" s="128"/>
      <c r="Q816" s="128"/>
      <c r="R816" s="128"/>
      <c r="S816" s="128"/>
      <c r="U816" s="128"/>
      <c r="X816" s="128"/>
      <c r="Y816" s="128"/>
      <c r="Z816" s="128"/>
      <c r="AA816" s="128"/>
      <c r="AB816" s="128"/>
      <c r="AC816" s="128"/>
      <c r="AD816" s="128"/>
      <c r="AE816" s="128"/>
      <c r="AF816" s="128"/>
      <c r="AG816" s="128"/>
      <c r="AI816" s="128"/>
      <c r="AJ816" s="128"/>
      <c r="AY816" s="128"/>
      <c r="BN816" s="128"/>
      <c r="BQ816" s="128"/>
      <c r="BR816" s="128"/>
      <c r="BT816" s="128"/>
      <c r="BV816" s="128"/>
      <c r="BX816" s="128"/>
      <c r="CU816" s="128"/>
      <c r="CW816" s="128"/>
      <c r="DN816" s="128"/>
      <c r="DP816" s="128"/>
      <c r="DR816" s="128"/>
      <c r="DV816" s="128"/>
      <c r="DX816" s="128"/>
      <c r="DY816" s="128"/>
      <c r="EA816" s="128"/>
      <c r="EB816" s="128"/>
      <c r="EC816" s="128"/>
      <c r="EG816" s="128"/>
      <c r="EL816" s="128"/>
      <c r="EM816" s="128"/>
      <c r="EO816" s="128"/>
      <c r="EQ816" s="128"/>
      <c r="ES816" s="128"/>
      <c r="EU816" s="128"/>
      <c r="EW816" s="128"/>
      <c r="EY816" s="128"/>
    </row>
    <row r="817" spans="3:155">
      <c r="C817" s="128"/>
      <c r="D817" s="128"/>
      <c r="E817" s="128"/>
      <c r="F817" s="128" t="str">
        <f>IF(E817 &lt;&gt; "", VLOOKUP(E817, '[2]Internal-logic'!G$1:I$364, 2, FALSE),"")</f>
        <v/>
      </c>
      <c r="G817" s="128" t="str">
        <f>IF(E817 &lt;&gt; "", VLOOKUP(E817, '[2]Internal-logic'!G$1:I$364, 3, FALSE),"")</f>
        <v/>
      </c>
      <c r="H817" s="128"/>
      <c r="I817" s="128"/>
      <c r="J817" s="128"/>
      <c r="K817" s="128"/>
      <c r="Q817" s="128"/>
      <c r="R817" s="128"/>
      <c r="S817" s="128"/>
      <c r="U817" s="128"/>
      <c r="X817" s="128"/>
      <c r="Y817" s="128"/>
      <c r="Z817" s="128"/>
      <c r="AA817" s="128"/>
      <c r="AB817" s="128"/>
      <c r="AC817" s="128"/>
      <c r="AD817" s="128"/>
      <c r="AE817" s="128"/>
      <c r="AF817" s="128"/>
      <c r="AG817" s="128"/>
      <c r="AI817" s="128"/>
      <c r="AJ817" s="128"/>
      <c r="AY817" s="128"/>
      <c r="BN817" s="128"/>
      <c r="BQ817" s="128"/>
      <c r="BR817" s="128"/>
      <c r="BT817" s="128"/>
      <c r="BV817" s="128"/>
      <c r="BX817" s="128"/>
      <c r="CU817" s="128"/>
      <c r="CW817" s="128"/>
      <c r="DN817" s="128"/>
      <c r="DP817" s="128"/>
      <c r="DR817" s="128"/>
      <c r="DV817" s="128"/>
      <c r="DX817" s="128"/>
      <c r="DY817" s="128"/>
      <c r="EA817" s="128"/>
      <c r="EB817" s="128"/>
      <c r="EC817" s="128"/>
      <c r="EG817" s="128"/>
      <c r="EL817" s="128"/>
      <c r="EM817" s="128"/>
      <c r="EO817" s="128"/>
      <c r="EQ817" s="128"/>
      <c r="ES817" s="128"/>
      <c r="EU817" s="128"/>
      <c r="EW817" s="128"/>
      <c r="EY817" s="128"/>
    </row>
    <row r="818" spans="3:155">
      <c r="C818" s="128"/>
      <c r="D818" s="128"/>
      <c r="E818" s="128"/>
      <c r="F818" s="128" t="str">
        <f>IF(E818 &lt;&gt; "", VLOOKUP(E818, '[2]Internal-logic'!G$1:I$364, 2, FALSE),"")</f>
        <v/>
      </c>
      <c r="G818" s="128" t="str">
        <f>IF(E818 &lt;&gt; "", VLOOKUP(E818, '[2]Internal-logic'!G$1:I$364, 3, FALSE),"")</f>
        <v/>
      </c>
      <c r="H818" s="128"/>
      <c r="I818" s="128"/>
      <c r="J818" s="128"/>
      <c r="K818" s="128"/>
      <c r="Q818" s="128"/>
      <c r="R818" s="128"/>
      <c r="S818" s="128"/>
      <c r="U818" s="128"/>
      <c r="X818" s="128"/>
      <c r="Y818" s="128"/>
      <c r="Z818" s="128"/>
      <c r="AA818" s="128"/>
      <c r="AB818" s="128"/>
      <c r="AC818" s="128"/>
      <c r="AD818" s="128"/>
      <c r="AE818" s="128"/>
      <c r="AF818" s="128"/>
      <c r="AG818" s="128"/>
      <c r="AI818" s="128"/>
      <c r="AJ818" s="128"/>
      <c r="AY818" s="128"/>
      <c r="BN818" s="128"/>
      <c r="BQ818" s="128"/>
      <c r="BR818" s="128"/>
      <c r="BT818" s="128"/>
      <c r="BV818" s="128"/>
      <c r="BX818" s="128"/>
      <c r="CU818" s="128"/>
      <c r="CW818" s="128"/>
      <c r="DN818" s="128"/>
      <c r="DP818" s="128"/>
      <c r="DR818" s="128"/>
      <c r="DV818" s="128"/>
      <c r="DX818" s="128"/>
      <c r="DY818" s="128"/>
      <c r="EA818" s="128"/>
      <c r="EB818" s="128"/>
      <c r="EC818" s="128"/>
      <c r="EG818" s="128"/>
      <c r="EL818" s="128"/>
      <c r="EM818" s="128"/>
      <c r="EO818" s="128"/>
      <c r="EQ818" s="128"/>
      <c r="ES818" s="128"/>
      <c r="EU818" s="128"/>
      <c r="EW818" s="128"/>
      <c r="EY818" s="128"/>
    </row>
    <row r="819" spans="3:155">
      <c r="C819" s="128"/>
      <c r="D819" s="128"/>
      <c r="E819" s="128"/>
      <c r="F819" s="128" t="str">
        <f>IF(E819 &lt;&gt; "", VLOOKUP(E819, '[2]Internal-logic'!G$1:I$364, 2, FALSE),"")</f>
        <v/>
      </c>
      <c r="G819" s="128" t="str">
        <f>IF(E819 &lt;&gt; "", VLOOKUP(E819, '[2]Internal-logic'!G$1:I$364, 3, FALSE),"")</f>
        <v/>
      </c>
      <c r="H819" s="128"/>
      <c r="I819" s="128"/>
      <c r="J819" s="128"/>
      <c r="K819" s="128"/>
      <c r="Q819" s="128"/>
      <c r="R819" s="128"/>
      <c r="S819" s="128"/>
      <c r="U819" s="128"/>
      <c r="X819" s="128"/>
      <c r="Y819" s="128"/>
      <c r="Z819" s="128"/>
      <c r="AA819" s="128"/>
      <c r="AB819" s="128"/>
      <c r="AC819" s="128"/>
      <c r="AD819" s="128"/>
      <c r="AE819" s="128"/>
      <c r="AF819" s="128"/>
      <c r="AG819" s="128"/>
      <c r="AI819" s="128"/>
      <c r="AJ819" s="128"/>
      <c r="AY819" s="128"/>
      <c r="BN819" s="128"/>
      <c r="BQ819" s="128"/>
      <c r="BR819" s="128"/>
      <c r="BT819" s="128"/>
      <c r="BV819" s="128"/>
      <c r="BX819" s="128"/>
      <c r="CU819" s="128"/>
      <c r="CW819" s="128"/>
      <c r="DN819" s="128"/>
      <c r="DP819" s="128"/>
      <c r="DR819" s="128"/>
      <c r="DV819" s="128"/>
      <c r="DX819" s="128"/>
      <c r="DY819" s="128"/>
      <c r="EA819" s="128"/>
      <c r="EB819" s="128"/>
      <c r="EC819" s="128"/>
      <c r="EG819" s="128"/>
      <c r="EL819" s="128"/>
      <c r="EM819" s="128"/>
      <c r="EO819" s="128"/>
      <c r="EQ819" s="128"/>
      <c r="ES819" s="128"/>
      <c r="EU819" s="128"/>
      <c r="EW819" s="128"/>
      <c r="EY819" s="128"/>
    </row>
    <row r="820" spans="3:155">
      <c r="C820" s="128"/>
      <c r="D820" s="128"/>
      <c r="E820" s="128"/>
      <c r="F820" s="128" t="str">
        <f>IF(E820 &lt;&gt; "", VLOOKUP(E820, '[2]Internal-logic'!G$1:I$364, 2, FALSE),"")</f>
        <v/>
      </c>
      <c r="G820" s="128" t="str">
        <f>IF(E820 &lt;&gt; "", VLOOKUP(E820, '[2]Internal-logic'!G$1:I$364, 3, FALSE),"")</f>
        <v/>
      </c>
      <c r="H820" s="128"/>
      <c r="I820" s="128"/>
      <c r="J820" s="128"/>
      <c r="K820" s="128"/>
      <c r="Q820" s="128"/>
      <c r="R820" s="128"/>
      <c r="S820" s="128"/>
      <c r="U820" s="128"/>
      <c r="X820" s="128"/>
      <c r="Y820" s="128"/>
      <c r="Z820" s="128"/>
      <c r="AA820" s="128"/>
      <c r="AB820" s="128"/>
      <c r="AC820" s="128"/>
      <c r="AD820" s="128"/>
      <c r="AE820" s="128"/>
      <c r="AF820" s="128"/>
      <c r="AG820" s="128"/>
      <c r="AI820" s="128"/>
      <c r="AJ820" s="128"/>
      <c r="AY820" s="128"/>
      <c r="BN820" s="128"/>
      <c r="BQ820" s="128"/>
      <c r="BR820" s="128"/>
      <c r="BT820" s="128"/>
      <c r="BV820" s="128"/>
      <c r="BX820" s="128"/>
      <c r="CU820" s="128"/>
      <c r="CW820" s="128"/>
      <c r="DN820" s="128"/>
      <c r="DP820" s="128"/>
      <c r="DR820" s="128"/>
      <c r="DV820" s="128"/>
      <c r="DX820" s="128"/>
      <c r="DY820" s="128"/>
      <c r="EA820" s="128"/>
      <c r="EB820" s="128"/>
      <c r="EC820" s="128"/>
      <c r="EG820" s="128"/>
      <c r="EL820" s="128"/>
      <c r="EM820" s="128"/>
      <c r="EO820" s="128"/>
      <c r="EQ820" s="128"/>
      <c r="ES820" s="128"/>
      <c r="EU820" s="128"/>
      <c r="EW820" s="128"/>
      <c r="EY820" s="128"/>
    </row>
    <row r="821" spans="3:155">
      <c r="C821" s="128"/>
      <c r="D821" s="128"/>
      <c r="E821" s="128"/>
      <c r="F821" s="128" t="str">
        <f>IF(E821 &lt;&gt; "", VLOOKUP(E821, '[2]Internal-logic'!G$1:I$364, 2, FALSE),"")</f>
        <v/>
      </c>
      <c r="G821" s="128" t="str">
        <f>IF(E821 &lt;&gt; "", VLOOKUP(E821, '[2]Internal-logic'!G$1:I$364, 3, FALSE),"")</f>
        <v/>
      </c>
      <c r="H821" s="128"/>
      <c r="I821" s="128"/>
      <c r="J821" s="128"/>
      <c r="K821" s="128"/>
      <c r="Q821" s="128"/>
      <c r="R821" s="128"/>
      <c r="S821" s="128"/>
      <c r="U821" s="128"/>
      <c r="X821" s="128"/>
      <c r="Y821" s="128"/>
      <c r="Z821" s="128"/>
      <c r="AA821" s="128"/>
      <c r="AB821" s="128"/>
      <c r="AC821" s="128"/>
      <c r="AD821" s="128"/>
      <c r="AE821" s="128"/>
      <c r="AF821" s="128"/>
      <c r="AG821" s="128"/>
      <c r="AI821" s="128"/>
      <c r="AJ821" s="128"/>
      <c r="AY821" s="128"/>
      <c r="BN821" s="128"/>
      <c r="BQ821" s="128"/>
      <c r="BR821" s="128"/>
      <c r="BT821" s="128"/>
      <c r="BV821" s="128"/>
      <c r="BX821" s="128"/>
      <c r="CU821" s="128"/>
      <c r="CW821" s="128"/>
      <c r="DN821" s="128"/>
      <c r="DP821" s="128"/>
      <c r="DR821" s="128"/>
      <c r="DV821" s="128"/>
      <c r="DX821" s="128"/>
      <c r="DY821" s="128"/>
      <c r="EA821" s="128"/>
      <c r="EB821" s="128"/>
      <c r="EC821" s="128"/>
      <c r="EG821" s="128"/>
      <c r="EL821" s="128"/>
      <c r="EM821" s="128"/>
      <c r="EO821" s="128"/>
      <c r="EQ821" s="128"/>
      <c r="ES821" s="128"/>
      <c r="EU821" s="128"/>
      <c r="EW821" s="128"/>
      <c r="EY821" s="128"/>
    </row>
    <row r="822" spans="3:155">
      <c r="C822" s="128"/>
      <c r="D822" s="128"/>
      <c r="E822" s="128"/>
      <c r="F822" s="128" t="str">
        <f>IF(E822 &lt;&gt; "", VLOOKUP(E822, '[2]Internal-logic'!G$1:I$364, 2, FALSE),"")</f>
        <v/>
      </c>
      <c r="G822" s="128" t="str">
        <f>IF(E822 &lt;&gt; "", VLOOKUP(E822, '[2]Internal-logic'!G$1:I$364, 3, FALSE),"")</f>
        <v/>
      </c>
      <c r="H822" s="128"/>
      <c r="I822" s="128"/>
      <c r="J822" s="128"/>
      <c r="K822" s="128"/>
      <c r="Q822" s="128"/>
      <c r="R822" s="128"/>
      <c r="S822" s="128"/>
      <c r="U822" s="128"/>
      <c r="X822" s="128"/>
      <c r="Y822" s="128"/>
      <c r="Z822" s="128"/>
      <c r="AA822" s="128"/>
      <c r="AB822" s="128"/>
      <c r="AC822" s="128"/>
      <c r="AD822" s="128"/>
      <c r="AE822" s="128"/>
      <c r="AF822" s="128"/>
      <c r="AG822" s="128"/>
      <c r="AI822" s="128"/>
      <c r="AJ822" s="128"/>
      <c r="AY822" s="128"/>
      <c r="BN822" s="128"/>
      <c r="BQ822" s="128"/>
      <c r="BR822" s="128"/>
      <c r="BT822" s="128"/>
      <c r="BV822" s="128"/>
      <c r="BX822" s="128"/>
      <c r="CU822" s="128"/>
      <c r="CW822" s="128"/>
      <c r="DN822" s="128"/>
      <c r="DP822" s="128"/>
      <c r="DR822" s="128"/>
      <c r="DV822" s="128"/>
      <c r="DX822" s="128"/>
      <c r="DY822" s="128"/>
      <c r="EA822" s="128"/>
      <c r="EB822" s="128"/>
      <c r="EC822" s="128"/>
      <c r="EG822" s="128"/>
      <c r="EL822" s="128"/>
      <c r="EM822" s="128"/>
      <c r="EO822" s="128"/>
      <c r="EQ822" s="128"/>
      <c r="ES822" s="128"/>
      <c r="EU822" s="128"/>
      <c r="EW822" s="128"/>
      <c r="EY822" s="128"/>
    </row>
    <row r="823" spans="3:155">
      <c r="C823" s="128"/>
      <c r="D823" s="128"/>
      <c r="E823" s="128"/>
      <c r="F823" s="128" t="str">
        <f>IF(E823 &lt;&gt; "", VLOOKUP(E823, '[2]Internal-logic'!G$1:I$364, 2, FALSE),"")</f>
        <v/>
      </c>
      <c r="G823" s="128" t="str">
        <f>IF(E823 &lt;&gt; "", VLOOKUP(E823, '[2]Internal-logic'!G$1:I$364, 3, FALSE),"")</f>
        <v/>
      </c>
      <c r="H823" s="128"/>
      <c r="I823" s="128"/>
      <c r="J823" s="128"/>
      <c r="K823" s="128"/>
      <c r="Q823" s="128"/>
      <c r="R823" s="128"/>
      <c r="S823" s="128"/>
      <c r="U823" s="128"/>
      <c r="X823" s="128"/>
      <c r="Y823" s="128"/>
      <c r="Z823" s="128"/>
      <c r="AA823" s="128"/>
      <c r="AB823" s="128"/>
      <c r="AC823" s="128"/>
      <c r="AD823" s="128"/>
      <c r="AE823" s="128"/>
      <c r="AF823" s="128"/>
      <c r="AG823" s="128"/>
      <c r="AI823" s="128"/>
      <c r="AJ823" s="128"/>
      <c r="AY823" s="128"/>
      <c r="BN823" s="128"/>
      <c r="BQ823" s="128"/>
      <c r="BR823" s="128"/>
      <c r="BT823" s="128"/>
      <c r="BV823" s="128"/>
      <c r="BX823" s="128"/>
      <c r="CU823" s="128"/>
      <c r="CW823" s="128"/>
      <c r="DN823" s="128"/>
      <c r="DP823" s="128"/>
      <c r="DR823" s="128"/>
      <c r="DV823" s="128"/>
      <c r="DX823" s="128"/>
      <c r="DY823" s="128"/>
      <c r="EA823" s="128"/>
      <c r="EB823" s="128"/>
      <c r="EC823" s="128"/>
      <c r="EG823" s="128"/>
      <c r="EL823" s="128"/>
      <c r="EM823" s="128"/>
      <c r="EO823" s="128"/>
      <c r="EQ823" s="128"/>
      <c r="ES823" s="128"/>
      <c r="EU823" s="128"/>
      <c r="EW823" s="128"/>
      <c r="EY823" s="128"/>
    </row>
    <row r="824" spans="3:155">
      <c r="C824" s="128"/>
      <c r="D824" s="128"/>
      <c r="E824" s="128"/>
      <c r="F824" s="128" t="str">
        <f>IF(E824 &lt;&gt; "", VLOOKUP(E824, '[2]Internal-logic'!G$1:I$364, 2, FALSE),"")</f>
        <v/>
      </c>
      <c r="G824" s="128" t="str">
        <f>IF(E824 &lt;&gt; "", VLOOKUP(E824, '[2]Internal-logic'!G$1:I$364, 3, FALSE),"")</f>
        <v/>
      </c>
      <c r="H824" s="128"/>
      <c r="I824" s="128"/>
      <c r="J824" s="128"/>
      <c r="K824" s="128"/>
      <c r="Q824" s="128"/>
      <c r="R824" s="128"/>
      <c r="S824" s="128"/>
      <c r="U824" s="128"/>
      <c r="X824" s="128"/>
      <c r="Y824" s="128"/>
      <c r="Z824" s="128"/>
      <c r="AA824" s="128"/>
      <c r="AB824" s="128"/>
      <c r="AC824" s="128"/>
      <c r="AD824" s="128"/>
      <c r="AE824" s="128"/>
      <c r="AF824" s="128"/>
      <c r="AG824" s="128"/>
      <c r="AI824" s="128"/>
      <c r="AJ824" s="128"/>
      <c r="AY824" s="128"/>
      <c r="BN824" s="128"/>
      <c r="BQ824" s="128"/>
      <c r="BR824" s="128"/>
      <c r="BT824" s="128"/>
      <c r="BV824" s="128"/>
      <c r="BX824" s="128"/>
      <c r="CU824" s="128"/>
      <c r="CW824" s="128"/>
      <c r="DN824" s="128"/>
      <c r="DP824" s="128"/>
      <c r="DR824" s="128"/>
      <c r="DV824" s="128"/>
      <c r="DX824" s="128"/>
      <c r="DY824" s="128"/>
      <c r="EA824" s="128"/>
      <c r="EB824" s="128"/>
      <c r="EC824" s="128"/>
      <c r="EG824" s="128"/>
      <c r="EL824" s="128"/>
      <c r="EM824" s="128"/>
      <c r="EO824" s="128"/>
      <c r="EQ824" s="128"/>
      <c r="ES824" s="128"/>
      <c r="EU824" s="128"/>
      <c r="EW824" s="128"/>
      <c r="EY824" s="128"/>
    </row>
    <row r="825" spans="3:155">
      <c r="C825" s="128"/>
      <c r="D825" s="128"/>
      <c r="E825" s="128"/>
      <c r="F825" s="128" t="str">
        <f>IF(E825 &lt;&gt; "", VLOOKUP(E825, '[2]Internal-logic'!G$1:I$364, 2, FALSE),"")</f>
        <v/>
      </c>
      <c r="G825" s="128" t="str">
        <f>IF(E825 &lt;&gt; "", VLOOKUP(E825, '[2]Internal-logic'!G$1:I$364, 3, FALSE),"")</f>
        <v/>
      </c>
      <c r="H825" s="128"/>
      <c r="I825" s="128"/>
      <c r="J825" s="128"/>
      <c r="K825" s="128"/>
      <c r="Q825" s="128"/>
      <c r="R825" s="128"/>
      <c r="S825" s="128"/>
      <c r="U825" s="128"/>
      <c r="X825" s="128"/>
      <c r="Y825" s="128"/>
      <c r="Z825" s="128"/>
      <c r="AA825" s="128"/>
      <c r="AB825" s="128"/>
      <c r="AC825" s="128"/>
      <c r="AD825" s="128"/>
      <c r="AE825" s="128"/>
      <c r="AF825" s="128"/>
      <c r="AG825" s="128"/>
      <c r="AI825" s="128"/>
      <c r="AJ825" s="128"/>
      <c r="AY825" s="128"/>
      <c r="BN825" s="128"/>
      <c r="BQ825" s="128"/>
      <c r="BR825" s="128"/>
      <c r="BT825" s="128"/>
      <c r="BV825" s="128"/>
      <c r="BX825" s="128"/>
      <c r="CU825" s="128"/>
      <c r="CW825" s="128"/>
      <c r="DN825" s="128"/>
      <c r="DP825" s="128"/>
      <c r="DR825" s="128"/>
      <c r="DV825" s="128"/>
      <c r="DX825" s="128"/>
      <c r="DY825" s="128"/>
      <c r="EA825" s="128"/>
      <c r="EB825" s="128"/>
      <c r="EC825" s="128"/>
      <c r="EG825" s="128"/>
      <c r="EL825" s="128"/>
      <c r="EM825" s="128"/>
      <c r="EO825" s="128"/>
      <c r="EQ825" s="128"/>
      <c r="ES825" s="128"/>
      <c r="EU825" s="128"/>
      <c r="EW825" s="128"/>
      <c r="EY825" s="128"/>
    </row>
    <row r="826" spans="3:155">
      <c r="C826" s="128"/>
      <c r="D826" s="128"/>
      <c r="E826" s="128"/>
      <c r="F826" s="128" t="str">
        <f>IF(E826 &lt;&gt; "", VLOOKUP(E826, '[2]Internal-logic'!G$1:I$364, 2, FALSE),"")</f>
        <v/>
      </c>
      <c r="G826" s="128" t="str">
        <f>IF(E826 &lt;&gt; "", VLOOKUP(E826, '[2]Internal-logic'!G$1:I$364, 3, FALSE),"")</f>
        <v/>
      </c>
      <c r="H826" s="128"/>
      <c r="I826" s="128"/>
      <c r="J826" s="128"/>
      <c r="K826" s="128"/>
      <c r="Q826" s="128"/>
      <c r="R826" s="128"/>
      <c r="S826" s="128"/>
      <c r="U826" s="128"/>
      <c r="X826" s="128"/>
      <c r="Y826" s="128"/>
      <c r="Z826" s="128"/>
      <c r="AA826" s="128"/>
      <c r="AB826" s="128"/>
      <c r="AC826" s="128"/>
      <c r="AD826" s="128"/>
      <c r="AE826" s="128"/>
      <c r="AF826" s="128"/>
      <c r="AG826" s="128"/>
      <c r="AI826" s="128"/>
      <c r="AJ826" s="128"/>
      <c r="AY826" s="128"/>
      <c r="BN826" s="128"/>
      <c r="BQ826" s="128"/>
      <c r="BR826" s="128"/>
      <c r="BT826" s="128"/>
      <c r="BV826" s="128"/>
      <c r="BX826" s="128"/>
      <c r="CU826" s="128"/>
      <c r="CW826" s="128"/>
      <c r="DN826" s="128"/>
      <c r="DP826" s="128"/>
      <c r="DR826" s="128"/>
      <c r="DV826" s="128"/>
      <c r="DX826" s="128"/>
      <c r="DY826" s="128"/>
      <c r="EA826" s="128"/>
      <c r="EB826" s="128"/>
      <c r="EC826" s="128"/>
      <c r="EG826" s="128"/>
      <c r="EL826" s="128"/>
      <c r="EM826" s="128"/>
      <c r="EO826" s="128"/>
      <c r="EQ826" s="128"/>
      <c r="ES826" s="128"/>
      <c r="EU826" s="128"/>
      <c r="EW826" s="128"/>
      <c r="EY826" s="128"/>
    </row>
    <row r="827" spans="3:155">
      <c r="C827" s="128"/>
      <c r="D827" s="128"/>
      <c r="E827" s="128"/>
      <c r="F827" s="128" t="str">
        <f>IF(E827 &lt;&gt; "", VLOOKUP(E827, '[2]Internal-logic'!G$1:I$364, 2, FALSE),"")</f>
        <v/>
      </c>
      <c r="G827" s="128" t="str">
        <f>IF(E827 &lt;&gt; "", VLOOKUP(E827, '[2]Internal-logic'!G$1:I$364, 3, FALSE),"")</f>
        <v/>
      </c>
      <c r="H827" s="128"/>
      <c r="I827" s="128"/>
      <c r="J827" s="128"/>
      <c r="K827" s="128"/>
      <c r="Q827" s="128"/>
      <c r="R827" s="128"/>
      <c r="S827" s="128"/>
      <c r="U827" s="128"/>
      <c r="X827" s="128"/>
      <c r="Y827" s="128"/>
      <c r="Z827" s="128"/>
      <c r="AA827" s="128"/>
      <c r="AB827" s="128"/>
      <c r="AC827" s="128"/>
      <c r="AD827" s="128"/>
      <c r="AE827" s="128"/>
      <c r="AF827" s="128"/>
      <c r="AG827" s="128"/>
      <c r="AI827" s="128"/>
      <c r="AJ827" s="128"/>
      <c r="AY827" s="128"/>
      <c r="BN827" s="128"/>
      <c r="BQ827" s="128"/>
      <c r="BR827" s="128"/>
      <c r="BT827" s="128"/>
      <c r="BV827" s="128"/>
      <c r="BX827" s="128"/>
      <c r="CU827" s="128"/>
      <c r="CW827" s="128"/>
      <c r="DN827" s="128"/>
      <c r="DP827" s="128"/>
      <c r="DR827" s="128"/>
      <c r="DV827" s="128"/>
      <c r="DX827" s="128"/>
      <c r="DY827" s="128"/>
      <c r="EA827" s="128"/>
      <c r="EB827" s="128"/>
      <c r="EC827" s="128"/>
      <c r="EG827" s="128"/>
      <c r="EL827" s="128"/>
      <c r="EM827" s="128"/>
      <c r="EO827" s="128"/>
      <c r="EQ827" s="128"/>
      <c r="ES827" s="128"/>
      <c r="EU827" s="128"/>
      <c r="EW827" s="128"/>
      <c r="EY827" s="128"/>
    </row>
    <row r="828" spans="3:155">
      <c r="C828" s="128"/>
      <c r="D828" s="128"/>
      <c r="E828" s="128"/>
      <c r="F828" s="128" t="str">
        <f>IF(E828 &lt;&gt; "", VLOOKUP(E828, '[2]Internal-logic'!G$1:I$364, 2, FALSE),"")</f>
        <v/>
      </c>
      <c r="G828" s="128" t="str">
        <f>IF(E828 &lt;&gt; "", VLOOKUP(E828, '[2]Internal-logic'!G$1:I$364, 3, FALSE),"")</f>
        <v/>
      </c>
      <c r="H828" s="128"/>
      <c r="I828" s="128"/>
      <c r="J828" s="128"/>
      <c r="K828" s="128"/>
      <c r="Q828" s="128"/>
      <c r="R828" s="128"/>
      <c r="S828" s="128"/>
      <c r="U828" s="128"/>
      <c r="X828" s="128"/>
      <c r="Y828" s="128"/>
      <c r="Z828" s="128"/>
      <c r="AA828" s="128"/>
      <c r="AB828" s="128"/>
      <c r="AC828" s="128"/>
      <c r="AD828" s="128"/>
      <c r="AE828" s="128"/>
      <c r="AF828" s="128"/>
      <c r="AG828" s="128"/>
      <c r="AI828" s="128"/>
      <c r="AJ828" s="128"/>
      <c r="AY828" s="128"/>
      <c r="BN828" s="128"/>
      <c r="BQ828" s="128"/>
      <c r="BR828" s="128"/>
      <c r="BT828" s="128"/>
      <c r="BV828" s="128"/>
      <c r="BX828" s="128"/>
      <c r="CU828" s="128"/>
      <c r="CW828" s="128"/>
      <c r="DN828" s="128"/>
      <c r="DP828" s="128"/>
      <c r="DR828" s="128"/>
      <c r="DV828" s="128"/>
      <c r="DX828" s="128"/>
      <c r="DY828" s="128"/>
      <c r="EA828" s="128"/>
      <c r="EB828" s="128"/>
      <c r="EC828" s="128"/>
      <c r="EG828" s="128"/>
      <c r="EL828" s="128"/>
      <c r="EM828" s="128"/>
      <c r="EO828" s="128"/>
      <c r="EQ828" s="128"/>
      <c r="ES828" s="128"/>
      <c r="EU828" s="128"/>
      <c r="EW828" s="128"/>
      <c r="EY828" s="128"/>
    </row>
    <row r="829" spans="3:155">
      <c r="C829" s="128"/>
      <c r="D829" s="128"/>
      <c r="E829" s="128"/>
      <c r="F829" s="128" t="str">
        <f>IF(E829 &lt;&gt; "", VLOOKUP(E829, '[2]Internal-logic'!G$1:I$364, 2, FALSE),"")</f>
        <v/>
      </c>
      <c r="G829" s="128" t="str">
        <f>IF(E829 &lt;&gt; "", VLOOKUP(E829, '[2]Internal-logic'!G$1:I$364, 3, FALSE),"")</f>
        <v/>
      </c>
      <c r="H829" s="128"/>
      <c r="I829" s="128"/>
      <c r="J829" s="128"/>
      <c r="K829" s="128"/>
      <c r="Q829" s="128"/>
      <c r="R829" s="128"/>
      <c r="S829" s="128"/>
      <c r="U829" s="128"/>
      <c r="X829" s="128"/>
      <c r="Y829" s="128"/>
      <c r="Z829" s="128"/>
      <c r="AA829" s="128"/>
      <c r="AB829" s="128"/>
      <c r="AC829" s="128"/>
      <c r="AD829" s="128"/>
      <c r="AE829" s="128"/>
      <c r="AF829" s="128"/>
      <c r="AG829" s="128"/>
      <c r="AI829" s="128"/>
      <c r="AJ829" s="128"/>
      <c r="AY829" s="128"/>
      <c r="BN829" s="128"/>
      <c r="BQ829" s="128"/>
      <c r="BR829" s="128"/>
      <c r="BT829" s="128"/>
      <c r="BV829" s="128"/>
      <c r="BX829" s="128"/>
      <c r="CU829" s="128"/>
      <c r="CW829" s="128"/>
      <c r="DN829" s="128"/>
      <c r="DP829" s="128"/>
      <c r="DR829" s="128"/>
      <c r="DV829" s="128"/>
      <c r="DX829" s="128"/>
      <c r="DY829" s="128"/>
      <c r="EA829" s="128"/>
      <c r="EB829" s="128"/>
      <c r="EC829" s="128"/>
      <c r="EG829" s="128"/>
      <c r="EL829" s="128"/>
      <c r="EM829" s="128"/>
      <c r="EO829" s="128"/>
      <c r="EQ829" s="128"/>
      <c r="ES829" s="128"/>
      <c r="EU829" s="128"/>
      <c r="EW829" s="128"/>
      <c r="EY829" s="128"/>
    </row>
    <row r="830" spans="3:155">
      <c r="C830" s="128"/>
      <c r="D830" s="128"/>
      <c r="E830" s="128"/>
      <c r="F830" s="128" t="str">
        <f>IF(E830 &lt;&gt; "", VLOOKUP(E830, '[2]Internal-logic'!G$1:I$364, 2, FALSE),"")</f>
        <v/>
      </c>
      <c r="G830" s="128" t="str">
        <f>IF(E830 &lt;&gt; "", VLOOKUP(E830, '[2]Internal-logic'!G$1:I$364, 3, FALSE),"")</f>
        <v/>
      </c>
      <c r="H830" s="128"/>
      <c r="I830" s="128"/>
      <c r="J830" s="128"/>
      <c r="K830" s="128"/>
      <c r="Q830" s="128"/>
      <c r="R830" s="128"/>
      <c r="S830" s="128"/>
      <c r="U830" s="128"/>
      <c r="X830" s="128"/>
      <c r="Y830" s="128"/>
      <c r="Z830" s="128"/>
      <c r="AA830" s="128"/>
      <c r="AB830" s="128"/>
      <c r="AC830" s="128"/>
      <c r="AD830" s="128"/>
      <c r="AE830" s="128"/>
      <c r="AF830" s="128"/>
      <c r="AG830" s="128"/>
      <c r="AI830" s="128"/>
      <c r="AJ830" s="128"/>
      <c r="AY830" s="128"/>
      <c r="BN830" s="128"/>
      <c r="BQ830" s="128"/>
      <c r="BR830" s="128"/>
      <c r="BT830" s="128"/>
      <c r="BV830" s="128"/>
      <c r="BX830" s="128"/>
      <c r="CU830" s="128"/>
      <c r="CW830" s="128"/>
      <c r="DN830" s="128"/>
      <c r="DP830" s="128"/>
      <c r="DR830" s="128"/>
      <c r="DV830" s="128"/>
      <c r="DX830" s="128"/>
      <c r="DY830" s="128"/>
      <c r="EA830" s="128"/>
      <c r="EB830" s="128"/>
      <c r="EC830" s="128"/>
      <c r="EG830" s="128"/>
      <c r="EL830" s="128"/>
      <c r="EM830" s="128"/>
      <c r="EO830" s="128"/>
      <c r="EQ830" s="128"/>
      <c r="ES830" s="128"/>
      <c r="EU830" s="128"/>
      <c r="EW830" s="128"/>
      <c r="EY830" s="128"/>
    </row>
    <row r="831" spans="3:155">
      <c r="C831" s="128"/>
      <c r="D831" s="128"/>
      <c r="E831" s="128"/>
      <c r="F831" s="128" t="str">
        <f>IF(E831 &lt;&gt; "", VLOOKUP(E831, '[2]Internal-logic'!G$1:I$364, 2, FALSE),"")</f>
        <v/>
      </c>
      <c r="G831" s="128" t="str">
        <f>IF(E831 &lt;&gt; "", VLOOKUP(E831, '[2]Internal-logic'!G$1:I$364, 3, FALSE),"")</f>
        <v/>
      </c>
      <c r="H831" s="128"/>
      <c r="I831" s="128"/>
      <c r="J831" s="128"/>
      <c r="K831" s="128"/>
      <c r="Q831" s="128"/>
      <c r="R831" s="128"/>
      <c r="S831" s="128"/>
      <c r="U831" s="128"/>
      <c r="X831" s="128"/>
      <c r="Y831" s="128"/>
      <c r="Z831" s="128"/>
      <c r="AA831" s="128"/>
      <c r="AB831" s="128"/>
      <c r="AC831" s="128"/>
      <c r="AD831" s="128"/>
      <c r="AE831" s="128"/>
      <c r="AF831" s="128"/>
      <c r="AG831" s="128"/>
      <c r="AI831" s="128"/>
      <c r="AJ831" s="128"/>
      <c r="AY831" s="128"/>
      <c r="BN831" s="128"/>
      <c r="BQ831" s="128"/>
      <c r="BR831" s="128"/>
      <c r="BT831" s="128"/>
      <c r="BV831" s="128"/>
      <c r="BX831" s="128"/>
      <c r="CU831" s="128"/>
      <c r="CW831" s="128"/>
      <c r="DN831" s="128"/>
      <c r="DP831" s="128"/>
      <c r="DR831" s="128"/>
      <c r="DV831" s="128"/>
      <c r="DX831" s="128"/>
      <c r="DY831" s="128"/>
      <c r="EA831" s="128"/>
      <c r="EB831" s="128"/>
      <c r="EC831" s="128"/>
      <c r="EG831" s="128"/>
      <c r="EL831" s="128"/>
      <c r="EM831" s="128"/>
      <c r="EO831" s="128"/>
      <c r="EQ831" s="128"/>
      <c r="ES831" s="128"/>
      <c r="EU831" s="128"/>
      <c r="EW831" s="128"/>
      <c r="EY831" s="128"/>
    </row>
    <row r="832" spans="3:155">
      <c r="C832" s="128"/>
      <c r="D832" s="128"/>
      <c r="E832" s="128"/>
      <c r="F832" s="128" t="str">
        <f>IF(E832 &lt;&gt; "", VLOOKUP(E832, '[2]Internal-logic'!G$1:I$364, 2, FALSE),"")</f>
        <v/>
      </c>
      <c r="G832" s="128" t="str">
        <f>IF(E832 &lt;&gt; "", VLOOKUP(E832, '[2]Internal-logic'!G$1:I$364, 3, FALSE),"")</f>
        <v/>
      </c>
      <c r="H832" s="128"/>
      <c r="I832" s="128"/>
      <c r="J832" s="128"/>
      <c r="K832" s="128"/>
      <c r="Q832" s="128"/>
      <c r="R832" s="128"/>
      <c r="S832" s="128"/>
      <c r="U832" s="128"/>
      <c r="X832" s="128"/>
      <c r="Y832" s="128"/>
      <c r="Z832" s="128"/>
      <c r="AA832" s="128"/>
      <c r="AB832" s="128"/>
      <c r="AC832" s="128"/>
      <c r="AD832" s="128"/>
      <c r="AE832" s="128"/>
      <c r="AF832" s="128"/>
      <c r="AG832" s="128"/>
      <c r="AI832" s="128"/>
      <c r="AJ832" s="128"/>
      <c r="AY832" s="128"/>
      <c r="BN832" s="128"/>
      <c r="BQ832" s="128"/>
      <c r="BR832" s="128"/>
      <c r="BT832" s="128"/>
      <c r="BV832" s="128"/>
      <c r="BX832" s="128"/>
      <c r="CU832" s="128"/>
      <c r="CW832" s="128"/>
      <c r="DN832" s="128"/>
      <c r="DP832" s="128"/>
      <c r="DR832" s="128"/>
      <c r="DV832" s="128"/>
      <c r="DX832" s="128"/>
      <c r="DY832" s="128"/>
      <c r="EA832" s="128"/>
      <c r="EB832" s="128"/>
      <c r="EC832" s="128"/>
      <c r="EG832" s="128"/>
      <c r="EL832" s="128"/>
      <c r="EM832" s="128"/>
      <c r="EO832" s="128"/>
      <c r="EQ832" s="128"/>
      <c r="ES832" s="128"/>
      <c r="EU832" s="128"/>
      <c r="EW832" s="128"/>
      <c r="EY832" s="128"/>
    </row>
    <row r="833" spans="3:155">
      <c r="C833" s="128"/>
      <c r="D833" s="128"/>
      <c r="E833" s="128"/>
      <c r="F833" s="128" t="str">
        <f>IF(E833 &lt;&gt; "", VLOOKUP(E833, '[2]Internal-logic'!G$1:I$364, 2, FALSE),"")</f>
        <v/>
      </c>
      <c r="G833" s="128" t="str">
        <f>IF(E833 &lt;&gt; "", VLOOKUP(E833, '[2]Internal-logic'!G$1:I$364, 3, FALSE),"")</f>
        <v/>
      </c>
      <c r="H833" s="128"/>
      <c r="I833" s="128"/>
      <c r="J833" s="128"/>
      <c r="K833" s="128"/>
      <c r="Q833" s="128"/>
      <c r="R833" s="128"/>
      <c r="S833" s="128"/>
      <c r="U833" s="128"/>
      <c r="X833" s="128"/>
      <c r="Y833" s="128"/>
      <c r="Z833" s="128"/>
      <c r="AA833" s="128"/>
      <c r="AB833" s="128"/>
      <c r="AC833" s="128"/>
      <c r="AD833" s="128"/>
      <c r="AE833" s="128"/>
      <c r="AF833" s="128"/>
      <c r="AG833" s="128"/>
      <c r="AI833" s="128"/>
      <c r="AJ833" s="128"/>
      <c r="AY833" s="128"/>
      <c r="BN833" s="128"/>
      <c r="BQ833" s="128"/>
      <c r="BR833" s="128"/>
      <c r="BT833" s="128"/>
      <c r="BV833" s="128"/>
      <c r="BX833" s="128"/>
      <c r="CU833" s="128"/>
      <c r="CW833" s="128"/>
      <c r="DN833" s="128"/>
      <c r="DP833" s="128"/>
      <c r="DR833" s="128"/>
      <c r="DV833" s="128"/>
      <c r="DX833" s="128"/>
      <c r="DY833" s="128"/>
      <c r="EA833" s="128"/>
      <c r="EB833" s="128"/>
      <c r="EC833" s="128"/>
      <c r="EG833" s="128"/>
      <c r="EL833" s="128"/>
      <c r="EM833" s="128"/>
      <c r="EO833" s="128"/>
      <c r="EQ833" s="128"/>
      <c r="ES833" s="128"/>
      <c r="EU833" s="128"/>
      <c r="EW833" s="128"/>
      <c r="EY833" s="128"/>
    </row>
    <row r="834" spans="3:155">
      <c r="C834" s="128"/>
      <c r="D834" s="128"/>
      <c r="E834" s="128"/>
      <c r="F834" s="128" t="str">
        <f>IF(E834 &lt;&gt; "", VLOOKUP(E834, '[2]Internal-logic'!G$1:I$364, 2, FALSE),"")</f>
        <v/>
      </c>
      <c r="G834" s="128" t="str">
        <f>IF(E834 &lt;&gt; "", VLOOKUP(E834, '[2]Internal-logic'!G$1:I$364, 3, FALSE),"")</f>
        <v/>
      </c>
      <c r="H834" s="128"/>
      <c r="I834" s="128"/>
      <c r="J834" s="128"/>
      <c r="K834" s="128"/>
      <c r="Q834" s="128"/>
      <c r="R834" s="128"/>
      <c r="S834" s="128"/>
      <c r="U834" s="128"/>
      <c r="X834" s="128"/>
      <c r="Y834" s="128"/>
      <c r="Z834" s="128"/>
      <c r="AA834" s="128"/>
      <c r="AB834" s="128"/>
      <c r="AC834" s="128"/>
      <c r="AD834" s="128"/>
      <c r="AE834" s="128"/>
      <c r="AF834" s="128"/>
      <c r="AG834" s="128"/>
      <c r="AI834" s="128"/>
      <c r="AJ834" s="128"/>
      <c r="AY834" s="128"/>
      <c r="BN834" s="128"/>
      <c r="BQ834" s="128"/>
      <c r="BR834" s="128"/>
      <c r="BT834" s="128"/>
      <c r="BV834" s="128"/>
      <c r="BX834" s="128"/>
      <c r="CU834" s="128"/>
      <c r="CW834" s="128"/>
      <c r="DN834" s="128"/>
      <c r="DP834" s="128"/>
      <c r="DR834" s="128"/>
      <c r="DV834" s="128"/>
      <c r="DX834" s="128"/>
      <c r="DY834" s="128"/>
      <c r="EA834" s="128"/>
      <c r="EB834" s="128"/>
      <c r="EC834" s="128"/>
      <c r="EG834" s="128"/>
      <c r="EL834" s="128"/>
      <c r="EM834" s="128"/>
      <c r="EO834" s="128"/>
      <c r="EQ834" s="128"/>
      <c r="ES834" s="128"/>
      <c r="EU834" s="128"/>
      <c r="EW834" s="128"/>
      <c r="EY834" s="128"/>
    </row>
    <row r="835" spans="3:155">
      <c r="C835" s="128"/>
      <c r="D835" s="128"/>
      <c r="E835" s="128"/>
      <c r="F835" s="128" t="str">
        <f>IF(E835 &lt;&gt; "", VLOOKUP(E835, '[2]Internal-logic'!G$1:I$364, 2, FALSE),"")</f>
        <v/>
      </c>
      <c r="G835" s="128" t="str">
        <f>IF(E835 &lt;&gt; "", VLOOKUP(E835, '[2]Internal-logic'!G$1:I$364, 3, FALSE),"")</f>
        <v/>
      </c>
      <c r="H835" s="128"/>
      <c r="I835" s="128"/>
      <c r="J835" s="128"/>
      <c r="K835" s="128"/>
      <c r="Q835" s="128"/>
      <c r="R835" s="128"/>
      <c r="S835" s="128"/>
      <c r="U835" s="128"/>
      <c r="X835" s="128"/>
      <c r="Y835" s="128"/>
      <c r="Z835" s="128"/>
      <c r="AA835" s="128"/>
      <c r="AB835" s="128"/>
      <c r="AC835" s="128"/>
      <c r="AD835" s="128"/>
      <c r="AE835" s="128"/>
      <c r="AF835" s="128"/>
      <c r="AG835" s="128"/>
      <c r="AI835" s="128"/>
      <c r="AJ835" s="128"/>
      <c r="AY835" s="128"/>
      <c r="BN835" s="128"/>
      <c r="BQ835" s="128"/>
      <c r="BR835" s="128"/>
      <c r="BT835" s="128"/>
      <c r="BV835" s="128"/>
      <c r="BX835" s="128"/>
      <c r="CU835" s="128"/>
      <c r="CW835" s="128"/>
      <c r="DN835" s="128"/>
      <c r="DP835" s="128"/>
      <c r="DR835" s="128"/>
      <c r="DV835" s="128"/>
      <c r="DX835" s="128"/>
      <c r="DY835" s="128"/>
      <c r="EA835" s="128"/>
      <c r="EB835" s="128"/>
      <c r="EC835" s="128"/>
      <c r="EG835" s="128"/>
      <c r="EL835" s="128"/>
      <c r="EM835" s="128"/>
      <c r="EO835" s="128"/>
      <c r="EQ835" s="128"/>
      <c r="ES835" s="128"/>
      <c r="EU835" s="128"/>
      <c r="EW835" s="128"/>
      <c r="EY835" s="128"/>
    </row>
    <row r="836" spans="3:155">
      <c r="C836" s="128"/>
      <c r="D836" s="128"/>
      <c r="E836" s="128"/>
      <c r="F836" s="128" t="str">
        <f>IF(E836 &lt;&gt; "", VLOOKUP(E836, '[2]Internal-logic'!G$1:I$364, 2, FALSE),"")</f>
        <v/>
      </c>
      <c r="G836" s="128" t="str">
        <f>IF(E836 &lt;&gt; "", VLOOKUP(E836, '[2]Internal-logic'!G$1:I$364, 3, FALSE),"")</f>
        <v/>
      </c>
      <c r="H836" s="128"/>
      <c r="I836" s="128"/>
      <c r="J836" s="128"/>
      <c r="K836" s="128"/>
      <c r="Q836" s="128"/>
      <c r="R836" s="128"/>
      <c r="S836" s="128"/>
      <c r="U836" s="128"/>
      <c r="X836" s="128"/>
      <c r="Y836" s="128"/>
      <c r="Z836" s="128"/>
      <c r="AA836" s="128"/>
      <c r="AB836" s="128"/>
      <c r="AC836" s="128"/>
      <c r="AD836" s="128"/>
      <c r="AE836" s="128"/>
      <c r="AF836" s="128"/>
      <c r="AG836" s="128"/>
      <c r="AI836" s="128"/>
      <c r="AJ836" s="128"/>
      <c r="AY836" s="128"/>
      <c r="BN836" s="128"/>
      <c r="BQ836" s="128"/>
      <c r="BR836" s="128"/>
      <c r="BT836" s="128"/>
      <c r="BV836" s="128"/>
      <c r="BX836" s="128"/>
      <c r="CU836" s="128"/>
      <c r="CW836" s="128"/>
      <c r="DN836" s="128"/>
      <c r="DP836" s="128"/>
      <c r="DR836" s="128"/>
      <c r="DV836" s="128"/>
      <c r="DX836" s="128"/>
      <c r="DY836" s="128"/>
      <c r="EA836" s="128"/>
      <c r="EB836" s="128"/>
      <c r="EC836" s="128"/>
      <c r="EG836" s="128"/>
      <c r="EL836" s="128"/>
      <c r="EM836" s="128"/>
      <c r="EO836" s="128"/>
      <c r="EQ836" s="128"/>
      <c r="ES836" s="128"/>
      <c r="EU836" s="128"/>
      <c r="EW836" s="128"/>
      <c r="EY836" s="128"/>
    </row>
    <row r="837" spans="3:155">
      <c r="C837" s="128"/>
      <c r="D837" s="128"/>
      <c r="E837" s="128"/>
      <c r="F837" s="128" t="str">
        <f>IF(E837 &lt;&gt; "", VLOOKUP(E837, '[2]Internal-logic'!G$1:I$364, 2, FALSE),"")</f>
        <v/>
      </c>
      <c r="G837" s="128" t="str">
        <f>IF(E837 &lt;&gt; "", VLOOKUP(E837, '[2]Internal-logic'!G$1:I$364, 3, FALSE),"")</f>
        <v/>
      </c>
      <c r="H837" s="128"/>
      <c r="I837" s="128"/>
      <c r="J837" s="128"/>
      <c r="K837" s="128"/>
      <c r="Q837" s="128"/>
      <c r="R837" s="128"/>
      <c r="S837" s="128"/>
      <c r="U837" s="128"/>
      <c r="X837" s="128"/>
      <c r="Y837" s="128"/>
      <c r="Z837" s="128"/>
      <c r="AA837" s="128"/>
      <c r="AB837" s="128"/>
      <c r="AC837" s="128"/>
      <c r="AD837" s="128"/>
      <c r="AE837" s="128"/>
      <c r="AF837" s="128"/>
      <c r="AG837" s="128"/>
      <c r="AI837" s="128"/>
      <c r="AJ837" s="128"/>
      <c r="AY837" s="128"/>
      <c r="BN837" s="128"/>
      <c r="BQ837" s="128"/>
      <c r="BR837" s="128"/>
      <c r="BT837" s="128"/>
      <c r="BV837" s="128"/>
      <c r="BX837" s="128"/>
      <c r="CU837" s="128"/>
      <c r="CW837" s="128"/>
      <c r="DN837" s="128"/>
      <c r="DP837" s="128"/>
      <c r="DR837" s="128"/>
      <c r="DV837" s="128"/>
      <c r="DX837" s="128"/>
      <c r="DY837" s="128"/>
      <c r="EA837" s="128"/>
      <c r="EB837" s="128"/>
      <c r="EC837" s="128"/>
      <c r="EG837" s="128"/>
      <c r="EL837" s="128"/>
      <c r="EM837" s="128"/>
      <c r="EO837" s="128"/>
      <c r="EQ837" s="128"/>
      <c r="ES837" s="128"/>
      <c r="EU837" s="128"/>
      <c r="EW837" s="128"/>
      <c r="EY837" s="128"/>
    </row>
    <row r="838" spans="3:155">
      <c r="C838" s="128"/>
      <c r="D838" s="128"/>
      <c r="E838" s="128"/>
      <c r="F838" s="128" t="str">
        <f>IF(E838 &lt;&gt; "", VLOOKUP(E838, '[2]Internal-logic'!G$1:I$364, 2, FALSE),"")</f>
        <v/>
      </c>
      <c r="G838" s="128" t="str">
        <f>IF(E838 &lt;&gt; "", VLOOKUP(E838, '[2]Internal-logic'!G$1:I$364, 3, FALSE),"")</f>
        <v/>
      </c>
      <c r="H838" s="128"/>
      <c r="I838" s="128"/>
      <c r="J838" s="128"/>
      <c r="K838" s="128"/>
      <c r="Q838" s="128"/>
      <c r="R838" s="128"/>
      <c r="S838" s="128"/>
      <c r="U838" s="128"/>
      <c r="X838" s="128"/>
      <c r="Y838" s="128"/>
      <c r="Z838" s="128"/>
      <c r="AA838" s="128"/>
      <c r="AB838" s="128"/>
      <c r="AC838" s="128"/>
      <c r="AD838" s="128"/>
      <c r="AE838" s="128"/>
      <c r="AF838" s="128"/>
      <c r="AG838" s="128"/>
      <c r="AI838" s="128"/>
      <c r="AJ838" s="128"/>
      <c r="AY838" s="128"/>
      <c r="BN838" s="128"/>
      <c r="BQ838" s="128"/>
      <c r="BR838" s="128"/>
      <c r="BT838" s="128"/>
      <c r="BV838" s="128"/>
      <c r="BX838" s="128"/>
      <c r="CU838" s="128"/>
      <c r="CW838" s="128"/>
      <c r="DN838" s="128"/>
      <c r="DP838" s="128"/>
      <c r="DR838" s="128"/>
      <c r="DV838" s="128"/>
      <c r="DX838" s="128"/>
      <c r="DY838" s="128"/>
      <c r="EA838" s="128"/>
      <c r="EB838" s="128"/>
      <c r="EC838" s="128"/>
      <c r="EG838" s="128"/>
      <c r="EL838" s="128"/>
      <c r="EM838" s="128"/>
      <c r="EO838" s="128"/>
      <c r="EQ838" s="128"/>
      <c r="ES838" s="128"/>
      <c r="EU838" s="128"/>
      <c r="EW838" s="128"/>
      <c r="EY838" s="128"/>
    </row>
    <row r="839" spans="3:155">
      <c r="C839" s="128"/>
      <c r="D839" s="128"/>
      <c r="E839" s="128"/>
      <c r="F839" s="128" t="str">
        <f>IF(E839 &lt;&gt; "", VLOOKUP(E839, '[2]Internal-logic'!G$1:I$364, 2, FALSE),"")</f>
        <v/>
      </c>
      <c r="G839" s="128" t="str">
        <f>IF(E839 &lt;&gt; "", VLOOKUP(E839, '[2]Internal-logic'!G$1:I$364, 3, FALSE),"")</f>
        <v/>
      </c>
      <c r="H839" s="128"/>
      <c r="I839" s="128"/>
      <c r="J839" s="128"/>
      <c r="K839" s="128"/>
      <c r="Q839" s="128"/>
      <c r="R839" s="128"/>
      <c r="S839" s="128"/>
      <c r="U839" s="128"/>
      <c r="X839" s="128"/>
      <c r="Y839" s="128"/>
      <c r="Z839" s="128"/>
      <c r="AA839" s="128"/>
      <c r="AB839" s="128"/>
      <c r="AC839" s="128"/>
      <c r="AD839" s="128"/>
      <c r="AE839" s="128"/>
      <c r="AF839" s="128"/>
      <c r="AG839" s="128"/>
      <c r="AI839" s="128"/>
      <c r="AJ839" s="128"/>
      <c r="AY839" s="128"/>
      <c r="BN839" s="128"/>
      <c r="BQ839" s="128"/>
      <c r="BR839" s="128"/>
      <c r="BT839" s="128"/>
      <c r="BV839" s="128"/>
      <c r="BX839" s="128"/>
      <c r="CU839" s="128"/>
      <c r="CW839" s="128"/>
      <c r="DN839" s="128"/>
      <c r="DP839" s="128"/>
      <c r="DR839" s="128"/>
      <c r="DV839" s="128"/>
      <c r="DX839" s="128"/>
      <c r="DY839" s="128"/>
      <c r="EA839" s="128"/>
      <c r="EB839" s="128"/>
      <c r="EC839" s="128"/>
      <c r="EG839" s="128"/>
      <c r="EL839" s="128"/>
      <c r="EM839" s="128"/>
      <c r="EO839" s="128"/>
      <c r="EQ839" s="128"/>
      <c r="ES839" s="128"/>
      <c r="EU839" s="128"/>
      <c r="EW839" s="128"/>
      <c r="EY839" s="128"/>
    </row>
    <row r="840" spans="3:155">
      <c r="C840" s="128"/>
      <c r="D840" s="128"/>
      <c r="E840" s="128"/>
      <c r="F840" s="128" t="str">
        <f>IF(E840 &lt;&gt; "", VLOOKUP(E840, '[2]Internal-logic'!G$1:I$364, 2, FALSE),"")</f>
        <v/>
      </c>
      <c r="G840" s="128" t="str">
        <f>IF(E840 &lt;&gt; "", VLOOKUP(E840, '[2]Internal-logic'!G$1:I$364, 3, FALSE),"")</f>
        <v/>
      </c>
      <c r="H840" s="128"/>
      <c r="I840" s="128"/>
      <c r="J840" s="128"/>
      <c r="K840" s="128"/>
      <c r="Q840" s="128"/>
      <c r="R840" s="128"/>
      <c r="S840" s="128"/>
      <c r="U840" s="128"/>
      <c r="X840" s="128"/>
      <c r="Y840" s="128"/>
      <c r="Z840" s="128"/>
      <c r="AA840" s="128"/>
      <c r="AB840" s="128"/>
      <c r="AC840" s="128"/>
      <c r="AD840" s="128"/>
      <c r="AE840" s="128"/>
      <c r="AF840" s="128"/>
      <c r="AG840" s="128"/>
      <c r="AI840" s="128"/>
      <c r="AJ840" s="128"/>
      <c r="AY840" s="128"/>
      <c r="BN840" s="128"/>
      <c r="BQ840" s="128"/>
      <c r="BR840" s="128"/>
      <c r="BT840" s="128"/>
      <c r="BV840" s="128"/>
      <c r="BX840" s="128"/>
      <c r="CU840" s="128"/>
      <c r="CW840" s="128"/>
      <c r="DN840" s="128"/>
      <c r="DP840" s="128"/>
      <c r="DR840" s="128"/>
      <c r="DV840" s="128"/>
      <c r="DX840" s="128"/>
      <c r="DY840" s="128"/>
      <c r="EA840" s="128"/>
      <c r="EB840" s="128"/>
      <c r="EC840" s="128"/>
      <c r="EG840" s="128"/>
      <c r="EL840" s="128"/>
      <c r="EM840" s="128"/>
      <c r="EO840" s="128"/>
      <c r="EQ840" s="128"/>
      <c r="ES840" s="128"/>
      <c r="EU840" s="128"/>
      <c r="EW840" s="128"/>
      <c r="EY840" s="128"/>
    </row>
    <row r="841" spans="3:155">
      <c r="C841" s="128"/>
      <c r="D841" s="128"/>
      <c r="E841" s="128"/>
      <c r="F841" s="128" t="str">
        <f>IF(E841 &lt;&gt; "", VLOOKUP(E841, '[2]Internal-logic'!G$1:I$364, 2, FALSE),"")</f>
        <v/>
      </c>
      <c r="G841" s="128" t="str">
        <f>IF(E841 &lt;&gt; "", VLOOKUP(E841, '[2]Internal-logic'!G$1:I$364, 3, FALSE),"")</f>
        <v/>
      </c>
      <c r="H841" s="128"/>
      <c r="I841" s="128"/>
      <c r="J841" s="128"/>
      <c r="K841" s="128"/>
      <c r="Q841" s="128"/>
      <c r="R841" s="128"/>
      <c r="S841" s="128"/>
      <c r="U841" s="128"/>
      <c r="X841" s="128"/>
      <c r="Y841" s="128"/>
      <c r="Z841" s="128"/>
      <c r="AA841" s="128"/>
      <c r="AB841" s="128"/>
      <c r="AC841" s="128"/>
      <c r="AD841" s="128"/>
      <c r="AE841" s="128"/>
      <c r="AF841" s="128"/>
      <c r="AG841" s="128"/>
      <c r="AI841" s="128"/>
      <c r="AJ841" s="128"/>
      <c r="AY841" s="128"/>
      <c r="BN841" s="128"/>
      <c r="BQ841" s="128"/>
      <c r="BR841" s="128"/>
      <c r="BT841" s="128"/>
      <c r="BV841" s="128"/>
      <c r="BX841" s="128"/>
      <c r="CU841" s="128"/>
      <c r="CW841" s="128"/>
      <c r="DN841" s="128"/>
      <c r="DP841" s="128"/>
      <c r="DR841" s="128"/>
      <c r="DV841" s="128"/>
      <c r="DX841" s="128"/>
      <c r="DY841" s="128"/>
      <c r="EA841" s="128"/>
      <c r="EB841" s="128"/>
      <c r="EC841" s="128"/>
      <c r="EG841" s="128"/>
      <c r="EL841" s="128"/>
      <c r="EM841" s="128"/>
      <c r="EO841" s="128"/>
      <c r="EQ841" s="128"/>
      <c r="ES841" s="128"/>
      <c r="EU841" s="128"/>
      <c r="EW841" s="128"/>
      <c r="EY841" s="128"/>
    </row>
    <row r="842" spans="3:155">
      <c r="C842" s="128"/>
      <c r="D842" s="128"/>
      <c r="E842" s="128"/>
      <c r="F842" s="128" t="str">
        <f>IF(E842 &lt;&gt; "", VLOOKUP(E842, '[2]Internal-logic'!G$1:I$364, 2, FALSE),"")</f>
        <v/>
      </c>
      <c r="G842" s="128" t="str">
        <f>IF(E842 &lt;&gt; "", VLOOKUP(E842, '[2]Internal-logic'!G$1:I$364, 3, FALSE),"")</f>
        <v/>
      </c>
      <c r="H842" s="128"/>
      <c r="I842" s="128"/>
      <c r="J842" s="128"/>
      <c r="K842" s="128"/>
      <c r="Q842" s="128"/>
      <c r="R842" s="128"/>
      <c r="S842" s="128"/>
      <c r="U842" s="128"/>
      <c r="X842" s="128"/>
      <c r="Y842" s="128"/>
      <c r="Z842" s="128"/>
      <c r="AA842" s="128"/>
      <c r="AB842" s="128"/>
      <c r="AC842" s="128"/>
      <c r="AD842" s="128"/>
      <c r="AE842" s="128"/>
      <c r="AF842" s="128"/>
      <c r="AG842" s="128"/>
      <c r="AI842" s="128"/>
      <c r="AJ842" s="128"/>
      <c r="AY842" s="128"/>
      <c r="BN842" s="128"/>
      <c r="BQ842" s="128"/>
      <c r="BR842" s="128"/>
      <c r="BT842" s="128"/>
      <c r="BV842" s="128"/>
      <c r="BX842" s="128"/>
      <c r="CU842" s="128"/>
      <c r="CW842" s="128"/>
      <c r="DN842" s="128"/>
      <c r="DP842" s="128"/>
      <c r="DR842" s="128"/>
      <c r="DV842" s="128"/>
      <c r="DX842" s="128"/>
      <c r="DY842" s="128"/>
      <c r="EA842" s="128"/>
      <c r="EB842" s="128"/>
      <c r="EC842" s="128"/>
      <c r="EG842" s="128"/>
      <c r="EL842" s="128"/>
      <c r="EM842" s="128"/>
      <c r="EO842" s="128"/>
      <c r="EQ842" s="128"/>
      <c r="ES842" s="128"/>
      <c r="EU842" s="128"/>
      <c r="EW842" s="128"/>
      <c r="EY842" s="128"/>
    </row>
    <row r="843" spans="3:155">
      <c r="C843" s="128"/>
      <c r="D843" s="128"/>
      <c r="E843" s="128"/>
      <c r="F843" s="128" t="str">
        <f>IF(E843 &lt;&gt; "", VLOOKUP(E843, '[2]Internal-logic'!G$1:I$364, 2, FALSE),"")</f>
        <v/>
      </c>
      <c r="G843" s="128" t="str">
        <f>IF(E843 &lt;&gt; "", VLOOKUP(E843, '[2]Internal-logic'!G$1:I$364, 3, FALSE),"")</f>
        <v/>
      </c>
      <c r="H843" s="128"/>
      <c r="I843" s="128"/>
      <c r="J843" s="128"/>
      <c r="K843" s="128"/>
      <c r="Q843" s="128"/>
      <c r="R843" s="128"/>
      <c r="S843" s="128"/>
      <c r="U843" s="128"/>
      <c r="X843" s="128"/>
      <c r="Y843" s="128"/>
      <c r="Z843" s="128"/>
      <c r="AA843" s="128"/>
      <c r="AB843" s="128"/>
      <c r="AC843" s="128"/>
      <c r="AD843" s="128"/>
      <c r="AE843" s="128"/>
      <c r="AF843" s="128"/>
      <c r="AG843" s="128"/>
      <c r="AI843" s="128"/>
      <c r="AJ843" s="128"/>
      <c r="AY843" s="128"/>
      <c r="BN843" s="128"/>
      <c r="BQ843" s="128"/>
      <c r="BR843" s="128"/>
      <c r="BT843" s="128"/>
      <c r="BV843" s="128"/>
      <c r="BX843" s="128"/>
      <c r="CU843" s="128"/>
      <c r="CW843" s="128"/>
      <c r="DN843" s="128"/>
      <c r="DP843" s="128"/>
      <c r="DR843" s="128"/>
      <c r="DV843" s="128"/>
      <c r="DX843" s="128"/>
      <c r="DY843" s="128"/>
      <c r="EA843" s="128"/>
      <c r="EB843" s="128"/>
      <c r="EC843" s="128"/>
      <c r="EG843" s="128"/>
      <c r="EL843" s="128"/>
      <c r="EM843" s="128"/>
      <c r="EO843" s="128"/>
      <c r="EQ843" s="128"/>
      <c r="ES843" s="128"/>
      <c r="EU843" s="128"/>
      <c r="EW843" s="128"/>
      <c r="EY843" s="128"/>
    </row>
    <row r="844" spans="3:155">
      <c r="C844" s="128"/>
      <c r="D844" s="128"/>
      <c r="E844" s="128"/>
      <c r="F844" s="128" t="str">
        <f>IF(E844 &lt;&gt; "", VLOOKUP(E844, '[2]Internal-logic'!G$1:I$364, 2, FALSE),"")</f>
        <v/>
      </c>
      <c r="G844" s="128" t="str">
        <f>IF(E844 &lt;&gt; "", VLOOKUP(E844, '[2]Internal-logic'!G$1:I$364, 3, FALSE),"")</f>
        <v/>
      </c>
      <c r="H844" s="128"/>
      <c r="I844" s="128"/>
      <c r="J844" s="128"/>
      <c r="K844" s="128"/>
      <c r="Q844" s="128"/>
      <c r="R844" s="128"/>
      <c r="S844" s="128"/>
      <c r="U844" s="128"/>
      <c r="X844" s="128"/>
      <c r="Y844" s="128"/>
      <c r="Z844" s="128"/>
      <c r="AA844" s="128"/>
      <c r="AB844" s="128"/>
      <c r="AC844" s="128"/>
      <c r="AD844" s="128"/>
      <c r="AE844" s="128"/>
      <c r="AF844" s="128"/>
      <c r="AG844" s="128"/>
      <c r="AI844" s="128"/>
      <c r="AJ844" s="128"/>
      <c r="AY844" s="128"/>
      <c r="BN844" s="128"/>
      <c r="BQ844" s="128"/>
      <c r="BR844" s="128"/>
      <c r="BT844" s="128"/>
      <c r="BV844" s="128"/>
      <c r="BX844" s="128"/>
      <c r="CU844" s="128"/>
      <c r="CW844" s="128"/>
      <c r="DN844" s="128"/>
      <c r="DP844" s="128"/>
      <c r="DR844" s="128"/>
      <c r="DV844" s="128"/>
      <c r="DX844" s="128"/>
      <c r="DY844" s="128"/>
      <c r="EA844" s="128"/>
      <c r="EB844" s="128"/>
      <c r="EC844" s="128"/>
      <c r="EG844" s="128"/>
      <c r="EL844" s="128"/>
      <c r="EM844" s="128"/>
      <c r="EO844" s="128"/>
      <c r="EQ844" s="128"/>
      <c r="ES844" s="128"/>
      <c r="EU844" s="128"/>
      <c r="EW844" s="128"/>
      <c r="EY844" s="128"/>
    </row>
    <row r="845" spans="3:155">
      <c r="C845" s="128"/>
      <c r="D845" s="128"/>
      <c r="E845" s="128"/>
      <c r="F845" s="128" t="str">
        <f>IF(E845 &lt;&gt; "", VLOOKUP(E845, '[2]Internal-logic'!G$1:I$364, 2, FALSE),"")</f>
        <v/>
      </c>
      <c r="G845" s="128" t="str">
        <f>IF(E845 &lt;&gt; "", VLOOKUP(E845, '[2]Internal-logic'!G$1:I$364, 3, FALSE),"")</f>
        <v/>
      </c>
      <c r="H845" s="128"/>
      <c r="I845" s="128"/>
      <c r="J845" s="128"/>
      <c r="K845" s="128"/>
      <c r="Q845" s="128"/>
      <c r="R845" s="128"/>
      <c r="S845" s="128"/>
      <c r="U845" s="128"/>
      <c r="X845" s="128"/>
      <c r="Y845" s="128"/>
      <c r="Z845" s="128"/>
      <c r="AA845" s="128"/>
      <c r="AB845" s="128"/>
      <c r="AC845" s="128"/>
      <c r="AD845" s="128"/>
      <c r="AE845" s="128"/>
      <c r="AF845" s="128"/>
      <c r="AG845" s="128"/>
      <c r="AI845" s="128"/>
      <c r="AJ845" s="128"/>
      <c r="AY845" s="128"/>
      <c r="BN845" s="128"/>
      <c r="BQ845" s="128"/>
      <c r="BR845" s="128"/>
      <c r="BT845" s="128"/>
      <c r="BV845" s="128"/>
      <c r="BX845" s="128"/>
      <c r="CU845" s="128"/>
      <c r="CW845" s="128"/>
      <c r="DN845" s="128"/>
      <c r="DP845" s="128"/>
      <c r="DR845" s="128"/>
      <c r="DV845" s="128"/>
      <c r="DX845" s="128"/>
      <c r="DY845" s="128"/>
      <c r="EA845" s="128"/>
      <c r="EB845" s="128"/>
      <c r="EC845" s="128"/>
      <c r="EG845" s="128"/>
      <c r="EL845" s="128"/>
      <c r="EM845" s="128"/>
      <c r="EO845" s="128"/>
      <c r="EQ845" s="128"/>
      <c r="ES845" s="128"/>
      <c r="EU845" s="128"/>
      <c r="EW845" s="128"/>
      <c r="EY845" s="128"/>
    </row>
    <row r="846" spans="3:155">
      <c r="C846" s="128"/>
      <c r="D846" s="128"/>
      <c r="E846" s="128"/>
      <c r="F846" s="128" t="str">
        <f>IF(E846 &lt;&gt; "", VLOOKUP(E846, '[2]Internal-logic'!G$1:I$364, 2, FALSE),"")</f>
        <v/>
      </c>
      <c r="G846" s="128" t="str">
        <f>IF(E846 &lt;&gt; "", VLOOKUP(E846, '[2]Internal-logic'!G$1:I$364, 3, FALSE),"")</f>
        <v/>
      </c>
      <c r="H846" s="128"/>
      <c r="I846" s="128"/>
      <c r="J846" s="128"/>
      <c r="K846" s="128"/>
      <c r="Q846" s="128"/>
      <c r="R846" s="128"/>
      <c r="S846" s="128"/>
      <c r="U846" s="128"/>
      <c r="X846" s="128"/>
      <c r="Y846" s="128"/>
      <c r="Z846" s="128"/>
      <c r="AA846" s="128"/>
      <c r="AB846" s="128"/>
      <c r="AC846" s="128"/>
      <c r="AD846" s="128"/>
      <c r="AE846" s="128"/>
      <c r="AF846" s="128"/>
      <c r="AG846" s="128"/>
      <c r="AI846" s="128"/>
      <c r="AJ846" s="128"/>
      <c r="AY846" s="128"/>
      <c r="BN846" s="128"/>
      <c r="BQ846" s="128"/>
      <c r="BR846" s="128"/>
      <c r="BT846" s="128"/>
      <c r="BV846" s="128"/>
      <c r="BX846" s="128"/>
      <c r="CU846" s="128"/>
      <c r="CW846" s="128"/>
      <c r="DN846" s="128"/>
      <c r="DP846" s="128"/>
      <c r="DR846" s="128"/>
      <c r="DV846" s="128"/>
      <c r="DX846" s="128"/>
      <c r="DY846" s="128"/>
      <c r="EA846" s="128"/>
      <c r="EB846" s="128"/>
      <c r="EC846" s="128"/>
      <c r="EG846" s="128"/>
      <c r="EL846" s="128"/>
      <c r="EM846" s="128"/>
      <c r="EO846" s="128"/>
      <c r="EQ846" s="128"/>
      <c r="ES846" s="128"/>
      <c r="EU846" s="128"/>
      <c r="EW846" s="128"/>
      <c r="EY846" s="128"/>
    </row>
    <row r="847" spans="3:155">
      <c r="C847" s="128"/>
      <c r="D847" s="128"/>
      <c r="E847" s="128"/>
      <c r="F847" s="128" t="str">
        <f>IF(E847 &lt;&gt; "", VLOOKUP(E847, '[2]Internal-logic'!G$1:I$364, 2, FALSE),"")</f>
        <v/>
      </c>
      <c r="G847" s="128" t="str">
        <f>IF(E847 &lt;&gt; "", VLOOKUP(E847, '[2]Internal-logic'!G$1:I$364, 3, FALSE),"")</f>
        <v/>
      </c>
      <c r="H847" s="128"/>
      <c r="I847" s="128"/>
      <c r="J847" s="128"/>
      <c r="K847" s="128"/>
      <c r="Q847" s="128"/>
      <c r="R847" s="128"/>
      <c r="S847" s="128"/>
      <c r="U847" s="128"/>
      <c r="X847" s="128"/>
      <c r="Y847" s="128"/>
      <c r="Z847" s="128"/>
      <c r="AA847" s="128"/>
      <c r="AB847" s="128"/>
      <c r="AC847" s="128"/>
      <c r="AD847" s="128"/>
      <c r="AE847" s="128"/>
      <c r="AF847" s="128"/>
      <c r="AG847" s="128"/>
      <c r="AI847" s="128"/>
      <c r="AJ847" s="128"/>
      <c r="AY847" s="128"/>
      <c r="BN847" s="128"/>
      <c r="BQ847" s="128"/>
      <c r="BR847" s="128"/>
      <c r="BT847" s="128"/>
      <c r="BV847" s="128"/>
      <c r="BX847" s="128"/>
      <c r="CU847" s="128"/>
      <c r="CW847" s="128"/>
      <c r="DN847" s="128"/>
      <c r="DP847" s="128"/>
      <c r="DR847" s="128"/>
      <c r="DV847" s="128"/>
      <c r="DX847" s="128"/>
      <c r="DY847" s="128"/>
      <c r="EA847" s="128"/>
      <c r="EB847" s="128"/>
      <c r="EC847" s="128"/>
      <c r="EG847" s="128"/>
      <c r="EL847" s="128"/>
      <c r="EM847" s="128"/>
      <c r="EO847" s="128"/>
      <c r="EQ847" s="128"/>
      <c r="ES847" s="128"/>
      <c r="EU847" s="128"/>
      <c r="EW847" s="128"/>
      <c r="EY847" s="128"/>
    </row>
    <row r="848" spans="3:155">
      <c r="C848" s="128"/>
      <c r="D848" s="128"/>
      <c r="E848" s="128"/>
      <c r="F848" s="128" t="str">
        <f>IF(E848 &lt;&gt; "", VLOOKUP(E848, '[2]Internal-logic'!G$1:I$364, 2, FALSE),"")</f>
        <v/>
      </c>
      <c r="G848" s="128" t="str">
        <f>IF(E848 &lt;&gt; "", VLOOKUP(E848, '[2]Internal-logic'!G$1:I$364, 3, FALSE),"")</f>
        <v/>
      </c>
      <c r="H848" s="128"/>
      <c r="I848" s="128"/>
      <c r="J848" s="128"/>
      <c r="K848" s="128"/>
      <c r="Q848" s="128"/>
      <c r="R848" s="128"/>
      <c r="S848" s="128"/>
      <c r="U848" s="128"/>
      <c r="X848" s="128"/>
      <c r="Y848" s="128"/>
      <c r="Z848" s="128"/>
      <c r="AA848" s="128"/>
      <c r="AB848" s="128"/>
      <c r="AC848" s="128"/>
      <c r="AD848" s="128"/>
      <c r="AE848" s="128"/>
      <c r="AF848" s="128"/>
      <c r="AG848" s="128"/>
      <c r="AI848" s="128"/>
      <c r="AJ848" s="128"/>
      <c r="AY848" s="128"/>
      <c r="BN848" s="128"/>
      <c r="BQ848" s="128"/>
      <c r="BR848" s="128"/>
      <c r="BT848" s="128"/>
      <c r="BV848" s="128"/>
      <c r="BX848" s="128"/>
      <c r="CU848" s="128"/>
      <c r="CW848" s="128"/>
      <c r="DN848" s="128"/>
      <c r="DP848" s="128"/>
      <c r="DR848" s="128"/>
      <c r="DV848" s="128"/>
      <c r="DX848" s="128"/>
      <c r="DY848" s="128"/>
      <c r="EA848" s="128"/>
      <c r="EB848" s="128"/>
      <c r="EC848" s="128"/>
      <c r="EG848" s="128"/>
      <c r="EL848" s="128"/>
      <c r="EM848" s="128"/>
      <c r="EO848" s="128"/>
      <c r="EQ848" s="128"/>
      <c r="ES848" s="128"/>
      <c r="EU848" s="128"/>
      <c r="EW848" s="128"/>
      <c r="EY848" s="128"/>
    </row>
    <row r="849" spans="3:155">
      <c r="C849" s="128"/>
      <c r="D849" s="128"/>
      <c r="E849" s="128"/>
      <c r="F849" s="128" t="str">
        <f>IF(E849 &lt;&gt; "", VLOOKUP(E849, '[2]Internal-logic'!G$1:I$364, 2, FALSE),"")</f>
        <v/>
      </c>
      <c r="G849" s="128" t="str">
        <f>IF(E849 &lt;&gt; "", VLOOKUP(E849, '[2]Internal-logic'!G$1:I$364, 3, FALSE),"")</f>
        <v/>
      </c>
      <c r="H849" s="128"/>
      <c r="I849" s="128"/>
      <c r="J849" s="128"/>
      <c r="K849" s="128"/>
      <c r="Q849" s="128"/>
      <c r="R849" s="128"/>
      <c r="S849" s="128"/>
      <c r="U849" s="128"/>
      <c r="X849" s="128"/>
      <c r="Y849" s="128"/>
      <c r="Z849" s="128"/>
      <c r="AA849" s="128"/>
      <c r="AB849" s="128"/>
      <c r="AC849" s="128"/>
      <c r="AD849" s="128"/>
      <c r="AE849" s="128"/>
      <c r="AF849" s="128"/>
      <c r="AG849" s="128"/>
      <c r="AI849" s="128"/>
      <c r="AJ849" s="128"/>
      <c r="AY849" s="128"/>
      <c r="BN849" s="128"/>
      <c r="BQ849" s="128"/>
      <c r="BR849" s="128"/>
      <c r="BT849" s="128"/>
      <c r="BV849" s="128"/>
      <c r="BX849" s="128"/>
      <c r="CU849" s="128"/>
      <c r="CW849" s="128"/>
      <c r="DN849" s="128"/>
      <c r="DP849" s="128"/>
      <c r="DR849" s="128"/>
      <c r="DV849" s="128"/>
      <c r="DX849" s="128"/>
      <c r="DY849" s="128"/>
      <c r="EA849" s="128"/>
      <c r="EB849" s="128"/>
      <c r="EC849" s="128"/>
      <c r="EG849" s="128"/>
      <c r="EL849" s="128"/>
      <c r="EM849" s="128"/>
      <c r="EO849" s="128"/>
      <c r="EQ849" s="128"/>
      <c r="ES849" s="128"/>
      <c r="EU849" s="128"/>
      <c r="EW849" s="128"/>
      <c r="EY849" s="128"/>
    </row>
    <row r="850" spans="3:155">
      <c r="C850" s="128"/>
      <c r="D850" s="128"/>
      <c r="E850" s="128"/>
      <c r="F850" s="128" t="str">
        <f>IF(E850 &lt;&gt; "", VLOOKUP(E850, '[2]Internal-logic'!G$1:I$364, 2, FALSE),"")</f>
        <v/>
      </c>
      <c r="G850" s="128" t="str">
        <f>IF(E850 &lt;&gt; "", VLOOKUP(E850, '[2]Internal-logic'!G$1:I$364, 3, FALSE),"")</f>
        <v/>
      </c>
      <c r="H850" s="128"/>
      <c r="I850" s="128"/>
      <c r="J850" s="128"/>
      <c r="K850" s="128"/>
      <c r="Q850" s="128"/>
      <c r="R850" s="128"/>
      <c r="S850" s="128"/>
      <c r="U850" s="128"/>
      <c r="X850" s="128"/>
      <c r="Y850" s="128"/>
      <c r="Z850" s="128"/>
      <c r="AA850" s="128"/>
      <c r="AB850" s="128"/>
      <c r="AC850" s="128"/>
      <c r="AD850" s="128"/>
      <c r="AE850" s="128"/>
      <c r="AF850" s="128"/>
      <c r="AG850" s="128"/>
      <c r="AI850" s="128"/>
      <c r="AJ850" s="128"/>
      <c r="AY850" s="128"/>
      <c r="BN850" s="128"/>
      <c r="BQ850" s="128"/>
      <c r="BR850" s="128"/>
      <c r="BT850" s="128"/>
      <c r="BV850" s="128"/>
      <c r="BX850" s="128"/>
      <c r="CU850" s="128"/>
      <c r="CW850" s="128"/>
      <c r="DN850" s="128"/>
      <c r="DP850" s="128"/>
      <c r="DR850" s="128"/>
      <c r="DV850" s="128"/>
      <c r="DX850" s="128"/>
      <c r="DY850" s="128"/>
      <c r="EA850" s="128"/>
      <c r="EB850" s="128"/>
      <c r="EC850" s="128"/>
      <c r="EG850" s="128"/>
      <c r="EL850" s="128"/>
      <c r="EM850" s="128"/>
      <c r="EO850" s="128"/>
      <c r="EQ850" s="128"/>
      <c r="ES850" s="128"/>
      <c r="EU850" s="128"/>
      <c r="EW850" s="128"/>
      <c r="EY850" s="128"/>
    </row>
    <row r="851" spans="3:155">
      <c r="C851" s="128"/>
      <c r="D851" s="128"/>
      <c r="E851" s="128"/>
      <c r="F851" s="128" t="str">
        <f>IF(E851 &lt;&gt; "", VLOOKUP(E851, '[2]Internal-logic'!G$1:I$364, 2, FALSE),"")</f>
        <v/>
      </c>
      <c r="G851" s="128" t="str">
        <f>IF(E851 &lt;&gt; "", VLOOKUP(E851, '[2]Internal-logic'!G$1:I$364, 3, FALSE),"")</f>
        <v/>
      </c>
      <c r="H851" s="128"/>
      <c r="I851" s="128"/>
      <c r="J851" s="128"/>
      <c r="K851" s="128"/>
      <c r="Q851" s="128"/>
      <c r="R851" s="128"/>
      <c r="S851" s="128"/>
      <c r="U851" s="128"/>
      <c r="X851" s="128"/>
      <c r="Y851" s="128"/>
      <c r="Z851" s="128"/>
      <c r="AA851" s="128"/>
      <c r="AB851" s="128"/>
      <c r="AC851" s="128"/>
      <c r="AD851" s="128"/>
      <c r="AE851" s="128"/>
      <c r="AF851" s="128"/>
      <c r="AG851" s="128"/>
      <c r="AI851" s="128"/>
      <c r="AJ851" s="128"/>
      <c r="AY851" s="128"/>
      <c r="BN851" s="128"/>
      <c r="BQ851" s="128"/>
      <c r="BR851" s="128"/>
      <c r="BT851" s="128"/>
      <c r="BV851" s="128"/>
      <c r="BX851" s="128"/>
      <c r="CU851" s="128"/>
      <c r="CW851" s="128"/>
      <c r="DN851" s="128"/>
      <c r="DP851" s="128"/>
      <c r="DR851" s="128"/>
      <c r="DV851" s="128"/>
      <c r="DX851" s="128"/>
      <c r="DY851" s="128"/>
      <c r="EA851" s="128"/>
      <c r="EB851" s="128"/>
      <c r="EC851" s="128"/>
      <c r="EG851" s="128"/>
      <c r="EL851" s="128"/>
      <c r="EM851" s="128"/>
      <c r="EO851" s="128"/>
      <c r="EQ851" s="128"/>
      <c r="ES851" s="128"/>
      <c r="EU851" s="128"/>
      <c r="EW851" s="128"/>
      <c r="EY851" s="128"/>
    </row>
    <row r="852" spans="3:155">
      <c r="C852" s="128"/>
      <c r="D852" s="128"/>
      <c r="E852" s="128"/>
      <c r="F852" s="128" t="str">
        <f>IF(E852 &lt;&gt; "", VLOOKUP(E852, '[2]Internal-logic'!G$1:I$364, 2, FALSE),"")</f>
        <v/>
      </c>
      <c r="G852" s="128" t="str">
        <f>IF(E852 &lt;&gt; "", VLOOKUP(E852, '[2]Internal-logic'!G$1:I$364, 3, FALSE),"")</f>
        <v/>
      </c>
      <c r="H852" s="128"/>
      <c r="I852" s="128"/>
      <c r="J852" s="128"/>
      <c r="K852" s="128"/>
      <c r="Q852" s="128"/>
      <c r="R852" s="128"/>
      <c r="S852" s="128"/>
      <c r="U852" s="128"/>
      <c r="X852" s="128"/>
      <c r="Y852" s="128"/>
      <c r="Z852" s="128"/>
      <c r="AA852" s="128"/>
      <c r="AB852" s="128"/>
      <c r="AC852" s="128"/>
      <c r="AD852" s="128"/>
      <c r="AE852" s="128"/>
      <c r="AF852" s="128"/>
      <c r="AG852" s="128"/>
      <c r="AI852" s="128"/>
      <c r="AJ852" s="128"/>
      <c r="AY852" s="128"/>
      <c r="BN852" s="128"/>
      <c r="BQ852" s="128"/>
      <c r="BR852" s="128"/>
      <c r="BT852" s="128"/>
      <c r="BV852" s="128"/>
      <c r="BX852" s="128"/>
      <c r="CU852" s="128"/>
      <c r="CW852" s="128"/>
      <c r="DN852" s="128"/>
      <c r="DP852" s="128"/>
      <c r="DR852" s="128"/>
      <c r="DV852" s="128"/>
      <c r="DX852" s="128"/>
      <c r="DY852" s="128"/>
      <c r="EA852" s="128"/>
      <c r="EB852" s="128"/>
      <c r="EC852" s="128"/>
      <c r="EG852" s="128"/>
      <c r="EL852" s="128"/>
      <c r="EM852" s="128"/>
      <c r="EO852" s="128"/>
      <c r="EQ852" s="128"/>
      <c r="ES852" s="128"/>
      <c r="EU852" s="128"/>
      <c r="EW852" s="128"/>
      <c r="EY852" s="128"/>
    </row>
    <row r="853" spans="3:155">
      <c r="C853" s="128"/>
      <c r="D853" s="128"/>
      <c r="E853" s="128"/>
      <c r="F853" s="128" t="str">
        <f>IF(E853 &lt;&gt; "", VLOOKUP(E853, '[2]Internal-logic'!G$1:I$364, 2, FALSE),"")</f>
        <v/>
      </c>
      <c r="G853" s="128" t="str">
        <f>IF(E853 &lt;&gt; "", VLOOKUP(E853, '[2]Internal-logic'!G$1:I$364, 3, FALSE),"")</f>
        <v/>
      </c>
      <c r="H853" s="128"/>
      <c r="I853" s="128"/>
      <c r="J853" s="128"/>
      <c r="K853" s="128"/>
      <c r="Q853" s="128"/>
      <c r="R853" s="128"/>
      <c r="S853" s="128"/>
      <c r="U853" s="128"/>
      <c r="X853" s="128"/>
      <c r="Y853" s="128"/>
      <c r="Z853" s="128"/>
      <c r="AA853" s="128"/>
      <c r="AB853" s="128"/>
      <c r="AC853" s="128"/>
      <c r="AD853" s="128"/>
      <c r="AE853" s="128"/>
      <c r="AF853" s="128"/>
      <c r="AG853" s="128"/>
      <c r="AI853" s="128"/>
      <c r="AJ853" s="128"/>
      <c r="AY853" s="128"/>
      <c r="BN853" s="128"/>
      <c r="BQ853" s="128"/>
      <c r="BR853" s="128"/>
      <c r="BT853" s="128"/>
      <c r="BV853" s="128"/>
      <c r="BX853" s="128"/>
      <c r="CU853" s="128"/>
      <c r="CW853" s="128"/>
      <c r="DN853" s="128"/>
      <c r="DP853" s="128"/>
      <c r="DR853" s="128"/>
      <c r="DV853" s="128"/>
      <c r="DX853" s="128"/>
      <c r="DY853" s="128"/>
      <c r="EA853" s="128"/>
      <c r="EB853" s="128"/>
      <c r="EC853" s="128"/>
      <c r="EG853" s="128"/>
      <c r="EL853" s="128"/>
      <c r="EM853" s="128"/>
      <c r="EO853" s="128"/>
      <c r="EQ853" s="128"/>
      <c r="ES853" s="128"/>
      <c r="EU853" s="128"/>
      <c r="EW853" s="128"/>
      <c r="EY853" s="128"/>
    </row>
    <row r="854" spans="3:155">
      <c r="C854" s="128"/>
      <c r="D854" s="128"/>
      <c r="E854" s="128"/>
      <c r="F854" s="128" t="str">
        <f>IF(E854 &lt;&gt; "", VLOOKUP(E854, '[2]Internal-logic'!G$1:I$364, 2, FALSE),"")</f>
        <v/>
      </c>
      <c r="G854" s="128" t="str">
        <f>IF(E854 &lt;&gt; "", VLOOKUP(E854, '[2]Internal-logic'!G$1:I$364, 3, FALSE),"")</f>
        <v/>
      </c>
      <c r="H854" s="128"/>
      <c r="I854" s="128"/>
      <c r="J854" s="128"/>
      <c r="K854" s="128"/>
      <c r="Q854" s="128"/>
      <c r="R854" s="128"/>
      <c r="S854" s="128"/>
      <c r="U854" s="128"/>
      <c r="X854" s="128"/>
      <c r="Y854" s="128"/>
      <c r="Z854" s="128"/>
      <c r="AA854" s="128"/>
      <c r="AB854" s="128"/>
      <c r="AC854" s="128"/>
      <c r="AD854" s="128"/>
      <c r="AE854" s="128"/>
      <c r="AF854" s="128"/>
      <c r="AG854" s="128"/>
      <c r="AI854" s="128"/>
      <c r="AJ854" s="128"/>
      <c r="AY854" s="128"/>
      <c r="BN854" s="128"/>
      <c r="BQ854" s="128"/>
      <c r="BR854" s="128"/>
      <c r="BT854" s="128"/>
      <c r="BV854" s="128"/>
      <c r="BX854" s="128"/>
      <c r="CU854" s="128"/>
      <c r="CW854" s="128"/>
      <c r="DN854" s="128"/>
      <c r="DP854" s="128"/>
      <c r="DR854" s="128"/>
      <c r="DV854" s="128"/>
      <c r="DX854" s="128"/>
      <c r="DY854" s="128"/>
      <c r="EA854" s="128"/>
      <c r="EB854" s="128"/>
      <c r="EC854" s="128"/>
      <c r="EG854" s="128"/>
      <c r="EL854" s="128"/>
      <c r="EM854" s="128"/>
      <c r="EO854" s="128"/>
      <c r="EQ854" s="128"/>
      <c r="ES854" s="128"/>
      <c r="EU854" s="128"/>
      <c r="EW854" s="128"/>
      <c r="EY854" s="128"/>
    </row>
    <row r="855" spans="3:155">
      <c r="C855" s="128"/>
      <c r="D855" s="128"/>
      <c r="E855" s="128"/>
      <c r="F855" s="128" t="str">
        <f>IF(E855 &lt;&gt; "", VLOOKUP(E855, '[2]Internal-logic'!G$1:I$364, 2, FALSE),"")</f>
        <v/>
      </c>
      <c r="G855" s="128" t="str">
        <f>IF(E855 &lt;&gt; "", VLOOKUP(E855, '[2]Internal-logic'!G$1:I$364, 3, FALSE),"")</f>
        <v/>
      </c>
      <c r="H855" s="128"/>
      <c r="I855" s="128"/>
      <c r="J855" s="128"/>
      <c r="K855" s="128"/>
      <c r="Q855" s="128"/>
      <c r="R855" s="128"/>
      <c r="S855" s="128"/>
      <c r="U855" s="128"/>
      <c r="X855" s="128"/>
      <c r="Y855" s="128"/>
      <c r="Z855" s="128"/>
      <c r="AA855" s="128"/>
      <c r="AB855" s="128"/>
      <c r="AC855" s="128"/>
      <c r="AD855" s="128"/>
      <c r="AE855" s="128"/>
      <c r="AF855" s="128"/>
      <c r="AG855" s="128"/>
      <c r="AI855" s="128"/>
      <c r="AJ855" s="128"/>
      <c r="AY855" s="128"/>
      <c r="BN855" s="128"/>
      <c r="BQ855" s="128"/>
      <c r="BR855" s="128"/>
      <c r="BT855" s="128"/>
      <c r="BV855" s="128"/>
      <c r="BX855" s="128"/>
      <c r="CU855" s="128"/>
      <c r="CW855" s="128"/>
      <c r="DN855" s="128"/>
      <c r="DP855" s="128"/>
      <c r="DR855" s="128"/>
      <c r="DV855" s="128"/>
      <c r="DX855" s="128"/>
      <c r="DY855" s="128"/>
      <c r="EA855" s="128"/>
      <c r="EB855" s="128"/>
      <c r="EC855" s="128"/>
      <c r="EG855" s="128"/>
      <c r="EL855" s="128"/>
      <c r="EM855" s="128"/>
      <c r="EO855" s="128"/>
      <c r="EQ855" s="128"/>
      <c r="ES855" s="128"/>
      <c r="EU855" s="128"/>
      <c r="EW855" s="128"/>
      <c r="EY855" s="128"/>
    </row>
    <row r="856" spans="3:155">
      <c r="C856" s="128"/>
      <c r="D856" s="128"/>
      <c r="E856" s="128"/>
      <c r="F856" s="128" t="str">
        <f>IF(E856 &lt;&gt; "", VLOOKUP(E856, '[2]Internal-logic'!G$1:I$364, 2, FALSE),"")</f>
        <v/>
      </c>
      <c r="G856" s="128" t="str">
        <f>IF(E856 &lt;&gt; "", VLOOKUP(E856, '[2]Internal-logic'!G$1:I$364, 3, FALSE),"")</f>
        <v/>
      </c>
      <c r="H856" s="128"/>
      <c r="I856" s="128"/>
      <c r="J856" s="128"/>
      <c r="K856" s="128"/>
      <c r="Q856" s="128"/>
      <c r="R856" s="128"/>
      <c r="S856" s="128"/>
      <c r="U856" s="128"/>
      <c r="X856" s="128"/>
      <c r="Y856" s="128"/>
      <c r="Z856" s="128"/>
      <c r="AA856" s="128"/>
      <c r="AB856" s="128"/>
      <c r="AC856" s="128"/>
      <c r="AD856" s="128"/>
      <c r="AE856" s="128"/>
      <c r="AF856" s="128"/>
      <c r="AG856" s="128"/>
      <c r="AI856" s="128"/>
      <c r="AJ856" s="128"/>
      <c r="AY856" s="128"/>
      <c r="BN856" s="128"/>
      <c r="BQ856" s="128"/>
      <c r="BR856" s="128"/>
      <c r="BT856" s="128"/>
      <c r="BV856" s="128"/>
      <c r="BX856" s="128"/>
      <c r="CU856" s="128"/>
      <c r="CW856" s="128"/>
      <c r="DN856" s="128"/>
      <c r="DP856" s="128"/>
      <c r="DR856" s="128"/>
      <c r="DV856" s="128"/>
      <c r="DX856" s="128"/>
      <c r="DY856" s="128"/>
      <c r="EA856" s="128"/>
      <c r="EB856" s="128"/>
      <c r="EC856" s="128"/>
      <c r="EG856" s="128"/>
      <c r="EL856" s="128"/>
      <c r="EM856" s="128"/>
      <c r="EO856" s="128"/>
      <c r="EQ856" s="128"/>
      <c r="ES856" s="128"/>
      <c r="EU856" s="128"/>
      <c r="EW856" s="128"/>
      <c r="EY856" s="128"/>
    </row>
    <row r="857" spans="3:155">
      <c r="C857" s="128"/>
      <c r="D857" s="128"/>
      <c r="E857" s="128"/>
      <c r="F857" s="128" t="str">
        <f>IF(E857 &lt;&gt; "", VLOOKUP(E857, '[2]Internal-logic'!G$1:I$364, 2, FALSE),"")</f>
        <v/>
      </c>
      <c r="G857" s="128" t="str">
        <f>IF(E857 &lt;&gt; "", VLOOKUP(E857, '[2]Internal-logic'!G$1:I$364, 3, FALSE),"")</f>
        <v/>
      </c>
      <c r="H857" s="128"/>
      <c r="I857" s="128"/>
      <c r="J857" s="128"/>
      <c r="K857" s="128"/>
      <c r="Q857" s="128"/>
      <c r="R857" s="128"/>
      <c r="S857" s="128"/>
      <c r="U857" s="128"/>
      <c r="X857" s="128"/>
      <c r="Y857" s="128"/>
      <c r="Z857" s="128"/>
      <c r="AA857" s="128"/>
      <c r="AB857" s="128"/>
      <c r="AC857" s="128"/>
      <c r="AD857" s="128"/>
      <c r="AE857" s="128"/>
      <c r="AF857" s="128"/>
      <c r="AG857" s="128"/>
      <c r="AI857" s="128"/>
      <c r="AJ857" s="128"/>
      <c r="AY857" s="128"/>
      <c r="BN857" s="128"/>
      <c r="BQ857" s="128"/>
      <c r="BR857" s="128"/>
      <c r="BT857" s="128"/>
      <c r="BV857" s="128"/>
      <c r="BX857" s="128"/>
      <c r="CU857" s="128"/>
      <c r="CW857" s="128"/>
      <c r="DN857" s="128"/>
      <c r="DP857" s="128"/>
      <c r="DR857" s="128"/>
      <c r="DV857" s="128"/>
      <c r="DX857" s="128"/>
      <c r="DY857" s="128"/>
      <c r="EA857" s="128"/>
      <c r="EB857" s="128"/>
      <c r="EC857" s="128"/>
      <c r="EG857" s="128"/>
      <c r="EL857" s="128"/>
      <c r="EM857" s="128"/>
      <c r="EO857" s="128"/>
      <c r="EQ857" s="128"/>
      <c r="ES857" s="128"/>
      <c r="EU857" s="128"/>
      <c r="EW857" s="128"/>
      <c r="EY857" s="128"/>
    </row>
    <row r="858" spans="3:155">
      <c r="C858" s="128"/>
      <c r="D858" s="128"/>
      <c r="E858" s="128"/>
      <c r="F858" s="128" t="str">
        <f>IF(E858 &lt;&gt; "", VLOOKUP(E858, '[2]Internal-logic'!G$1:I$364, 2, FALSE),"")</f>
        <v/>
      </c>
      <c r="G858" s="128" t="str">
        <f>IF(E858 &lt;&gt; "", VLOOKUP(E858, '[2]Internal-logic'!G$1:I$364, 3, FALSE),"")</f>
        <v/>
      </c>
      <c r="H858" s="128"/>
      <c r="I858" s="128"/>
      <c r="J858" s="128"/>
      <c r="K858" s="128"/>
      <c r="Q858" s="128"/>
      <c r="R858" s="128"/>
      <c r="S858" s="128"/>
      <c r="U858" s="128"/>
      <c r="X858" s="128"/>
      <c r="Y858" s="128"/>
      <c r="Z858" s="128"/>
      <c r="AA858" s="128"/>
      <c r="AB858" s="128"/>
      <c r="AC858" s="128"/>
      <c r="AD858" s="128"/>
      <c r="AE858" s="128"/>
      <c r="AF858" s="128"/>
      <c r="AG858" s="128"/>
      <c r="AI858" s="128"/>
      <c r="AJ858" s="128"/>
      <c r="AY858" s="128"/>
      <c r="BN858" s="128"/>
      <c r="BQ858" s="128"/>
      <c r="BR858" s="128"/>
      <c r="BT858" s="128"/>
      <c r="BV858" s="128"/>
      <c r="BX858" s="128"/>
      <c r="CU858" s="128"/>
      <c r="CW858" s="128"/>
      <c r="DN858" s="128"/>
      <c r="DP858" s="128"/>
      <c r="DR858" s="128"/>
      <c r="DV858" s="128"/>
      <c r="DX858" s="128"/>
      <c r="DY858" s="128"/>
      <c r="EA858" s="128"/>
      <c r="EB858" s="128"/>
      <c r="EC858" s="128"/>
      <c r="EG858" s="128"/>
      <c r="EL858" s="128"/>
      <c r="EM858" s="128"/>
      <c r="EO858" s="128"/>
      <c r="EQ858" s="128"/>
      <c r="ES858" s="128"/>
      <c r="EU858" s="128"/>
      <c r="EW858" s="128"/>
      <c r="EY858" s="128"/>
    </row>
    <row r="859" spans="3:155">
      <c r="C859" s="128"/>
      <c r="D859" s="128"/>
      <c r="E859" s="128"/>
      <c r="F859" s="128" t="str">
        <f>IF(E859 &lt;&gt; "", VLOOKUP(E859, '[2]Internal-logic'!G$1:I$364, 2, FALSE),"")</f>
        <v/>
      </c>
      <c r="G859" s="128" t="str">
        <f>IF(E859 &lt;&gt; "", VLOOKUP(E859, '[2]Internal-logic'!G$1:I$364, 3, FALSE),"")</f>
        <v/>
      </c>
      <c r="H859" s="128"/>
      <c r="I859" s="128"/>
      <c r="J859" s="128"/>
      <c r="K859" s="128"/>
      <c r="Q859" s="128"/>
      <c r="R859" s="128"/>
      <c r="S859" s="128"/>
      <c r="U859" s="128"/>
      <c r="X859" s="128"/>
      <c r="Y859" s="128"/>
      <c r="Z859" s="128"/>
      <c r="AA859" s="128"/>
      <c r="AB859" s="128"/>
      <c r="AC859" s="128"/>
      <c r="AD859" s="128"/>
      <c r="AE859" s="128"/>
      <c r="AF859" s="128"/>
      <c r="AG859" s="128"/>
      <c r="AI859" s="128"/>
      <c r="AJ859" s="128"/>
      <c r="AY859" s="128"/>
      <c r="BN859" s="128"/>
      <c r="BQ859" s="128"/>
      <c r="BR859" s="128"/>
      <c r="BT859" s="128"/>
      <c r="BV859" s="128"/>
      <c r="BX859" s="128"/>
      <c r="CU859" s="128"/>
      <c r="CW859" s="128"/>
      <c r="DN859" s="128"/>
      <c r="DP859" s="128"/>
      <c r="DR859" s="128"/>
      <c r="DV859" s="128"/>
      <c r="DX859" s="128"/>
      <c r="DY859" s="128"/>
      <c r="EA859" s="128"/>
      <c r="EB859" s="128"/>
      <c r="EC859" s="128"/>
      <c r="EG859" s="128"/>
      <c r="EL859" s="128"/>
      <c r="EM859" s="128"/>
      <c r="EO859" s="128"/>
      <c r="EQ859" s="128"/>
      <c r="ES859" s="128"/>
      <c r="EU859" s="128"/>
      <c r="EW859" s="128"/>
      <c r="EY859" s="128"/>
    </row>
    <row r="860" spans="3:155">
      <c r="C860" s="128"/>
      <c r="D860" s="128"/>
      <c r="E860" s="128"/>
      <c r="F860" s="128" t="str">
        <f>IF(E860 &lt;&gt; "", VLOOKUP(E860, '[2]Internal-logic'!G$1:I$364, 2, FALSE),"")</f>
        <v/>
      </c>
      <c r="G860" s="128" t="str">
        <f>IF(E860 &lt;&gt; "", VLOOKUP(E860, '[2]Internal-logic'!G$1:I$364, 3, FALSE),"")</f>
        <v/>
      </c>
      <c r="H860" s="128"/>
      <c r="I860" s="128"/>
      <c r="J860" s="128"/>
      <c r="K860" s="128"/>
      <c r="Q860" s="128"/>
      <c r="R860" s="128"/>
      <c r="S860" s="128"/>
      <c r="U860" s="128"/>
      <c r="X860" s="128"/>
      <c r="Y860" s="128"/>
      <c r="Z860" s="128"/>
      <c r="AA860" s="128"/>
      <c r="AB860" s="128"/>
      <c r="AC860" s="128"/>
      <c r="AD860" s="128"/>
      <c r="AE860" s="128"/>
      <c r="AF860" s="128"/>
      <c r="AG860" s="128"/>
      <c r="AI860" s="128"/>
      <c r="AJ860" s="128"/>
      <c r="AY860" s="128"/>
      <c r="BN860" s="128"/>
      <c r="BQ860" s="128"/>
      <c r="BR860" s="128"/>
      <c r="BT860" s="128"/>
      <c r="BV860" s="128"/>
      <c r="BX860" s="128"/>
      <c r="CU860" s="128"/>
      <c r="CW860" s="128"/>
      <c r="DN860" s="128"/>
      <c r="DP860" s="128"/>
      <c r="DR860" s="128"/>
      <c r="DV860" s="128"/>
      <c r="DX860" s="128"/>
      <c r="DY860" s="128"/>
      <c r="EA860" s="128"/>
      <c r="EB860" s="128"/>
      <c r="EC860" s="128"/>
      <c r="EG860" s="128"/>
      <c r="EL860" s="128"/>
      <c r="EM860" s="128"/>
      <c r="EO860" s="128"/>
      <c r="EQ860" s="128"/>
      <c r="ES860" s="128"/>
      <c r="EU860" s="128"/>
      <c r="EW860" s="128"/>
      <c r="EY860" s="128"/>
    </row>
    <row r="861" spans="3:155">
      <c r="C861" s="128"/>
      <c r="D861" s="128"/>
      <c r="E861" s="128"/>
      <c r="F861" s="128" t="str">
        <f>IF(E861 &lt;&gt; "", VLOOKUP(E861, '[2]Internal-logic'!G$1:I$364, 2, FALSE),"")</f>
        <v/>
      </c>
      <c r="G861" s="128" t="str">
        <f>IF(E861 &lt;&gt; "", VLOOKUP(E861, '[2]Internal-logic'!G$1:I$364, 3, FALSE),"")</f>
        <v/>
      </c>
      <c r="H861" s="128"/>
      <c r="I861" s="128"/>
      <c r="J861" s="128"/>
      <c r="K861" s="128"/>
      <c r="Q861" s="128"/>
      <c r="R861" s="128"/>
      <c r="S861" s="128"/>
      <c r="U861" s="128"/>
      <c r="X861" s="128"/>
      <c r="Y861" s="128"/>
      <c r="Z861" s="128"/>
      <c r="AA861" s="128"/>
      <c r="AB861" s="128"/>
      <c r="AC861" s="128"/>
      <c r="AD861" s="128"/>
      <c r="AE861" s="128"/>
      <c r="AF861" s="128"/>
      <c r="AG861" s="128"/>
      <c r="AI861" s="128"/>
      <c r="AJ861" s="128"/>
      <c r="AY861" s="128"/>
      <c r="BN861" s="128"/>
      <c r="BQ861" s="128"/>
      <c r="BR861" s="128"/>
      <c r="BT861" s="128"/>
      <c r="BV861" s="128"/>
      <c r="BX861" s="128"/>
      <c r="CU861" s="128"/>
      <c r="CW861" s="128"/>
      <c r="DN861" s="128"/>
      <c r="DP861" s="128"/>
      <c r="DR861" s="128"/>
      <c r="DV861" s="128"/>
      <c r="DX861" s="128"/>
      <c r="DY861" s="128"/>
      <c r="EA861" s="128"/>
      <c r="EB861" s="128"/>
      <c r="EC861" s="128"/>
      <c r="EG861" s="128"/>
      <c r="EL861" s="128"/>
      <c r="EM861" s="128"/>
      <c r="EO861" s="128"/>
      <c r="EQ861" s="128"/>
      <c r="ES861" s="128"/>
      <c r="EU861" s="128"/>
      <c r="EW861" s="128"/>
      <c r="EY861" s="128"/>
    </row>
    <row r="862" spans="3:155">
      <c r="C862" s="128"/>
      <c r="D862" s="128"/>
      <c r="E862" s="128"/>
      <c r="F862" s="128" t="str">
        <f>IF(E862 &lt;&gt; "", VLOOKUP(E862, '[2]Internal-logic'!G$1:I$364, 2, FALSE),"")</f>
        <v/>
      </c>
      <c r="G862" s="128" t="str">
        <f>IF(E862 &lt;&gt; "", VLOOKUP(E862, '[2]Internal-logic'!G$1:I$364, 3, FALSE),"")</f>
        <v/>
      </c>
      <c r="H862" s="128"/>
      <c r="I862" s="128"/>
      <c r="J862" s="128"/>
      <c r="K862" s="128"/>
      <c r="Q862" s="128"/>
      <c r="R862" s="128"/>
      <c r="S862" s="128"/>
      <c r="U862" s="128"/>
      <c r="X862" s="128"/>
      <c r="Y862" s="128"/>
      <c r="Z862" s="128"/>
      <c r="AA862" s="128"/>
      <c r="AB862" s="128"/>
      <c r="AC862" s="128"/>
      <c r="AD862" s="128"/>
      <c r="AE862" s="128"/>
      <c r="AF862" s="128"/>
      <c r="AG862" s="128"/>
      <c r="AI862" s="128"/>
      <c r="AJ862" s="128"/>
      <c r="AY862" s="128"/>
      <c r="BN862" s="128"/>
      <c r="BQ862" s="128"/>
      <c r="BR862" s="128"/>
      <c r="BT862" s="128"/>
      <c r="BV862" s="128"/>
      <c r="BX862" s="128"/>
      <c r="CU862" s="128"/>
      <c r="CW862" s="128"/>
      <c r="DN862" s="128"/>
      <c r="DP862" s="128"/>
      <c r="DR862" s="128"/>
      <c r="DV862" s="128"/>
      <c r="DX862" s="128"/>
      <c r="DY862" s="128"/>
      <c r="EA862" s="128"/>
      <c r="EB862" s="128"/>
      <c r="EC862" s="128"/>
      <c r="EG862" s="128"/>
      <c r="EL862" s="128"/>
      <c r="EM862" s="128"/>
      <c r="EO862" s="128"/>
      <c r="EQ862" s="128"/>
      <c r="ES862" s="128"/>
      <c r="EU862" s="128"/>
      <c r="EW862" s="128"/>
      <c r="EY862" s="128"/>
    </row>
    <row r="863" spans="3:155">
      <c r="C863" s="128"/>
      <c r="D863" s="128"/>
      <c r="E863" s="128"/>
      <c r="F863" s="128" t="str">
        <f>IF(E863 &lt;&gt; "", VLOOKUP(E863, '[2]Internal-logic'!G$1:I$364, 2, FALSE),"")</f>
        <v/>
      </c>
      <c r="G863" s="128" t="str">
        <f>IF(E863 &lt;&gt; "", VLOOKUP(E863, '[2]Internal-logic'!G$1:I$364, 3, FALSE),"")</f>
        <v/>
      </c>
      <c r="H863" s="128"/>
      <c r="I863" s="128"/>
      <c r="J863" s="128"/>
      <c r="K863" s="128"/>
      <c r="Q863" s="128"/>
      <c r="R863" s="128"/>
      <c r="S863" s="128"/>
      <c r="U863" s="128"/>
      <c r="X863" s="128"/>
      <c r="Y863" s="128"/>
      <c r="Z863" s="128"/>
      <c r="AA863" s="128"/>
      <c r="AB863" s="128"/>
      <c r="AC863" s="128"/>
      <c r="AD863" s="128"/>
      <c r="AE863" s="128"/>
      <c r="AF863" s="128"/>
      <c r="AG863" s="128"/>
      <c r="AI863" s="128"/>
      <c r="AJ863" s="128"/>
      <c r="AY863" s="128"/>
      <c r="BN863" s="128"/>
      <c r="BQ863" s="128"/>
      <c r="BR863" s="128"/>
      <c r="BT863" s="128"/>
      <c r="BV863" s="128"/>
      <c r="BX863" s="128"/>
      <c r="CU863" s="128"/>
      <c r="CW863" s="128"/>
      <c r="DN863" s="128"/>
      <c r="DP863" s="128"/>
      <c r="DR863" s="128"/>
      <c r="DV863" s="128"/>
      <c r="DX863" s="128"/>
      <c r="DY863" s="128"/>
      <c r="EA863" s="128"/>
      <c r="EB863" s="128"/>
      <c r="EC863" s="128"/>
      <c r="EG863" s="128"/>
      <c r="EL863" s="128"/>
      <c r="EM863" s="128"/>
      <c r="EO863" s="128"/>
      <c r="EQ863" s="128"/>
      <c r="ES863" s="128"/>
      <c r="EU863" s="128"/>
      <c r="EW863" s="128"/>
      <c r="EY863" s="128"/>
    </row>
    <row r="864" spans="3:155">
      <c r="C864" s="128"/>
      <c r="D864" s="128"/>
      <c r="E864" s="128"/>
      <c r="F864" s="128" t="str">
        <f>IF(E864 &lt;&gt; "", VLOOKUP(E864, '[2]Internal-logic'!G$1:I$364, 2, FALSE),"")</f>
        <v/>
      </c>
      <c r="G864" s="128" t="str">
        <f>IF(E864 &lt;&gt; "", VLOOKUP(E864, '[2]Internal-logic'!G$1:I$364, 3, FALSE),"")</f>
        <v/>
      </c>
      <c r="H864" s="128"/>
      <c r="I864" s="128"/>
      <c r="J864" s="128"/>
      <c r="K864" s="128"/>
      <c r="Q864" s="128"/>
      <c r="R864" s="128"/>
      <c r="S864" s="128"/>
      <c r="U864" s="128"/>
      <c r="X864" s="128"/>
      <c r="Y864" s="128"/>
      <c r="Z864" s="128"/>
      <c r="AA864" s="128"/>
      <c r="AB864" s="128"/>
      <c r="AC864" s="128"/>
      <c r="AD864" s="128"/>
      <c r="AE864" s="128"/>
      <c r="AF864" s="128"/>
      <c r="AG864" s="128"/>
      <c r="AI864" s="128"/>
      <c r="AJ864" s="128"/>
      <c r="AY864" s="128"/>
      <c r="BN864" s="128"/>
      <c r="BQ864" s="128"/>
      <c r="BR864" s="128"/>
      <c r="BT864" s="128"/>
      <c r="BV864" s="128"/>
      <c r="BX864" s="128"/>
      <c r="CU864" s="128"/>
      <c r="CW864" s="128"/>
      <c r="DN864" s="128"/>
      <c r="DP864" s="128"/>
      <c r="DR864" s="128"/>
      <c r="DV864" s="128"/>
      <c r="DX864" s="128"/>
      <c r="DY864" s="128"/>
      <c r="EA864" s="128"/>
      <c r="EB864" s="128"/>
      <c r="EC864" s="128"/>
      <c r="EG864" s="128"/>
      <c r="EL864" s="128"/>
      <c r="EM864" s="128"/>
      <c r="EO864" s="128"/>
      <c r="EQ864" s="128"/>
      <c r="ES864" s="128"/>
      <c r="EU864" s="128"/>
      <c r="EW864" s="128"/>
      <c r="EY864" s="128"/>
    </row>
    <row r="865" spans="3:155">
      <c r="C865" s="128"/>
      <c r="D865" s="128"/>
      <c r="E865" s="128"/>
      <c r="F865" s="128" t="str">
        <f>IF(E865 &lt;&gt; "", VLOOKUP(E865, '[2]Internal-logic'!G$1:I$364, 2, FALSE),"")</f>
        <v/>
      </c>
      <c r="G865" s="128" t="str">
        <f>IF(E865 &lt;&gt; "", VLOOKUP(E865, '[2]Internal-logic'!G$1:I$364, 3, FALSE),"")</f>
        <v/>
      </c>
      <c r="H865" s="128"/>
      <c r="I865" s="128"/>
      <c r="J865" s="128"/>
      <c r="K865" s="128"/>
      <c r="Q865" s="128"/>
      <c r="R865" s="128"/>
      <c r="S865" s="128"/>
      <c r="U865" s="128"/>
      <c r="X865" s="128"/>
      <c r="Y865" s="128"/>
      <c r="Z865" s="128"/>
      <c r="AA865" s="128"/>
      <c r="AB865" s="128"/>
      <c r="AC865" s="128"/>
      <c r="AD865" s="128"/>
      <c r="AE865" s="128"/>
      <c r="AF865" s="128"/>
      <c r="AG865" s="128"/>
      <c r="AI865" s="128"/>
      <c r="AJ865" s="128"/>
      <c r="AY865" s="128"/>
      <c r="BN865" s="128"/>
      <c r="BQ865" s="128"/>
      <c r="BR865" s="128"/>
      <c r="BT865" s="128"/>
      <c r="BV865" s="128"/>
      <c r="BX865" s="128"/>
      <c r="CU865" s="128"/>
      <c r="CW865" s="128"/>
      <c r="DN865" s="128"/>
      <c r="DP865" s="128"/>
      <c r="DR865" s="128"/>
      <c r="DV865" s="128"/>
      <c r="DX865" s="128"/>
      <c r="DY865" s="128"/>
      <c r="EA865" s="128"/>
      <c r="EB865" s="128"/>
      <c r="EC865" s="128"/>
      <c r="EG865" s="128"/>
      <c r="EL865" s="128"/>
      <c r="EM865" s="128"/>
      <c r="EO865" s="128"/>
      <c r="EQ865" s="128"/>
      <c r="ES865" s="128"/>
      <c r="EU865" s="128"/>
      <c r="EW865" s="128"/>
      <c r="EY865" s="128"/>
    </row>
    <row r="866" spans="3:155">
      <c r="C866" s="128"/>
      <c r="D866" s="128"/>
      <c r="E866" s="128"/>
      <c r="F866" s="128" t="str">
        <f>IF(E866 &lt;&gt; "", VLOOKUP(E866, '[2]Internal-logic'!G$1:I$364, 2, FALSE),"")</f>
        <v/>
      </c>
      <c r="G866" s="128" t="str">
        <f>IF(E866 &lt;&gt; "", VLOOKUP(E866, '[2]Internal-logic'!G$1:I$364, 3, FALSE),"")</f>
        <v/>
      </c>
      <c r="H866" s="128"/>
      <c r="I866" s="128"/>
      <c r="J866" s="128"/>
      <c r="K866" s="128"/>
      <c r="Q866" s="128"/>
      <c r="R866" s="128"/>
      <c r="S866" s="128"/>
      <c r="U866" s="128"/>
      <c r="X866" s="128"/>
      <c r="Y866" s="128"/>
      <c r="Z866" s="128"/>
      <c r="AA866" s="128"/>
      <c r="AB866" s="128"/>
      <c r="AC866" s="128"/>
      <c r="AD866" s="128"/>
      <c r="AE866" s="128"/>
      <c r="AF866" s="128"/>
      <c r="AG866" s="128"/>
      <c r="AI866" s="128"/>
      <c r="AJ866" s="128"/>
      <c r="AY866" s="128"/>
      <c r="BN866" s="128"/>
      <c r="BQ866" s="128"/>
      <c r="BR866" s="128"/>
      <c r="BT866" s="128"/>
      <c r="BV866" s="128"/>
      <c r="BX866" s="128"/>
      <c r="CU866" s="128"/>
      <c r="CW866" s="128"/>
      <c r="DN866" s="128"/>
      <c r="DP866" s="128"/>
      <c r="DR866" s="128"/>
      <c r="DV866" s="128"/>
      <c r="DX866" s="128"/>
      <c r="DY866" s="128"/>
      <c r="EA866" s="128"/>
      <c r="EB866" s="128"/>
      <c r="EC866" s="128"/>
      <c r="EG866" s="128"/>
      <c r="EL866" s="128"/>
      <c r="EM866" s="128"/>
      <c r="EO866" s="128"/>
      <c r="EQ866" s="128"/>
      <c r="ES866" s="128"/>
      <c r="EU866" s="128"/>
      <c r="EW866" s="128"/>
      <c r="EY866" s="128"/>
    </row>
    <row r="867" spans="3:155">
      <c r="C867" s="128"/>
      <c r="D867" s="128"/>
      <c r="E867" s="128"/>
      <c r="F867" s="128" t="str">
        <f>IF(E867 &lt;&gt; "", VLOOKUP(E867, '[2]Internal-logic'!G$1:I$364, 2, FALSE),"")</f>
        <v/>
      </c>
      <c r="G867" s="128" t="str">
        <f>IF(E867 &lt;&gt; "", VLOOKUP(E867, '[2]Internal-logic'!G$1:I$364, 3, FALSE),"")</f>
        <v/>
      </c>
      <c r="H867" s="128"/>
      <c r="I867" s="128"/>
      <c r="J867" s="128"/>
      <c r="K867" s="128"/>
      <c r="Q867" s="128"/>
      <c r="R867" s="128"/>
      <c r="S867" s="128"/>
      <c r="U867" s="128"/>
      <c r="X867" s="128"/>
      <c r="Y867" s="128"/>
      <c r="Z867" s="128"/>
      <c r="AA867" s="128"/>
      <c r="AB867" s="128"/>
      <c r="AC867" s="128"/>
      <c r="AD867" s="128"/>
      <c r="AE867" s="128"/>
      <c r="AF867" s="128"/>
      <c r="AG867" s="128"/>
      <c r="AI867" s="128"/>
      <c r="AJ867" s="128"/>
      <c r="AY867" s="128"/>
      <c r="BN867" s="128"/>
      <c r="BQ867" s="128"/>
      <c r="BR867" s="128"/>
      <c r="BT867" s="128"/>
      <c r="BV867" s="128"/>
      <c r="BX867" s="128"/>
      <c r="CU867" s="128"/>
      <c r="CW867" s="128"/>
      <c r="DN867" s="128"/>
      <c r="DP867" s="128"/>
      <c r="DR867" s="128"/>
      <c r="DV867" s="128"/>
      <c r="DX867" s="128"/>
      <c r="DY867" s="128"/>
      <c r="EA867" s="128"/>
      <c r="EB867" s="128"/>
      <c r="EC867" s="128"/>
      <c r="EG867" s="128"/>
      <c r="EL867" s="128"/>
      <c r="EM867" s="128"/>
      <c r="EO867" s="128"/>
      <c r="EQ867" s="128"/>
      <c r="ES867" s="128"/>
      <c r="EU867" s="128"/>
      <c r="EW867" s="128"/>
      <c r="EY867" s="128"/>
    </row>
    <row r="868" spans="3:155">
      <c r="C868" s="128"/>
      <c r="D868" s="128"/>
      <c r="E868" s="128"/>
      <c r="F868" s="128" t="str">
        <f>IF(E868 &lt;&gt; "", VLOOKUP(E868, '[2]Internal-logic'!G$1:I$364, 2, FALSE),"")</f>
        <v/>
      </c>
      <c r="G868" s="128" t="str">
        <f>IF(E868 &lt;&gt; "", VLOOKUP(E868, '[2]Internal-logic'!G$1:I$364, 3, FALSE),"")</f>
        <v/>
      </c>
      <c r="H868" s="128"/>
      <c r="I868" s="128"/>
      <c r="J868" s="128"/>
      <c r="K868" s="128"/>
      <c r="Q868" s="128"/>
      <c r="R868" s="128"/>
      <c r="S868" s="128"/>
      <c r="U868" s="128"/>
      <c r="X868" s="128"/>
      <c r="Y868" s="128"/>
      <c r="Z868" s="128"/>
      <c r="AA868" s="128"/>
      <c r="AB868" s="128"/>
      <c r="AC868" s="128"/>
      <c r="AD868" s="128"/>
      <c r="AE868" s="128"/>
      <c r="AF868" s="128"/>
      <c r="AG868" s="128"/>
      <c r="AI868" s="128"/>
      <c r="AJ868" s="128"/>
      <c r="AY868" s="128"/>
      <c r="BN868" s="128"/>
      <c r="BQ868" s="128"/>
      <c r="BR868" s="128"/>
      <c r="BT868" s="128"/>
      <c r="BV868" s="128"/>
      <c r="BX868" s="128"/>
      <c r="CU868" s="128"/>
      <c r="CW868" s="128"/>
      <c r="DN868" s="128"/>
      <c r="DP868" s="128"/>
      <c r="DR868" s="128"/>
      <c r="DV868" s="128"/>
      <c r="DX868" s="128"/>
      <c r="DY868" s="128"/>
      <c r="EA868" s="128"/>
      <c r="EB868" s="128"/>
      <c r="EC868" s="128"/>
      <c r="EG868" s="128"/>
      <c r="EL868" s="128"/>
      <c r="EM868" s="128"/>
      <c r="EO868" s="128"/>
      <c r="EQ868" s="128"/>
      <c r="ES868" s="128"/>
      <c r="EU868" s="128"/>
      <c r="EW868" s="128"/>
      <c r="EY868" s="128"/>
    </row>
    <row r="869" spans="3:155">
      <c r="C869" s="128"/>
      <c r="D869" s="128"/>
      <c r="E869" s="128"/>
      <c r="F869" s="128" t="str">
        <f>IF(E869 &lt;&gt; "", VLOOKUP(E869, '[2]Internal-logic'!G$1:I$364, 2, FALSE),"")</f>
        <v/>
      </c>
      <c r="G869" s="128" t="str">
        <f>IF(E869 &lt;&gt; "", VLOOKUP(E869, '[2]Internal-logic'!G$1:I$364, 3, FALSE),"")</f>
        <v/>
      </c>
      <c r="H869" s="128"/>
      <c r="I869" s="128"/>
      <c r="J869" s="128"/>
      <c r="K869" s="128"/>
      <c r="Q869" s="128"/>
      <c r="R869" s="128"/>
      <c r="S869" s="128"/>
      <c r="U869" s="128"/>
      <c r="X869" s="128"/>
      <c r="Y869" s="128"/>
      <c r="Z869" s="128"/>
      <c r="AA869" s="128"/>
      <c r="AB869" s="128"/>
      <c r="AC869" s="128"/>
      <c r="AD869" s="128"/>
      <c r="AE869" s="128"/>
      <c r="AF869" s="128"/>
      <c r="AG869" s="128"/>
      <c r="AI869" s="128"/>
      <c r="AJ869" s="128"/>
      <c r="AY869" s="128"/>
      <c r="BN869" s="128"/>
      <c r="BQ869" s="128"/>
      <c r="BR869" s="128"/>
      <c r="BT869" s="128"/>
      <c r="BV869" s="128"/>
      <c r="BX869" s="128"/>
      <c r="CU869" s="128"/>
      <c r="CW869" s="128"/>
      <c r="DN869" s="128"/>
      <c r="DP869" s="128"/>
      <c r="DR869" s="128"/>
      <c r="DV869" s="128"/>
      <c r="DX869" s="128"/>
      <c r="DY869" s="128"/>
      <c r="EA869" s="128"/>
      <c r="EB869" s="128"/>
      <c r="EC869" s="128"/>
      <c r="EG869" s="128"/>
      <c r="EL869" s="128"/>
      <c r="EM869" s="128"/>
      <c r="EO869" s="128"/>
      <c r="EQ869" s="128"/>
      <c r="ES869" s="128"/>
      <c r="EU869" s="128"/>
      <c r="EW869" s="128"/>
      <c r="EY869" s="128"/>
    </row>
    <row r="870" spans="3:155">
      <c r="C870" s="128"/>
      <c r="D870" s="128"/>
      <c r="E870" s="128"/>
      <c r="F870" s="128" t="str">
        <f>IF(E870 &lt;&gt; "", VLOOKUP(E870, '[2]Internal-logic'!G$1:I$364, 2, FALSE),"")</f>
        <v/>
      </c>
      <c r="G870" s="128" t="str">
        <f>IF(E870 &lt;&gt; "", VLOOKUP(E870, '[2]Internal-logic'!G$1:I$364, 3, FALSE),"")</f>
        <v/>
      </c>
      <c r="H870" s="128"/>
      <c r="I870" s="128"/>
      <c r="J870" s="128"/>
      <c r="K870" s="128"/>
      <c r="Q870" s="128"/>
      <c r="R870" s="128"/>
      <c r="S870" s="128"/>
      <c r="U870" s="128"/>
      <c r="X870" s="128"/>
      <c r="Y870" s="128"/>
      <c r="Z870" s="128"/>
      <c r="AA870" s="128"/>
      <c r="AB870" s="128"/>
      <c r="AC870" s="128"/>
      <c r="AD870" s="128"/>
      <c r="AE870" s="128"/>
      <c r="AF870" s="128"/>
      <c r="AG870" s="128"/>
      <c r="AI870" s="128"/>
      <c r="AJ870" s="128"/>
      <c r="AY870" s="128"/>
      <c r="BN870" s="128"/>
      <c r="BQ870" s="128"/>
      <c r="BR870" s="128"/>
      <c r="BT870" s="128"/>
      <c r="BV870" s="128"/>
      <c r="BX870" s="128"/>
      <c r="CU870" s="128"/>
      <c r="CW870" s="128"/>
      <c r="DN870" s="128"/>
      <c r="DP870" s="128"/>
      <c r="DR870" s="128"/>
      <c r="DV870" s="128"/>
      <c r="DX870" s="128"/>
      <c r="DY870" s="128"/>
      <c r="EA870" s="128"/>
      <c r="EB870" s="128"/>
      <c r="EC870" s="128"/>
      <c r="EG870" s="128"/>
      <c r="EL870" s="128"/>
      <c r="EM870" s="128"/>
      <c r="EO870" s="128"/>
      <c r="EQ870" s="128"/>
      <c r="ES870" s="128"/>
      <c r="EU870" s="128"/>
      <c r="EW870" s="128"/>
      <c r="EY870" s="128"/>
    </row>
    <row r="871" spans="3:155">
      <c r="C871" s="128"/>
      <c r="D871" s="128"/>
      <c r="E871" s="128"/>
      <c r="F871" s="128" t="str">
        <f>IF(E871 &lt;&gt; "", VLOOKUP(E871, '[2]Internal-logic'!G$1:I$364, 2, FALSE),"")</f>
        <v/>
      </c>
      <c r="G871" s="128" t="str">
        <f>IF(E871 &lt;&gt; "", VLOOKUP(E871, '[2]Internal-logic'!G$1:I$364, 3, FALSE),"")</f>
        <v/>
      </c>
      <c r="H871" s="128"/>
      <c r="I871" s="128"/>
      <c r="J871" s="128"/>
      <c r="K871" s="128"/>
      <c r="Q871" s="128"/>
      <c r="R871" s="128"/>
      <c r="S871" s="128"/>
      <c r="U871" s="128"/>
      <c r="X871" s="128"/>
      <c r="Y871" s="128"/>
      <c r="Z871" s="128"/>
      <c r="AA871" s="128"/>
      <c r="AB871" s="128"/>
      <c r="AC871" s="128"/>
      <c r="AD871" s="128"/>
      <c r="AE871" s="128"/>
      <c r="AF871" s="128"/>
      <c r="AG871" s="128"/>
      <c r="AI871" s="128"/>
      <c r="AJ871" s="128"/>
      <c r="AY871" s="128"/>
      <c r="BN871" s="128"/>
      <c r="BQ871" s="128"/>
      <c r="BR871" s="128"/>
      <c r="BT871" s="128"/>
      <c r="BV871" s="128"/>
      <c r="BX871" s="128"/>
      <c r="CU871" s="128"/>
      <c r="CW871" s="128"/>
      <c r="DN871" s="128"/>
      <c r="DP871" s="128"/>
      <c r="DR871" s="128"/>
      <c r="DV871" s="128"/>
      <c r="DX871" s="128"/>
      <c r="DY871" s="128"/>
      <c r="EA871" s="128"/>
      <c r="EB871" s="128"/>
      <c r="EC871" s="128"/>
      <c r="EG871" s="128"/>
      <c r="EL871" s="128"/>
      <c r="EM871" s="128"/>
      <c r="EO871" s="128"/>
      <c r="EQ871" s="128"/>
      <c r="ES871" s="128"/>
      <c r="EU871" s="128"/>
      <c r="EW871" s="128"/>
      <c r="EY871" s="128"/>
    </row>
    <row r="872" spans="3:155">
      <c r="C872" s="128"/>
      <c r="D872" s="128"/>
      <c r="E872" s="128"/>
      <c r="F872" s="128" t="str">
        <f>IF(E872 &lt;&gt; "", VLOOKUP(E872, '[2]Internal-logic'!G$1:I$364, 2, FALSE),"")</f>
        <v/>
      </c>
      <c r="G872" s="128" t="str">
        <f>IF(E872 &lt;&gt; "", VLOOKUP(E872, '[2]Internal-logic'!G$1:I$364, 3, FALSE),"")</f>
        <v/>
      </c>
      <c r="H872" s="128"/>
      <c r="I872" s="128"/>
      <c r="J872" s="128"/>
      <c r="K872" s="128"/>
      <c r="Q872" s="128"/>
      <c r="R872" s="128"/>
      <c r="S872" s="128"/>
      <c r="U872" s="128"/>
      <c r="X872" s="128"/>
      <c r="Y872" s="128"/>
      <c r="Z872" s="128"/>
      <c r="AA872" s="128"/>
      <c r="AB872" s="128"/>
      <c r="AC872" s="128"/>
      <c r="AD872" s="128"/>
      <c r="AE872" s="128"/>
      <c r="AF872" s="128"/>
      <c r="AG872" s="128"/>
      <c r="AI872" s="128"/>
      <c r="AJ872" s="128"/>
      <c r="AY872" s="128"/>
      <c r="BN872" s="128"/>
      <c r="BQ872" s="128"/>
      <c r="BR872" s="128"/>
      <c r="BT872" s="128"/>
      <c r="BV872" s="128"/>
      <c r="BX872" s="128"/>
      <c r="CU872" s="128"/>
      <c r="CW872" s="128"/>
      <c r="DN872" s="128"/>
      <c r="DP872" s="128"/>
      <c r="DR872" s="128"/>
      <c r="DV872" s="128"/>
      <c r="DX872" s="128"/>
      <c r="DY872" s="128"/>
      <c r="EA872" s="128"/>
      <c r="EB872" s="128"/>
      <c r="EC872" s="128"/>
      <c r="EG872" s="128"/>
      <c r="EL872" s="128"/>
      <c r="EM872" s="128"/>
      <c r="EO872" s="128"/>
      <c r="EQ872" s="128"/>
      <c r="ES872" s="128"/>
      <c r="EU872" s="128"/>
      <c r="EW872" s="128"/>
      <c r="EY872" s="128"/>
    </row>
    <row r="873" spans="3:155">
      <c r="C873" s="128"/>
      <c r="D873" s="128"/>
      <c r="E873" s="128"/>
      <c r="F873" s="128" t="str">
        <f>IF(E873 &lt;&gt; "", VLOOKUP(E873, '[2]Internal-logic'!G$1:I$364, 2, FALSE),"")</f>
        <v/>
      </c>
      <c r="G873" s="128" t="str">
        <f>IF(E873 &lt;&gt; "", VLOOKUP(E873, '[2]Internal-logic'!G$1:I$364, 3, FALSE),"")</f>
        <v/>
      </c>
      <c r="H873" s="128"/>
      <c r="I873" s="128"/>
      <c r="J873" s="128"/>
      <c r="K873" s="128"/>
      <c r="Q873" s="128"/>
      <c r="R873" s="128"/>
      <c r="S873" s="128"/>
      <c r="U873" s="128"/>
      <c r="X873" s="128"/>
      <c r="Y873" s="128"/>
      <c r="Z873" s="128"/>
      <c r="AA873" s="128"/>
      <c r="AB873" s="128"/>
      <c r="AC873" s="128"/>
      <c r="AD873" s="128"/>
      <c r="AE873" s="128"/>
      <c r="AF873" s="128"/>
      <c r="AG873" s="128"/>
      <c r="AI873" s="128"/>
      <c r="AJ873" s="128"/>
      <c r="AY873" s="128"/>
      <c r="BN873" s="128"/>
      <c r="BQ873" s="128"/>
      <c r="BR873" s="128"/>
      <c r="BT873" s="128"/>
      <c r="BV873" s="128"/>
      <c r="BX873" s="128"/>
      <c r="CU873" s="128"/>
      <c r="CW873" s="128"/>
      <c r="DN873" s="128"/>
      <c r="DP873" s="128"/>
      <c r="DR873" s="128"/>
      <c r="DV873" s="128"/>
      <c r="DX873" s="128"/>
      <c r="DY873" s="128"/>
      <c r="EA873" s="128"/>
      <c r="EB873" s="128"/>
      <c r="EC873" s="128"/>
      <c r="EG873" s="128"/>
      <c r="EL873" s="128"/>
      <c r="EM873" s="128"/>
      <c r="EO873" s="128"/>
      <c r="EQ873" s="128"/>
      <c r="ES873" s="128"/>
      <c r="EU873" s="128"/>
      <c r="EW873" s="128"/>
      <c r="EY873" s="128"/>
    </row>
    <row r="874" spans="3:155">
      <c r="C874" s="128"/>
      <c r="D874" s="128"/>
      <c r="E874" s="128"/>
      <c r="F874" s="128" t="str">
        <f>IF(E874 &lt;&gt; "", VLOOKUP(E874, '[2]Internal-logic'!G$1:I$364, 2, FALSE),"")</f>
        <v/>
      </c>
      <c r="G874" s="128" t="str">
        <f>IF(E874 &lt;&gt; "", VLOOKUP(E874, '[2]Internal-logic'!G$1:I$364, 3, FALSE),"")</f>
        <v/>
      </c>
      <c r="H874" s="128"/>
      <c r="I874" s="128"/>
      <c r="J874" s="128"/>
      <c r="K874" s="128"/>
      <c r="Q874" s="128"/>
      <c r="R874" s="128"/>
      <c r="S874" s="128"/>
      <c r="U874" s="128"/>
      <c r="X874" s="128"/>
      <c r="Y874" s="128"/>
      <c r="Z874" s="128"/>
      <c r="AA874" s="128"/>
      <c r="AB874" s="128"/>
      <c r="AC874" s="128"/>
      <c r="AD874" s="128"/>
      <c r="AE874" s="128"/>
      <c r="AF874" s="128"/>
      <c r="AG874" s="128"/>
      <c r="AI874" s="128"/>
      <c r="AJ874" s="128"/>
      <c r="AY874" s="128"/>
      <c r="BN874" s="128"/>
      <c r="BQ874" s="128"/>
      <c r="BR874" s="128"/>
      <c r="BT874" s="128"/>
      <c r="BV874" s="128"/>
      <c r="BX874" s="128"/>
      <c r="CU874" s="128"/>
      <c r="CW874" s="128"/>
      <c r="DN874" s="128"/>
      <c r="DP874" s="128"/>
      <c r="DR874" s="128"/>
      <c r="DV874" s="128"/>
      <c r="DX874" s="128"/>
      <c r="DY874" s="128"/>
      <c r="EA874" s="128"/>
      <c r="EB874" s="128"/>
      <c r="EC874" s="128"/>
      <c r="EG874" s="128"/>
      <c r="EL874" s="128"/>
      <c r="EM874" s="128"/>
      <c r="EO874" s="128"/>
      <c r="EQ874" s="128"/>
      <c r="ES874" s="128"/>
      <c r="EU874" s="128"/>
      <c r="EW874" s="128"/>
      <c r="EY874" s="128"/>
    </row>
    <row r="875" spans="3:155">
      <c r="C875" s="128"/>
      <c r="D875" s="128"/>
      <c r="E875" s="128"/>
      <c r="F875" s="128" t="str">
        <f>IF(E875 &lt;&gt; "", VLOOKUP(E875, '[2]Internal-logic'!G$1:I$364, 2, FALSE),"")</f>
        <v/>
      </c>
      <c r="G875" s="128" t="str">
        <f>IF(E875 &lt;&gt; "", VLOOKUP(E875, '[2]Internal-logic'!G$1:I$364, 3, FALSE),"")</f>
        <v/>
      </c>
      <c r="H875" s="128"/>
      <c r="I875" s="128"/>
      <c r="J875" s="128"/>
      <c r="K875" s="128"/>
      <c r="Q875" s="128"/>
      <c r="R875" s="128"/>
      <c r="S875" s="128"/>
      <c r="U875" s="128"/>
      <c r="X875" s="128"/>
      <c r="Y875" s="128"/>
      <c r="Z875" s="128"/>
      <c r="AA875" s="128"/>
      <c r="AB875" s="128"/>
      <c r="AC875" s="128"/>
      <c r="AD875" s="128"/>
      <c r="AE875" s="128"/>
      <c r="AF875" s="128"/>
      <c r="AG875" s="128"/>
      <c r="AI875" s="128"/>
      <c r="AJ875" s="128"/>
      <c r="AY875" s="128"/>
      <c r="BN875" s="128"/>
      <c r="BQ875" s="128"/>
      <c r="BR875" s="128"/>
      <c r="BT875" s="128"/>
      <c r="BV875" s="128"/>
      <c r="BX875" s="128"/>
      <c r="CU875" s="128"/>
      <c r="CW875" s="128"/>
      <c r="DN875" s="128"/>
      <c r="DP875" s="128"/>
      <c r="DR875" s="128"/>
      <c r="DV875" s="128"/>
      <c r="DX875" s="128"/>
      <c r="DY875" s="128"/>
      <c r="EA875" s="128"/>
      <c r="EB875" s="128"/>
      <c r="EC875" s="128"/>
      <c r="EG875" s="128"/>
      <c r="EL875" s="128"/>
      <c r="EM875" s="128"/>
      <c r="EO875" s="128"/>
      <c r="EQ875" s="128"/>
      <c r="ES875" s="128"/>
      <c r="EU875" s="128"/>
      <c r="EW875" s="128"/>
      <c r="EY875" s="128"/>
    </row>
    <row r="876" spans="3:155">
      <c r="C876" s="128"/>
      <c r="D876" s="128"/>
      <c r="E876" s="128"/>
      <c r="F876" s="128" t="str">
        <f>IF(E876 &lt;&gt; "", VLOOKUP(E876, '[2]Internal-logic'!G$1:I$364, 2, FALSE),"")</f>
        <v/>
      </c>
      <c r="G876" s="128" t="str">
        <f>IF(E876 &lt;&gt; "", VLOOKUP(E876, '[2]Internal-logic'!G$1:I$364, 3, FALSE),"")</f>
        <v/>
      </c>
      <c r="H876" s="128"/>
      <c r="I876" s="128"/>
      <c r="J876" s="128"/>
      <c r="K876" s="128"/>
      <c r="Q876" s="128"/>
      <c r="R876" s="128"/>
      <c r="S876" s="128"/>
      <c r="U876" s="128"/>
      <c r="X876" s="128"/>
      <c r="Y876" s="128"/>
      <c r="Z876" s="128"/>
      <c r="AA876" s="128"/>
      <c r="AB876" s="128"/>
      <c r="AC876" s="128"/>
      <c r="AD876" s="128"/>
      <c r="AE876" s="128"/>
      <c r="AF876" s="128"/>
      <c r="AG876" s="128"/>
      <c r="AI876" s="128"/>
      <c r="AJ876" s="128"/>
      <c r="AY876" s="128"/>
      <c r="BN876" s="128"/>
      <c r="BQ876" s="128"/>
      <c r="BR876" s="128"/>
      <c r="BT876" s="128"/>
      <c r="BV876" s="128"/>
      <c r="BX876" s="128"/>
      <c r="CU876" s="128"/>
      <c r="CW876" s="128"/>
      <c r="DN876" s="128"/>
      <c r="DP876" s="128"/>
      <c r="DR876" s="128"/>
      <c r="DV876" s="128"/>
      <c r="DX876" s="128"/>
      <c r="DY876" s="128"/>
      <c r="EA876" s="128"/>
      <c r="EB876" s="128"/>
      <c r="EC876" s="128"/>
      <c r="EG876" s="128"/>
      <c r="EL876" s="128"/>
      <c r="EM876" s="128"/>
      <c r="EO876" s="128"/>
      <c r="EQ876" s="128"/>
      <c r="ES876" s="128"/>
      <c r="EU876" s="128"/>
      <c r="EW876" s="128"/>
      <c r="EY876" s="128"/>
    </row>
    <row r="877" spans="3:155">
      <c r="C877" s="128"/>
      <c r="D877" s="128"/>
      <c r="E877" s="128"/>
      <c r="F877" s="128" t="str">
        <f>IF(E877 &lt;&gt; "", VLOOKUP(E877, '[2]Internal-logic'!G$1:I$364, 2, FALSE),"")</f>
        <v/>
      </c>
      <c r="G877" s="128" t="str">
        <f>IF(E877 &lt;&gt; "", VLOOKUP(E877, '[2]Internal-logic'!G$1:I$364, 3, FALSE),"")</f>
        <v/>
      </c>
      <c r="H877" s="128"/>
      <c r="I877" s="128"/>
      <c r="J877" s="128"/>
      <c r="K877" s="128"/>
      <c r="Q877" s="128"/>
      <c r="R877" s="128"/>
      <c r="S877" s="128"/>
      <c r="U877" s="128"/>
      <c r="X877" s="128"/>
      <c r="Y877" s="128"/>
      <c r="Z877" s="128"/>
      <c r="AA877" s="128"/>
      <c r="AB877" s="128"/>
      <c r="AC877" s="128"/>
      <c r="AD877" s="128"/>
      <c r="AE877" s="128"/>
      <c r="AF877" s="128"/>
      <c r="AG877" s="128"/>
      <c r="AI877" s="128"/>
      <c r="AJ877" s="128"/>
      <c r="AY877" s="128"/>
      <c r="BN877" s="128"/>
      <c r="BQ877" s="128"/>
      <c r="BR877" s="128"/>
      <c r="BT877" s="128"/>
      <c r="BV877" s="128"/>
      <c r="BX877" s="128"/>
      <c r="CU877" s="128"/>
      <c r="CW877" s="128"/>
      <c r="DN877" s="128"/>
      <c r="DP877" s="128"/>
      <c r="DR877" s="128"/>
      <c r="DV877" s="128"/>
      <c r="DX877" s="128"/>
      <c r="DY877" s="128"/>
      <c r="EA877" s="128"/>
      <c r="EB877" s="128"/>
      <c r="EC877" s="128"/>
      <c r="EG877" s="128"/>
      <c r="EL877" s="128"/>
      <c r="EM877" s="128"/>
      <c r="EO877" s="128"/>
      <c r="EQ877" s="128"/>
      <c r="ES877" s="128"/>
      <c r="EU877" s="128"/>
      <c r="EW877" s="128"/>
      <c r="EY877" s="128"/>
    </row>
    <row r="878" spans="3:155">
      <c r="C878" s="128"/>
      <c r="D878" s="128"/>
      <c r="E878" s="128"/>
      <c r="F878" s="128" t="str">
        <f>IF(E878 &lt;&gt; "", VLOOKUP(E878, '[2]Internal-logic'!G$1:I$364, 2, FALSE),"")</f>
        <v/>
      </c>
      <c r="G878" s="128" t="str">
        <f>IF(E878 &lt;&gt; "", VLOOKUP(E878, '[2]Internal-logic'!G$1:I$364, 3, FALSE),"")</f>
        <v/>
      </c>
      <c r="H878" s="128"/>
      <c r="I878" s="128"/>
      <c r="J878" s="128"/>
      <c r="K878" s="128"/>
      <c r="Q878" s="128"/>
      <c r="R878" s="128"/>
      <c r="S878" s="128"/>
      <c r="U878" s="128"/>
      <c r="X878" s="128"/>
      <c r="Y878" s="128"/>
      <c r="Z878" s="128"/>
      <c r="AA878" s="128"/>
      <c r="AB878" s="128"/>
      <c r="AC878" s="128"/>
      <c r="AD878" s="128"/>
      <c r="AE878" s="128"/>
      <c r="AF878" s="128"/>
      <c r="AG878" s="128"/>
      <c r="AI878" s="128"/>
      <c r="AJ878" s="128"/>
      <c r="AY878" s="128"/>
      <c r="BN878" s="128"/>
      <c r="BQ878" s="128"/>
      <c r="BR878" s="128"/>
      <c r="BT878" s="128"/>
      <c r="BV878" s="128"/>
      <c r="BX878" s="128"/>
      <c r="CU878" s="128"/>
      <c r="CW878" s="128"/>
      <c r="DN878" s="128"/>
      <c r="DP878" s="128"/>
      <c r="DR878" s="128"/>
      <c r="DV878" s="128"/>
      <c r="DX878" s="128"/>
      <c r="DY878" s="128"/>
      <c r="EA878" s="128"/>
      <c r="EB878" s="128"/>
      <c r="EC878" s="128"/>
      <c r="EG878" s="128"/>
      <c r="EL878" s="128"/>
      <c r="EM878" s="128"/>
      <c r="EO878" s="128"/>
      <c r="EQ878" s="128"/>
      <c r="ES878" s="128"/>
      <c r="EU878" s="128"/>
      <c r="EW878" s="128"/>
      <c r="EY878" s="128"/>
    </row>
    <row r="879" spans="3:155">
      <c r="C879" s="128"/>
      <c r="D879" s="128"/>
      <c r="E879" s="128"/>
      <c r="F879" s="128" t="str">
        <f>IF(E879 &lt;&gt; "", VLOOKUP(E879, '[2]Internal-logic'!G$1:I$364, 2, FALSE),"")</f>
        <v/>
      </c>
      <c r="G879" s="128" t="str">
        <f>IF(E879 &lt;&gt; "", VLOOKUP(E879, '[2]Internal-logic'!G$1:I$364, 3, FALSE),"")</f>
        <v/>
      </c>
      <c r="H879" s="128"/>
      <c r="I879" s="128"/>
      <c r="J879" s="128"/>
      <c r="K879" s="128"/>
      <c r="Q879" s="128"/>
      <c r="R879" s="128"/>
      <c r="S879" s="128"/>
      <c r="U879" s="128"/>
      <c r="X879" s="128"/>
      <c r="Y879" s="128"/>
      <c r="Z879" s="128"/>
      <c r="AA879" s="128"/>
      <c r="AB879" s="128"/>
      <c r="AC879" s="128"/>
      <c r="AD879" s="128"/>
      <c r="AE879" s="128"/>
      <c r="AF879" s="128"/>
      <c r="AG879" s="128"/>
      <c r="AI879" s="128"/>
      <c r="AJ879" s="128"/>
      <c r="AY879" s="128"/>
      <c r="BN879" s="128"/>
      <c r="BQ879" s="128"/>
      <c r="BR879" s="128"/>
      <c r="BT879" s="128"/>
      <c r="BV879" s="128"/>
      <c r="BX879" s="128"/>
      <c r="CU879" s="128"/>
      <c r="CW879" s="128"/>
      <c r="DN879" s="128"/>
      <c r="DP879" s="128"/>
      <c r="DR879" s="128"/>
      <c r="DV879" s="128"/>
      <c r="DX879" s="128"/>
      <c r="DY879" s="128"/>
      <c r="EA879" s="128"/>
      <c r="EB879" s="128"/>
      <c r="EC879" s="128"/>
      <c r="EG879" s="128"/>
      <c r="EL879" s="128"/>
      <c r="EM879" s="128"/>
      <c r="EO879" s="128"/>
      <c r="EQ879" s="128"/>
      <c r="ES879" s="128"/>
      <c r="EU879" s="128"/>
      <c r="EW879" s="128"/>
      <c r="EY879" s="128"/>
    </row>
    <row r="880" spans="3:155">
      <c r="C880" s="128"/>
      <c r="D880" s="128"/>
      <c r="E880" s="128"/>
      <c r="F880" s="128" t="str">
        <f>IF(E880 &lt;&gt; "", VLOOKUP(E880, '[2]Internal-logic'!G$1:I$364, 2, FALSE),"")</f>
        <v/>
      </c>
      <c r="G880" s="128" t="str">
        <f>IF(E880 &lt;&gt; "", VLOOKUP(E880, '[2]Internal-logic'!G$1:I$364, 3, FALSE),"")</f>
        <v/>
      </c>
      <c r="H880" s="128"/>
      <c r="I880" s="128"/>
      <c r="J880" s="128"/>
      <c r="K880" s="128"/>
      <c r="Q880" s="128"/>
      <c r="R880" s="128"/>
      <c r="S880" s="128"/>
      <c r="U880" s="128"/>
      <c r="X880" s="128"/>
      <c r="Y880" s="128"/>
      <c r="Z880" s="128"/>
      <c r="AA880" s="128"/>
      <c r="AB880" s="128"/>
      <c r="AC880" s="128"/>
      <c r="AD880" s="128"/>
      <c r="AE880" s="128"/>
      <c r="AF880" s="128"/>
      <c r="AG880" s="128"/>
      <c r="AI880" s="128"/>
      <c r="AJ880" s="128"/>
      <c r="AY880" s="128"/>
      <c r="BN880" s="128"/>
      <c r="BQ880" s="128"/>
      <c r="BR880" s="128"/>
      <c r="BT880" s="128"/>
      <c r="BV880" s="128"/>
      <c r="BX880" s="128"/>
      <c r="CU880" s="128"/>
      <c r="CW880" s="128"/>
      <c r="DN880" s="128"/>
      <c r="DP880" s="128"/>
      <c r="DR880" s="128"/>
      <c r="DV880" s="128"/>
      <c r="DX880" s="128"/>
      <c r="DY880" s="128"/>
      <c r="EA880" s="128"/>
      <c r="EB880" s="128"/>
      <c r="EC880" s="128"/>
      <c r="EG880" s="128"/>
      <c r="EL880" s="128"/>
      <c r="EM880" s="128"/>
      <c r="EO880" s="128"/>
      <c r="EQ880" s="128"/>
      <c r="ES880" s="128"/>
      <c r="EU880" s="128"/>
      <c r="EW880" s="128"/>
      <c r="EY880" s="128"/>
    </row>
    <row r="881" spans="3:155">
      <c r="C881" s="128"/>
      <c r="D881" s="128"/>
      <c r="E881" s="128"/>
      <c r="F881" s="128" t="str">
        <f>IF(E881 &lt;&gt; "", VLOOKUP(E881, '[2]Internal-logic'!G$1:I$364, 2, FALSE),"")</f>
        <v/>
      </c>
      <c r="G881" s="128" t="str">
        <f>IF(E881 &lt;&gt; "", VLOOKUP(E881, '[2]Internal-logic'!G$1:I$364, 3, FALSE),"")</f>
        <v/>
      </c>
      <c r="H881" s="128"/>
      <c r="I881" s="128"/>
      <c r="J881" s="128"/>
      <c r="K881" s="128"/>
      <c r="Q881" s="128"/>
      <c r="R881" s="128"/>
      <c r="S881" s="128"/>
      <c r="U881" s="128"/>
      <c r="X881" s="128"/>
      <c r="Y881" s="128"/>
      <c r="Z881" s="128"/>
      <c r="AA881" s="128"/>
      <c r="AB881" s="128"/>
      <c r="AC881" s="128"/>
      <c r="AD881" s="128"/>
      <c r="AE881" s="128"/>
      <c r="AF881" s="128"/>
      <c r="AG881" s="128"/>
      <c r="AI881" s="128"/>
      <c r="AJ881" s="128"/>
      <c r="AY881" s="128"/>
      <c r="BN881" s="128"/>
      <c r="BQ881" s="128"/>
      <c r="BR881" s="128"/>
      <c r="BT881" s="128"/>
      <c r="BV881" s="128"/>
      <c r="BX881" s="128"/>
      <c r="CU881" s="128"/>
      <c r="CW881" s="128"/>
      <c r="DN881" s="128"/>
      <c r="DP881" s="128"/>
      <c r="DR881" s="128"/>
      <c r="DV881" s="128"/>
      <c r="DX881" s="128"/>
      <c r="DY881" s="128"/>
      <c r="EA881" s="128"/>
      <c r="EB881" s="128"/>
      <c r="EC881" s="128"/>
      <c r="EG881" s="128"/>
      <c r="EL881" s="128"/>
      <c r="EM881" s="128"/>
      <c r="EO881" s="128"/>
      <c r="EQ881" s="128"/>
      <c r="ES881" s="128"/>
      <c r="EU881" s="128"/>
      <c r="EW881" s="128"/>
      <c r="EY881" s="128"/>
    </row>
    <row r="882" spans="3:155">
      <c r="C882" s="128"/>
      <c r="D882" s="128"/>
      <c r="E882" s="128"/>
      <c r="F882" s="128" t="str">
        <f>IF(E882 &lt;&gt; "", VLOOKUP(E882, '[2]Internal-logic'!G$1:I$364, 2, FALSE),"")</f>
        <v/>
      </c>
      <c r="G882" s="128" t="str">
        <f>IF(E882 &lt;&gt; "", VLOOKUP(E882, '[2]Internal-logic'!G$1:I$364, 3, FALSE),"")</f>
        <v/>
      </c>
      <c r="H882" s="128"/>
      <c r="I882" s="128"/>
      <c r="J882" s="128"/>
      <c r="K882" s="128"/>
      <c r="Q882" s="128"/>
      <c r="R882" s="128"/>
      <c r="S882" s="128"/>
      <c r="U882" s="128"/>
      <c r="X882" s="128"/>
      <c r="Y882" s="128"/>
      <c r="Z882" s="128"/>
      <c r="AA882" s="128"/>
      <c r="AB882" s="128"/>
      <c r="AC882" s="128"/>
      <c r="AD882" s="128"/>
      <c r="AE882" s="128"/>
      <c r="AF882" s="128"/>
      <c r="AG882" s="128"/>
      <c r="AI882" s="128"/>
      <c r="AJ882" s="128"/>
      <c r="AY882" s="128"/>
      <c r="BN882" s="128"/>
      <c r="BQ882" s="128"/>
      <c r="BR882" s="128"/>
      <c r="BT882" s="128"/>
      <c r="BV882" s="128"/>
      <c r="BX882" s="128"/>
      <c r="CU882" s="128"/>
      <c r="CW882" s="128"/>
      <c r="DN882" s="128"/>
      <c r="DP882" s="128"/>
      <c r="DR882" s="128"/>
      <c r="DV882" s="128"/>
      <c r="DX882" s="128"/>
      <c r="DY882" s="128"/>
      <c r="EA882" s="128"/>
      <c r="EB882" s="128"/>
      <c r="EC882" s="128"/>
      <c r="EG882" s="128"/>
      <c r="EL882" s="128"/>
      <c r="EM882" s="128"/>
      <c r="EO882" s="128"/>
      <c r="EQ882" s="128"/>
      <c r="ES882" s="128"/>
      <c r="EU882" s="128"/>
      <c r="EW882" s="128"/>
      <c r="EY882" s="128"/>
    </row>
    <row r="883" spans="3:155">
      <c r="C883" s="128"/>
      <c r="D883" s="128"/>
      <c r="E883" s="128"/>
      <c r="F883" s="128" t="str">
        <f>IF(E883 &lt;&gt; "", VLOOKUP(E883, '[2]Internal-logic'!G$1:I$364, 2, FALSE),"")</f>
        <v/>
      </c>
      <c r="G883" s="128" t="str">
        <f>IF(E883 &lt;&gt; "", VLOOKUP(E883, '[2]Internal-logic'!G$1:I$364, 3, FALSE),"")</f>
        <v/>
      </c>
      <c r="H883" s="128"/>
      <c r="I883" s="128"/>
      <c r="J883" s="128"/>
      <c r="K883" s="128"/>
      <c r="Q883" s="128"/>
      <c r="R883" s="128"/>
      <c r="S883" s="128"/>
      <c r="U883" s="128"/>
      <c r="X883" s="128"/>
      <c r="Y883" s="128"/>
      <c r="Z883" s="128"/>
      <c r="AA883" s="128"/>
      <c r="AB883" s="128"/>
      <c r="AC883" s="128"/>
      <c r="AD883" s="128"/>
      <c r="AE883" s="128"/>
      <c r="AF883" s="128"/>
      <c r="AG883" s="128"/>
      <c r="AI883" s="128"/>
      <c r="AJ883" s="128"/>
      <c r="AY883" s="128"/>
      <c r="BN883" s="128"/>
      <c r="BQ883" s="128"/>
      <c r="BR883" s="128"/>
      <c r="BT883" s="128"/>
      <c r="BV883" s="128"/>
      <c r="BX883" s="128"/>
      <c r="CU883" s="128"/>
      <c r="CW883" s="128"/>
      <c r="DN883" s="128"/>
      <c r="DP883" s="128"/>
      <c r="DR883" s="128"/>
      <c r="DV883" s="128"/>
      <c r="DX883" s="128"/>
      <c r="DY883" s="128"/>
      <c r="EA883" s="128"/>
      <c r="EB883" s="128"/>
      <c r="EC883" s="128"/>
      <c r="EG883" s="128"/>
      <c r="EL883" s="128"/>
      <c r="EM883" s="128"/>
      <c r="EO883" s="128"/>
      <c r="EQ883" s="128"/>
      <c r="ES883" s="128"/>
      <c r="EU883" s="128"/>
      <c r="EW883" s="128"/>
      <c r="EY883" s="128"/>
    </row>
    <row r="884" spans="3:155">
      <c r="C884" s="128"/>
      <c r="D884" s="128"/>
      <c r="E884" s="128"/>
      <c r="F884" s="128" t="str">
        <f>IF(E884 &lt;&gt; "", VLOOKUP(E884, '[2]Internal-logic'!G$1:I$364, 2, FALSE),"")</f>
        <v/>
      </c>
      <c r="G884" s="128" t="str">
        <f>IF(E884 &lt;&gt; "", VLOOKUP(E884, '[2]Internal-logic'!G$1:I$364, 3, FALSE),"")</f>
        <v/>
      </c>
      <c r="H884" s="128"/>
      <c r="I884" s="128"/>
      <c r="J884" s="128"/>
      <c r="K884" s="128"/>
      <c r="Q884" s="128"/>
      <c r="R884" s="128"/>
      <c r="S884" s="128"/>
      <c r="U884" s="128"/>
      <c r="X884" s="128"/>
      <c r="Y884" s="128"/>
      <c r="Z884" s="128"/>
      <c r="AA884" s="128"/>
      <c r="AB884" s="128"/>
      <c r="AC884" s="128"/>
      <c r="AD884" s="128"/>
      <c r="AE884" s="128"/>
      <c r="AF884" s="128"/>
      <c r="AG884" s="128"/>
      <c r="AI884" s="128"/>
      <c r="AJ884" s="128"/>
      <c r="AY884" s="128"/>
      <c r="BN884" s="128"/>
      <c r="BQ884" s="128"/>
      <c r="BR884" s="128"/>
      <c r="BT884" s="128"/>
      <c r="BV884" s="128"/>
      <c r="BX884" s="128"/>
      <c r="CU884" s="128"/>
      <c r="CW884" s="128"/>
      <c r="DN884" s="128"/>
      <c r="DP884" s="128"/>
      <c r="DR884" s="128"/>
      <c r="DV884" s="128"/>
      <c r="DX884" s="128"/>
      <c r="DY884" s="128"/>
      <c r="EA884" s="128"/>
      <c r="EB884" s="128"/>
      <c r="EC884" s="128"/>
      <c r="EG884" s="128"/>
      <c r="EL884" s="128"/>
      <c r="EM884" s="128"/>
      <c r="EO884" s="128"/>
      <c r="EQ884" s="128"/>
      <c r="ES884" s="128"/>
      <c r="EU884" s="128"/>
      <c r="EW884" s="128"/>
      <c r="EY884" s="128"/>
    </row>
    <row r="885" spans="3:155">
      <c r="C885" s="128"/>
      <c r="D885" s="128"/>
      <c r="E885" s="128"/>
      <c r="F885" s="128" t="str">
        <f>IF(E885 &lt;&gt; "", VLOOKUP(E885, '[2]Internal-logic'!G$1:I$364, 2, FALSE),"")</f>
        <v/>
      </c>
      <c r="G885" s="128" t="str">
        <f>IF(E885 &lt;&gt; "", VLOOKUP(E885, '[2]Internal-logic'!G$1:I$364, 3, FALSE),"")</f>
        <v/>
      </c>
      <c r="H885" s="128"/>
      <c r="I885" s="128"/>
      <c r="J885" s="128"/>
      <c r="K885" s="128"/>
      <c r="Q885" s="128"/>
      <c r="R885" s="128"/>
      <c r="S885" s="128"/>
      <c r="U885" s="128"/>
      <c r="X885" s="128"/>
      <c r="Y885" s="128"/>
      <c r="Z885" s="128"/>
      <c r="AA885" s="128"/>
      <c r="AB885" s="128"/>
      <c r="AC885" s="128"/>
      <c r="AD885" s="128"/>
      <c r="AE885" s="128"/>
      <c r="AF885" s="128"/>
      <c r="AG885" s="128"/>
      <c r="AI885" s="128"/>
      <c r="AJ885" s="128"/>
      <c r="AY885" s="128"/>
      <c r="BN885" s="128"/>
      <c r="BQ885" s="128"/>
      <c r="BR885" s="128"/>
      <c r="BT885" s="128"/>
      <c r="BV885" s="128"/>
      <c r="BX885" s="128"/>
      <c r="CU885" s="128"/>
      <c r="CW885" s="128"/>
      <c r="DN885" s="128"/>
      <c r="DP885" s="128"/>
      <c r="DR885" s="128"/>
      <c r="DV885" s="128"/>
      <c r="DX885" s="128"/>
      <c r="DY885" s="128"/>
      <c r="EA885" s="128"/>
      <c r="EB885" s="128"/>
      <c r="EC885" s="128"/>
      <c r="EG885" s="128"/>
      <c r="EL885" s="128"/>
      <c r="EM885" s="128"/>
      <c r="EO885" s="128"/>
      <c r="EQ885" s="128"/>
      <c r="ES885" s="128"/>
      <c r="EU885" s="128"/>
      <c r="EW885" s="128"/>
      <c r="EY885" s="128"/>
    </row>
    <row r="886" spans="3:155">
      <c r="C886" s="128"/>
      <c r="D886" s="128"/>
      <c r="E886" s="128"/>
      <c r="F886" s="128" t="str">
        <f>IF(E886 &lt;&gt; "", VLOOKUP(E886, '[2]Internal-logic'!G$1:I$364, 2, FALSE),"")</f>
        <v/>
      </c>
      <c r="G886" s="128" t="str">
        <f>IF(E886 &lt;&gt; "", VLOOKUP(E886, '[2]Internal-logic'!G$1:I$364, 3, FALSE),"")</f>
        <v/>
      </c>
      <c r="H886" s="128"/>
      <c r="I886" s="128"/>
      <c r="J886" s="128"/>
      <c r="K886" s="128"/>
      <c r="Q886" s="128"/>
      <c r="R886" s="128"/>
      <c r="S886" s="128"/>
      <c r="U886" s="128"/>
      <c r="X886" s="128"/>
      <c r="Y886" s="128"/>
      <c r="Z886" s="128"/>
      <c r="AA886" s="128"/>
      <c r="AB886" s="128"/>
      <c r="AC886" s="128"/>
      <c r="AD886" s="128"/>
      <c r="AE886" s="128"/>
      <c r="AF886" s="128"/>
      <c r="AG886" s="128"/>
      <c r="AI886" s="128"/>
      <c r="AJ886" s="128"/>
      <c r="AY886" s="128"/>
      <c r="BN886" s="128"/>
      <c r="BQ886" s="128"/>
      <c r="BR886" s="128"/>
      <c r="BT886" s="128"/>
      <c r="BV886" s="128"/>
      <c r="BX886" s="128"/>
      <c r="CU886" s="128"/>
      <c r="CW886" s="128"/>
      <c r="DN886" s="128"/>
      <c r="DP886" s="128"/>
      <c r="DR886" s="128"/>
      <c r="DV886" s="128"/>
      <c r="DX886" s="128"/>
      <c r="DY886" s="128"/>
      <c r="EA886" s="128"/>
      <c r="EB886" s="128"/>
      <c r="EC886" s="128"/>
      <c r="EG886" s="128"/>
      <c r="EL886" s="128"/>
      <c r="EM886" s="128"/>
      <c r="EO886" s="128"/>
      <c r="EQ886" s="128"/>
      <c r="ES886" s="128"/>
      <c r="EU886" s="128"/>
      <c r="EW886" s="128"/>
      <c r="EY886" s="128"/>
    </row>
    <row r="887" spans="3:155">
      <c r="C887" s="128"/>
      <c r="D887" s="128"/>
      <c r="E887" s="128"/>
      <c r="F887" s="128" t="str">
        <f>IF(E887 &lt;&gt; "", VLOOKUP(E887, '[2]Internal-logic'!G$1:I$364, 2, FALSE),"")</f>
        <v/>
      </c>
      <c r="G887" s="128" t="str">
        <f>IF(E887 &lt;&gt; "", VLOOKUP(E887, '[2]Internal-logic'!G$1:I$364, 3, FALSE),"")</f>
        <v/>
      </c>
      <c r="H887" s="128"/>
      <c r="I887" s="128"/>
      <c r="J887" s="128"/>
      <c r="K887" s="128"/>
      <c r="Q887" s="128"/>
      <c r="R887" s="128"/>
      <c r="S887" s="128"/>
      <c r="U887" s="128"/>
      <c r="X887" s="128"/>
      <c r="Y887" s="128"/>
      <c r="Z887" s="128"/>
      <c r="AA887" s="128"/>
      <c r="AB887" s="128"/>
      <c r="AC887" s="128"/>
      <c r="AD887" s="128"/>
      <c r="AE887" s="128"/>
      <c r="AF887" s="128"/>
      <c r="AG887" s="128"/>
      <c r="AI887" s="128"/>
      <c r="AJ887" s="128"/>
      <c r="AY887" s="128"/>
      <c r="BN887" s="128"/>
      <c r="BQ887" s="128"/>
      <c r="BR887" s="128"/>
      <c r="BT887" s="128"/>
      <c r="BV887" s="128"/>
      <c r="BX887" s="128"/>
      <c r="CU887" s="128"/>
      <c r="CW887" s="128"/>
      <c r="DN887" s="128"/>
      <c r="DP887" s="128"/>
      <c r="DR887" s="128"/>
      <c r="DV887" s="128"/>
      <c r="DX887" s="128"/>
      <c r="DY887" s="128"/>
      <c r="EA887" s="128"/>
      <c r="EB887" s="128"/>
      <c r="EC887" s="128"/>
      <c r="EG887" s="128"/>
      <c r="EL887" s="128"/>
      <c r="EM887" s="128"/>
      <c r="EO887" s="128"/>
      <c r="EQ887" s="128"/>
      <c r="ES887" s="128"/>
      <c r="EU887" s="128"/>
      <c r="EW887" s="128"/>
      <c r="EY887" s="128"/>
    </row>
    <row r="888" spans="3:155">
      <c r="C888" s="128"/>
      <c r="D888" s="128"/>
      <c r="E888" s="128"/>
      <c r="F888" s="128" t="str">
        <f>IF(E888 &lt;&gt; "", VLOOKUP(E888, '[2]Internal-logic'!G$1:I$364, 2, FALSE),"")</f>
        <v/>
      </c>
      <c r="G888" s="128" t="str">
        <f>IF(E888 &lt;&gt; "", VLOOKUP(E888, '[2]Internal-logic'!G$1:I$364, 3, FALSE),"")</f>
        <v/>
      </c>
      <c r="H888" s="128"/>
      <c r="I888" s="128"/>
      <c r="J888" s="128"/>
      <c r="K888" s="128"/>
      <c r="Q888" s="128"/>
      <c r="R888" s="128"/>
      <c r="S888" s="128"/>
      <c r="U888" s="128"/>
      <c r="X888" s="128"/>
      <c r="Y888" s="128"/>
      <c r="Z888" s="128"/>
      <c r="AA888" s="128"/>
      <c r="AB888" s="128"/>
      <c r="AC888" s="128"/>
      <c r="AD888" s="128"/>
      <c r="AE888" s="128"/>
      <c r="AF888" s="128"/>
      <c r="AG888" s="128"/>
      <c r="AI888" s="128"/>
      <c r="AJ888" s="128"/>
      <c r="AY888" s="128"/>
      <c r="BN888" s="128"/>
      <c r="BQ888" s="128"/>
      <c r="BR888" s="128"/>
      <c r="BT888" s="128"/>
      <c r="BV888" s="128"/>
      <c r="BX888" s="128"/>
      <c r="CU888" s="128"/>
      <c r="CW888" s="128"/>
      <c r="DN888" s="128"/>
      <c r="DP888" s="128"/>
      <c r="DR888" s="128"/>
      <c r="DV888" s="128"/>
      <c r="DX888" s="128"/>
      <c r="DY888" s="128"/>
      <c r="EA888" s="128"/>
      <c r="EB888" s="128"/>
      <c r="EC888" s="128"/>
      <c r="EG888" s="128"/>
      <c r="EL888" s="128"/>
      <c r="EM888" s="128"/>
      <c r="EO888" s="128"/>
      <c r="EQ888" s="128"/>
      <c r="ES888" s="128"/>
      <c r="EU888" s="128"/>
      <c r="EW888" s="128"/>
      <c r="EY888" s="128"/>
    </row>
    <row r="889" spans="3:155">
      <c r="C889" s="128"/>
      <c r="D889" s="128"/>
      <c r="E889" s="128"/>
      <c r="F889" s="128" t="str">
        <f>IF(E889 &lt;&gt; "", VLOOKUP(E889, '[2]Internal-logic'!G$1:I$364, 2, FALSE),"")</f>
        <v/>
      </c>
      <c r="G889" s="128" t="str">
        <f>IF(E889 &lt;&gt; "", VLOOKUP(E889, '[2]Internal-logic'!G$1:I$364, 3, FALSE),"")</f>
        <v/>
      </c>
      <c r="H889" s="128"/>
      <c r="I889" s="128"/>
      <c r="J889" s="128"/>
      <c r="K889" s="128"/>
      <c r="Q889" s="128"/>
      <c r="R889" s="128"/>
      <c r="S889" s="128"/>
      <c r="U889" s="128"/>
      <c r="X889" s="128"/>
      <c r="Y889" s="128"/>
      <c r="Z889" s="128"/>
      <c r="AA889" s="128"/>
      <c r="AB889" s="128"/>
      <c r="AC889" s="128"/>
      <c r="AD889" s="128"/>
      <c r="AE889" s="128"/>
      <c r="AF889" s="128"/>
      <c r="AG889" s="128"/>
      <c r="AI889" s="128"/>
      <c r="AJ889" s="128"/>
      <c r="AY889" s="128"/>
      <c r="BN889" s="128"/>
      <c r="BQ889" s="128"/>
      <c r="BR889" s="128"/>
      <c r="BT889" s="128"/>
      <c r="BV889" s="128"/>
      <c r="BX889" s="128"/>
      <c r="CU889" s="128"/>
      <c r="CW889" s="128"/>
      <c r="DN889" s="128"/>
      <c r="DP889" s="128"/>
      <c r="DR889" s="128"/>
      <c r="DV889" s="128"/>
      <c r="DX889" s="128"/>
      <c r="DY889" s="128"/>
      <c r="EA889" s="128"/>
      <c r="EB889" s="128"/>
      <c r="EC889" s="128"/>
      <c r="EG889" s="128"/>
      <c r="EL889" s="128"/>
      <c r="EM889" s="128"/>
      <c r="EO889" s="128"/>
      <c r="EQ889" s="128"/>
      <c r="ES889" s="128"/>
      <c r="EU889" s="128"/>
      <c r="EW889" s="128"/>
      <c r="EY889" s="128"/>
    </row>
    <row r="890" spans="3:155">
      <c r="C890" s="128"/>
      <c r="D890" s="128"/>
      <c r="E890" s="128"/>
      <c r="F890" s="128" t="str">
        <f>IF(E890 &lt;&gt; "", VLOOKUP(E890, '[2]Internal-logic'!G$1:I$364, 2, FALSE),"")</f>
        <v/>
      </c>
      <c r="G890" s="128" t="str">
        <f>IF(E890 &lt;&gt; "", VLOOKUP(E890, '[2]Internal-logic'!G$1:I$364, 3, FALSE),"")</f>
        <v/>
      </c>
      <c r="H890" s="128"/>
      <c r="I890" s="128"/>
      <c r="J890" s="128"/>
      <c r="K890" s="128"/>
      <c r="Q890" s="128"/>
      <c r="R890" s="128"/>
      <c r="S890" s="128"/>
      <c r="U890" s="128"/>
      <c r="X890" s="128"/>
      <c r="Y890" s="128"/>
      <c r="Z890" s="128"/>
      <c r="AA890" s="128"/>
      <c r="AB890" s="128"/>
      <c r="AC890" s="128"/>
      <c r="AD890" s="128"/>
      <c r="AE890" s="128"/>
      <c r="AF890" s="128"/>
      <c r="AG890" s="128"/>
      <c r="AI890" s="128"/>
      <c r="AJ890" s="128"/>
      <c r="AY890" s="128"/>
      <c r="BN890" s="128"/>
      <c r="BQ890" s="128"/>
      <c r="BR890" s="128"/>
      <c r="BT890" s="128"/>
      <c r="BV890" s="128"/>
      <c r="BX890" s="128"/>
      <c r="CU890" s="128"/>
      <c r="CW890" s="128"/>
      <c r="DN890" s="128"/>
      <c r="DP890" s="128"/>
      <c r="DR890" s="128"/>
      <c r="DV890" s="128"/>
      <c r="DX890" s="128"/>
      <c r="DY890" s="128"/>
      <c r="EA890" s="128"/>
      <c r="EB890" s="128"/>
      <c r="EC890" s="128"/>
      <c r="EG890" s="128"/>
      <c r="EL890" s="128"/>
      <c r="EM890" s="128"/>
      <c r="EO890" s="128"/>
      <c r="EQ890" s="128"/>
      <c r="ES890" s="128"/>
      <c r="EU890" s="128"/>
      <c r="EW890" s="128"/>
      <c r="EY890" s="128"/>
    </row>
    <row r="891" spans="3:155">
      <c r="C891" s="128"/>
      <c r="D891" s="128"/>
      <c r="E891" s="128"/>
      <c r="F891" s="128" t="str">
        <f>IF(E891 &lt;&gt; "", VLOOKUP(E891, '[2]Internal-logic'!G$1:I$364, 2, FALSE),"")</f>
        <v/>
      </c>
      <c r="G891" s="128" t="str">
        <f>IF(E891 &lt;&gt; "", VLOOKUP(E891, '[2]Internal-logic'!G$1:I$364, 3, FALSE),"")</f>
        <v/>
      </c>
      <c r="H891" s="128"/>
      <c r="I891" s="128"/>
      <c r="J891" s="128"/>
      <c r="K891" s="128"/>
      <c r="Q891" s="128"/>
      <c r="R891" s="128"/>
      <c r="S891" s="128"/>
      <c r="U891" s="128"/>
      <c r="X891" s="128"/>
      <c r="Y891" s="128"/>
      <c r="Z891" s="128"/>
      <c r="AA891" s="128"/>
      <c r="AB891" s="128"/>
      <c r="AC891" s="128"/>
      <c r="AD891" s="128"/>
      <c r="AE891" s="128"/>
      <c r="AF891" s="128"/>
      <c r="AG891" s="128"/>
      <c r="AI891" s="128"/>
      <c r="AJ891" s="128"/>
      <c r="AY891" s="128"/>
      <c r="BN891" s="128"/>
      <c r="BQ891" s="128"/>
      <c r="BR891" s="128"/>
      <c r="BT891" s="128"/>
      <c r="BV891" s="128"/>
      <c r="BX891" s="128"/>
      <c r="CU891" s="128"/>
      <c r="CW891" s="128"/>
      <c r="DN891" s="128"/>
      <c r="DP891" s="128"/>
      <c r="DR891" s="128"/>
      <c r="DV891" s="128"/>
      <c r="DX891" s="128"/>
      <c r="DY891" s="128"/>
      <c r="EA891" s="128"/>
      <c r="EB891" s="128"/>
      <c r="EC891" s="128"/>
      <c r="EG891" s="128"/>
      <c r="EL891" s="128"/>
      <c r="EM891" s="128"/>
      <c r="EO891" s="128"/>
      <c r="EQ891" s="128"/>
      <c r="ES891" s="128"/>
      <c r="EU891" s="128"/>
      <c r="EW891" s="128"/>
      <c r="EY891" s="128"/>
    </row>
    <row r="892" spans="3:155">
      <c r="C892" s="128"/>
      <c r="D892" s="128"/>
      <c r="E892" s="128"/>
      <c r="F892" s="128" t="str">
        <f>IF(E892 &lt;&gt; "", VLOOKUP(E892, '[2]Internal-logic'!G$1:I$364, 2, FALSE),"")</f>
        <v/>
      </c>
      <c r="G892" s="128" t="str">
        <f>IF(E892 &lt;&gt; "", VLOOKUP(E892, '[2]Internal-logic'!G$1:I$364, 3, FALSE),"")</f>
        <v/>
      </c>
      <c r="H892" s="128"/>
      <c r="I892" s="128"/>
      <c r="J892" s="128"/>
      <c r="K892" s="128"/>
      <c r="Q892" s="128"/>
      <c r="R892" s="128"/>
      <c r="S892" s="128"/>
      <c r="U892" s="128"/>
      <c r="X892" s="128"/>
      <c r="Y892" s="128"/>
      <c r="Z892" s="128"/>
      <c r="AA892" s="128"/>
      <c r="AB892" s="128"/>
      <c r="AC892" s="128"/>
      <c r="AD892" s="128"/>
      <c r="AE892" s="128"/>
      <c r="AF892" s="128"/>
      <c r="AG892" s="128"/>
      <c r="AI892" s="128"/>
      <c r="AJ892" s="128"/>
      <c r="AY892" s="128"/>
      <c r="BN892" s="128"/>
      <c r="BQ892" s="128"/>
      <c r="BR892" s="128"/>
      <c r="BT892" s="128"/>
      <c r="BV892" s="128"/>
      <c r="BX892" s="128"/>
      <c r="CU892" s="128"/>
      <c r="CW892" s="128"/>
      <c r="DN892" s="128"/>
      <c r="DP892" s="128"/>
      <c r="DR892" s="128"/>
      <c r="DV892" s="128"/>
      <c r="DX892" s="128"/>
      <c r="DY892" s="128"/>
      <c r="EA892" s="128"/>
      <c r="EB892" s="128"/>
      <c r="EC892" s="128"/>
      <c r="EG892" s="128"/>
      <c r="EL892" s="128"/>
      <c r="EM892" s="128"/>
      <c r="EO892" s="128"/>
      <c r="EQ892" s="128"/>
      <c r="ES892" s="128"/>
      <c r="EU892" s="128"/>
      <c r="EW892" s="128"/>
      <c r="EY892" s="128"/>
    </row>
    <row r="893" spans="3:155">
      <c r="C893" s="128"/>
      <c r="D893" s="128"/>
      <c r="E893" s="128"/>
      <c r="F893" s="128" t="str">
        <f>IF(E893 &lt;&gt; "", VLOOKUP(E893, '[2]Internal-logic'!G$1:I$364, 2, FALSE),"")</f>
        <v/>
      </c>
      <c r="G893" s="128" t="str">
        <f>IF(E893 &lt;&gt; "", VLOOKUP(E893, '[2]Internal-logic'!G$1:I$364, 3, FALSE),"")</f>
        <v/>
      </c>
      <c r="H893" s="128"/>
      <c r="I893" s="128"/>
      <c r="J893" s="128"/>
      <c r="K893" s="128"/>
      <c r="Q893" s="128"/>
      <c r="R893" s="128"/>
      <c r="S893" s="128"/>
      <c r="U893" s="128"/>
      <c r="X893" s="128"/>
      <c r="Y893" s="128"/>
      <c r="Z893" s="128"/>
      <c r="AA893" s="128"/>
      <c r="AB893" s="128"/>
      <c r="AC893" s="128"/>
      <c r="AD893" s="128"/>
      <c r="AE893" s="128"/>
      <c r="AF893" s="128"/>
      <c r="AG893" s="128"/>
      <c r="AI893" s="128"/>
      <c r="AJ893" s="128"/>
      <c r="AY893" s="128"/>
      <c r="BN893" s="128"/>
      <c r="BQ893" s="128"/>
      <c r="BR893" s="128"/>
      <c r="BT893" s="128"/>
      <c r="BV893" s="128"/>
      <c r="BX893" s="128"/>
      <c r="CU893" s="128"/>
      <c r="CW893" s="128"/>
      <c r="DN893" s="128"/>
      <c r="DP893" s="128"/>
      <c r="DR893" s="128"/>
      <c r="DV893" s="128"/>
      <c r="DX893" s="128"/>
      <c r="DY893" s="128"/>
      <c r="EA893" s="128"/>
      <c r="EB893" s="128"/>
      <c r="EC893" s="128"/>
      <c r="EG893" s="128"/>
      <c r="EL893" s="128"/>
      <c r="EM893" s="128"/>
      <c r="EO893" s="128"/>
      <c r="EQ893" s="128"/>
      <c r="ES893" s="128"/>
      <c r="EU893" s="128"/>
      <c r="EW893" s="128"/>
      <c r="EY893" s="128"/>
    </row>
    <row r="894" spans="3:155">
      <c r="C894" s="128"/>
      <c r="D894" s="128"/>
      <c r="E894" s="128"/>
      <c r="F894" s="128" t="str">
        <f>IF(E894 &lt;&gt; "", VLOOKUP(E894, '[2]Internal-logic'!G$1:I$364, 2, FALSE),"")</f>
        <v/>
      </c>
      <c r="G894" s="128" t="str">
        <f>IF(E894 &lt;&gt; "", VLOOKUP(E894, '[2]Internal-logic'!G$1:I$364, 3, FALSE),"")</f>
        <v/>
      </c>
      <c r="H894" s="128"/>
      <c r="I894" s="128"/>
      <c r="J894" s="128"/>
      <c r="K894" s="128"/>
      <c r="Q894" s="128"/>
      <c r="R894" s="128"/>
      <c r="S894" s="128"/>
      <c r="U894" s="128"/>
      <c r="X894" s="128"/>
      <c r="Y894" s="128"/>
      <c r="Z894" s="128"/>
      <c r="AA894" s="128"/>
      <c r="AB894" s="128"/>
      <c r="AC894" s="128"/>
      <c r="AD894" s="128"/>
      <c r="AE894" s="128"/>
      <c r="AF894" s="128"/>
      <c r="AG894" s="128"/>
      <c r="AI894" s="128"/>
      <c r="AJ894" s="128"/>
      <c r="AY894" s="128"/>
      <c r="BN894" s="128"/>
      <c r="BQ894" s="128"/>
      <c r="BR894" s="128"/>
      <c r="BT894" s="128"/>
      <c r="BV894" s="128"/>
      <c r="BX894" s="128"/>
      <c r="CU894" s="128"/>
      <c r="CW894" s="128"/>
      <c r="DN894" s="128"/>
      <c r="DP894" s="128"/>
      <c r="DR894" s="128"/>
      <c r="DV894" s="128"/>
      <c r="DX894" s="128"/>
      <c r="DY894" s="128"/>
      <c r="EA894" s="128"/>
      <c r="EB894" s="128"/>
      <c r="EC894" s="128"/>
      <c r="EG894" s="128"/>
      <c r="EL894" s="128"/>
      <c r="EM894" s="128"/>
      <c r="EO894" s="128"/>
      <c r="EQ894" s="128"/>
      <c r="ES894" s="128"/>
      <c r="EU894" s="128"/>
      <c r="EW894" s="128"/>
      <c r="EY894" s="128"/>
    </row>
    <row r="895" spans="3:155">
      <c r="C895" s="128"/>
      <c r="D895" s="128"/>
      <c r="E895" s="128"/>
      <c r="F895" s="128" t="str">
        <f>IF(E895 &lt;&gt; "", VLOOKUP(E895, '[2]Internal-logic'!G$1:I$364, 2, FALSE),"")</f>
        <v/>
      </c>
      <c r="G895" s="128" t="str">
        <f>IF(E895 &lt;&gt; "", VLOOKUP(E895, '[2]Internal-logic'!G$1:I$364, 3, FALSE),"")</f>
        <v/>
      </c>
      <c r="H895" s="128"/>
      <c r="I895" s="128"/>
      <c r="J895" s="128"/>
      <c r="K895" s="128"/>
      <c r="Q895" s="128"/>
      <c r="R895" s="128"/>
      <c r="S895" s="128"/>
      <c r="U895" s="128"/>
      <c r="X895" s="128"/>
      <c r="Y895" s="128"/>
      <c r="Z895" s="128"/>
      <c r="AA895" s="128"/>
      <c r="AB895" s="128"/>
      <c r="AC895" s="128"/>
      <c r="AD895" s="128"/>
      <c r="AE895" s="128"/>
      <c r="AF895" s="128"/>
      <c r="AG895" s="128"/>
      <c r="AI895" s="128"/>
      <c r="AJ895" s="128"/>
      <c r="AY895" s="128"/>
      <c r="BN895" s="128"/>
      <c r="BQ895" s="128"/>
      <c r="BR895" s="128"/>
      <c r="BT895" s="128"/>
      <c r="BV895" s="128"/>
      <c r="BX895" s="128"/>
      <c r="CU895" s="128"/>
      <c r="CW895" s="128"/>
      <c r="DN895" s="128"/>
      <c r="DP895" s="128"/>
      <c r="DR895" s="128"/>
      <c r="DV895" s="128"/>
      <c r="DX895" s="128"/>
      <c r="DY895" s="128"/>
      <c r="EA895" s="128"/>
      <c r="EB895" s="128"/>
      <c r="EC895" s="128"/>
      <c r="EG895" s="128"/>
      <c r="EL895" s="128"/>
      <c r="EM895" s="128"/>
      <c r="EO895" s="128"/>
      <c r="EQ895" s="128"/>
      <c r="ES895" s="128"/>
      <c r="EU895" s="128"/>
      <c r="EW895" s="128"/>
      <c r="EY895" s="128"/>
    </row>
    <row r="896" spans="3:155">
      <c r="C896" s="128"/>
      <c r="D896" s="128"/>
      <c r="E896" s="128"/>
      <c r="F896" s="128" t="str">
        <f>IF(E896 &lt;&gt; "", VLOOKUP(E896, '[2]Internal-logic'!G$1:I$364, 2, FALSE),"")</f>
        <v/>
      </c>
      <c r="G896" s="128" t="str">
        <f>IF(E896 &lt;&gt; "", VLOOKUP(E896, '[2]Internal-logic'!G$1:I$364, 3, FALSE),"")</f>
        <v/>
      </c>
      <c r="H896" s="128"/>
      <c r="I896" s="128"/>
      <c r="J896" s="128"/>
      <c r="K896" s="128"/>
      <c r="Q896" s="128"/>
      <c r="R896" s="128"/>
      <c r="S896" s="128"/>
      <c r="U896" s="128"/>
      <c r="X896" s="128"/>
      <c r="Y896" s="128"/>
      <c r="Z896" s="128"/>
      <c r="AA896" s="128"/>
      <c r="AB896" s="128"/>
      <c r="AC896" s="128"/>
      <c r="AD896" s="128"/>
      <c r="AE896" s="128"/>
      <c r="AF896" s="128"/>
      <c r="AG896" s="128"/>
      <c r="AI896" s="128"/>
      <c r="AJ896" s="128"/>
      <c r="AY896" s="128"/>
      <c r="BN896" s="128"/>
      <c r="BQ896" s="128"/>
      <c r="BR896" s="128"/>
      <c r="BT896" s="128"/>
      <c r="BV896" s="128"/>
      <c r="BX896" s="128"/>
      <c r="CU896" s="128"/>
      <c r="CW896" s="128"/>
      <c r="DN896" s="128"/>
      <c r="DP896" s="128"/>
      <c r="DR896" s="128"/>
      <c r="DV896" s="128"/>
      <c r="DX896" s="128"/>
      <c r="DY896" s="128"/>
      <c r="EA896" s="128"/>
      <c r="EB896" s="128"/>
      <c r="EC896" s="128"/>
      <c r="EG896" s="128"/>
      <c r="EL896" s="128"/>
      <c r="EM896" s="128"/>
      <c r="EO896" s="128"/>
      <c r="EQ896" s="128"/>
      <c r="ES896" s="128"/>
      <c r="EU896" s="128"/>
      <c r="EW896" s="128"/>
      <c r="EY896" s="128"/>
    </row>
    <row r="897" spans="3:155">
      <c r="C897" s="128"/>
      <c r="D897" s="128"/>
      <c r="E897" s="128"/>
      <c r="F897" s="128" t="str">
        <f>IF(E897 &lt;&gt; "", VLOOKUP(E897, '[2]Internal-logic'!G$1:I$364, 2, FALSE),"")</f>
        <v/>
      </c>
      <c r="G897" s="128" t="str">
        <f>IF(E897 &lt;&gt; "", VLOOKUP(E897, '[2]Internal-logic'!G$1:I$364, 3, FALSE),"")</f>
        <v/>
      </c>
      <c r="H897" s="128"/>
      <c r="I897" s="128"/>
      <c r="J897" s="128"/>
      <c r="K897" s="128"/>
      <c r="Q897" s="128"/>
      <c r="R897" s="128"/>
      <c r="S897" s="128"/>
      <c r="U897" s="128"/>
      <c r="X897" s="128"/>
      <c r="Y897" s="128"/>
      <c r="Z897" s="128"/>
      <c r="AA897" s="128"/>
      <c r="AB897" s="128"/>
      <c r="AC897" s="128"/>
      <c r="AD897" s="128"/>
      <c r="AE897" s="128"/>
      <c r="AF897" s="128"/>
      <c r="AG897" s="128"/>
      <c r="AI897" s="128"/>
      <c r="AJ897" s="128"/>
      <c r="AY897" s="128"/>
      <c r="BN897" s="128"/>
      <c r="BQ897" s="128"/>
      <c r="BR897" s="128"/>
      <c r="BT897" s="128"/>
      <c r="BV897" s="128"/>
      <c r="BX897" s="128"/>
      <c r="CU897" s="128"/>
      <c r="CW897" s="128"/>
      <c r="DN897" s="128"/>
      <c r="DP897" s="128"/>
      <c r="DR897" s="128"/>
      <c r="DV897" s="128"/>
      <c r="DX897" s="128"/>
      <c r="DY897" s="128"/>
      <c r="EA897" s="128"/>
      <c r="EB897" s="128"/>
      <c r="EC897" s="128"/>
      <c r="EG897" s="128"/>
      <c r="EL897" s="128"/>
      <c r="EM897" s="128"/>
      <c r="EO897" s="128"/>
      <c r="EQ897" s="128"/>
      <c r="ES897" s="128"/>
      <c r="EU897" s="128"/>
      <c r="EW897" s="128"/>
      <c r="EY897" s="128"/>
    </row>
    <row r="898" spans="3:155">
      <c r="C898" s="128"/>
      <c r="D898" s="128"/>
      <c r="E898" s="128"/>
      <c r="F898" s="128" t="str">
        <f>IF(E898 &lt;&gt; "", VLOOKUP(E898, '[2]Internal-logic'!G$1:I$364, 2, FALSE),"")</f>
        <v/>
      </c>
      <c r="G898" s="128" t="str">
        <f>IF(E898 &lt;&gt; "", VLOOKUP(E898, '[2]Internal-logic'!G$1:I$364, 3, FALSE),"")</f>
        <v/>
      </c>
      <c r="H898" s="128"/>
      <c r="I898" s="128"/>
      <c r="J898" s="128"/>
      <c r="K898" s="128"/>
      <c r="Q898" s="128"/>
      <c r="R898" s="128"/>
      <c r="S898" s="128"/>
      <c r="U898" s="128"/>
      <c r="X898" s="128"/>
      <c r="Y898" s="128"/>
      <c r="Z898" s="128"/>
      <c r="AA898" s="128"/>
      <c r="AB898" s="128"/>
      <c r="AC898" s="128"/>
      <c r="AD898" s="128"/>
      <c r="AE898" s="128"/>
      <c r="AF898" s="128"/>
      <c r="AG898" s="128"/>
      <c r="AI898" s="128"/>
      <c r="AJ898" s="128"/>
      <c r="AY898" s="128"/>
      <c r="BN898" s="128"/>
      <c r="BQ898" s="128"/>
      <c r="BR898" s="128"/>
      <c r="BT898" s="128"/>
      <c r="BV898" s="128"/>
      <c r="BX898" s="128"/>
      <c r="CU898" s="128"/>
      <c r="CW898" s="128"/>
      <c r="DN898" s="128"/>
      <c r="DP898" s="128"/>
      <c r="DR898" s="128"/>
      <c r="DV898" s="128"/>
      <c r="DX898" s="128"/>
      <c r="DY898" s="128"/>
      <c r="EA898" s="128"/>
      <c r="EB898" s="128"/>
      <c r="EC898" s="128"/>
      <c r="EG898" s="128"/>
      <c r="EL898" s="128"/>
      <c r="EM898" s="128"/>
      <c r="EO898" s="128"/>
      <c r="EQ898" s="128"/>
      <c r="ES898" s="128"/>
      <c r="EU898" s="128"/>
      <c r="EW898" s="128"/>
      <c r="EY898" s="128"/>
    </row>
    <row r="899" spans="3:155">
      <c r="C899" s="128"/>
      <c r="D899" s="128"/>
      <c r="E899" s="128"/>
      <c r="F899" s="128" t="str">
        <f>IF(E899 &lt;&gt; "", VLOOKUP(E899, '[2]Internal-logic'!G$1:I$364, 2, FALSE),"")</f>
        <v/>
      </c>
      <c r="G899" s="128" t="str">
        <f>IF(E899 &lt;&gt; "", VLOOKUP(E899, '[2]Internal-logic'!G$1:I$364, 3, FALSE),"")</f>
        <v/>
      </c>
      <c r="H899" s="128"/>
      <c r="I899" s="128"/>
      <c r="J899" s="128"/>
      <c r="K899" s="128"/>
      <c r="Q899" s="128"/>
      <c r="R899" s="128"/>
      <c r="S899" s="128"/>
      <c r="U899" s="128"/>
      <c r="X899" s="128"/>
      <c r="Y899" s="128"/>
      <c r="Z899" s="128"/>
      <c r="AA899" s="128"/>
      <c r="AB899" s="128"/>
      <c r="AC899" s="128"/>
      <c r="AD899" s="128"/>
      <c r="AE899" s="128"/>
      <c r="AF899" s="128"/>
      <c r="AG899" s="128"/>
      <c r="AI899" s="128"/>
      <c r="AJ899" s="128"/>
      <c r="AY899" s="128"/>
      <c r="BN899" s="128"/>
      <c r="BQ899" s="128"/>
      <c r="BR899" s="128"/>
      <c r="BT899" s="128"/>
      <c r="BV899" s="128"/>
      <c r="BX899" s="128"/>
      <c r="CU899" s="128"/>
      <c r="CW899" s="128"/>
      <c r="DN899" s="128"/>
      <c r="DP899" s="128"/>
      <c r="DR899" s="128"/>
      <c r="DV899" s="128"/>
      <c r="DX899" s="128"/>
      <c r="DY899" s="128"/>
      <c r="EA899" s="128"/>
      <c r="EB899" s="128"/>
      <c r="EC899" s="128"/>
      <c r="EG899" s="128"/>
      <c r="EL899" s="128"/>
      <c r="EM899" s="128"/>
      <c r="EO899" s="128"/>
      <c r="EQ899" s="128"/>
      <c r="ES899" s="128"/>
      <c r="EU899" s="128"/>
      <c r="EW899" s="128"/>
      <c r="EY899" s="128"/>
    </row>
    <row r="900" spans="3:155">
      <c r="C900" s="128"/>
      <c r="D900" s="128"/>
      <c r="E900" s="128"/>
      <c r="F900" s="128" t="str">
        <f>IF(E900 &lt;&gt; "", VLOOKUP(E900, '[2]Internal-logic'!G$1:I$364, 2, FALSE),"")</f>
        <v/>
      </c>
      <c r="G900" s="128" t="str">
        <f>IF(E900 &lt;&gt; "", VLOOKUP(E900, '[2]Internal-logic'!G$1:I$364, 3, FALSE),"")</f>
        <v/>
      </c>
      <c r="H900" s="128"/>
      <c r="I900" s="128"/>
      <c r="J900" s="128"/>
      <c r="K900" s="128"/>
      <c r="Q900" s="128"/>
      <c r="R900" s="128"/>
      <c r="S900" s="128"/>
      <c r="U900" s="128"/>
      <c r="X900" s="128"/>
      <c r="Y900" s="128"/>
      <c r="Z900" s="128"/>
      <c r="AA900" s="128"/>
      <c r="AB900" s="128"/>
      <c r="AC900" s="128"/>
      <c r="AD900" s="128"/>
      <c r="AE900" s="128"/>
      <c r="AF900" s="128"/>
      <c r="AG900" s="128"/>
      <c r="AI900" s="128"/>
      <c r="AJ900" s="128"/>
      <c r="AY900" s="128"/>
      <c r="BN900" s="128"/>
      <c r="BQ900" s="128"/>
      <c r="BR900" s="128"/>
      <c r="BT900" s="128"/>
      <c r="BV900" s="128"/>
      <c r="BX900" s="128"/>
      <c r="CU900" s="128"/>
      <c r="CW900" s="128"/>
      <c r="DN900" s="128"/>
      <c r="DP900" s="128"/>
      <c r="DR900" s="128"/>
      <c r="DV900" s="128"/>
      <c r="DX900" s="128"/>
      <c r="DY900" s="128"/>
      <c r="EA900" s="128"/>
      <c r="EB900" s="128"/>
      <c r="EC900" s="128"/>
      <c r="EG900" s="128"/>
      <c r="EL900" s="128"/>
      <c r="EM900" s="128"/>
      <c r="EO900" s="128"/>
      <c r="EQ900" s="128"/>
      <c r="ES900" s="128"/>
      <c r="EU900" s="128"/>
      <c r="EW900" s="128"/>
      <c r="EY900" s="128"/>
    </row>
    <row r="901" spans="3:155">
      <c r="C901" s="128"/>
      <c r="D901" s="128"/>
      <c r="E901" s="128"/>
      <c r="F901" s="128" t="str">
        <f>IF(E901 &lt;&gt; "", VLOOKUP(E901, '[2]Internal-logic'!G$1:I$364, 2, FALSE),"")</f>
        <v/>
      </c>
      <c r="G901" s="128" t="str">
        <f>IF(E901 &lt;&gt; "", VLOOKUP(E901, '[2]Internal-logic'!G$1:I$364, 3, FALSE),"")</f>
        <v/>
      </c>
      <c r="H901" s="128"/>
      <c r="I901" s="128"/>
      <c r="J901" s="128"/>
      <c r="K901" s="128"/>
      <c r="Q901" s="128"/>
      <c r="R901" s="128"/>
      <c r="S901" s="128"/>
      <c r="U901" s="128"/>
      <c r="X901" s="128"/>
      <c r="Y901" s="128"/>
      <c r="Z901" s="128"/>
      <c r="AA901" s="128"/>
      <c r="AB901" s="128"/>
      <c r="AC901" s="128"/>
      <c r="AD901" s="128"/>
      <c r="AE901" s="128"/>
      <c r="AF901" s="128"/>
      <c r="AG901" s="128"/>
      <c r="AI901" s="128"/>
      <c r="AJ901" s="128"/>
      <c r="AY901" s="128"/>
      <c r="BN901" s="128"/>
      <c r="BQ901" s="128"/>
      <c r="BR901" s="128"/>
      <c r="BT901" s="128"/>
      <c r="BV901" s="128"/>
      <c r="BX901" s="128"/>
      <c r="CU901" s="128"/>
      <c r="CW901" s="128"/>
      <c r="DN901" s="128"/>
      <c r="DP901" s="128"/>
      <c r="DR901" s="128"/>
      <c r="DV901" s="128"/>
      <c r="DX901" s="128"/>
      <c r="DY901" s="128"/>
      <c r="EA901" s="128"/>
      <c r="EB901" s="128"/>
      <c r="EC901" s="128"/>
      <c r="EG901" s="128"/>
      <c r="EL901" s="128"/>
      <c r="EM901" s="128"/>
      <c r="EO901" s="128"/>
      <c r="EQ901" s="128"/>
      <c r="ES901" s="128"/>
      <c r="EU901" s="128"/>
      <c r="EW901" s="128"/>
      <c r="EY901" s="128"/>
    </row>
    <row r="902" spans="3:155">
      <c r="C902" s="128"/>
      <c r="D902" s="128"/>
      <c r="E902" s="128"/>
      <c r="F902" s="128" t="str">
        <f>IF(E902 &lt;&gt; "", VLOOKUP(E902, '[2]Internal-logic'!G$1:I$364, 2, FALSE),"")</f>
        <v/>
      </c>
      <c r="G902" s="128" t="str">
        <f>IF(E902 &lt;&gt; "", VLOOKUP(E902, '[2]Internal-logic'!G$1:I$364, 3, FALSE),"")</f>
        <v/>
      </c>
      <c r="H902" s="128"/>
      <c r="I902" s="128"/>
      <c r="J902" s="128"/>
      <c r="K902" s="128"/>
      <c r="Q902" s="128"/>
      <c r="R902" s="128"/>
      <c r="S902" s="128"/>
      <c r="U902" s="128"/>
      <c r="X902" s="128"/>
      <c r="Y902" s="128"/>
      <c r="Z902" s="128"/>
      <c r="AA902" s="128"/>
      <c r="AB902" s="128"/>
      <c r="AC902" s="128"/>
      <c r="AD902" s="128"/>
      <c r="AE902" s="128"/>
      <c r="AF902" s="128"/>
      <c r="AG902" s="128"/>
      <c r="AI902" s="128"/>
      <c r="AJ902" s="128"/>
      <c r="AY902" s="128"/>
      <c r="BN902" s="128"/>
      <c r="BQ902" s="128"/>
      <c r="BR902" s="128"/>
      <c r="BT902" s="128"/>
      <c r="BV902" s="128"/>
      <c r="BX902" s="128"/>
      <c r="CU902" s="128"/>
      <c r="CW902" s="128"/>
      <c r="DN902" s="128"/>
      <c r="DP902" s="128"/>
      <c r="DR902" s="128"/>
      <c r="DV902" s="128"/>
      <c r="DX902" s="128"/>
      <c r="DY902" s="128"/>
      <c r="EA902" s="128"/>
      <c r="EB902" s="128"/>
      <c r="EC902" s="128"/>
      <c r="EG902" s="128"/>
      <c r="EL902" s="128"/>
      <c r="EM902" s="128"/>
      <c r="EO902" s="128"/>
      <c r="EQ902" s="128"/>
      <c r="ES902" s="128"/>
      <c r="EU902" s="128"/>
      <c r="EW902" s="128"/>
      <c r="EY902" s="128"/>
    </row>
    <row r="903" spans="3:155">
      <c r="C903" s="128"/>
      <c r="D903" s="128"/>
      <c r="E903" s="128"/>
      <c r="F903" s="128" t="str">
        <f>IF(E903 &lt;&gt; "", VLOOKUP(E903, '[2]Internal-logic'!G$1:I$364, 2, FALSE),"")</f>
        <v/>
      </c>
      <c r="G903" s="128" t="str">
        <f>IF(E903 &lt;&gt; "", VLOOKUP(E903, '[2]Internal-logic'!G$1:I$364, 3, FALSE),"")</f>
        <v/>
      </c>
      <c r="H903" s="128"/>
      <c r="I903" s="128"/>
      <c r="J903" s="128"/>
      <c r="K903" s="128"/>
      <c r="Q903" s="128"/>
      <c r="R903" s="128"/>
      <c r="S903" s="128"/>
      <c r="U903" s="128"/>
      <c r="X903" s="128"/>
      <c r="Y903" s="128"/>
      <c r="Z903" s="128"/>
      <c r="AA903" s="128"/>
      <c r="AB903" s="128"/>
      <c r="AC903" s="128"/>
      <c r="AD903" s="128"/>
      <c r="AE903" s="128"/>
      <c r="AF903" s="128"/>
      <c r="AG903" s="128"/>
      <c r="AI903" s="128"/>
      <c r="AJ903" s="128"/>
      <c r="AY903" s="128"/>
      <c r="BN903" s="128"/>
      <c r="BQ903" s="128"/>
      <c r="BR903" s="128"/>
      <c r="BT903" s="128"/>
      <c r="BV903" s="128"/>
      <c r="BX903" s="128"/>
      <c r="CU903" s="128"/>
      <c r="CW903" s="128"/>
      <c r="DN903" s="128"/>
      <c r="DP903" s="128"/>
      <c r="DR903" s="128"/>
      <c r="DV903" s="128"/>
      <c r="DX903" s="128"/>
      <c r="DY903" s="128"/>
      <c r="EA903" s="128"/>
      <c r="EB903" s="128"/>
      <c r="EC903" s="128"/>
      <c r="EG903" s="128"/>
      <c r="EL903" s="128"/>
      <c r="EM903" s="128"/>
      <c r="EO903" s="128"/>
      <c r="EQ903" s="128"/>
      <c r="ES903" s="128"/>
      <c r="EU903" s="128"/>
      <c r="EW903" s="128"/>
      <c r="EY903" s="128"/>
    </row>
    <row r="904" spans="3:155">
      <c r="C904" s="128"/>
      <c r="D904" s="128"/>
      <c r="E904" s="128"/>
      <c r="F904" s="128" t="str">
        <f>IF(E904 &lt;&gt; "", VLOOKUP(E904, '[2]Internal-logic'!G$1:I$364, 2, FALSE),"")</f>
        <v/>
      </c>
      <c r="G904" s="128" t="str">
        <f>IF(E904 &lt;&gt; "", VLOOKUP(E904, '[2]Internal-logic'!G$1:I$364, 3, FALSE),"")</f>
        <v/>
      </c>
      <c r="H904" s="128"/>
      <c r="I904" s="128"/>
      <c r="J904" s="128"/>
      <c r="K904" s="128"/>
      <c r="Q904" s="128"/>
      <c r="R904" s="128"/>
      <c r="S904" s="128"/>
      <c r="U904" s="128"/>
      <c r="X904" s="128"/>
      <c r="Y904" s="128"/>
      <c r="Z904" s="128"/>
      <c r="AA904" s="128"/>
      <c r="AB904" s="128"/>
      <c r="AC904" s="128"/>
      <c r="AD904" s="128"/>
      <c r="AE904" s="128"/>
      <c r="AF904" s="128"/>
      <c r="AG904" s="128"/>
      <c r="AI904" s="128"/>
      <c r="AJ904" s="128"/>
      <c r="AY904" s="128"/>
      <c r="BN904" s="128"/>
      <c r="BQ904" s="128"/>
      <c r="BR904" s="128"/>
      <c r="BT904" s="128"/>
      <c r="BV904" s="128"/>
      <c r="BX904" s="128"/>
      <c r="CU904" s="128"/>
      <c r="CW904" s="128"/>
      <c r="DN904" s="128"/>
      <c r="DP904" s="128"/>
      <c r="DR904" s="128"/>
      <c r="DV904" s="128"/>
      <c r="DX904" s="128"/>
      <c r="DY904" s="128"/>
      <c r="EA904" s="128"/>
      <c r="EB904" s="128"/>
      <c r="EC904" s="128"/>
      <c r="EG904" s="128"/>
      <c r="EL904" s="128"/>
      <c r="EM904" s="128"/>
      <c r="EO904" s="128"/>
      <c r="EQ904" s="128"/>
      <c r="ES904" s="128"/>
      <c r="EU904" s="128"/>
      <c r="EW904" s="128"/>
      <c r="EY904" s="128"/>
    </row>
    <row r="905" spans="3:155">
      <c r="C905" s="128"/>
      <c r="D905" s="128"/>
      <c r="E905" s="128"/>
      <c r="F905" s="128" t="str">
        <f>IF(E905 &lt;&gt; "", VLOOKUP(E905, '[2]Internal-logic'!G$1:I$364, 2, FALSE),"")</f>
        <v/>
      </c>
      <c r="G905" s="128" t="str">
        <f>IF(E905 &lt;&gt; "", VLOOKUP(E905, '[2]Internal-logic'!G$1:I$364, 3, FALSE),"")</f>
        <v/>
      </c>
      <c r="H905" s="128"/>
      <c r="I905" s="128"/>
      <c r="J905" s="128"/>
      <c r="K905" s="128"/>
      <c r="Q905" s="128"/>
      <c r="R905" s="128"/>
      <c r="S905" s="128"/>
      <c r="U905" s="128"/>
      <c r="X905" s="128"/>
      <c r="Y905" s="128"/>
      <c r="Z905" s="128"/>
      <c r="AA905" s="128"/>
      <c r="AB905" s="128"/>
      <c r="AC905" s="128"/>
      <c r="AD905" s="128"/>
      <c r="AE905" s="128"/>
      <c r="AF905" s="128"/>
      <c r="AG905" s="128"/>
      <c r="AI905" s="128"/>
      <c r="AJ905" s="128"/>
      <c r="AY905" s="128"/>
      <c r="BN905" s="128"/>
      <c r="BQ905" s="128"/>
      <c r="BR905" s="128"/>
      <c r="BT905" s="128"/>
      <c r="BV905" s="128"/>
      <c r="BX905" s="128"/>
      <c r="CU905" s="128"/>
      <c r="CW905" s="128"/>
      <c r="DN905" s="128"/>
      <c r="DP905" s="128"/>
      <c r="DR905" s="128"/>
      <c r="DV905" s="128"/>
      <c r="DX905" s="128"/>
      <c r="DY905" s="128"/>
      <c r="EA905" s="128"/>
      <c r="EB905" s="128"/>
      <c r="EC905" s="128"/>
      <c r="EG905" s="128"/>
      <c r="EL905" s="128"/>
      <c r="EM905" s="128"/>
      <c r="EO905" s="128"/>
      <c r="EQ905" s="128"/>
      <c r="ES905" s="128"/>
      <c r="EU905" s="128"/>
      <c r="EW905" s="128"/>
      <c r="EY905" s="128"/>
    </row>
    <row r="906" spans="3:155">
      <c r="C906" s="128"/>
      <c r="D906" s="128"/>
      <c r="E906" s="128"/>
      <c r="F906" s="128" t="str">
        <f>IF(E906 &lt;&gt; "", VLOOKUP(E906, '[2]Internal-logic'!G$1:I$364, 2, FALSE),"")</f>
        <v/>
      </c>
      <c r="G906" s="128" t="str">
        <f>IF(E906 &lt;&gt; "", VLOOKUP(E906, '[2]Internal-logic'!G$1:I$364, 3, FALSE),"")</f>
        <v/>
      </c>
      <c r="H906" s="128"/>
      <c r="I906" s="128"/>
      <c r="J906" s="128"/>
      <c r="K906" s="128"/>
      <c r="Q906" s="128"/>
      <c r="R906" s="128"/>
      <c r="S906" s="128"/>
      <c r="U906" s="128"/>
      <c r="X906" s="128"/>
      <c r="Y906" s="128"/>
      <c r="Z906" s="128"/>
      <c r="AA906" s="128"/>
      <c r="AB906" s="128"/>
      <c r="AC906" s="128"/>
      <c r="AD906" s="128"/>
      <c r="AE906" s="128"/>
      <c r="AF906" s="128"/>
      <c r="AG906" s="128"/>
      <c r="AI906" s="128"/>
      <c r="AJ906" s="128"/>
      <c r="AY906" s="128"/>
      <c r="BN906" s="128"/>
      <c r="BQ906" s="128"/>
      <c r="BR906" s="128"/>
      <c r="BT906" s="128"/>
      <c r="BV906" s="128"/>
      <c r="BX906" s="128"/>
      <c r="CU906" s="128"/>
      <c r="CW906" s="128"/>
      <c r="DN906" s="128"/>
      <c r="DP906" s="128"/>
      <c r="DR906" s="128"/>
      <c r="DV906" s="128"/>
      <c r="DX906" s="128"/>
      <c r="DY906" s="128"/>
      <c r="EA906" s="128"/>
      <c r="EB906" s="128"/>
      <c r="EC906" s="128"/>
      <c r="EG906" s="128"/>
      <c r="EL906" s="128"/>
      <c r="EM906" s="128"/>
      <c r="EO906" s="128"/>
      <c r="EQ906" s="128"/>
      <c r="ES906" s="128"/>
      <c r="EU906" s="128"/>
      <c r="EW906" s="128"/>
      <c r="EY906" s="128"/>
    </row>
    <row r="907" spans="3:155">
      <c r="C907" s="128"/>
      <c r="D907" s="128"/>
      <c r="E907" s="128"/>
      <c r="F907" s="128" t="str">
        <f>IF(E907 &lt;&gt; "", VLOOKUP(E907, '[2]Internal-logic'!G$1:I$364, 2, FALSE),"")</f>
        <v/>
      </c>
      <c r="G907" s="128" t="str">
        <f>IF(E907 &lt;&gt; "", VLOOKUP(E907, '[2]Internal-logic'!G$1:I$364, 3, FALSE),"")</f>
        <v/>
      </c>
      <c r="H907" s="128"/>
      <c r="I907" s="128"/>
      <c r="J907" s="128"/>
      <c r="K907" s="128"/>
      <c r="Q907" s="128"/>
      <c r="R907" s="128"/>
      <c r="S907" s="128"/>
      <c r="U907" s="128"/>
      <c r="X907" s="128"/>
      <c r="Y907" s="128"/>
      <c r="Z907" s="128"/>
      <c r="AA907" s="128"/>
      <c r="AB907" s="128"/>
      <c r="AC907" s="128"/>
      <c r="AD907" s="128"/>
      <c r="AE907" s="128"/>
      <c r="AF907" s="128"/>
      <c r="AG907" s="128"/>
      <c r="AI907" s="128"/>
      <c r="AJ907" s="128"/>
      <c r="AY907" s="128"/>
      <c r="BN907" s="128"/>
      <c r="BQ907" s="128"/>
      <c r="BR907" s="128"/>
      <c r="BT907" s="128"/>
      <c r="BV907" s="128"/>
      <c r="BX907" s="128"/>
      <c r="CU907" s="128"/>
      <c r="CW907" s="128"/>
      <c r="DN907" s="128"/>
      <c r="DP907" s="128"/>
      <c r="DR907" s="128"/>
      <c r="DV907" s="128"/>
      <c r="DX907" s="128"/>
      <c r="DY907" s="128"/>
      <c r="EA907" s="128"/>
      <c r="EB907" s="128"/>
      <c r="EC907" s="128"/>
      <c r="EG907" s="128"/>
      <c r="EL907" s="128"/>
      <c r="EM907" s="128"/>
      <c r="EO907" s="128"/>
      <c r="EQ907" s="128"/>
      <c r="ES907" s="128"/>
      <c r="EU907" s="128"/>
      <c r="EW907" s="128"/>
      <c r="EY907" s="128"/>
    </row>
    <row r="908" spans="3:155">
      <c r="C908" s="128"/>
      <c r="D908" s="128"/>
      <c r="E908" s="128"/>
      <c r="F908" s="128" t="str">
        <f>IF(E908 &lt;&gt; "", VLOOKUP(E908, '[2]Internal-logic'!G$1:I$364, 2, FALSE),"")</f>
        <v/>
      </c>
      <c r="G908" s="128" t="str">
        <f>IF(E908 &lt;&gt; "", VLOOKUP(E908, '[2]Internal-logic'!G$1:I$364, 3, FALSE),"")</f>
        <v/>
      </c>
      <c r="H908" s="128"/>
      <c r="I908" s="128"/>
      <c r="J908" s="128"/>
      <c r="K908" s="128"/>
      <c r="Q908" s="128"/>
      <c r="R908" s="128"/>
      <c r="S908" s="128"/>
      <c r="U908" s="128"/>
      <c r="X908" s="128"/>
      <c r="Y908" s="128"/>
      <c r="Z908" s="128"/>
      <c r="AA908" s="128"/>
      <c r="AB908" s="128"/>
      <c r="AC908" s="128"/>
      <c r="AD908" s="128"/>
      <c r="AE908" s="128"/>
      <c r="AF908" s="128"/>
      <c r="AG908" s="128"/>
      <c r="AI908" s="128"/>
      <c r="AJ908" s="128"/>
      <c r="AY908" s="128"/>
      <c r="BN908" s="128"/>
      <c r="BQ908" s="128"/>
      <c r="BR908" s="128"/>
      <c r="BT908" s="128"/>
      <c r="BV908" s="128"/>
      <c r="BX908" s="128"/>
      <c r="CU908" s="128"/>
      <c r="CW908" s="128"/>
      <c r="DN908" s="128"/>
      <c r="DP908" s="128"/>
      <c r="DR908" s="128"/>
      <c r="DV908" s="128"/>
      <c r="DX908" s="128"/>
      <c r="DY908" s="128"/>
      <c r="EA908" s="128"/>
      <c r="EB908" s="128"/>
      <c r="EC908" s="128"/>
      <c r="EG908" s="128"/>
      <c r="EL908" s="128"/>
      <c r="EM908" s="128"/>
      <c r="EO908" s="128"/>
      <c r="EQ908" s="128"/>
      <c r="ES908" s="128"/>
      <c r="EU908" s="128"/>
      <c r="EW908" s="128"/>
      <c r="EY908" s="128"/>
    </row>
    <row r="909" spans="3:155">
      <c r="C909" s="128"/>
      <c r="D909" s="128"/>
      <c r="E909" s="128"/>
      <c r="F909" s="128" t="str">
        <f>IF(E909 &lt;&gt; "", VLOOKUP(E909, '[2]Internal-logic'!G$1:I$364, 2, FALSE),"")</f>
        <v/>
      </c>
      <c r="G909" s="128" t="str">
        <f>IF(E909 &lt;&gt; "", VLOOKUP(E909, '[2]Internal-logic'!G$1:I$364, 3, FALSE),"")</f>
        <v/>
      </c>
      <c r="H909" s="128"/>
      <c r="I909" s="128"/>
      <c r="J909" s="128"/>
      <c r="K909" s="128"/>
      <c r="Q909" s="128"/>
      <c r="R909" s="128"/>
      <c r="S909" s="128"/>
      <c r="U909" s="128"/>
      <c r="X909" s="128"/>
      <c r="Y909" s="128"/>
      <c r="Z909" s="128"/>
      <c r="AA909" s="128"/>
      <c r="AB909" s="128"/>
      <c r="AC909" s="128"/>
      <c r="AD909" s="128"/>
      <c r="AE909" s="128"/>
      <c r="AF909" s="128"/>
      <c r="AG909" s="128"/>
      <c r="AI909" s="128"/>
      <c r="AJ909" s="128"/>
      <c r="AY909" s="128"/>
      <c r="BN909" s="128"/>
      <c r="BQ909" s="128"/>
      <c r="BR909" s="128"/>
      <c r="BT909" s="128"/>
      <c r="BV909" s="128"/>
      <c r="BX909" s="128"/>
      <c r="CU909" s="128"/>
      <c r="CW909" s="128"/>
      <c r="DN909" s="128"/>
      <c r="DP909" s="128"/>
      <c r="DR909" s="128"/>
      <c r="DV909" s="128"/>
      <c r="DX909" s="128"/>
      <c r="DY909" s="128"/>
      <c r="EA909" s="128"/>
      <c r="EB909" s="128"/>
      <c r="EC909" s="128"/>
      <c r="EG909" s="128"/>
      <c r="EL909" s="128"/>
      <c r="EM909" s="128"/>
      <c r="EO909" s="128"/>
      <c r="EQ909" s="128"/>
      <c r="ES909" s="128"/>
      <c r="EU909" s="128"/>
      <c r="EW909" s="128"/>
      <c r="EY909" s="128"/>
    </row>
    <row r="910" spans="3:155">
      <c r="C910" s="128"/>
      <c r="D910" s="128"/>
      <c r="E910" s="128"/>
      <c r="F910" s="128" t="str">
        <f>IF(E910 &lt;&gt; "", VLOOKUP(E910, '[2]Internal-logic'!G$1:I$364, 2, FALSE),"")</f>
        <v/>
      </c>
      <c r="G910" s="128" t="str">
        <f>IF(E910 &lt;&gt; "", VLOOKUP(E910, '[2]Internal-logic'!G$1:I$364, 3, FALSE),"")</f>
        <v/>
      </c>
      <c r="H910" s="128"/>
      <c r="I910" s="128"/>
      <c r="J910" s="128"/>
      <c r="K910" s="128"/>
      <c r="Q910" s="128"/>
      <c r="R910" s="128"/>
      <c r="S910" s="128"/>
      <c r="U910" s="128"/>
      <c r="X910" s="128"/>
      <c r="Y910" s="128"/>
      <c r="Z910" s="128"/>
      <c r="AA910" s="128"/>
      <c r="AB910" s="128"/>
      <c r="AC910" s="128"/>
      <c r="AD910" s="128"/>
      <c r="AE910" s="128"/>
      <c r="AF910" s="128"/>
      <c r="AG910" s="128"/>
      <c r="AI910" s="128"/>
      <c r="AJ910" s="128"/>
      <c r="AY910" s="128"/>
      <c r="BN910" s="128"/>
      <c r="BQ910" s="128"/>
      <c r="BR910" s="128"/>
      <c r="BT910" s="128"/>
      <c r="BV910" s="128"/>
      <c r="BX910" s="128"/>
      <c r="CU910" s="128"/>
      <c r="CW910" s="128"/>
      <c r="DN910" s="128"/>
      <c r="DP910" s="128"/>
      <c r="DR910" s="128"/>
      <c r="DV910" s="128"/>
      <c r="DX910" s="128"/>
      <c r="DY910" s="128"/>
      <c r="EA910" s="128"/>
      <c r="EB910" s="128"/>
      <c r="EC910" s="128"/>
      <c r="EG910" s="128"/>
      <c r="EL910" s="128"/>
      <c r="EM910" s="128"/>
      <c r="EO910" s="128"/>
      <c r="EQ910" s="128"/>
      <c r="ES910" s="128"/>
      <c r="EU910" s="128"/>
      <c r="EW910" s="128"/>
      <c r="EY910" s="128"/>
    </row>
    <row r="911" spans="3:155">
      <c r="C911" s="128"/>
      <c r="D911" s="128"/>
      <c r="E911" s="128"/>
      <c r="F911" s="128" t="str">
        <f>IF(E911 &lt;&gt; "", VLOOKUP(E911, '[2]Internal-logic'!G$1:I$364, 2, FALSE),"")</f>
        <v/>
      </c>
      <c r="G911" s="128" t="str">
        <f>IF(E911 &lt;&gt; "", VLOOKUP(E911, '[2]Internal-logic'!G$1:I$364, 3, FALSE),"")</f>
        <v/>
      </c>
      <c r="H911" s="128"/>
      <c r="I911" s="128"/>
      <c r="J911" s="128"/>
      <c r="K911" s="128"/>
      <c r="Q911" s="128"/>
      <c r="R911" s="128"/>
      <c r="S911" s="128"/>
      <c r="U911" s="128"/>
      <c r="X911" s="128"/>
      <c r="Y911" s="128"/>
      <c r="Z911" s="128"/>
      <c r="AA911" s="128"/>
      <c r="AB911" s="128"/>
      <c r="AC911" s="128"/>
      <c r="AD911" s="128"/>
      <c r="AE911" s="128"/>
      <c r="AF911" s="128"/>
      <c r="AG911" s="128"/>
      <c r="AI911" s="128"/>
      <c r="AJ911" s="128"/>
      <c r="AY911" s="128"/>
      <c r="BN911" s="128"/>
      <c r="BQ911" s="128"/>
      <c r="BR911" s="128"/>
      <c r="BT911" s="128"/>
      <c r="BV911" s="128"/>
      <c r="BX911" s="128"/>
      <c r="CU911" s="128"/>
      <c r="CW911" s="128"/>
      <c r="DN911" s="128"/>
      <c r="DP911" s="128"/>
      <c r="DR911" s="128"/>
      <c r="DV911" s="128"/>
      <c r="DX911" s="128"/>
      <c r="DY911" s="128"/>
      <c r="EA911" s="128"/>
      <c r="EB911" s="128"/>
      <c r="EC911" s="128"/>
      <c r="EG911" s="128"/>
      <c r="EL911" s="128"/>
      <c r="EM911" s="128"/>
      <c r="EO911" s="128"/>
      <c r="EQ911" s="128"/>
      <c r="ES911" s="128"/>
      <c r="EU911" s="128"/>
      <c r="EW911" s="128"/>
      <c r="EY911" s="128"/>
    </row>
    <row r="912" spans="3:155">
      <c r="C912" s="128"/>
      <c r="D912" s="128"/>
      <c r="E912" s="128"/>
      <c r="F912" s="128" t="str">
        <f>IF(E912 &lt;&gt; "", VLOOKUP(E912, '[2]Internal-logic'!G$1:I$364, 2, FALSE),"")</f>
        <v/>
      </c>
      <c r="G912" s="128" t="str">
        <f>IF(E912 &lt;&gt; "", VLOOKUP(E912, '[2]Internal-logic'!G$1:I$364, 3, FALSE),"")</f>
        <v/>
      </c>
      <c r="H912" s="128"/>
      <c r="I912" s="128"/>
      <c r="J912" s="128"/>
      <c r="K912" s="128"/>
      <c r="Q912" s="128"/>
      <c r="R912" s="128"/>
      <c r="S912" s="128"/>
      <c r="U912" s="128"/>
      <c r="X912" s="128"/>
      <c r="Y912" s="128"/>
      <c r="Z912" s="128"/>
      <c r="AA912" s="128"/>
      <c r="AB912" s="128"/>
      <c r="AC912" s="128"/>
      <c r="AD912" s="128"/>
      <c r="AE912" s="128"/>
      <c r="AF912" s="128"/>
      <c r="AG912" s="128"/>
      <c r="AI912" s="128"/>
      <c r="AJ912" s="128"/>
      <c r="AY912" s="128"/>
      <c r="BN912" s="128"/>
      <c r="BQ912" s="128"/>
      <c r="BR912" s="128"/>
      <c r="BT912" s="128"/>
      <c r="BV912" s="128"/>
      <c r="BX912" s="128"/>
      <c r="CU912" s="128"/>
      <c r="CW912" s="128"/>
      <c r="DN912" s="128"/>
      <c r="DP912" s="128"/>
      <c r="DR912" s="128"/>
      <c r="DV912" s="128"/>
      <c r="DX912" s="128"/>
      <c r="DY912" s="128"/>
      <c r="EA912" s="128"/>
      <c r="EB912" s="128"/>
      <c r="EC912" s="128"/>
      <c r="EG912" s="128"/>
      <c r="EL912" s="128"/>
      <c r="EM912" s="128"/>
      <c r="EO912" s="128"/>
      <c r="EQ912" s="128"/>
      <c r="ES912" s="128"/>
      <c r="EU912" s="128"/>
      <c r="EW912" s="128"/>
      <c r="EY912" s="128"/>
    </row>
    <row r="913" spans="3:155">
      <c r="C913" s="128"/>
      <c r="D913" s="128"/>
      <c r="E913" s="128"/>
      <c r="F913" s="128" t="str">
        <f>IF(E913 &lt;&gt; "", VLOOKUP(E913, '[2]Internal-logic'!G$1:I$364, 2, FALSE),"")</f>
        <v/>
      </c>
      <c r="G913" s="128" t="str">
        <f>IF(E913 &lt;&gt; "", VLOOKUP(E913, '[2]Internal-logic'!G$1:I$364, 3, FALSE),"")</f>
        <v/>
      </c>
      <c r="H913" s="128"/>
      <c r="I913" s="128"/>
      <c r="J913" s="128"/>
      <c r="K913" s="128"/>
      <c r="Q913" s="128"/>
      <c r="R913" s="128"/>
      <c r="S913" s="128"/>
      <c r="U913" s="128"/>
      <c r="X913" s="128"/>
      <c r="Y913" s="128"/>
      <c r="Z913" s="128"/>
      <c r="AA913" s="128"/>
      <c r="AB913" s="128"/>
      <c r="AC913" s="128"/>
      <c r="AD913" s="128"/>
      <c r="AE913" s="128"/>
      <c r="AF913" s="128"/>
      <c r="AG913" s="128"/>
      <c r="AI913" s="128"/>
      <c r="AJ913" s="128"/>
      <c r="AY913" s="128"/>
      <c r="BN913" s="128"/>
      <c r="BQ913" s="128"/>
      <c r="BR913" s="128"/>
      <c r="BT913" s="128"/>
      <c r="BV913" s="128"/>
      <c r="BX913" s="128"/>
      <c r="CU913" s="128"/>
      <c r="CW913" s="128"/>
      <c r="DN913" s="128"/>
      <c r="DP913" s="128"/>
      <c r="DR913" s="128"/>
      <c r="DV913" s="128"/>
      <c r="DX913" s="128"/>
      <c r="DY913" s="128"/>
      <c r="EA913" s="128"/>
      <c r="EB913" s="128"/>
      <c r="EC913" s="128"/>
      <c r="EG913" s="128"/>
      <c r="EL913" s="128"/>
      <c r="EM913" s="128"/>
      <c r="EO913" s="128"/>
      <c r="EQ913" s="128"/>
      <c r="ES913" s="128"/>
      <c r="EU913" s="128"/>
      <c r="EW913" s="128"/>
      <c r="EY913" s="128"/>
    </row>
    <row r="914" spans="3:155">
      <c r="C914" s="128"/>
      <c r="D914" s="128"/>
      <c r="E914" s="128"/>
      <c r="F914" s="128" t="str">
        <f>IF(E914 &lt;&gt; "", VLOOKUP(E914, '[2]Internal-logic'!G$1:I$364, 2, FALSE),"")</f>
        <v/>
      </c>
      <c r="G914" s="128" t="str">
        <f>IF(E914 &lt;&gt; "", VLOOKUP(E914, '[2]Internal-logic'!G$1:I$364, 3, FALSE),"")</f>
        <v/>
      </c>
      <c r="H914" s="128"/>
      <c r="I914" s="128"/>
      <c r="J914" s="128"/>
      <c r="K914" s="128"/>
      <c r="Q914" s="128"/>
      <c r="R914" s="128"/>
      <c r="S914" s="128"/>
      <c r="U914" s="128"/>
      <c r="X914" s="128"/>
      <c r="Y914" s="128"/>
      <c r="Z914" s="128"/>
      <c r="AA914" s="128"/>
      <c r="AB914" s="128"/>
      <c r="AC914" s="128"/>
      <c r="AD914" s="128"/>
      <c r="AE914" s="128"/>
      <c r="AF914" s="128"/>
      <c r="AG914" s="128"/>
      <c r="AI914" s="128"/>
      <c r="AJ914" s="128"/>
      <c r="AY914" s="128"/>
      <c r="BN914" s="128"/>
      <c r="BQ914" s="128"/>
      <c r="BR914" s="128"/>
      <c r="BT914" s="128"/>
      <c r="BV914" s="128"/>
      <c r="BX914" s="128"/>
      <c r="CU914" s="128"/>
      <c r="CW914" s="128"/>
      <c r="DN914" s="128"/>
      <c r="DP914" s="128"/>
      <c r="DR914" s="128"/>
      <c r="DV914" s="128"/>
      <c r="DX914" s="128"/>
      <c r="DY914" s="128"/>
      <c r="EA914" s="128"/>
      <c r="EB914" s="128"/>
      <c r="EC914" s="128"/>
      <c r="EG914" s="128"/>
      <c r="EL914" s="128"/>
      <c r="EM914" s="128"/>
      <c r="EO914" s="128"/>
      <c r="EQ914" s="128"/>
      <c r="ES914" s="128"/>
      <c r="EU914" s="128"/>
      <c r="EW914" s="128"/>
      <c r="EY914" s="128"/>
    </row>
    <row r="915" spans="3:155">
      <c r="C915" s="128"/>
      <c r="D915" s="128"/>
      <c r="E915" s="128"/>
      <c r="F915" s="128" t="str">
        <f>IF(E915 &lt;&gt; "", VLOOKUP(E915, '[2]Internal-logic'!G$1:I$364, 2, FALSE),"")</f>
        <v/>
      </c>
      <c r="G915" s="128" t="str">
        <f>IF(E915 &lt;&gt; "", VLOOKUP(E915, '[2]Internal-logic'!G$1:I$364, 3, FALSE),"")</f>
        <v/>
      </c>
      <c r="H915" s="128"/>
      <c r="I915" s="128"/>
      <c r="J915" s="128"/>
      <c r="K915" s="128"/>
      <c r="Q915" s="128"/>
      <c r="R915" s="128"/>
      <c r="S915" s="128"/>
      <c r="U915" s="128"/>
      <c r="X915" s="128"/>
      <c r="Y915" s="128"/>
      <c r="Z915" s="128"/>
      <c r="AA915" s="128"/>
      <c r="AB915" s="128"/>
      <c r="AC915" s="128"/>
      <c r="AD915" s="128"/>
      <c r="AE915" s="128"/>
      <c r="AF915" s="128"/>
      <c r="AG915" s="128"/>
      <c r="AI915" s="128"/>
      <c r="AJ915" s="128"/>
      <c r="AY915" s="128"/>
      <c r="BN915" s="128"/>
      <c r="BQ915" s="128"/>
      <c r="BR915" s="128"/>
      <c r="BT915" s="128"/>
      <c r="BV915" s="128"/>
      <c r="BX915" s="128"/>
      <c r="CU915" s="128"/>
      <c r="CW915" s="128"/>
      <c r="DN915" s="128"/>
      <c r="DP915" s="128"/>
      <c r="DR915" s="128"/>
      <c r="DV915" s="128"/>
      <c r="DX915" s="128"/>
      <c r="DY915" s="128"/>
      <c r="EA915" s="128"/>
      <c r="EB915" s="128"/>
      <c r="EC915" s="128"/>
      <c r="EG915" s="128"/>
      <c r="EL915" s="128"/>
      <c r="EM915" s="128"/>
      <c r="EO915" s="128"/>
      <c r="EQ915" s="128"/>
      <c r="ES915" s="128"/>
      <c r="EU915" s="128"/>
      <c r="EW915" s="128"/>
      <c r="EY915" s="128"/>
    </row>
    <row r="916" spans="3:155">
      <c r="C916" s="128"/>
      <c r="D916" s="128"/>
      <c r="E916" s="128"/>
      <c r="F916" s="128" t="str">
        <f>IF(E916 &lt;&gt; "", VLOOKUP(E916, '[2]Internal-logic'!G$1:I$364, 2, FALSE),"")</f>
        <v/>
      </c>
      <c r="G916" s="128" t="str">
        <f>IF(E916 &lt;&gt; "", VLOOKUP(E916, '[2]Internal-logic'!G$1:I$364, 3, FALSE),"")</f>
        <v/>
      </c>
      <c r="H916" s="128"/>
      <c r="I916" s="128"/>
      <c r="J916" s="128"/>
      <c r="K916" s="128"/>
      <c r="Q916" s="128"/>
      <c r="R916" s="128"/>
      <c r="S916" s="128"/>
      <c r="U916" s="128"/>
      <c r="X916" s="128"/>
      <c r="Y916" s="128"/>
      <c r="Z916" s="128"/>
      <c r="AA916" s="128"/>
      <c r="AB916" s="128"/>
      <c r="AC916" s="128"/>
      <c r="AD916" s="128"/>
      <c r="AE916" s="128"/>
      <c r="AF916" s="128"/>
      <c r="AG916" s="128"/>
      <c r="AI916" s="128"/>
      <c r="AJ916" s="128"/>
      <c r="AY916" s="128"/>
      <c r="BN916" s="128"/>
      <c r="BQ916" s="128"/>
      <c r="BR916" s="128"/>
      <c r="BT916" s="128"/>
      <c r="BV916" s="128"/>
      <c r="BX916" s="128"/>
      <c r="CU916" s="128"/>
      <c r="CW916" s="128"/>
      <c r="DN916" s="128"/>
      <c r="DP916" s="128"/>
      <c r="DR916" s="128"/>
      <c r="DV916" s="128"/>
      <c r="DX916" s="128"/>
      <c r="DY916" s="128"/>
      <c r="EA916" s="128"/>
      <c r="EB916" s="128"/>
      <c r="EC916" s="128"/>
      <c r="EG916" s="128"/>
      <c r="EL916" s="128"/>
      <c r="EM916" s="128"/>
      <c r="EO916" s="128"/>
      <c r="EQ916" s="128"/>
      <c r="ES916" s="128"/>
      <c r="EU916" s="128"/>
      <c r="EW916" s="128"/>
      <c r="EY916" s="128"/>
    </row>
    <row r="917" spans="3:155">
      <c r="C917" s="128"/>
      <c r="D917" s="128"/>
      <c r="E917" s="128"/>
      <c r="F917" s="128" t="str">
        <f>IF(E917 &lt;&gt; "", VLOOKUP(E917, '[2]Internal-logic'!G$1:I$364, 2, FALSE),"")</f>
        <v/>
      </c>
      <c r="G917" s="128" t="str">
        <f>IF(E917 &lt;&gt; "", VLOOKUP(E917, '[2]Internal-logic'!G$1:I$364, 3, FALSE),"")</f>
        <v/>
      </c>
      <c r="H917" s="128"/>
      <c r="I917" s="128"/>
      <c r="J917" s="128"/>
      <c r="K917" s="128"/>
      <c r="Q917" s="128"/>
      <c r="R917" s="128"/>
      <c r="S917" s="128"/>
      <c r="U917" s="128"/>
      <c r="X917" s="128"/>
      <c r="Y917" s="128"/>
      <c r="Z917" s="128"/>
      <c r="AA917" s="128"/>
      <c r="AB917" s="128"/>
      <c r="AC917" s="128"/>
      <c r="AD917" s="128"/>
      <c r="AE917" s="128"/>
      <c r="AF917" s="128"/>
      <c r="AG917" s="128"/>
      <c r="AI917" s="128"/>
      <c r="AJ917" s="128"/>
      <c r="AY917" s="128"/>
      <c r="BN917" s="128"/>
      <c r="BQ917" s="128"/>
      <c r="BR917" s="128"/>
      <c r="BT917" s="128"/>
      <c r="BV917" s="128"/>
      <c r="BX917" s="128"/>
      <c r="CU917" s="128"/>
      <c r="CW917" s="128"/>
      <c r="DN917" s="128"/>
      <c r="DP917" s="128"/>
      <c r="DR917" s="128"/>
      <c r="DV917" s="128"/>
      <c r="DX917" s="128"/>
      <c r="DY917" s="128"/>
      <c r="EA917" s="128"/>
      <c r="EB917" s="128"/>
      <c r="EC917" s="128"/>
      <c r="EG917" s="128"/>
      <c r="EL917" s="128"/>
      <c r="EM917" s="128"/>
      <c r="EO917" s="128"/>
      <c r="EQ917" s="128"/>
      <c r="ES917" s="128"/>
      <c r="EU917" s="128"/>
      <c r="EW917" s="128"/>
      <c r="EY917" s="128"/>
    </row>
    <row r="918" spans="3:155">
      <c r="C918" s="128"/>
      <c r="D918" s="128"/>
      <c r="E918" s="128"/>
      <c r="F918" s="128" t="str">
        <f>IF(E918 &lt;&gt; "", VLOOKUP(E918, '[2]Internal-logic'!G$1:I$364, 2, FALSE),"")</f>
        <v/>
      </c>
      <c r="G918" s="128" t="str">
        <f>IF(E918 &lt;&gt; "", VLOOKUP(E918, '[2]Internal-logic'!G$1:I$364, 3, FALSE),"")</f>
        <v/>
      </c>
      <c r="H918" s="128"/>
      <c r="I918" s="128"/>
      <c r="J918" s="128"/>
      <c r="K918" s="128"/>
      <c r="Q918" s="128"/>
      <c r="R918" s="128"/>
      <c r="S918" s="128"/>
      <c r="U918" s="128"/>
      <c r="X918" s="128"/>
      <c r="Y918" s="128"/>
      <c r="Z918" s="128"/>
      <c r="AA918" s="128"/>
      <c r="AB918" s="128"/>
      <c r="AC918" s="128"/>
      <c r="AD918" s="128"/>
      <c r="AE918" s="128"/>
      <c r="AF918" s="128"/>
      <c r="AG918" s="128"/>
      <c r="AI918" s="128"/>
      <c r="AJ918" s="128"/>
      <c r="AY918" s="128"/>
      <c r="BN918" s="128"/>
      <c r="BQ918" s="128"/>
      <c r="BR918" s="128"/>
      <c r="BT918" s="128"/>
      <c r="BV918" s="128"/>
      <c r="BX918" s="128"/>
      <c r="CU918" s="128"/>
      <c r="CW918" s="128"/>
      <c r="DN918" s="128"/>
      <c r="DP918" s="128"/>
      <c r="DR918" s="128"/>
      <c r="DV918" s="128"/>
      <c r="DX918" s="128"/>
      <c r="DY918" s="128"/>
      <c r="EA918" s="128"/>
      <c r="EB918" s="128"/>
      <c r="EC918" s="128"/>
      <c r="EG918" s="128"/>
      <c r="EL918" s="128"/>
      <c r="EM918" s="128"/>
      <c r="EO918" s="128"/>
      <c r="EQ918" s="128"/>
      <c r="ES918" s="128"/>
      <c r="EU918" s="128"/>
      <c r="EW918" s="128"/>
      <c r="EY918" s="128"/>
    </row>
    <row r="919" spans="3:155">
      <c r="C919" s="128"/>
      <c r="D919" s="128"/>
      <c r="E919" s="128"/>
      <c r="F919" s="128" t="str">
        <f>IF(E919 &lt;&gt; "", VLOOKUP(E919, '[2]Internal-logic'!G$1:I$364, 2, FALSE),"")</f>
        <v/>
      </c>
      <c r="G919" s="128" t="str">
        <f>IF(E919 &lt;&gt; "", VLOOKUP(E919, '[2]Internal-logic'!G$1:I$364, 3, FALSE),"")</f>
        <v/>
      </c>
      <c r="H919" s="128"/>
      <c r="I919" s="128"/>
      <c r="J919" s="128"/>
      <c r="K919" s="128"/>
      <c r="Q919" s="128"/>
      <c r="R919" s="128"/>
      <c r="S919" s="128"/>
      <c r="U919" s="128"/>
      <c r="X919" s="128"/>
      <c r="Y919" s="128"/>
      <c r="Z919" s="128"/>
      <c r="AA919" s="128"/>
      <c r="AB919" s="128"/>
      <c r="AC919" s="128"/>
      <c r="AD919" s="128"/>
      <c r="AE919" s="128"/>
      <c r="AF919" s="128"/>
      <c r="AG919" s="128"/>
      <c r="AI919" s="128"/>
      <c r="AJ919" s="128"/>
      <c r="AY919" s="128"/>
      <c r="BN919" s="128"/>
      <c r="BQ919" s="128"/>
      <c r="BR919" s="128"/>
      <c r="BT919" s="128"/>
      <c r="BV919" s="128"/>
      <c r="BX919" s="128"/>
      <c r="CU919" s="128"/>
      <c r="CW919" s="128"/>
      <c r="DN919" s="128"/>
      <c r="DP919" s="128"/>
      <c r="DR919" s="128"/>
      <c r="DV919" s="128"/>
      <c r="DX919" s="128"/>
      <c r="DY919" s="128"/>
      <c r="EA919" s="128"/>
      <c r="EB919" s="128"/>
      <c r="EC919" s="128"/>
      <c r="EG919" s="128"/>
      <c r="EL919" s="128"/>
      <c r="EM919" s="128"/>
      <c r="EO919" s="128"/>
      <c r="EQ919" s="128"/>
      <c r="ES919" s="128"/>
      <c r="EU919" s="128"/>
      <c r="EW919" s="128"/>
      <c r="EY919" s="128"/>
    </row>
    <row r="920" spans="3:155">
      <c r="C920" s="128"/>
      <c r="D920" s="128"/>
      <c r="E920" s="128"/>
      <c r="F920" s="128" t="str">
        <f>IF(E920 &lt;&gt; "", VLOOKUP(E920, '[2]Internal-logic'!G$1:I$364, 2, FALSE),"")</f>
        <v/>
      </c>
      <c r="G920" s="128" t="str">
        <f>IF(E920 &lt;&gt; "", VLOOKUP(E920, '[2]Internal-logic'!G$1:I$364, 3, FALSE),"")</f>
        <v/>
      </c>
      <c r="H920" s="128"/>
      <c r="I920" s="128"/>
      <c r="J920" s="128"/>
      <c r="K920" s="128"/>
      <c r="Q920" s="128"/>
      <c r="R920" s="128"/>
      <c r="S920" s="128"/>
      <c r="U920" s="128"/>
      <c r="X920" s="128"/>
      <c r="Y920" s="128"/>
      <c r="Z920" s="128"/>
      <c r="AA920" s="128"/>
      <c r="AB920" s="128"/>
      <c r="AC920" s="128"/>
      <c r="AD920" s="128"/>
      <c r="AE920" s="128"/>
      <c r="AF920" s="128"/>
      <c r="AG920" s="128"/>
      <c r="AI920" s="128"/>
      <c r="AJ920" s="128"/>
      <c r="AY920" s="128"/>
      <c r="BN920" s="128"/>
      <c r="BQ920" s="128"/>
      <c r="BR920" s="128"/>
      <c r="BT920" s="128"/>
      <c r="BV920" s="128"/>
      <c r="BX920" s="128"/>
      <c r="CU920" s="128"/>
      <c r="CW920" s="128"/>
      <c r="DN920" s="128"/>
      <c r="DP920" s="128"/>
      <c r="DR920" s="128"/>
      <c r="DV920" s="128"/>
      <c r="DX920" s="128"/>
      <c r="DY920" s="128"/>
      <c r="EA920" s="128"/>
      <c r="EB920" s="128"/>
      <c r="EC920" s="128"/>
      <c r="EG920" s="128"/>
      <c r="EL920" s="128"/>
      <c r="EM920" s="128"/>
      <c r="EO920" s="128"/>
      <c r="EQ920" s="128"/>
      <c r="ES920" s="128"/>
      <c r="EU920" s="128"/>
      <c r="EW920" s="128"/>
      <c r="EY920" s="128"/>
    </row>
    <row r="921" spans="3:155">
      <c r="C921" s="128"/>
      <c r="D921" s="128"/>
      <c r="E921" s="128"/>
      <c r="F921" s="128" t="str">
        <f>IF(E921 &lt;&gt; "", VLOOKUP(E921, '[2]Internal-logic'!G$1:I$364, 2, FALSE),"")</f>
        <v/>
      </c>
      <c r="G921" s="128" t="str">
        <f>IF(E921 &lt;&gt; "", VLOOKUP(E921, '[2]Internal-logic'!G$1:I$364, 3, FALSE),"")</f>
        <v/>
      </c>
      <c r="H921" s="128"/>
      <c r="I921" s="128"/>
      <c r="J921" s="128"/>
      <c r="K921" s="128"/>
      <c r="Q921" s="128"/>
      <c r="R921" s="128"/>
      <c r="S921" s="128"/>
      <c r="U921" s="128"/>
      <c r="X921" s="128"/>
      <c r="Y921" s="128"/>
      <c r="Z921" s="128"/>
      <c r="AA921" s="128"/>
      <c r="AB921" s="128"/>
      <c r="AC921" s="128"/>
      <c r="AD921" s="128"/>
      <c r="AE921" s="128"/>
      <c r="AF921" s="128"/>
      <c r="AG921" s="128"/>
      <c r="AI921" s="128"/>
      <c r="AJ921" s="128"/>
      <c r="AY921" s="128"/>
      <c r="BN921" s="128"/>
      <c r="BQ921" s="128"/>
      <c r="BR921" s="128"/>
      <c r="BT921" s="128"/>
      <c r="BV921" s="128"/>
      <c r="BX921" s="128"/>
      <c r="CU921" s="128"/>
      <c r="CW921" s="128"/>
      <c r="DN921" s="128"/>
      <c r="DP921" s="128"/>
      <c r="DR921" s="128"/>
      <c r="DV921" s="128"/>
      <c r="DX921" s="128"/>
      <c r="DY921" s="128"/>
      <c r="EA921" s="128"/>
      <c r="EB921" s="128"/>
      <c r="EC921" s="128"/>
      <c r="EG921" s="128"/>
      <c r="EL921" s="128"/>
      <c r="EM921" s="128"/>
      <c r="EO921" s="128"/>
      <c r="EQ921" s="128"/>
      <c r="ES921" s="128"/>
      <c r="EU921" s="128"/>
      <c r="EW921" s="128"/>
      <c r="EY921" s="128"/>
    </row>
    <row r="922" spans="3:155">
      <c r="C922" s="128"/>
      <c r="D922" s="128"/>
      <c r="E922" s="128"/>
      <c r="F922" s="128" t="str">
        <f>IF(E922 &lt;&gt; "", VLOOKUP(E922, '[2]Internal-logic'!G$1:I$364, 2, FALSE),"")</f>
        <v/>
      </c>
      <c r="G922" s="128" t="str">
        <f>IF(E922 &lt;&gt; "", VLOOKUP(E922, '[2]Internal-logic'!G$1:I$364, 3, FALSE),"")</f>
        <v/>
      </c>
      <c r="H922" s="128"/>
      <c r="I922" s="128"/>
      <c r="J922" s="128"/>
      <c r="K922" s="128"/>
      <c r="Q922" s="128"/>
      <c r="R922" s="128"/>
      <c r="S922" s="128"/>
      <c r="U922" s="128"/>
      <c r="X922" s="128"/>
      <c r="Y922" s="128"/>
      <c r="Z922" s="128"/>
      <c r="AA922" s="128"/>
      <c r="AB922" s="128"/>
      <c r="AC922" s="128"/>
      <c r="AD922" s="128"/>
      <c r="AE922" s="128"/>
      <c r="AF922" s="128"/>
      <c r="AG922" s="128"/>
      <c r="AI922" s="128"/>
      <c r="AJ922" s="128"/>
      <c r="AY922" s="128"/>
      <c r="BN922" s="128"/>
      <c r="BQ922" s="128"/>
      <c r="BR922" s="128"/>
      <c r="BT922" s="128"/>
      <c r="BV922" s="128"/>
      <c r="BX922" s="128"/>
      <c r="CU922" s="128"/>
      <c r="CW922" s="128"/>
      <c r="DN922" s="128"/>
      <c r="DP922" s="128"/>
      <c r="DR922" s="128"/>
      <c r="DV922" s="128"/>
      <c r="DX922" s="128"/>
      <c r="DY922" s="128"/>
      <c r="EA922" s="128"/>
      <c r="EB922" s="128"/>
      <c r="EC922" s="128"/>
      <c r="EG922" s="128"/>
      <c r="EL922" s="128"/>
      <c r="EM922" s="128"/>
      <c r="EO922" s="128"/>
      <c r="EQ922" s="128"/>
      <c r="ES922" s="128"/>
      <c r="EU922" s="128"/>
      <c r="EW922" s="128"/>
      <c r="EY922" s="128"/>
    </row>
    <row r="923" spans="3:155">
      <c r="C923" s="128"/>
      <c r="D923" s="128"/>
      <c r="E923" s="128"/>
      <c r="F923" s="128" t="str">
        <f>IF(E923 &lt;&gt; "", VLOOKUP(E923, '[2]Internal-logic'!G$1:I$364, 2, FALSE),"")</f>
        <v/>
      </c>
      <c r="G923" s="128" t="str">
        <f>IF(E923 &lt;&gt; "", VLOOKUP(E923, '[2]Internal-logic'!G$1:I$364, 3, FALSE),"")</f>
        <v/>
      </c>
      <c r="H923" s="128"/>
      <c r="I923" s="128"/>
      <c r="J923" s="128"/>
      <c r="K923" s="128"/>
      <c r="Q923" s="128"/>
      <c r="R923" s="128"/>
      <c r="S923" s="128"/>
      <c r="U923" s="128"/>
      <c r="X923" s="128"/>
      <c r="Y923" s="128"/>
      <c r="Z923" s="128"/>
      <c r="AA923" s="128"/>
      <c r="AB923" s="128"/>
      <c r="AC923" s="128"/>
      <c r="AD923" s="128"/>
      <c r="AE923" s="128"/>
      <c r="AF923" s="128"/>
      <c r="AG923" s="128"/>
      <c r="AI923" s="128"/>
      <c r="AJ923" s="128"/>
      <c r="AY923" s="128"/>
      <c r="BN923" s="128"/>
      <c r="BQ923" s="128"/>
      <c r="BR923" s="128"/>
      <c r="BT923" s="128"/>
      <c r="BV923" s="128"/>
      <c r="BX923" s="128"/>
      <c r="CU923" s="128"/>
      <c r="CW923" s="128"/>
      <c r="DN923" s="128"/>
      <c r="DP923" s="128"/>
      <c r="DR923" s="128"/>
      <c r="DV923" s="128"/>
      <c r="DX923" s="128"/>
      <c r="DY923" s="128"/>
      <c r="EA923" s="128"/>
      <c r="EB923" s="128"/>
      <c r="EC923" s="128"/>
      <c r="EG923" s="128"/>
      <c r="EL923" s="128"/>
      <c r="EM923" s="128"/>
      <c r="EO923" s="128"/>
      <c r="EQ923" s="128"/>
      <c r="ES923" s="128"/>
      <c r="EU923" s="128"/>
      <c r="EW923" s="128"/>
      <c r="EY923" s="128"/>
    </row>
    <row r="924" spans="3:155">
      <c r="C924" s="128"/>
      <c r="D924" s="128"/>
      <c r="E924" s="128"/>
      <c r="F924" s="128" t="str">
        <f>IF(E924 &lt;&gt; "", VLOOKUP(E924, '[2]Internal-logic'!G$1:I$364, 2, FALSE),"")</f>
        <v/>
      </c>
      <c r="G924" s="128" t="str">
        <f>IF(E924 &lt;&gt; "", VLOOKUP(E924, '[2]Internal-logic'!G$1:I$364, 3, FALSE),"")</f>
        <v/>
      </c>
      <c r="H924" s="128"/>
      <c r="I924" s="128"/>
      <c r="J924" s="128"/>
      <c r="K924" s="128"/>
      <c r="Q924" s="128"/>
      <c r="R924" s="128"/>
      <c r="S924" s="128"/>
      <c r="U924" s="128"/>
      <c r="X924" s="128"/>
      <c r="Y924" s="128"/>
      <c r="Z924" s="128"/>
      <c r="AA924" s="128"/>
      <c r="AB924" s="128"/>
      <c r="AC924" s="128"/>
      <c r="AD924" s="128"/>
      <c r="AE924" s="128"/>
      <c r="AF924" s="128"/>
      <c r="AG924" s="128"/>
      <c r="AI924" s="128"/>
      <c r="AJ924" s="128"/>
      <c r="AY924" s="128"/>
      <c r="BN924" s="128"/>
      <c r="BQ924" s="128"/>
      <c r="BR924" s="128"/>
      <c r="BT924" s="128"/>
      <c r="BV924" s="128"/>
      <c r="BX924" s="128"/>
      <c r="CU924" s="128"/>
      <c r="CW924" s="128"/>
      <c r="DN924" s="128"/>
      <c r="DP924" s="128"/>
      <c r="DR924" s="128"/>
      <c r="DV924" s="128"/>
      <c r="DX924" s="128"/>
      <c r="DY924" s="128"/>
      <c r="EA924" s="128"/>
      <c r="EB924" s="128"/>
      <c r="EC924" s="128"/>
      <c r="EG924" s="128"/>
      <c r="EL924" s="128"/>
      <c r="EM924" s="128"/>
      <c r="EO924" s="128"/>
      <c r="EQ924" s="128"/>
      <c r="ES924" s="128"/>
      <c r="EU924" s="128"/>
      <c r="EW924" s="128"/>
      <c r="EY924" s="128"/>
    </row>
    <row r="925" spans="3:155">
      <c r="C925" s="128"/>
      <c r="D925" s="128"/>
      <c r="E925" s="128"/>
      <c r="F925" s="128" t="str">
        <f>IF(E925 &lt;&gt; "", VLOOKUP(E925, '[2]Internal-logic'!G$1:I$364, 2, FALSE),"")</f>
        <v/>
      </c>
      <c r="G925" s="128" t="str">
        <f>IF(E925 &lt;&gt; "", VLOOKUP(E925, '[2]Internal-logic'!G$1:I$364, 3, FALSE),"")</f>
        <v/>
      </c>
      <c r="H925" s="128"/>
      <c r="I925" s="128"/>
      <c r="J925" s="128"/>
      <c r="K925" s="128"/>
      <c r="Q925" s="128"/>
      <c r="R925" s="128"/>
      <c r="S925" s="128"/>
      <c r="U925" s="128"/>
      <c r="X925" s="128"/>
      <c r="Y925" s="128"/>
      <c r="Z925" s="128"/>
      <c r="AA925" s="128"/>
      <c r="AB925" s="128"/>
      <c r="AC925" s="128"/>
      <c r="AD925" s="128"/>
      <c r="AE925" s="128"/>
      <c r="AF925" s="128"/>
      <c r="AG925" s="128"/>
      <c r="AI925" s="128"/>
      <c r="AJ925" s="128"/>
      <c r="AY925" s="128"/>
      <c r="BN925" s="128"/>
      <c r="BQ925" s="128"/>
      <c r="BR925" s="128"/>
      <c r="BT925" s="128"/>
      <c r="BV925" s="128"/>
      <c r="BX925" s="128"/>
      <c r="CU925" s="128"/>
      <c r="CW925" s="128"/>
      <c r="DN925" s="128"/>
      <c r="DP925" s="128"/>
      <c r="DR925" s="128"/>
      <c r="DV925" s="128"/>
      <c r="DX925" s="128"/>
      <c r="DY925" s="128"/>
      <c r="EA925" s="128"/>
      <c r="EB925" s="128"/>
      <c r="EC925" s="128"/>
      <c r="EG925" s="128"/>
      <c r="EL925" s="128"/>
      <c r="EM925" s="128"/>
      <c r="EO925" s="128"/>
      <c r="EQ925" s="128"/>
      <c r="ES925" s="128"/>
      <c r="EU925" s="128"/>
      <c r="EW925" s="128"/>
      <c r="EY925" s="128"/>
    </row>
    <row r="926" spans="3:155">
      <c r="C926" s="128"/>
      <c r="D926" s="128"/>
      <c r="E926" s="128"/>
      <c r="F926" s="128" t="str">
        <f>IF(E926 &lt;&gt; "", VLOOKUP(E926, '[2]Internal-logic'!G$1:I$364, 2, FALSE),"")</f>
        <v/>
      </c>
      <c r="G926" s="128" t="str">
        <f>IF(E926 &lt;&gt; "", VLOOKUP(E926, '[2]Internal-logic'!G$1:I$364, 3, FALSE),"")</f>
        <v/>
      </c>
      <c r="H926" s="128"/>
      <c r="I926" s="128"/>
      <c r="J926" s="128"/>
      <c r="K926" s="128"/>
      <c r="Q926" s="128"/>
      <c r="R926" s="128"/>
      <c r="S926" s="128"/>
      <c r="U926" s="128"/>
      <c r="X926" s="128"/>
      <c r="Y926" s="128"/>
      <c r="Z926" s="128"/>
      <c r="AA926" s="128"/>
      <c r="AB926" s="128"/>
      <c r="AC926" s="128"/>
      <c r="AD926" s="128"/>
      <c r="AE926" s="128"/>
      <c r="AF926" s="128"/>
      <c r="AG926" s="128"/>
      <c r="AI926" s="128"/>
      <c r="AJ926" s="128"/>
      <c r="AY926" s="128"/>
      <c r="BN926" s="128"/>
      <c r="BQ926" s="128"/>
      <c r="BR926" s="128"/>
      <c r="BT926" s="128"/>
      <c r="BV926" s="128"/>
      <c r="BX926" s="128"/>
      <c r="CU926" s="128"/>
      <c r="CW926" s="128"/>
      <c r="DN926" s="128"/>
      <c r="DP926" s="128"/>
      <c r="DR926" s="128"/>
      <c r="DV926" s="128"/>
      <c r="DX926" s="128"/>
      <c r="DY926" s="128"/>
      <c r="EA926" s="128"/>
      <c r="EB926" s="128"/>
      <c r="EC926" s="128"/>
      <c r="EG926" s="128"/>
      <c r="EL926" s="128"/>
      <c r="EM926" s="128"/>
      <c r="EO926" s="128"/>
      <c r="EQ926" s="128"/>
      <c r="ES926" s="128"/>
      <c r="EU926" s="128"/>
      <c r="EW926" s="128"/>
      <c r="EY926" s="128"/>
    </row>
    <row r="927" spans="3:155">
      <c r="C927" s="128"/>
      <c r="D927" s="128"/>
      <c r="E927" s="128"/>
      <c r="F927" s="128" t="str">
        <f>IF(E927 &lt;&gt; "", VLOOKUP(E927, '[2]Internal-logic'!G$1:I$364, 2, FALSE),"")</f>
        <v/>
      </c>
      <c r="G927" s="128" t="str">
        <f>IF(E927 &lt;&gt; "", VLOOKUP(E927, '[2]Internal-logic'!G$1:I$364, 3, FALSE),"")</f>
        <v/>
      </c>
      <c r="H927" s="128"/>
      <c r="I927" s="128"/>
      <c r="J927" s="128"/>
      <c r="K927" s="128"/>
      <c r="Q927" s="128"/>
      <c r="R927" s="128"/>
      <c r="S927" s="128"/>
      <c r="U927" s="128"/>
      <c r="X927" s="128"/>
      <c r="Y927" s="128"/>
      <c r="Z927" s="128"/>
      <c r="AA927" s="128"/>
      <c r="AB927" s="128"/>
      <c r="AC927" s="128"/>
      <c r="AD927" s="128"/>
      <c r="AE927" s="128"/>
      <c r="AF927" s="128"/>
      <c r="AG927" s="128"/>
      <c r="AI927" s="128"/>
      <c r="AJ927" s="128"/>
      <c r="AY927" s="128"/>
      <c r="BN927" s="128"/>
      <c r="BQ927" s="128"/>
      <c r="BR927" s="128"/>
      <c r="BT927" s="128"/>
      <c r="BV927" s="128"/>
      <c r="BX927" s="128"/>
      <c r="CU927" s="128"/>
      <c r="CW927" s="128"/>
      <c r="DN927" s="128"/>
      <c r="DP927" s="128"/>
      <c r="DR927" s="128"/>
      <c r="DV927" s="128"/>
      <c r="DX927" s="128"/>
      <c r="DY927" s="128"/>
      <c r="EA927" s="128"/>
      <c r="EB927" s="128"/>
      <c r="EC927" s="128"/>
      <c r="EG927" s="128"/>
      <c r="EL927" s="128"/>
      <c r="EM927" s="128"/>
      <c r="EO927" s="128"/>
      <c r="EQ927" s="128"/>
      <c r="ES927" s="128"/>
      <c r="EU927" s="128"/>
      <c r="EW927" s="128"/>
      <c r="EY927" s="128"/>
    </row>
    <row r="928" spans="3:155">
      <c r="C928" s="128"/>
      <c r="D928" s="128"/>
      <c r="E928" s="128"/>
      <c r="F928" s="128" t="str">
        <f>IF(E928 &lt;&gt; "", VLOOKUP(E928, '[2]Internal-logic'!G$1:I$364, 2, FALSE),"")</f>
        <v/>
      </c>
      <c r="G928" s="128" t="str">
        <f>IF(E928 &lt;&gt; "", VLOOKUP(E928, '[2]Internal-logic'!G$1:I$364, 3, FALSE),"")</f>
        <v/>
      </c>
      <c r="H928" s="128"/>
      <c r="I928" s="128"/>
      <c r="J928" s="128"/>
      <c r="K928" s="128"/>
      <c r="Q928" s="128"/>
      <c r="R928" s="128"/>
      <c r="S928" s="128"/>
      <c r="U928" s="128"/>
      <c r="X928" s="128"/>
      <c r="Y928" s="128"/>
      <c r="Z928" s="128"/>
      <c r="AA928" s="128"/>
      <c r="AB928" s="128"/>
      <c r="AC928" s="128"/>
      <c r="AD928" s="128"/>
      <c r="AE928" s="128"/>
      <c r="AF928" s="128"/>
      <c r="AG928" s="128"/>
      <c r="AI928" s="128"/>
      <c r="AJ928" s="128"/>
      <c r="AY928" s="128"/>
      <c r="BN928" s="128"/>
      <c r="BQ928" s="128"/>
      <c r="BR928" s="128"/>
      <c r="BT928" s="128"/>
      <c r="BV928" s="128"/>
      <c r="BX928" s="128"/>
      <c r="CU928" s="128"/>
      <c r="CW928" s="128"/>
      <c r="DN928" s="128"/>
      <c r="DP928" s="128"/>
      <c r="DR928" s="128"/>
      <c r="DV928" s="128"/>
      <c r="DX928" s="128"/>
      <c r="DY928" s="128"/>
      <c r="EA928" s="128"/>
      <c r="EB928" s="128"/>
      <c r="EC928" s="128"/>
      <c r="EG928" s="128"/>
      <c r="EL928" s="128"/>
      <c r="EM928" s="128"/>
      <c r="EO928" s="128"/>
      <c r="EQ928" s="128"/>
      <c r="ES928" s="128"/>
      <c r="EU928" s="128"/>
      <c r="EW928" s="128"/>
      <c r="EY928" s="128"/>
    </row>
    <row r="929" spans="3:155">
      <c r="C929" s="128"/>
      <c r="D929" s="128"/>
      <c r="E929" s="128"/>
      <c r="F929" s="128" t="str">
        <f>IF(E929 &lt;&gt; "", VLOOKUP(E929, '[2]Internal-logic'!G$1:I$364, 2, FALSE),"")</f>
        <v/>
      </c>
      <c r="G929" s="128" t="str">
        <f>IF(E929 &lt;&gt; "", VLOOKUP(E929, '[2]Internal-logic'!G$1:I$364, 3, FALSE),"")</f>
        <v/>
      </c>
      <c r="H929" s="128"/>
      <c r="I929" s="128"/>
      <c r="J929" s="128"/>
      <c r="K929" s="128"/>
      <c r="Q929" s="128"/>
      <c r="R929" s="128"/>
      <c r="S929" s="128"/>
      <c r="U929" s="128"/>
      <c r="X929" s="128"/>
      <c r="Y929" s="128"/>
      <c r="Z929" s="128"/>
      <c r="AA929" s="128"/>
      <c r="AB929" s="128"/>
      <c r="AC929" s="128"/>
      <c r="AD929" s="128"/>
      <c r="AE929" s="128"/>
      <c r="AF929" s="128"/>
      <c r="AG929" s="128"/>
      <c r="AI929" s="128"/>
      <c r="AJ929" s="128"/>
      <c r="AY929" s="128"/>
      <c r="BN929" s="128"/>
      <c r="BQ929" s="128"/>
      <c r="BR929" s="128"/>
      <c r="BT929" s="128"/>
      <c r="BV929" s="128"/>
      <c r="BX929" s="128"/>
      <c r="CU929" s="128"/>
      <c r="CW929" s="128"/>
      <c r="DN929" s="128"/>
      <c r="DP929" s="128"/>
      <c r="DR929" s="128"/>
      <c r="DV929" s="128"/>
      <c r="DX929" s="128"/>
      <c r="DY929" s="128"/>
      <c r="EA929" s="128"/>
      <c r="EB929" s="128"/>
      <c r="EC929" s="128"/>
      <c r="EG929" s="128"/>
      <c r="EL929" s="128"/>
      <c r="EM929" s="128"/>
      <c r="EO929" s="128"/>
      <c r="EQ929" s="128"/>
      <c r="ES929" s="128"/>
      <c r="EU929" s="128"/>
      <c r="EW929" s="128"/>
      <c r="EY929" s="128"/>
    </row>
    <row r="930" spans="3:155">
      <c r="C930" s="128"/>
      <c r="D930" s="128"/>
      <c r="E930" s="128"/>
      <c r="F930" s="128" t="str">
        <f>IF(E930 &lt;&gt; "", VLOOKUP(E930, '[2]Internal-logic'!G$1:I$364, 2, FALSE),"")</f>
        <v/>
      </c>
      <c r="G930" s="128" t="str">
        <f>IF(E930 &lt;&gt; "", VLOOKUP(E930, '[2]Internal-logic'!G$1:I$364, 3, FALSE),"")</f>
        <v/>
      </c>
      <c r="H930" s="128"/>
      <c r="I930" s="128"/>
      <c r="J930" s="128"/>
      <c r="K930" s="128"/>
      <c r="Q930" s="128"/>
      <c r="R930" s="128"/>
      <c r="S930" s="128"/>
      <c r="U930" s="128"/>
      <c r="X930" s="128"/>
      <c r="Y930" s="128"/>
      <c r="Z930" s="128"/>
      <c r="AA930" s="128"/>
      <c r="AB930" s="128"/>
      <c r="AC930" s="128"/>
      <c r="AD930" s="128"/>
      <c r="AE930" s="128"/>
      <c r="AF930" s="128"/>
      <c r="AG930" s="128"/>
      <c r="AI930" s="128"/>
      <c r="AJ930" s="128"/>
      <c r="AY930" s="128"/>
      <c r="BN930" s="128"/>
      <c r="BQ930" s="128"/>
      <c r="BR930" s="128"/>
      <c r="BT930" s="128"/>
      <c r="BV930" s="128"/>
      <c r="BX930" s="128"/>
      <c r="CU930" s="128"/>
      <c r="CW930" s="128"/>
      <c r="DN930" s="128"/>
      <c r="DP930" s="128"/>
      <c r="DR930" s="128"/>
      <c r="DV930" s="128"/>
      <c r="DX930" s="128"/>
      <c r="DY930" s="128"/>
      <c r="EA930" s="128"/>
      <c r="EB930" s="128"/>
      <c r="EC930" s="128"/>
      <c r="EG930" s="128"/>
      <c r="EL930" s="128"/>
      <c r="EM930" s="128"/>
      <c r="EO930" s="128"/>
      <c r="EQ930" s="128"/>
      <c r="ES930" s="128"/>
      <c r="EU930" s="128"/>
      <c r="EW930" s="128"/>
      <c r="EY930" s="128"/>
    </row>
    <row r="931" spans="3:155">
      <c r="C931" s="128"/>
      <c r="D931" s="128"/>
      <c r="E931" s="128"/>
      <c r="F931" s="128" t="str">
        <f>IF(E931 &lt;&gt; "", VLOOKUP(E931, '[2]Internal-logic'!G$1:I$364, 2, FALSE),"")</f>
        <v/>
      </c>
      <c r="G931" s="128" t="str">
        <f>IF(E931 &lt;&gt; "", VLOOKUP(E931, '[2]Internal-logic'!G$1:I$364, 3, FALSE),"")</f>
        <v/>
      </c>
      <c r="H931" s="128"/>
      <c r="I931" s="128"/>
      <c r="J931" s="128"/>
      <c r="K931" s="128"/>
      <c r="Q931" s="128"/>
      <c r="R931" s="128"/>
      <c r="S931" s="128"/>
      <c r="U931" s="128"/>
      <c r="X931" s="128"/>
      <c r="Y931" s="128"/>
      <c r="Z931" s="128"/>
      <c r="AA931" s="128"/>
      <c r="AB931" s="128"/>
      <c r="AC931" s="128"/>
      <c r="AD931" s="128"/>
      <c r="AE931" s="128"/>
      <c r="AF931" s="128"/>
      <c r="AG931" s="128"/>
      <c r="AI931" s="128"/>
      <c r="AJ931" s="128"/>
      <c r="AY931" s="128"/>
      <c r="BN931" s="128"/>
      <c r="BQ931" s="128"/>
      <c r="BR931" s="128"/>
      <c r="BT931" s="128"/>
      <c r="BV931" s="128"/>
      <c r="BX931" s="128"/>
      <c r="CU931" s="128"/>
      <c r="CW931" s="128"/>
      <c r="DN931" s="128"/>
      <c r="DP931" s="128"/>
      <c r="DR931" s="128"/>
      <c r="DV931" s="128"/>
      <c r="DX931" s="128"/>
      <c r="DY931" s="128"/>
      <c r="EA931" s="128"/>
      <c r="EB931" s="128"/>
      <c r="EC931" s="128"/>
      <c r="EG931" s="128"/>
      <c r="EL931" s="128"/>
      <c r="EM931" s="128"/>
      <c r="EO931" s="128"/>
      <c r="EQ931" s="128"/>
      <c r="ES931" s="128"/>
      <c r="EU931" s="128"/>
      <c r="EW931" s="128"/>
      <c r="EY931" s="128"/>
    </row>
    <row r="932" spans="3:155">
      <c r="C932" s="128"/>
      <c r="D932" s="128"/>
      <c r="E932" s="128"/>
      <c r="F932" s="128" t="str">
        <f>IF(E932 &lt;&gt; "", VLOOKUP(E932, '[2]Internal-logic'!G$1:I$364, 2, FALSE),"")</f>
        <v/>
      </c>
      <c r="G932" s="128" t="str">
        <f>IF(E932 &lt;&gt; "", VLOOKUP(E932, '[2]Internal-logic'!G$1:I$364, 3, FALSE),"")</f>
        <v/>
      </c>
      <c r="H932" s="128"/>
      <c r="I932" s="128"/>
      <c r="J932" s="128"/>
      <c r="K932" s="128"/>
      <c r="Q932" s="128"/>
      <c r="R932" s="128"/>
      <c r="S932" s="128"/>
      <c r="U932" s="128"/>
      <c r="X932" s="128"/>
      <c r="Y932" s="128"/>
      <c r="Z932" s="128"/>
      <c r="AA932" s="128"/>
      <c r="AB932" s="128"/>
      <c r="AC932" s="128"/>
      <c r="AD932" s="128"/>
      <c r="AE932" s="128"/>
      <c r="AF932" s="128"/>
      <c r="AG932" s="128"/>
      <c r="AI932" s="128"/>
      <c r="AJ932" s="128"/>
      <c r="AY932" s="128"/>
      <c r="BN932" s="128"/>
      <c r="BQ932" s="128"/>
      <c r="BR932" s="128"/>
      <c r="BT932" s="128"/>
      <c r="BV932" s="128"/>
      <c r="BX932" s="128"/>
      <c r="CU932" s="128"/>
      <c r="CW932" s="128"/>
      <c r="DN932" s="128"/>
      <c r="DP932" s="128"/>
      <c r="DR932" s="128"/>
      <c r="DV932" s="128"/>
      <c r="DX932" s="128"/>
      <c r="DY932" s="128"/>
      <c r="EA932" s="128"/>
      <c r="EB932" s="128"/>
      <c r="EC932" s="128"/>
      <c r="EG932" s="128"/>
      <c r="EL932" s="128"/>
      <c r="EM932" s="128"/>
      <c r="EO932" s="128"/>
      <c r="EQ932" s="128"/>
      <c r="ES932" s="128"/>
      <c r="EU932" s="128"/>
      <c r="EW932" s="128"/>
      <c r="EY932" s="128"/>
    </row>
    <row r="933" spans="3:155">
      <c r="C933" s="128"/>
      <c r="D933" s="128"/>
      <c r="E933" s="128"/>
      <c r="F933" s="128" t="str">
        <f>IF(E933 &lt;&gt; "", VLOOKUP(E933, '[2]Internal-logic'!G$1:I$364, 2, FALSE),"")</f>
        <v/>
      </c>
      <c r="G933" s="128" t="str">
        <f>IF(E933 &lt;&gt; "", VLOOKUP(E933, '[2]Internal-logic'!G$1:I$364, 3, FALSE),"")</f>
        <v/>
      </c>
      <c r="H933" s="128"/>
      <c r="I933" s="128"/>
      <c r="J933" s="128"/>
      <c r="K933" s="128"/>
      <c r="Q933" s="128"/>
      <c r="R933" s="128"/>
      <c r="S933" s="128"/>
      <c r="U933" s="128"/>
      <c r="X933" s="128"/>
      <c r="Y933" s="128"/>
      <c r="Z933" s="128"/>
      <c r="AA933" s="128"/>
      <c r="AB933" s="128"/>
      <c r="AC933" s="128"/>
      <c r="AD933" s="128"/>
      <c r="AE933" s="128"/>
      <c r="AF933" s="128"/>
      <c r="AG933" s="128"/>
      <c r="AI933" s="128"/>
      <c r="AJ933" s="128"/>
      <c r="AY933" s="128"/>
      <c r="BN933" s="128"/>
      <c r="BQ933" s="128"/>
      <c r="BR933" s="128"/>
      <c r="BT933" s="128"/>
      <c r="BV933" s="128"/>
      <c r="BX933" s="128"/>
      <c r="CU933" s="128"/>
      <c r="CW933" s="128"/>
      <c r="DN933" s="128"/>
      <c r="DP933" s="128"/>
      <c r="DR933" s="128"/>
      <c r="DV933" s="128"/>
      <c r="DX933" s="128"/>
      <c r="DY933" s="128"/>
      <c r="EA933" s="128"/>
      <c r="EB933" s="128"/>
      <c r="EC933" s="128"/>
      <c r="EG933" s="128"/>
      <c r="EL933" s="128"/>
      <c r="EM933" s="128"/>
      <c r="EO933" s="128"/>
      <c r="EQ933" s="128"/>
      <c r="ES933" s="128"/>
      <c r="EU933" s="128"/>
      <c r="EW933" s="128"/>
      <c r="EY933" s="128"/>
    </row>
    <row r="934" spans="3:155">
      <c r="C934" s="128"/>
      <c r="D934" s="128"/>
      <c r="E934" s="128"/>
      <c r="F934" s="128" t="str">
        <f>IF(E934 &lt;&gt; "", VLOOKUP(E934, '[2]Internal-logic'!G$1:I$364, 2, FALSE),"")</f>
        <v/>
      </c>
      <c r="G934" s="128" t="str">
        <f>IF(E934 &lt;&gt; "", VLOOKUP(E934, '[2]Internal-logic'!G$1:I$364, 3, FALSE),"")</f>
        <v/>
      </c>
      <c r="H934" s="128"/>
      <c r="I934" s="128"/>
      <c r="J934" s="128"/>
      <c r="K934" s="128"/>
      <c r="Q934" s="128"/>
      <c r="R934" s="128"/>
      <c r="S934" s="128"/>
      <c r="U934" s="128"/>
      <c r="X934" s="128"/>
      <c r="Y934" s="128"/>
      <c r="Z934" s="128"/>
      <c r="AA934" s="128"/>
      <c r="AB934" s="128"/>
      <c r="AC934" s="128"/>
      <c r="AD934" s="128"/>
      <c r="AE934" s="128"/>
      <c r="AF934" s="128"/>
      <c r="AG934" s="128"/>
      <c r="AI934" s="128"/>
      <c r="AJ934" s="128"/>
      <c r="AY934" s="128"/>
      <c r="BN934" s="128"/>
      <c r="BQ934" s="128"/>
      <c r="BR934" s="128"/>
      <c r="BT934" s="128"/>
      <c r="BV934" s="128"/>
      <c r="BX934" s="128"/>
      <c r="CU934" s="128"/>
      <c r="CW934" s="128"/>
      <c r="DN934" s="128"/>
      <c r="DP934" s="128"/>
      <c r="DR934" s="128"/>
      <c r="DV934" s="128"/>
      <c r="DX934" s="128"/>
      <c r="DY934" s="128"/>
      <c r="EA934" s="128"/>
      <c r="EB934" s="128"/>
      <c r="EC934" s="128"/>
      <c r="EG934" s="128"/>
      <c r="EL934" s="128"/>
      <c r="EM934" s="128"/>
      <c r="EO934" s="128"/>
      <c r="EQ934" s="128"/>
      <c r="ES934" s="128"/>
      <c r="EU934" s="128"/>
      <c r="EW934" s="128"/>
      <c r="EY934" s="128"/>
    </row>
    <row r="935" spans="3:155">
      <c r="C935" s="128"/>
      <c r="D935" s="128"/>
      <c r="E935" s="128"/>
      <c r="F935" s="128" t="str">
        <f>IF(E935 &lt;&gt; "", VLOOKUP(E935, '[2]Internal-logic'!G$1:I$364, 2, FALSE),"")</f>
        <v/>
      </c>
      <c r="G935" s="128" t="str">
        <f>IF(E935 &lt;&gt; "", VLOOKUP(E935, '[2]Internal-logic'!G$1:I$364, 3, FALSE),"")</f>
        <v/>
      </c>
      <c r="H935" s="128"/>
      <c r="I935" s="128"/>
      <c r="J935" s="128"/>
      <c r="K935" s="128"/>
      <c r="Q935" s="128"/>
      <c r="R935" s="128"/>
      <c r="S935" s="128"/>
      <c r="U935" s="128"/>
      <c r="X935" s="128"/>
      <c r="Y935" s="128"/>
      <c r="Z935" s="128"/>
      <c r="AA935" s="128"/>
      <c r="AB935" s="128"/>
      <c r="AC935" s="128"/>
      <c r="AD935" s="128"/>
      <c r="AE935" s="128"/>
      <c r="AF935" s="128"/>
      <c r="AG935" s="128"/>
      <c r="AI935" s="128"/>
      <c r="AJ935" s="128"/>
      <c r="AY935" s="128"/>
      <c r="BN935" s="128"/>
      <c r="BQ935" s="128"/>
      <c r="BR935" s="128"/>
      <c r="BT935" s="128"/>
      <c r="BV935" s="128"/>
      <c r="BX935" s="128"/>
      <c r="CU935" s="128"/>
      <c r="CW935" s="128"/>
      <c r="DN935" s="128"/>
      <c r="DP935" s="128"/>
      <c r="DR935" s="128"/>
      <c r="DV935" s="128"/>
      <c r="DX935" s="128"/>
      <c r="DY935" s="128"/>
      <c r="EA935" s="128"/>
      <c r="EB935" s="128"/>
      <c r="EC935" s="128"/>
      <c r="EG935" s="128"/>
      <c r="EL935" s="128"/>
      <c r="EM935" s="128"/>
      <c r="EO935" s="128"/>
      <c r="EQ935" s="128"/>
      <c r="ES935" s="128"/>
      <c r="EU935" s="128"/>
      <c r="EW935" s="128"/>
      <c r="EY935" s="128"/>
    </row>
    <row r="936" spans="3:155">
      <c r="C936" s="128"/>
      <c r="D936" s="128"/>
      <c r="E936" s="128"/>
      <c r="F936" s="128" t="str">
        <f>IF(E936 &lt;&gt; "", VLOOKUP(E936, '[2]Internal-logic'!G$1:I$364, 2, FALSE),"")</f>
        <v/>
      </c>
      <c r="G936" s="128" t="str">
        <f>IF(E936 &lt;&gt; "", VLOOKUP(E936, '[2]Internal-logic'!G$1:I$364, 3, FALSE),"")</f>
        <v/>
      </c>
      <c r="H936" s="128"/>
      <c r="I936" s="128"/>
      <c r="J936" s="128"/>
      <c r="K936" s="128"/>
      <c r="Q936" s="128"/>
      <c r="R936" s="128"/>
      <c r="S936" s="128"/>
      <c r="U936" s="128"/>
      <c r="X936" s="128"/>
      <c r="Y936" s="128"/>
      <c r="Z936" s="128"/>
      <c r="AA936" s="128"/>
      <c r="AB936" s="128"/>
      <c r="AC936" s="128"/>
      <c r="AD936" s="128"/>
      <c r="AE936" s="128"/>
      <c r="AF936" s="128"/>
      <c r="AG936" s="128"/>
      <c r="AI936" s="128"/>
      <c r="AJ936" s="128"/>
      <c r="AY936" s="128"/>
      <c r="BN936" s="128"/>
      <c r="BQ936" s="128"/>
      <c r="BR936" s="128"/>
      <c r="BT936" s="128"/>
      <c r="BV936" s="128"/>
      <c r="BX936" s="128"/>
      <c r="CU936" s="128"/>
      <c r="CW936" s="128"/>
      <c r="DN936" s="128"/>
      <c r="DP936" s="128"/>
      <c r="DR936" s="128"/>
      <c r="DV936" s="128"/>
      <c r="DX936" s="128"/>
      <c r="DY936" s="128"/>
      <c r="EA936" s="128"/>
      <c r="EB936" s="128"/>
      <c r="EC936" s="128"/>
      <c r="EG936" s="128"/>
      <c r="EL936" s="128"/>
      <c r="EM936" s="128"/>
      <c r="EO936" s="128"/>
      <c r="EQ936" s="128"/>
      <c r="ES936" s="128"/>
      <c r="EU936" s="128"/>
      <c r="EW936" s="128"/>
      <c r="EY936" s="128"/>
    </row>
    <row r="937" spans="3:155">
      <c r="C937" s="128"/>
      <c r="D937" s="128"/>
      <c r="E937" s="128"/>
      <c r="F937" s="128" t="str">
        <f>IF(E937 &lt;&gt; "", VLOOKUP(E937, '[2]Internal-logic'!G$1:I$364, 2, FALSE),"")</f>
        <v/>
      </c>
      <c r="G937" s="128" t="str">
        <f>IF(E937 &lt;&gt; "", VLOOKUP(E937, '[2]Internal-logic'!G$1:I$364, 3, FALSE),"")</f>
        <v/>
      </c>
      <c r="H937" s="128"/>
      <c r="I937" s="128"/>
      <c r="J937" s="128"/>
      <c r="K937" s="128"/>
      <c r="Q937" s="128"/>
      <c r="R937" s="128"/>
      <c r="S937" s="128"/>
      <c r="U937" s="128"/>
      <c r="X937" s="128"/>
      <c r="Y937" s="128"/>
      <c r="Z937" s="128"/>
      <c r="AA937" s="128"/>
      <c r="AB937" s="128"/>
      <c r="AC937" s="128"/>
      <c r="AD937" s="128"/>
      <c r="AE937" s="128"/>
      <c r="AF937" s="128"/>
      <c r="AG937" s="128"/>
      <c r="AI937" s="128"/>
      <c r="AJ937" s="128"/>
      <c r="AY937" s="128"/>
      <c r="BN937" s="128"/>
      <c r="BQ937" s="128"/>
      <c r="BR937" s="128"/>
      <c r="BT937" s="128"/>
      <c r="BV937" s="128"/>
      <c r="BX937" s="128"/>
      <c r="CU937" s="128"/>
      <c r="CW937" s="128"/>
      <c r="DN937" s="128"/>
      <c r="DP937" s="128"/>
      <c r="DR937" s="128"/>
      <c r="DV937" s="128"/>
      <c r="DX937" s="128"/>
      <c r="DY937" s="128"/>
      <c r="EA937" s="128"/>
      <c r="EB937" s="128"/>
      <c r="EC937" s="128"/>
      <c r="EG937" s="128"/>
      <c r="EL937" s="128"/>
      <c r="EM937" s="128"/>
      <c r="EO937" s="128"/>
      <c r="EQ937" s="128"/>
      <c r="ES937" s="128"/>
      <c r="EU937" s="128"/>
      <c r="EW937" s="128"/>
      <c r="EY937" s="128"/>
    </row>
    <row r="938" spans="3:155">
      <c r="C938" s="128"/>
      <c r="D938" s="128"/>
      <c r="E938" s="128"/>
      <c r="F938" s="128" t="str">
        <f>IF(E938 &lt;&gt; "", VLOOKUP(E938, '[2]Internal-logic'!G$1:I$364, 2, FALSE),"")</f>
        <v/>
      </c>
      <c r="G938" s="128" t="str">
        <f>IF(E938 &lt;&gt; "", VLOOKUP(E938, '[2]Internal-logic'!G$1:I$364, 3, FALSE),"")</f>
        <v/>
      </c>
      <c r="H938" s="128"/>
      <c r="I938" s="128"/>
      <c r="J938" s="128"/>
      <c r="K938" s="128"/>
      <c r="Q938" s="128"/>
      <c r="R938" s="128"/>
      <c r="S938" s="128"/>
      <c r="U938" s="128"/>
      <c r="X938" s="128"/>
      <c r="Y938" s="128"/>
      <c r="Z938" s="128"/>
      <c r="AA938" s="128"/>
      <c r="AB938" s="128"/>
      <c r="AC938" s="128"/>
      <c r="AD938" s="128"/>
      <c r="AE938" s="128"/>
      <c r="AF938" s="128"/>
      <c r="AG938" s="128"/>
      <c r="AI938" s="128"/>
      <c r="AJ938" s="128"/>
      <c r="AY938" s="128"/>
      <c r="BN938" s="128"/>
      <c r="BQ938" s="128"/>
      <c r="BR938" s="128"/>
      <c r="BT938" s="128"/>
      <c r="BV938" s="128"/>
      <c r="BX938" s="128"/>
      <c r="CU938" s="128"/>
      <c r="CW938" s="128"/>
      <c r="DN938" s="128"/>
      <c r="DP938" s="128"/>
      <c r="DR938" s="128"/>
      <c r="DV938" s="128"/>
      <c r="DX938" s="128"/>
      <c r="DY938" s="128"/>
      <c r="EA938" s="128"/>
      <c r="EB938" s="128"/>
      <c r="EC938" s="128"/>
      <c r="EG938" s="128"/>
      <c r="EL938" s="128"/>
      <c r="EM938" s="128"/>
      <c r="EO938" s="128"/>
      <c r="EQ938" s="128"/>
      <c r="ES938" s="128"/>
      <c r="EU938" s="128"/>
      <c r="EW938" s="128"/>
      <c r="EY938" s="128"/>
    </row>
    <row r="939" spans="3:155">
      <c r="C939" s="128"/>
      <c r="D939" s="128"/>
      <c r="E939" s="128"/>
      <c r="F939" s="128" t="str">
        <f>IF(E939 &lt;&gt; "", VLOOKUP(E939, '[2]Internal-logic'!G$1:I$364, 2, FALSE),"")</f>
        <v/>
      </c>
      <c r="G939" s="128" t="str">
        <f>IF(E939 &lt;&gt; "", VLOOKUP(E939, '[2]Internal-logic'!G$1:I$364, 3, FALSE),"")</f>
        <v/>
      </c>
      <c r="H939" s="128"/>
      <c r="I939" s="128"/>
      <c r="J939" s="128"/>
      <c r="K939" s="128"/>
      <c r="Q939" s="128"/>
      <c r="R939" s="128"/>
      <c r="S939" s="128"/>
      <c r="U939" s="128"/>
      <c r="X939" s="128"/>
      <c r="Y939" s="128"/>
      <c r="Z939" s="128"/>
      <c r="AA939" s="128"/>
      <c r="AB939" s="128"/>
      <c r="AC939" s="128"/>
      <c r="AD939" s="128"/>
      <c r="AE939" s="128"/>
      <c r="AF939" s="128"/>
      <c r="AG939" s="128"/>
      <c r="AI939" s="128"/>
      <c r="AJ939" s="128"/>
      <c r="AY939" s="128"/>
      <c r="BN939" s="128"/>
      <c r="BQ939" s="128"/>
      <c r="BR939" s="128"/>
      <c r="BT939" s="128"/>
      <c r="BV939" s="128"/>
      <c r="BX939" s="128"/>
      <c r="CU939" s="128"/>
      <c r="CW939" s="128"/>
      <c r="DN939" s="128"/>
      <c r="DP939" s="128"/>
      <c r="DR939" s="128"/>
      <c r="DV939" s="128"/>
      <c r="DX939" s="128"/>
      <c r="DY939" s="128"/>
      <c r="EA939" s="128"/>
      <c r="EB939" s="128"/>
      <c r="EC939" s="128"/>
      <c r="EG939" s="128"/>
      <c r="EL939" s="128"/>
      <c r="EM939" s="128"/>
      <c r="EO939" s="128"/>
      <c r="EQ939" s="128"/>
      <c r="ES939" s="128"/>
      <c r="EU939" s="128"/>
      <c r="EW939" s="128"/>
      <c r="EY939" s="128"/>
    </row>
    <row r="940" spans="3:155">
      <c r="C940" s="128"/>
      <c r="D940" s="128"/>
      <c r="E940" s="128"/>
      <c r="F940" s="128" t="str">
        <f>IF(E940 &lt;&gt; "", VLOOKUP(E940, '[2]Internal-logic'!G$1:I$364, 2, FALSE),"")</f>
        <v/>
      </c>
      <c r="G940" s="128" t="str">
        <f>IF(E940 &lt;&gt; "", VLOOKUP(E940, '[2]Internal-logic'!G$1:I$364, 3, FALSE),"")</f>
        <v/>
      </c>
      <c r="H940" s="128"/>
      <c r="I940" s="128"/>
      <c r="J940" s="128"/>
      <c r="K940" s="128"/>
      <c r="Q940" s="128"/>
      <c r="R940" s="128"/>
      <c r="S940" s="128"/>
      <c r="U940" s="128"/>
      <c r="X940" s="128"/>
      <c r="Y940" s="128"/>
      <c r="Z940" s="128"/>
      <c r="AA940" s="128"/>
      <c r="AB940" s="128"/>
      <c r="AC940" s="128"/>
      <c r="AD940" s="128"/>
      <c r="AE940" s="128"/>
      <c r="AF940" s="128"/>
      <c r="AG940" s="128"/>
      <c r="AI940" s="128"/>
      <c r="AJ940" s="128"/>
      <c r="AY940" s="128"/>
      <c r="BN940" s="128"/>
      <c r="BQ940" s="128"/>
      <c r="BR940" s="128"/>
      <c r="BT940" s="128"/>
      <c r="BV940" s="128"/>
      <c r="BX940" s="128"/>
      <c r="CU940" s="128"/>
      <c r="CW940" s="128"/>
      <c r="DN940" s="128"/>
      <c r="DP940" s="128"/>
      <c r="DR940" s="128"/>
      <c r="DV940" s="128"/>
      <c r="DX940" s="128"/>
      <c r="DY940" s="128"/>
      <c r="EA940" s="128"/>
      <c r="EB940" s="128"/>
      <c r="EC940" s="128"/>
      <c r="EG940" s="128"/>
      <c r="EL940" s="128"/>
      <c r="EM940" s="128"/>
      <c r="EO940" s="128"/>
      <c r="EQ940" s="128"/>
      <c r="ES940" s="128"/>
      <c r="EU940" s="128"/>
      <c r="EW940" s="128"/>
      <c r="EY940" s="128"/>
    </row>
    <row r="941" spans="3:155">
      <c r="C941" s="128"/>
      <c r="D941" s="128"/>
      <c r="E941" s="128"/>
      <c r="F941" s="128" t="str">
        <f>IF(E941 &lt;&gt; "", VLOOKUP(E941, '[2]Internal-logic'!G$1:I$364, 2, FALSE),"")</f>
        <v/>
      </c>
      <c r="G941" s="128" t="str">
        <f>IF(E941 &lt;&gt; "", VLOOKUP(E941, '[2]Internal-logic'!G$1:I$364, 3, FALSE),"")</f>
        <v/>
      </c>
      <c r="H941" s="128"/>
      <c r="I941" s="128"/>
      <c r="J941" s="128"/>
      <c r="K941" s="128"/>
      <c r="Q941" s="128"/>
      <c r="R941" s="128"/>
      <c r="S941" s="128"/>
      <c r="U941" s="128"/>
      <c r="X941" s="128"/>
      <c r="Y941" s="128"/>
      <c r="Z941" s="128"/>
      <c r="AA941" s="128"/>
      <c r="AB941" s="128"/>
      <c r="AC941" s="128"/>
      <c r="AD941" s="128"/>
      <c r="AE941" s="128"/>
      <c r="AF941" s="128"/>
      <c r="AG941" s="128"/>
      <c r="AI941" s="128"/>
      <c r="AJ941" s="128"/>
      <c r="AY941" s="128"/>
      <c r="BN941" s="128"/>
      <c r="BQ941" s="128"/>
      <c r="BR941" s="128"/>
      <c r="BT941" s="128"/>
      <c r="BV941" s="128"/>
      <c r="BX941" s="128"/>
      <c r="CU941" s="128"/>
      <c r="CW941" s="128"/>
      <c r="DN941" s="128"/>
      <c r="DP941" s="128"/>
      <c r="DR941" s="128"/>
      <c r="DV941" s="128"/>
      <c r="DX941" s="128"/>
      <c r="DY941" s="128"/>
      <c r="EA941" s="128"/>
      <c r="EB941" s="128"/>
      <c r="EC941" s="128"/>
      <c r="EG941" s="128"/>
      <c r="EL941" s="128"/>
      <c r="EM941" s="128"/>
      <c r="EO941" s="128"/>
      <c r="EQ941" s="128"/>
      <c r="ES941" s="128"/>
      <c r="EU941" s="128"/>
      <c r="EW941" s="128"/>
      <c r="EY941" s="128"/>
    </row>
    <row r="942" spans="3:155">
      <c r="C942" s="128"/>
      <c r="D942" s="128"/>
      <c r="E942" s="128"/>
      <c r="F942" s="128" t="str">
        <f>IF(E942 &lt;&gt; "", VLOOKUP(E942, '[2]Internal-logic'!G$1:I$364, 2, FALSE),"")</f>
        <v/>
      </c>
      <c r="G942" s="128" t="str">
        <f>IF(E942 &lt;&gt; "", VLOOKUP(E942, '[2]Internal-logic'!G$1:I$364, 3, FALSE),"")</f>
        <v/>
      </c>
      <c r="H942" s="128"/>
      <c r="I942" s="128"/>
      <c r="J942" s="128"/>
      <c r="K942" s="128"/>
      <c r="Q942" s="128"/>
      <c r="R942" s="128"/>
      <c r="S942" s="128"/>
      <c r="U942" s="128"/>
      <c r="X942" s="128"/>
      <c r="Y942" s="128"/>
      <c r="Z942" s="128"/>
      <c r="AA942" s="128"/>
      <c r="AB942" s="128"/>
      <c r="AC942" s="128"/>
      <c r="AD942" s="128"/>
      <c r="AE942" s="128"/>
      <c r="AF942" s="128"/>
      <c r="AG942" s="128"/>
      <c r="AI942" s="128"/>
      <c r="AJ942" s="128"/>
      <c r="AY942" s="128"/>
      <c r="BN942" s="128"/>
      <c r="BQ942" s="128"/>
      <c r="BR942" s="128"/>
      <c r="BT942" s="128"/>
      <c r="BV942" s="128"/>
      <c r="BX942" s="128"/>
      <c r="CU942" s="128"/>
      <c r="CW942" s="128"/>
      <c r="DN942" s="128"/>
      <c r="DP942" s="128"/>
      <c r="DR942" s="128"/>
      <c r="DV942" s="128"/>
      <c r="DX942" s="128"/>
      <c r="DY942" s="128"/>
      <c r="EA942" s="128"/>
      <c r="EB942" s="128"/>
      <c r="EC942" s="128"/>
      <c r="EG942" s="128"/>
      <c r="EL942" s="128"/>
      <c r="EM942" s="128"/>
      <c r="EO942" s="128"/>
      <c r="EQ942" s="128"/>
      <c r="ES942" s="128"/>
      <c r="EU942" s="128"/>
      <c r="EW942" s="128"/>
      <c r="EY942" s="128"/>
    </row>
    <row r="943" spans="3:155">
      <c r="C943" s="128"/>
      <c r="D943" s="128"/>
      <c r="E943" s="128"/>
      <c r="F943" s="128" t="str">
        <f>IF(E943 &lt;&gt; "", VLOOKUP(E943, '[2]Internal-logic'!G$1:I$364, 2, FALSE),"")</f>
        <v/>
      </c>
      <c r="G943" s="128" t="str">
        <f>IF(E943 &lt;&gt; "", VLOOKUP(E943, '[2]Internal-logic'!G$1:I$364, 3, FALSE),"")</f>
        <v/>
      </c>
      <c r="H943" s="128"/>
      <c r="I943" s="128"/>
      <c r="J943" s="128"/>
      <c r="K943" s="128"/>
      <c r="Q943" s="128"/>
      <c r="R943" s="128"/>
      <c r="S943" s="128"/>
      <c r="U943" s="128"/>
      <c r="X943" s="128"/>
      <c r="Y943" s="128"/>
      <c r="Z943" s="128"/>
      <c r="AA943" s="128"/>
      <c r="AB943" s="128"/>
      <c r="AC943" s="128"/>
      <c r="AD943" s="128"/>
      <c r="AE943" s="128"/>
      <c r="AF943" s="128"/>
      <c r="AG943" s="128"/>
      <c r="AI943" s="128"/>
      <c r="AJ943" s="128"/>
      <c r="AY943" s="128"/>
      <c r="BN943" s="128"/>
      <c r="BQ943" s="128"/>
      <c r="BR943" s="128"/>
      <c r="BT943" s="128"/>
      <c r="BV943" s="128"/>
      <c r="BX943" s="128"/>
      <c r="CU943" s="128"/>
      <c r="CW943" s="128"/>
      <c r="DN943" s="128"/>
      <c r="DP943" s="128"/>
      <c r="DR943" s="128"/>
      <c r="DV943" s="128"/>
      <c r="DX943" s="128"/>
      <c r="DY943" s="128"/>
      <c r="EA943" s="128"/>
      <c r="EB943" s="128"/>
      <c r="EC943" s="128"/>
      <c r="EG943" s="128"/>
      <c r="EL943" s="128"/>
      <c r="EM943" s="128"/>
      <c r="EO943" s="128"/>
      <c r="EQ943" s="128"/>
      <c r="ES943" s="128"/>
      <c r="EU943" s="128"/>
      <c r="EW943" s="128"/>
      <c r="EY943" s="128"/>
    </row>
    <row r="944" spans="3:155">
      <c r="C944" s="128"/>
      <c r="D944" s="128"/>
      <c r="E944" s="128"/>
      <c r="F944" s="128" t="str">
        <f>IF(E944 &lt;&gt; "", VLOOKUP(E944, '[2]Internal-logic'!G$1:I$364, 2, FALSE),"")</f>
        <v/>
      </c>
      <c r="G944" s="128" t="str">
        <f>IF(E944 &lt;&gt; "", VLOOKUP(E944, '[2]Internal-logic'!G$1:I$364, 3, FALSE),"")</f>
        <v/>
      </c>
      <c r="H944" s="128"/>
      <c r="I944" s="128"/>
      <c r="J944" s="128"/>
      <c r="K944" s="128"/>
      <c r="Q944" s="128"/>
      <c r="R944" s="128"/>
      <c r="S944" s="128"/>
      <c r="U944" s="128"/>
      <c r="X944" s="128"/>
      <c r="Y944" s="128"/>
      <c r="Z944" s="128"/>
      <c r="AA944" s="128"/>
      <c r="AB944" s="128"/>
      <c r="AC944" s="128"/>
      <c r="AD944" s="128"/>
      <c r="AE944" s="128"/>
      <c r="AF944" s="128"/>
      <c r="AG944" s="128"/>
      <c r="AI944" s="128"/>
      <c r="AJ944" s="128"/>
      <c r="AY944" s="128"/>
      <c r="BN944" s="128"/>
      <c r="BQ944" s="128"/>
      <c r="BR944" s="128"/>
      <c r="BT944" s="128"/>
      <c r="BV944" s="128"/>
      <c r="BX944" s="128"/>
      <c r="CU944" s="128"/>
      <c r="CW944" s="128"/>
      <c r="DN944" s="128"/>
      <c r="DP944" s="128"/>
      <c r="DR944" s="128"/>
      <c r="DV944" s="128"/>
      <c r="DX944" s="128"/>
      <c r="DY944" s="128"/>
      <c r="EA944" s="128"/>
      <c r="EB944" s="128"/>
      <c r="EC944" s="128"/>
      <c r="EG944" s="128"/>
      <c r="EL944" s="128"/>
      <c r="EM944" s="128"/>
      <c r="EO944" s="128"/>
      <c r="EQ944" s="128"/>
      <c r="ES944" s="128"/>
      <c r="EU944" s="128"/>
      <c r="EW944" s="128"/>
      <c r="EY944" s="128"/>
    </row>
    <row r="945" spans="3:155">
      <c r="C945" s="128"/>
      <c r="D945" s="128"/>
      <c r="E945" s="128"/>
      <c r="F945" s="128" t="str">
        <f>IF(E945 &lt;&gt; "", VLOOKUP(E945, '[2]Internal-logic'!G$1:I$364, 2, FALSE),"")</f>
        <v/>
      </c>
      <c r="G945" s="128" t="str">
        <f>IF(E945 &lt;&gt; "", VLOOKUP(E945, '[2]Internal-logic'!G$1:I$364, 3, FALSE),"")</f>
        <v/>
      </c>
      <c r="H945" s="128"/>
      <c r="I945" s="128"/>
      <c r="J945" s="128"/>
      <c r="K945" s="128"/>
      <c r="Q945" s="128"/>
      <c r="R945" s="128"/>
      <c r="S945" s="128"/>
      <c r="U945" s="128"/>
      <c r="X945" s="128"/>
      <c r="Y945" s="128"/>
      <c r="Z945" s="128"/>
      <c r="AA945" s="128"/>
      <c r="AB945" s="128"/>
      <c r="AC945" s="128"/>
      <c r="AD945" s="128"/>
      <c r="AE945" s="128"/>
      <c r="AF945" s="128"/>
      <c r="AG945" s="128"/>
      <c r="AI945" s="128"/>
      <c r="AJ945" s="128"/>
      <c r="AY945" s="128"/>
      <c r="BN945" s="128"/>
      <c r="BQ945" s="128"/>
      <c r="BR945" s="128"/>
      <c r="BT945" s="128"/>
      <c r="BV945" s="128"/>
      <c r="BX945" s="128"/>
      <c r="CU945" s="128"/>
      <c r="CW945" s="128"/>
      <c r="DN945" s="128"/>
      <c r="DP945" s="128"/>
      <c r="DR945" s="128"/>
      <c r="DV945" s="128"/>
      <c r="DX945" s="128"/>
      <c r="DY945" s="128"/>
      <c r="EA945" s="128"/>
      <c r="EB945" s="128"/>
      <c r="EC945" s="128"/>
      <c r="EG945" s="128"/>
      <c r="EL945" s="128"/>
      <c r="EM945" s="128"/>
      <c r="EO945" s="128"/>
      <c r="EQ945" s="128"/>
      <c r="ES945" s="128"/>
      <c r="EU945" s="128"/>
      <c r="EW945" s="128"/>
      <c r="EY945" s="128"/>
    </row>
    <row r="946" spans="3:155">
      <c r="C946" s="128"/>
      <c r="D946" s="128"/>
      <c r="E946" s="128"/>
      <c r="F946" s="128" t="str">
        <f>IF(E946 &lt;&gt; "", VLOOKUP(E946, '[2]Internal-logic'!G$1:I$364, 2, FALSE),"")</f>
        <v/>
      </c>
      <c r="G946" s="128" t="str">
        <f>IF(E946 &lt;&gt; "", VLOOKUP(E946, '[2]Internal-logic'!G$1:I$364, 3, FALSE),"")</f>
        <v/>
      </c>
      <c r="H946" s="128"/>
      <c r="I946" s="128"/>
      <c r="J946" s="128"/>
      <c r="K946" s="128"/>
      <c r="Q946" s="128"/>
      <c r="R946" s="128"/>
      <c r="S946" s="128"/>
      <c r="U946" s="128"/>
      <c r="X946" s="128"/>
      <c r="Y946" s="128"/>
      <c r="Z946" s="128"/>
      <c r="AA946" s="128"/>
      <c r="AB946" s="128"/>
      <c r="AC946" s="128"/>
      <c r="AD946" s="128"/>
      <c r="AE946" s="128"/>
      <c r="AF946" s="128"/>
      <c r="AG946" s="128"/>
      <c r="AI946" s="128"/>
      <c r="AJ946" s="128"/>
      <c r="AY946" s="128"/>
      <c r="BN946" s="128"/>
      <c r="BQ946" s="128"/>
      <c r="BR946" s="128"/>
      <c r="BT946" s="128"/>
      <c r="BV946" s="128"/>
      <c r="BX946" s="128"/>
      <c r="CU946" s="128"/>
      <c r="CW946" s="128"/>
      <c r="DN946" s="128"/>
      <c r="DP946" s="128"/>
      <c r="DR946" s="128"/>
      <c r="DV946" s="128"/>
      <c r="DX946" s="128"/>
      <c r="DY946" s="128"/>
      <c r="EA946" s="128"/>
      <c r="EB946" s="128"/>
      <c r="EC946" s="128"/>
      <c r="EG946" s="128"/>
      <c r="EL946" s="128"/>
      <c r="EM946" s="128"/>
      <c r="EO946" s="128"/>
      <c r="EQ946" s="128"/>
      <c r="ES946" s="128"/>
      <c r="EU946" s="128"/>
      <c r="EW946" s="128"/>
      <c r="EY946" s="128"/>
    </row>
    <row r="947" spans="3:155">
      <c r="C947" s="128"/>
      <c r="D947" s="128"/>
      <c r="E947" s="128"/>
      <c r="F947" s="128" t="str">
        <f>IF(E947 &lt;&gt; "", VLOOKUP(E947, '[2]Internal-logic'!G$1:I$364, 2, FALSE),"")</f>
        <v/>
      </c>
      <c r="G947" s="128" t="str">
        <f>IF(E947 &lt;&gt; "", VLOOKUP(E947, '[2]Internal-logic'!G$1:I$364, 3, FALSE),"")</f>
        <v/>
      </c>
      <c r="H947" s="128"/>
      <c r="I947" s="128"/>
      <c r="J947" s="128"/>
      <c r="K947" s="128"/>
      <c r="Q947" s="128"/>
      <c r="R947" s="128"/>
      <c r="S947" s="128"/>
      <c r="U947" s="128"/>
      <c r="X947" s="128"/>
      <c r="Y947" s="128"/>
      <c r="Z947" s="128"/>
      <c r="AA947" s="128"/>
      <c r="AB947" s="128"/>
      <c r="AC947" s="128"/>
      <c r="AD947" s="128"/>
      <c r="AE947" s="128"/>
      <c r="AF947" s="128"/>
      <c r="AG947" s="128"/>
      <c r="AI947" s="128"/>
      <c r="AJ947" s="128"/>
      <c r="AY947" s="128"/>
      <c r="BN947" s="128"/>
      <c r="BQ947" s="128"/>
      <c r="BR947" s="128"/>
      <c r="BT947" s="128"/>
      <c r="BV947" s="128"/>
      <c r="BX947" s="128"/>
      <c r="CU947" s="128"/>
      <c r="CW947" s="128"/>
      <c r="DN947" s="128"/>
      <c r="DP947" s="128"/>
      <c r="DR947" s="128"/>
      <c r="DV947" s="128"/>
      <c r="DX947" s="128"/>
      <c r="DY947" s="128"/>
      <c r="EA947" s="128"/>
      <c r="EB947" s="128"/>
      <c r="EC947" s="128"/>
      <c r="EG947" s="128"/>
      <c r="EL947" s="128"/>
      <c r="EM947" s="128"/>
      <c r="EO947" s="128"/>
      <c r="EQ947" s="128"/>
      <c r="ES947" s="128"/>
      <c r="EU947" s="128"/>
      <c r="EW947" s="128"/>
      <c r="EY947" s="128"/>
    </row>
    <row r="948" spans="3:155">
      <c r="C948" s="128"/>
      <c r="D948" s="128"/>
      <c r="E948" s="128"/>
      <c r="F948" s="128" t="str">
        <f>IF(E948 &lt;&gt; "", VLOOKUP(E948, '[2]Internal-logic'!G$1:I$364, 2, FALSE),"")</f>
        <v/>
      </c>
      <c r="G948" s="128" t="str">
        <f>IF(E948 &lt;&gt; "", VLOOKUP(E948, '[2]Internal-logic'!G$1:I$364, 3, FALSE),"")</f>
        <v/>
      </c>
      <c r="H948" s="128"/>
      <c r="I948" s="128"/>
      <c r="J948" s="128"/>
      <c r="K948" s="128"/>
      <c r="Q948" s="128"/>
      <c r="R948" s="128"/>
      <c r="S948" s="128"/>
      <c r="U948" s="128"/>
      <c r="X948" s="128"/>
      <c r="Y948" s="128"/>
      <c r="Z948" s="128"/>
      <c r="AA948" s="128"/>
      <c r="AB948" s="128"/>
      <c r="AC948" s="128"/>
      <c r="AD948" s="128"/>
      <c r="AE948" s="128"/>
      <c r="AF948" s="128"/>
      <c r="AG948" s="128"/>
      <c r="AI948" s="128"/>
      <c r="AJ948" s="128"/>
      <c r="AY948" s="128"/>
      <c r="BN948" s="128"/>
      <c r="BQ948" s="128"/>
      <c r="BR948" s="128"/>
      <c r="BT948" s="128"/>
      <c r="BV948" s="128"/>
      <c r="BX948" s="128"/>
      <c r="CU948" s="128"/>
      <c r="CW948" s="128"/>
      <c r="DN948" s="128"/>
      <c r="DP948" s="128"/>
      <c r="DR948" s="128"/>
      <c r="DV948" s="128"/>
      <c r="DX948" s="128"/>
      <c r="DY948" s="128"/>
      <c r="EA948" s="128"/>
      <c r="EB948" s="128"/>
      <c r="EC948" s="128"/>
      <c r="EG948" s="128"/>
      <c r="EL948" s="128"/>
      <c r="EM948" s="128"/>
      <c r="EO948" s="128"/>
      <c r="EQ948" s="128"/>
      <c r="ES948" s="128"/>
      <c r="EU948" s="128"/>
      <c r="EW948" s="128"/>
      <c r="EY948" s="128"/>
    </row>
    <row r="949" spans="3:155">
      <c r="C949" s="128"/>
      <c r="D949" s="128"/>
      <c r="E949" s="128"/>
      <c r="F949" s="128" t="str">
        <f>IF(E949 &lt;&gt; "", VLOOKUP(E949, '[2]Internal-logic'!G$1:I$364, 2, FALSE),"")</f>
        <v/>
      </c>
      <c r="G949" s="128" t="str">
        <f>IF(E949 &lt;&gt; "", VLOOKUP(E949, '[2]Internal-logic'!G$1:I$364, 3, FALSE),"")</f>
        <v/>
      </c>
      <c r="H949" s="128"/>
      <c r="I949" s="128"/>
      <c r="J949" s="128"/>
      <c r="K949" s="128"/>
      <c r="Q949" s="128"/>
      <c r="R949" s="128"/>
      <c r="S949" s="128"/>
      <c r="U949" s="128"/>
      <c r="X949" s="128"/>
      <c r="Y949" s="128"/>
      <c r="Z949" s="128"/>
      <c r="AA949" s="128"/>
      <c r="AB949" s="128"/>
      <c r="AC949" s="128"/>
      <c r="AD949" s="128"/>
      <c r="AE949" s="128"/>
      <c r="AF949" s="128"/>
      <c r="AG949" s="128"/>
      <c r="AI949" s="128"/>
      <c r="AJ949" s="128"/>
      <c r="AY949" s="128"/>
      <c r="BN949" s="128"/>
      <c r="BQ949" s="128"/>
      <c r="BR949" s="128"/>
      <c r="BT949" s="128"/>
      <c r="BV949" s="128"/>
      <c r="BX949" s="128"/>
      <c r="CU949" s="128"/>
      <c r="CW949" s="128"/>
      <c r="DN949" s="128"/>
      <c r="DP949" s="128"/>
      <c r="DR949" s="128"/>
      <c r="DV949" s="128"/>
      <c r="DX949" s="128"/>
      <c r="DY949" s="128"/>
      <c r="EA949" s="128"/>
      <c r="EB949" s="128"/>
      <c r="EC949" s="128"/>
      <c r="EG949" s="128"/>
      <c r="EL949" s="128"/>
      <c r="EM949" s="128"/>
      <c r="EO949" s="128"/>
      <c r="EQ949" s="128"/>
      <c r="ES949" s="128"/>
      <c r="EU949" s="128"/>
      <c r="EW949" s="128"/>
      <c r="EY949" s="128"/>
    </row>
    <row r="950" spans="3:155">
      <c r="C950" s="128"/>
      <c r="D950" s="128"/>
      <c r="E950" s="128"/>
      <c r="F950" s="128" t="str">
        <f>IF(E950 &lt;&gt; "", VLOOKUP(E950, '[2]Internal-logic'!G$1:I$364, 2, FALSE),"")</f>
        <v/>
      </c>
      <c r="G950" s="128" t="str">
        <f>IF(E950 &lt;&gt; "", VLOOKUP(E950, '[2]Internal-logic'!G$1:I$364, 3, FALSE),"")</f>
        <v/>
      </c>
      <c r="H950" s="128"/>
      <c r="I950" s="128"/>
      <c r="J950" s="128"/>
      <c r="K950" s="128"/>
      <c r="Q950" s="128"/>
      <c r="R950" s="128"/>
      <c r="S950" s="128"/>
      <c r="U950" s="128"/>
      <c r="X950" s="128"/>
      <c r="Y950" s="128"/>
      <c r="Z950" s="128"/>
      <c r="AA950" s="128"/>
      <c r="AB950" s="128"/>
      <c r="AC950" s="128"/>
      <c r="AD950" s="128"/>
      <c r="AE950" s="128"/>
      <c r="AF950" s="128"/>
      <c r="AG950" s="128"/>
      <c r="AI950" s="128"/>
      <c r="AJ950" s="128"/>
      <c r="AY950" s="128"/>
      <c r="BN950" s="128"/>
      <c r="BQ950" s="128"/>
      <c r="BR950" s="128"/>
      <c r="BT950" s="128"/>
      <c r="BV950" s="128"/>
      <c r="BX950" s="128"/>
      <c r="CU950" s="128"/>
      <c r="CW950" s="128"/>
      <c r="DN950" s="128"/>
      <c r="DP950" s="128"/>
      <c r="DR950" s="128"/>
      <c r="DV950" s="128"/>
      <c r="DX950" s="128"/>
      <c r="DY950" s="128"/>
      <c r="EA950" s="128"/>
      <c r="EB950" s="128"/>
      <c r="EC950" s="128"/>
      <c r="EG950" s="128"/>
      <c r="EL950" s="128"/>
      <c r="EM950" s="128"/>
      <c r="EO950" s="128"/>
      <c r="EQ950" s="128"/>
      <c r="ES950" s="128"/>
      <c r="EU950" s="128"/>
      <c r="EW950" s="128"/>
      <c r="EY950" s="128"/>
    </row>
    <row r="951" spans="3:155">
      <c r="C951" s="128"/>
      <c r="D951" s="128"/>
      <c r="E951" s="128"/>
      <c r="F951" s="128" t="str">
        <f>IF(E951 &lt;&gt; "", VLOOKUP(E951, '[2]Internal-logic'!G$1:I$364, 2, FALSE),"")</f>
        <v/>
      </c>
      <c r="G951" s="128" t="str">
        <f>IF(E951 &lt;&gt; "", VLOOKUP(E951, '[2]Internal-logic'!G$1:I$364, 3, FALSE),"")</f>
        <v/>
      </c>
      <c r="H951" s="128"/>
      <c r="I951" s="128"/>
      <c r="J951" s="128"/>
      <c r="K951" s="128"/>
      <c r="Q951" s="128"/>
      <c r="R951" s="128"/>
      <c r="S951" s="128"/>
      <c r="U951" s="128"/>
      <c r="X951" s="128"/>
      <c r="Y951" s="128"/>
      <c r="Z951" s="128"/>
      <c r="AA951" s="128"/>
      <c r="AB951" s="128"/>
      <c r="AC951" s="128"/>
      <c r="AD951" s="128"/>
      <c r="AE951" s="128"/>
      <c r="AF951" s="128"/>
      <c r="AG951" s="128"/>
      <c r="AI951" s="128"/>
      <c r="AJ951" s="128"/>
      <c r="AY951" s="128"/>
      <c r="BN951" s="128"/>
      <c r="BQ951" s="128"/>
      <c r="BR951" s="128"/>
      <c r="BT951" s="128"/>
      <c r="BV951" s="128"/>
      <c r="BX951" s="128"/>
      <c r="CU951" s="128"/>
      <c r="CW951" s="128"/>
      <c r="DN951" s="128"/>
      <c r="DP951" s="128"/>
      <c r="DR951" s="128"/>
      <c r="DV951" s="128"/>
      <c r="DX951" s="128"/>
      <c r="DY951" s="128"/>
      <c r="EA951" s="128"/>
      <c r="EB951" s="128"/>
      <c r="EC951" s="128"/>
      <c r="EG951" s="128"/>
      <c r="EL951" s="128"/>
      <c r="EM951" s="128"/>
      <c r="EO951" s="128"/>
      <c r="EQ951" s="128"/>
      <c r="ES951" s="128"/>
      <c r="EU951" s="128"/>
      <c r="EW951" s="128"/>
      <c r="EY951" s="128"/>
    </row>
    <row r="952" spans="3:155">
      <c r="C952" s="128"/>
      <c r="D952" s="128"/>
      <c r="E952" s="128"/>
      <c r="F952" s="128" t="str">
        <f>IF(E952 &lt;&gt; "", VLOOKUP(E952, '[2]Internal-logic'!G$1:I$364, 2, FALSE),"")</f>
        <v/>
      </c>
      <c r="G952" s="128" t="str">
        <f>IF(E952 &lt;&gt; "", VLOOKUP(E952, '[2]Internal-logic'!G$1:I$364, 3, FALSE),"")</f>
        <v/>
      </c>
      <c r="H952" s="128"/>
      <c r="I952" s="128"/>
      <c r="J952" s="128"/>
      <c r="K952" s="128"/>
      <c r="Q952" s="128"/>
      <c r="R952" s="128"/>
      <c r="S952" s="128"/>
      <c r="U952" s="128"/>
      <c r="X952" s="128"/>
      <c r="Y952" s="128"/>
      <c r="Z952" s="128"/>
      <c r="AA952" s="128"/>
      <c r="AB952" s="128"/>
      <c r="AC952" s="128"/>
      <c r="AD952" s="128"/>
      <c r="AE952" s="128"/>
      <c r="AF952" s="128"/>
      <c r="AG952" s="128"/>
      <c r="AI952" s="128"/>
      <c r="AJ952" s="128"/>
      <c r="AY952" s="128"/>
      <c r="BN952" s="128"/>
      <c r="BQ952" s="128"/>
      <c r="BR952" s="128"/>
      <c r="BT952" s="128"/>
      <c r="BV952" s="128"/>
      <c r="BX952" s="128"/>
      <c r="CU952" s="128"/>
      <c r="CW952" s="128"/>
      <c r="DN952" s="128"/>
      <c r="DP952" s="128"/>
      <c r="DR952" s="128"/>
      <c r="DV952" s="128"/>
      <c r="DX952" s="128"/>
      <c r="DY952" s="128"/>
      <c r="EA952" s="128"/>
      <c r="EB952" s="128"/>
      <c r="EC952" s="128"/>
      <c r="EG952" s="128"/>
      <c r="EL952" s="128"/>
      <c r="EM952" s="128"/>
      <c r="EO952" s="128"/>
      <c r="EQ952" s="128"/>
      <c r="ES952" s="128"/>
      <c r="EU952" s="128"/>
      <c r="EW952" s="128"/>
      <c r="EY952" s="128"/>
    </row>
    <row r="953" spans="3:155">
      <c r="C953" s="128"/>
      <c r="D953" s="128"/>
      <c r="E953" s="128"/>
      <c r="F953" s="128" t="str">
        <f>IF(E953 &lt;&gt; "", VLOOKUP(E953, '[2]Internal-logic'!G$1:I$364, 2, FALSE),"")</f>
        <v/>
      </c>
      <c r="G953" s="128" t="str">
        <f>IF(E953 &lt;&gt; "", VLOOKUP(E953, '[2]Internal-logic'!G$1:I$364, 3, FALSE),"")</f>
        <v/>
      </c>
      <c r="H953" s="128"/>
      <c r="I953" s="128"/>
      <c r="J953" s="128"/>
      <c r="K953" s="128"/>
      <c r="Q953" s="128"/>
      <c r="R953" s="128"/>
      <c r="S953" s="128"/>
      <c r="U953" s="128"/>
      <c r="X953" s="128"/>
      <c r="Y953" s="128"/>
      <c r="Z953" s="128"/>
      <c r="AA953" s="128"/>
      <c r="AB953" s="128"/>
      <c r="AC953" s="128"/>
      <c r="AD953" s="128"/>
      <c r="AE953" s="128"/>
      <c r="AF953" s="128"/>
      <c r="AG953" s="128"/>
      <c r="AI953" s="128"/>
      <c r="AJ953" s="128"/>
      <c r="AY953" s="128"/>
      <c r="BN953" s="128"/>
      <c r="BQ953" s="128"/>
      <c r="BR953" s="128"/>
      <c r="BT953" s="128"/>
      <c r="BV953" s="128"/>
      <c r="BX953" s="128"/>
      <c r="CU953" s="128"/>
      <c r="CW953" s="128"/>
      <c r="DN953" s="128"/>
      <c r="DP953" s="128"/>
      <c r="DR953" s="128"/>
      <c r="DV953" s="128"/>
      <c r="DX953" s="128"/>
      <c r="DY953" s="128"/>
      <c r="EA953" s="128"/>
      <c r="EB953" s="128"/>
      <c r="EC953" s="128"/>
      <c r="EG953" s="128"/>
      <c r="EL953" s="128"/>
      <c r="EM953" s="128"/>
      <c r="EO953" s="128"/>
      <c r="EQ953" s="128"/>
      <c r="ES953" s="128"/>
      <c r="EU953" s="128"/>
      <c r="EW953" s="128"/>
      <c r="EY953" s="128"/>
    </row>
    <row r="954" spans="3:155">
      <c r="C954" s="128"/>
      <c r="D954" s="128"/>
      <c r="E954" s="128"/>
      <c r="F954" s="128" t="str">
        <f>IF(E954 &lt;&gt; "", VLOOKUP(E954, '[2]Internal-logic'!G$1:I$364, 2, FALSE),"")</f>
        <v/>
      </c>
      <c r="G954" s="128" t="str">
        <f>IF(E954 &lt;&gt; "", VLOOKUP(E954, '[2]Internal-logic'!G$1:I$364, 3, FALSE),"")</f>
        <v/>
      </c>
      <c r="H954" s="128"/>
      <c r="I954" s="128"/>
      <c r="J954" s="128"/>
      <c r="K954" s="128"/>
      <c r="Q954" s="128"/>
      <c r="R954" s="128"/>
      <c r="S954" s="128"/>
      <c r="U954" s="128"/>
      <c r="X954" s="128"/>
      <c r="Y954" s="128"/>
      <c r="Z954" s="128"/>
      <c r="AA954" s="128"/>
      <c r="AB954" s="128"/>
      <c r="AC954" s="128"/>
      <c r="AD954" s="128"/>
      <c r="AE954" s="128"/>
      <c r="AF954" s="128"/>
      <c r="AG954" s="128"/>
      <c r="AI954" s="128"/>
      <c r="AJ954" s="128"/>
      <c r="AY954" s="128"/>
      <c r="BN954" s="128"/>
      <c r="BQ954" s="128"/>
      <c r="BR954" s="128"/>
      <c r="BT954" s="128"/>
      <c r="BV954" s="128"/>
      <c r="BX954" s="128"/>
      <c r="CU954" s="128"/>
      <c r="CW954" s="128"/>
      <c r="DN954" s="128"/>
      <c r="DP954" s="128"/>
      <c r="DR954" s="128"/>
      <c r="DV954" s="128"/>
      <c r="DX954" s="128"/>
      <c r="DY954" s="128"/>
      <c r="EA954" s="128"/>
      <c r="EB954" s="128"/>
      <c r="EC954" s="128"/>
      <c r="EG954" s="128"/>
      <c r="EL954" s="128"/>
      <c r="EM954" s="128"/>
      <c r="EO954" s="128"/>
      <c r="EQ954" s="128"/>
      <c r="ES954" s="128"/>
      <c r="EU954" s="128"/>
      <c r="EW954" s="128"/>
      <c r="EY954" s="128"/>
    </row>
    <row r="955" spans="3:155">
      <c r="C955" s="128"/>
      <c r="D955" s="128"/>
      <c r="E955" s="128"/>
      <c r="F955" s="128" t="str">
        <f>IF(E955 &lt;&gt; "", VLOOKUP(E955, '[2]Internal-logic'!G$1:I$364, 2, FALSE),"")</f>
        <v/>
      </c>
      <c r="G955" s="128" t="str">
        <f>IF(E955 &lt;&gt; "", VLOOKUP(E955, '[2]Internal-logic'!G$1:I$364, 3, FALSE),"")</f>
        <v/>
      </c>
      <c r="H955" s="128"/>
      <c r="I955" s="128"/>
      <c r="J955" s="128"/>
      <c r="K955" s="128"/>
      <c r="Q955" s="128"/>
      <c r="R955" s="128"/>
      <c r="S955" s="128"/>
      <c r="U955" s="128"/>
      <c r="X955" s="128"/>
      <c r="Y955" s="128"/>
      <c r="Z955" s="128"/>
      <c r="AA955" s="128"/>
      <c r="AB955" s="128"/>
      <c r="AC955" s="128"/>
      <c r="AD955" s="128"/>
      <c r="AE955" s="128"/>
      <c r="AF955" s="128"/>
      <c r="AG955" s="128"/>
      <c r="AI955" s="128"/>
      <c r="AJ955" s="128"/>
      <c r="AY955" s="128"/>
      <c r="BN955" s="128"/>
      <c r="BQ955" s="128"/>
      <c r="BR955" s="128"/>
      <c r="BT955" s="128"/>
      <c r="BV955" s="128"/>
      <c r="BX955" s="128"/>
      <c r="CU955" s="128"/>
      <c r="CW955" s="128"/>
      <c r="DN955" s="128"/>
      <c r="DP955" s="128"/>
      <c r="DR955" s="128"/>
      <c r="DV955" s="128"/>
      <c r="DX955" s="128"/>
      <c r="DY955" s="128"/>
      <c r="EA955" s="128"/>
      <c r="EB955" s="128"/>
      <c r="EC955" s="128"/>
      <c r="EG955" s="128"/>
      <c r="EL955" s="128"/>
      <c r="EM955" s="128"/>
      <c r="EO955" s="128"/>
      <c r="EQ955" s="128"/>
      <c r="ES955" s="128"/>
      <c r="EU955" s="128"/>
      <c r="EW955" s="128"/>
      <c r="EY955" s="128"/>
    </row>
    <row r="956" spans="3:155">
      <c r="C956" s="128"/>
      <c r="D956" s="128"/>
      <c r="E956" s="128"/>
      <c r="F956" s="128" t="str">
        <f>IF(E956 &lt;&gt; "", VLOOKUP(E956, '[2]Internal-logic'!G$1:I$364, 2, FALSE),"")</f>
        <v/>
      </c>
      <c r="G956" s="128" t="str">
        <f>IF(E956 &lt;&gt; "", VLOOKUP(E956, '[2]Internal-logic'!G$1:I$364, 3, FALSE),"")</f>
        <v/>
      </c>
      <c r="H956" s="128"/>
      <c r="I956" s="128"/>
      <c r="J956" s="128"/>
      <c r="K956" s="128"/>
      <c r="Q956" s="128"/>
      <c r="R956" s="128"/>
      <c r="S956" s="128"/>
      <c r="U956" s="128"/>
      <c r="X956" s="128"/>
      <c r="Y956" s="128"/>
      <c r="Z956" s="128"/>
      <c r="AA956" s="128"/>
      <c r="AB956" s="128"/>
      <c r="AC956" s="128"/>
      <c r="AD956" s="128"/>
      <c r="AE956" s="128"/>
      <c r="AF956" s="128"/>
      <c r="AG956" s="128"/>
      <c r="AI956" s="128"/>
      <c r="AJ956" s="128"/>
      <c r="AY956" s="128"/>
      <c r="BN956" s="128"/>
      <c r="BQ956" s="128"/>
      <c r="BR956" s="128"/>
      <c r="BT956" s="128"/>
      <c r="BV956" s="128"/>
      <c r="BX956" s="128"/>
      <c r="CU956" s="128"/>
      <c r="CW956" s="128"/>
      <c r="DN956" s="128"/>
      <c r="DP956" s="128"/>
      <c r="DR956" s="128"/>
      <c r="DV956" s="128"/>
      <c r="DX956" s="128"/>
      <c r="DY956" s="128"/>
      <c r="EA956" s="128"/>
      <c r="EB956" s="128"/>
      <c r="EC956" s="128"/>
      <c r="EG956" s="128"/>
      <c r="EL956" s="128"/>
      <c r="EM956" s="128"/>
      <c r="EO956" s="128"/>
      <c r="EQ956" s="128"/>
      <c r="ES956" s="128"/>
      <c r="EU956" s="128"/>
      <c r="EW956" s="128"/>
      <c r="EY956" s="128"/>
    </row>
    <row r="957" spans="3:155">
      <c r="C957" s="128"/>
      <c r="D957" s="128"/>
      <c r="E957" s="128"/>
      <c r="F957" s="128" t="str">
        <f>IF(E957 &lt;&gt; "", VLOOKUP(E957, '[2]Internal-logic'!G$1:I$364, 2, FALSE),"")</f>
        <v/>
      </c>
      <c r="G957" s="128" t="str">
        <f>IF(E957 &lt;&gt; "", VLOOKUP(E957, '[2]Internal-logic'!G$1:I$364, 3, FALSE),"")</f>
        <v/>
      </c>
      <c r="H957" s="128"/>
      <c r="I957" s="128"/>
      <c r="J957" s="128"/>
      <c r="K957" s="128"/>
      <c r="Q957" s="128"/>
      <c r="R957" s="128"/>
      <c r="S957" s="128"/>
      <c r="U957" s="128"/>
      <c r="X957" s="128"/>
      <c r="Y957" s="128"/>
      <c r="Z957" s="128"/>
      <c r="AA957" s="128"/>
      <c r="AB957" s="128"/>
      <c r="AC957" s="128"/>
      <c r="AD957" s="128"/>
      <c r="AE957" s="128"/>
      <c r="AF957" s="128"/>
      <c r="AG957" s="128"/>
      <c r="AI957" s="128"/>
      <c r="AJ957" s="128"/>
      <c r="AY957" s="128"/>
      <c r="BN957" s="128"/>
      <c r="BQ957" s="128"/>
      <c r="BR957" s="128"/>
      <c r="BT957" s="128"/>
      <c r="BV957" s="128"/>
      <c r="BX957" s="128"/>
      <c r="CU957" s="128"/>
      <c r="CW957" s="128"/>
      <c r="DN957" s="128"/>
      <c r="DP957" s="128"/>
      <c r="DR957" s="128"/>
      <c r="DV957" s="128"/>
      <c r="DX957" s="128"/>
      <c r="DY957" s="128"/>
      <c r="EA957" s="128"/>
      <c r="EB957" s="128"/>
      <c r="EC957" s="128"/>
      <c r="EG957" s="128"/>
      <c r="EL957" s="128"/>
      <c r="EM957" s="128"/>
      <c r="EO957" s="128"/>
      <c r="EQ957" s="128"/>
      <c r="ES957" s="128"/>
      <c r="EU957" s="128"/>
      <c r="EW957" s="128"/>
      <c r="EY957" s="128"/>
    </row>
    <row r="958" spans="3:155">
      <c r="C958" s="128"/>
      <c r="D958" s="128"/>
      <c r="E958" s="128"/>
      <c r="F958" s="128" t="str">
        <f>IF(E958 &lt;&gt; "", VLOOKUP(E958, '[2]Internal-logic'!G$1:I$364, 2, FALSE),"")</f>
        <v/>
      </c>
      <c r="G958" s="128" t="str">
        <f>IF(E958 &lt;&gt; "", VLOOKUP(E958, '[2]Internal-logic'!G$1:I$364, 3, FALSE),"")</f>
        <v/>
      </c>
      <c r="H958" s="128"/>
      <c r="I958" s="128"/>
      <c r="J958" s="128"/>
      <c r="K958" s="128"/>
      <c r="Q958" s="128"/>
      <c r="R958" s="128"/>
      <c r="S958" s="128"/>
      <c r="U958" s="128"/>
      <c r="X958" s="128"/>
      <c r="Y958" s="128"/>
      <c r="Z958" s="128"/>
      <c r="AA958" s="128"/>
      <c r="AB958" s="128"/>
      <c r="AC958" s="128"/>
      <c r="AD958" s="128"/>
      <c r="AE958" s="128"/>
      <c r="AF958" s="128"/>
      <c r="AG958" s="128"/>
      <c r="AI958" s="128"/>
      <c r="AJ958" s="128"/>
      <c r="AY958" s="128"/>
      <c r="BN958" s="128"/>
      <c r="BQ958" s="128"/>
      <c r="BR958" s="128"/>
      <c r="BT958" s="128"/>
      <c r="BV958" s="128"/>
      <c r="BX958" s="128"/>
      <c r="CU958" s="128"/>
      <c r="CW958" s="128"/>
      <c r="DN958" s="128"/>
      <c r="DP958" s="128"/>
      <c r="DR958" s="128"/>
      <c r="DV958" s="128"/>
      <c r="DX958" s="128"/>
      <c r="DY958" s="128"/>
      <c r="EA958" s="128"/>
      <c r="EB958" s="128"/>
      <c r="EC958" s="128"/>
      <c r="EG958" s="128"/>
      <c r="EL958" s="128"/>
      <c r="EM958" s="128"/>
      <c r="EO958" s="128"/>
      <c r="EQ958" s="128"/>
      <c r="ES958" s="128"/>
      <c r="EU958" s="128"/>
      <c r="EW958" s="128"/>
      <c r="EY958" s="128"/>
    </row>
    <row r="959" spans="3:155">
      <c r="C959" s="128"/>
      <c r="D959" s="128"/>
      <c r="E959" s="128"/>
      <c r="F959" s="128" t="str">
        <f>IF(E959 &lt;&gt; "", VLOOKUP(E959, '[2]Internal-logic'!G$1:I$364, 2, FALSE),"")</f>
        <v/>
      </c>
      <c r="G959" s="128" t="str">
        <f>IF(E959 &lt;&gt; "", VLOOKUP(E959, '[2]Internal-logic'!G$1:I$364, 3, FALSE),"")</f>
        <v/>
      </c>
      <c r="H959" s="128"/>
      <c r="I959" s="128"/>
      <c r="J959" s="128"/>
      <c r="K959" s="128"/>
      <c r="Q959" s="128"/>
      <c r="R959" s="128"/>
      <c r="S959" s="128"/>
      <c r="U959" s="128"/>
      <c r="X959" s="128"/>
      <c r="Y959" s="128"/>
      <c r="Z959" s="128"/>
      <c r="AA959" s="128"/>
      <c r="AB959" s="128"/>
      <c r="AC959" s="128"/>
      <c r="AD959" s="128"/>
      <c r="AE959" s="128"/>
      <c r="AF959" s="128"/>
      <c r="AG959" s="128"/>
      <c r="AI959" s="128"/>
      <c r="AJ959" s="128"/>
      <c r="AY959" s="128"/>
      <c r="BN959" s="128"/>
      <c r="BQ959" s="128"/>
      <c r="BR959" s="128"/>
      <c r="BT959" s="128"/>
      <c r="BV959" s="128"/>
      <c r="BX959" s="128"/>
      <c r="CU959" s="128"/>
      <c r="CW959" s="128"/>
      <c r="DN959" s="128"/>
      <c r="DP959" s="128"/>
      <c r="DR959" s="128"/>
      <c r="DV959" s="128"/>
      <c r="DX959" s="128"/>
      <c r="DY959" s="128"/>
      <c r="EA959" s="128"/>
      <c r="EB959" s="128"/>
      <c r="EC959" s="128"/>
      <c r="EG959" s="128"/>
      <c r="EL959" s="128"/>
      <c r="EM959" s="128"/>
      <c r="EO959" s="128"/>
      <c r="EQ959" s="128"/>
      <c r="ES959" s="128"/>
      <c r="EU959" s="128"/>
      <c r="EW959" s="128"/>
      <c r="EY959" s="128"/>
    </row>
    <row r="960" spans="3:155">
      <c r="C960" s="128"/>
      <c r="D960" s="128"/>
      <c r="E960" s="128"/>
      <c r="F960" s="128" t="str">
        <f>IF(E960 &lt;&gt; "", VLOOKUP(E960, '[2]Internal-logic'!G$1:I$364, 2, FALSE),"")</f>
        <v/>
      </c>
      <c r="G960" s="128" t="str">
        <f>IF(E960 &lt;&gt; "", VLOOKUP(E960, '[2]Internal-logic'!G$1:I$364, 3, FALSE),"")</f>
        <v/>
      </c>
      <c r="H960" s="128"/>
      <c r="I960" s="128"/>
      <c r="J960" s="128"/>
      <c r="K960" s="128"/>
      <c r="Q960" s="128"/>
      <c r="R960" s="128"/>
      <c r="S960" s="128"/>
      <c r="U960" s="128"/>
      <c r="X960" s="128"/>
      <c r="Y960" s="128"/>
      <c r="Z960" s="128"/>
      <c r="AA960" s="128"/>
      <c r="AB960" s="128"/>
      <c r="AC960" s="128"/>
      <c r="AD960" s="128"/>
      <c r="AE960" s="128"/>
      <c r="AF960" s="128"/>
      <c r="AG960" s="128"/>
      <c r="AI960" s="128"/>
      <c r="AJ960" s="128"/>
      <c r="AY960" s="128"/>
      <c r="BN960" s="128"/>
      <c r="BQ960" s="128"/>
      <c r="BR960" s="128"/>
      <c r="BT960" s="128"/>
      <c r="BV960" s="128"/>
      <c r="BX960" s="128"/>
      <c r="CU960" s="128"/>
      <c r="CW960" s="128"/>
      <c r="DN960" s="128"/>
      <c r="DP960" s="128"/>
      <c r="DR960" s="128"/>
      <c r="DV960" s="128"/>
      <c r="DX960" s="128"/>
      <c r="DY960" s="128"/>
      <c r="EA960" s="128"/>
      <c r="EB960" s="128"/>
      <c r="EC960" s="128"/>
      <c r="EG960" s="128"/>
      <c r="EL960" s="128"/>
      <c r="EM960" s="128"/>
      <c r="EO960" s="128"/>
      <c r="EQ960" s="128"/>
      <c r="ES960" s="128"/>
      <c r="EU960" s="128"/>
      <c r="EW960" s="128"/>
      <c r="EY960" s="128"/>
    </row>
    <row r="961" spans="3:155">
      <c r="C961" s="128"/>
      <c r="D961" s="128"/>
      <c r="E961" s="128"/>
      <c r="F961" s="128" t="str">
        <f>IF(E961 &lt;&gt; "", VLOOKUP(E961, '[2]Internal-logic'!G$1:I$364, 2, FALSE),"")</f>
        <v/>
      </c>
      <c r="G961" s="128" t="str">
        <f>IF(E961 &lt;&gt; "", VLOOKUP(E961, '[2]Internal-logic'!G$1:I$364, 3, FALSE),"")</f>
        <v/>
      </c>
      <c r="H961" s="128"/>
      <c r="I961" s="128"/>
      <c r="J961" s="128"/>
      <c r="K961" s="128"/>
      <c r="Q961" s="128"/>
      <c r="R961" s="128"/>
      <c r="S961" s="128"/>
      <c r="U961" s="128"/>
      <c r="X961" s="128"/>
      <c r="Y961" s="128"/>
      <c r="Z961" s="128"/>
      <c r="AA961" s="128"/>
      <c r="AB961" s="128"/>
      <c r="AC961" s="128"/>
      <c r="AD961" s="128"/>
      <c r="AE961" s="128"/>
      <c r="AF961" s="128"/>
      <c r="AG961" s="128"/>
      <c r="AI961" s="128"/>
      <c r="AJ961" s="128"/>
      <c r="AY961" s="128"/>
      <c r="BN961" s="128"/>
      <c r="BQ961" s="128"/>
      <c r="BR961" s="128"/>
      <c r="BT961" s="128"/>
      <c r="BV961" s="128"/>
      <c r="BX961" s="128"/>
      <c r="CU961" s="128"/>
      <c r="CW961" s="128"/>
      <c r="DN961" s="128"/>
      <c r="DP961" s="128"/>
      <c r="DR961" s="128"/>
      <c r="DV961" s="128"/>
      <c r="DX961" s="128"/>
      <c r="DY961" s="128"/>
      <c r="EA961" s="128"/>
      <c r="EB961" s="128"/>
      <c r="EC961" s="128"/>
      <c r="EG961" s="128"/>
      <c r="EL961" s="128"/>
      <c r="EM961" s="128"/>
      <c r="EO961" s="128"/>
      <c r="EQ961" s="128"/>
      <c r="ES961" s="128"/>
      <c r="EU961" s="128"/>
      <c r="EW961" s="128"/>
      <c r="EY961" s="128"/>
    </row>
    <row r="962" spans="3:155">
      <c r="C962" s="128"/>
      <c r="D962" s="128"/>
      <c r="E962" s="128"/>
      <c r="F962" s="128" t="str">
        <f>IF(E962 &lt;&gt; "", VLOOKUP(E962, '[2]Internal-logic'!G$1:I$364, 2, FALSE),"")</f>
        <v/>
      </c>
      <c r="G962" s="128" t="str">
        <f>IF(E962 &lt;&gt; "", VLOOKUP(E962, '[2]Internal-logic'!G$1:I$364, 3, FALSE),"")</f>
        <v/>
      </c>
      <c r="H962" s="128"/>
      <c r="I962" s="128"/>
      <c r="J962" s="128"/>
      <c r="K962" s="128"/>
      <c r="Q962" s="128"/>
      <c r="R962" s="128"/>
      <c r="S962" s="128"/>
      <c r="U962" s="128"/>
      <c r="X962" s="128"/>
      <c r="Y962" s="128"/>
      <c r="Z962" s="128"/>
      <c r="AA962" s="128"/>
      <c r="AB962" s="128"/>
      <c r="AC962" s="128"/>
      <c r="AD962" s="128"/>
      <c r="AE962" s="128"/>
      <c r="AF962" s="128"/>
      <c r="AG962" s="128"/>
      <c r="AI962" s="128"/>
      <c r="AJ962" s="128"/>
      <c r="AY962" s="128"/>
      <c r="BN962" s="128"/>
      <c r="BQ962" s="128"/>
      <c r="BR962" s="128"/>
      <c r="BT962" s="128"/>
      <c r="BV962" s="128"/>
      <c r="BX962" s="128"/>
      <c r="CU962" s="128"/>
      <c r="CW962" s="128"/>
      <c r="DN962" s="128"/>
      <c r="DP962" s="128"/>
      <c r="DR962" s="128"/>
      <c r="DV962" s="128"/>
      <c r="DX962" s="128"/>
      <c r="DY962" s="128"/>
      <c r="EA962" s="128"/>
      <c r="EB962" s="128"/>
      <c r="EC962" s="128"/>
      <c r="EG962" s="128"/>
      <c r="EL962" s="128"/>
      <c r="EM962" s="128"/>
      <c r="EO962" s="128"/>
      <c r="EQ962" s="128"/>
      <c r="ES962" s="128"/>
      <c r="EU962" s="128"/>
      <c r="EW962" s="128"/>
      <c r="EY962" s="128"/>
    </row>
    <row r="963" spans="3:155">
      <c r="C963" s="128"/>
      <c r="D963" s="128"/>
      <c r="E963" s="128"/>
      <c r="F963" s="128" t="str">
        <f>IF(E963 &lt;&gt; "", VLOOKUP(E963, '[2]Internal-logic'!G$1:I$364, 2, FALSE),"")</f>
        <v/>
      </c>
      <c r="G963" s="128" t="str">
        <f>IF(E963 &lt;&gt; "", VLOOKUP(E963, '[2]Internal-logic'!G$1:I$364, 3, FALSE),"")</f>
        <v/>
      </c>
      <c r="H963" s="128"/>
      <c r="I963" s="128"/>
      <c r="J963" s="128"/>
      <c r="K963" s="128"/>
      <c r="Q963" s="128"/>
      <c r="R963" s="128"/>
      <c r="S963" s="128"/>
      <c r="U963" s="128"/>
      <c r="X963" s="128"/>
      <c r="Y963" s="128"/>
      <c r="Z963" s="128"/>
      <c r="AA963" s="128"/>
      <c r="AB963" s="128"/>
      <c r="AC963" s="128"/>
      <c r="AD963" s="128"/>
      <c r="AE963" s="128"/>
      <c r="AF963" s="128"/>
      <c r="AG963" s="128"/>
      <c r="AI963" s="128"/>
      <c r="AJ963" s="128"/>
      <c r="AY963" s="128"/>
      <c r="BN963" s="128"/>
      <c r="BQ963" s="128"/>
      <c r="BR963" s="128"/>
      <c r="BT963" s="128"/>
      <c r="BV963" s="128"/>
      <c r="BX963" s="128"/>
      <c r="CU963" s="128"/>
      <c r="CW963" s="128"/>
      <c r="DN963" s="128"/>
      <c r="DP963" s="128"/>
      <c r="DR963" s="128"/>
      <c r="DV963" s="128"/>
      <c r="DX963" s="128"/>
      <c r="DY963" s="128"/>
      <c r="EA963" s="128"/>
      <c r="EB963" s="128"/>
      <c r="EC963" s="128"/>
      <c r="EG963" s="128"/>
      <c r="EL963" s="128"/>
      <c r="EM963" s="128"/>
      <c r="EO963" s="128"/>
      <c r="EQ963" s="128"/>
      <c r="ES963" s="128"/>
      <c r="EU963" s="128"/>
      <c r="EW963" s="128"/>
      <c r="EY963" s="128"/>
    </row>
    <row r="964" spans="3:155">
      <c r="C964" s="128"/>
      <c r="D964" s="128"/>
      <c r="E964" s="128"/>
      <c r="F964" s="128" t="str">
        <f>IF(E964 &lt;&gt; "", VLOOKUP(E964, '[2]Internal-logic'!G$1:I$364, 2, FALSE),"")</f>
        <v/>
      </c>
      <c r="G964" s="128" t="str">
        <f>IF(E964 &lt;&gt; "", VLOOKUP(E964, '[2]Internal-logic'!G$1:I$364, 3, FALSE),"")</f>
        <v/>
      </c>
      <c r="H964" s="128"/>
      <c r="I964" s="128"/>
      <c r="J964" s="128"/>
      <c r="K964" s="128"/>
      <c r="Q964" s="128"/>
      <c r="R964" s="128"/>
      <c r="S964" s="128"/>
      <c r="U964" s="128"/>
      <c r="X964" s="128"/>
      <c r="Y964" s="128"/>
      <c r="Z964" s="128"/>
      <c r="AA964" s="128"/>
      <c r="AB964" s="128"/>
      <c r="AC964" s="128"/>
      <c r="AD964" s="128"/>
      <c r="AE964" s="128"/>
      <c r="AF964" s="128"/>
      <c r="AG964" s="128"/>
      <c r="AI964" s="128"/>
      <c r="AJ964" s="128"/>
      <c r="AY964" s="128"/>
      <c r="BN964" s="128"/>
      <c r="BQ964" s="128"/>
      <c r="BR964" s="128"/>
      <c r="BT964" s="128"/>
      <c r="BV964" s="128"/>
      <c r="BX964" s="128"/>
      <c r="CU964" s="128"/>
      <c r="CW964" s="128"/>
      <c r="DN964" s="128"/>
      <c r="DP964" s="128"/>
      <c r="DR964" s="128"/>
      <c r="DV964" s="128"/>
      <c r="DX964" s="128"/>
      <c r="DY964" s="128"/>
      <c r="EA964" s="128"/>
      <c r="EB964" s="128"/>
      <c r="EC964" s="128"/>
      <c r="EG964" s="128"/>
      <c r="EL964" s="128"/>
      <c r="EM964" s="128"/>
      <c r="EO964" s="128"/>
      <c r="EQ964" s="128"/>
      <c r="ES964" s="128"/>
      <c r="EU964" s="128"/>
      <c r="EW964" s="128"/>
      <c r="EY964" s="128"/>
    </row>
    <row r="965" spans="3:155">
      <c r="C965" s="128"/>
      <c r="D965" s="128"/>
      <c r="E965" s="128"/>
      <c r="F965" s="128" t="str">
        <f>IF(E965 &lt;&gt; "", VLOOKUP(E965, '[2]Internal-logic'!G$1:I$364, 2, FALSE),"")</f>
        <v/>
      </c>
      <c r="G965" s="128" t="str">
        <f>IF(E965 &lt;&gt; "", VLOOKUP(E965, '[2]Internal-logic'!G$1:I$364, 3, FALSE),"")</f>
        <v/>
      </c>
      <c r="H965" s="128"/>
      <c r="I965" s="128"/>
      <c r="J965" s="128"/>
      <c r="K965" s="128"/>
      <c r="Q965" s="128"/>
      <c r="R965" s="128"/>
      <c r="S965" s="128"/>
      <c r="U965" s="128"/>
      <c r="X965" s="128"/>
      <c r="Y965" s="128"/>
      <c r="Z965" s="128"/>
      <c r="AA965" s="128"/>
      <c r="AB965" s="128"/>
      <c r="AC965" s="128"/>
      <c r="AD965" s="128"/>
      <c r="AE965" s="128"/>
      <c r="AF965" s="128"/>
      <c r="AG965" s="128"/>
      <c r="AI965" s="128"/>
      <c r="AJ965" s="128"/>
      <c r="AY965" s="128"/>
      <c r="BN965" s="128"/>
      <c r="BQ965" s="128"/>
      <c r="BR965" s="128"/>
      <c r="BT965" s="128"/>
      <c r="BV965" s="128"/>
      <c r="BX965" s="128"/>
      <c r="CU965" s="128"/>
      <c r="CW965" s="128"/>
      <c r="DN965" s="128"/>
      <c r="DP965" s="128"/>
      <c r="DR965" s="128"/>
      <c r="DV965" s="128"/>
      <c r="DX965" s="128"/>
      <c r="DY965" s="128"/>
      <c r="EA965" s="128"/>
      <c r="EB965" s="128"/>
      <c r="EC965" s="128"/>
      <c r="EG965" s="128"/>
      <c r="EL965" s="128"/>
      <c r="EM965" s="128"/>
      <c r="EO965" s="128"/>
      <c r="EQ965" s="128"/>
      <c r="ES965" s="128"/>
      <c r="EU965" s="128"/>
      <c r="EW965" s="128"/>
      <c r="EY965" s="128"/>
    </row>
    <row r="966" spans="3:155">
      <c r="C966" s="128"/>
      <c r="D966" s="128"/>
      <c r="E966" s="128"/>
      <c r="F966" s="128" t="str">
        <f>IF(E966 &lt;&gt; "", VLOOKUP(E966, '[2]Internal-logic'!G$1:I$364, 2, FALSE),"")</f>
        <v/>
      </c>
      <c r="G966" s="128" t="str">
        <f>IF(E966 &lt;&gt; "", VLOOKUP(E966, '[2]Internal-logic'!G$1:I$364, 3, FALSE),"")</f>
        <v/>
      </c>
      <c r="H966" s="128"/>
      <c r="I966" s="128"/>
      <c r="J966" s="128"/>
      <c r="K966" s="128"/>
      <c r="Q966" s="128"/>
      <c r="R966" s="128"/>
      <c r="S966" s="128"/>
      <c r="U966" s="128"/>
      <c r="X966" s="128"/>
      <c r="Y966" s="128"/>
      <c r="Z966" s="128"/>
      <c r="AA966" s="128"/>
      <c r="AB966" s="128"/>
      <c r="AC966" s="128"/>
      <c r="AD966" s="128"/>
      <c r="AE966" s="128"/>
      <c r="AF966" s="128"/>
      <c r="AG966" s="128"/>
      <c r="AI966" s="128"/>
      <c r="AJ966" s="128"/>
      <c r="AY966" s="128"/>
      <c r="BN966" s="128"/>
      <c r="BQ966" s="128"/>
      <c r="BR966" s="128"/>
      <c r="BT966" s="128"/>
      <c r="BV966" s="128"/>
      <c r="BX966" s="128"/>
      <c r="CU966" s="128"/>
      <c r="CW966" s="128"/>
      <c r="DN966" s="128"/>
      <c r="DP966" s="128"/>
      <c r="DR966" s="128"/>
      <c r="DV966" s="128"/>
      <c r="DX966" s="128"/>
      <c r="DY966" s="128"/>
      <c r="EA966" s="128"/>
      <c r="EB966" s="128"/>
      <c r="EC966" s="128"/>
      <c r="EG966" s="128"/>
      <c r="EL966" s="128"/>
      <c r="EM966" s="128"/>
      <c r="EO966" s="128"/>
      <c r="EQ966" s="128"/>
      <c r="ES966" s="128"/>
      <c r="EU966" s="128"/>
      <c r="EW966" s="128"/>
      <c r="EY966" s="128"/>
    </row>
    <row r="967" spans="3:155">
      <c r="C967" s="128"/>
      <c r="D967" s="128"/>
      <c r="E967" s="128"/>
      <c r="F967" s="128" t="str">
        <f>IF(E967 &lt;&gt; "", VLOOKUP(E967, '[2]Internal-logic'!G$1:I$364, 2, FALSE),"")</f>
        <v/>
      </c>
      <c r="G967" s="128" t="str">
        <f>IF(E967 &lt;&gt; "", VLOOKUP(E967, '[2]Internal-logic'!G$1:I$364, 3, FALSE),"")</f>
        <v/>
      </c>
      <c r="H967" s="128"/>
      <c r="I967" s="128"/>
      <c r="J967" s="128"/>
      <c r="K967" s="128"/>
      <c r="Q967" s="128"/>
      <c r="R967" s="128"/>
      <c r="S967" s="128"/>
      <c r="U967" s="128"/>
      <c r="X967" s="128"/>
      <c r="Y967" s="128"/>
      <c r="Z967" s="128"/>
      <c r="AA967" s="128"/>
      <c r="AB967" s="128"/>
      <c r="AC967" s="128"/>
      <c r="AD967" s="128"/>
      <c r="AE967" s="128"/>
      <c r="AF967" s="128"/>
      <c r="AG967" s="128"/>
      <c r="AI967" s="128"/>
      <c r="AJ967" s="128"/>
      <c r="AY967" s="128"/>
      <c r="BN967" s="128"/>
      <c r="BQ967" s="128"/>
      <c r="BR967" s="128"/>
      <c r="BT967" s="128"/>
      <c r="BV967" s="128"/>
      <c r="BX967" s="128"/>
      <c r="CU967" s="128"/>
      <c r="CW967" s="128"/>
      <c r="DN967" s="128"/>
      <c r="DP967" s="128"/>
      <c r="DR967" s="128"/>
      <c r="DV967" s="128"/>
      <c r="DX967" s="128"/>
      <c r="DY967" s="128"/>
      <c r="EA967" s="128"/>
      <c r="EB967" s="128"/>
      <c r="EC967" s="128"/>
      <c r="EG967" s="128"/>
      <c r="EL967" s="128"/>
      <c r="EM967" s="128"/>
      <c r="EO967" s="128"/>
      <c r="EQ967" s="128"/>
      <c r="ES967" s="128"/>
      <c r="EU967" s="128"/>
      <c r="EW967" s="128"/>
      <c r="EY967" s="128"/>
    </row>
    <row r="968" spans="3:155">
      <c r="C968" s="128"/>
      <c r="D968" s="128"/>
      <c r="E968" s="128"/>
      <c r="F968" s="128" t="str">
        <f>IF(E968 &lt;&gt; "", VLOOKUP(E968, '[2]Internal-logic'!G$1:I$364, 2, FALSE),"")</f>
        <v/>
      </c>
      <c r="G968" s="128" t="str">
        <f>IF(E968 &lt;&gt; "", VLOOKUP(E968, '[2]Internal-logic'!G$1:I$364, 3, FALSE),"")</f>
        <v/>
      </c>
      <c r="H968" s="128"/>
      <c r="I968" s="128"/>
      <c r="J968" s="128"/>
      <c r="K968" s="128"/>
      <c r="Q968" s="128"/>
      <c r="R968" s="128"/>
      <c r="S968" s="128"/>
      <c r="U968" s="128"/>
      <c r="X968" s="128"/>
      <c r="Y968" s="128"/>
      <c r="Z968" s="128"/>
      <c r="AA968" s="128"/>
      <c r="AB968" s="128"/>
      <c r="AC968" s="128"/>
      <c r="AD968" s="128"/>
      <c r="AE968" s="128"/>
      <c r="AF968" s="128"/>
      <c r="AG968" s="128"/>
      <c r="AI968" s="128"/>
      <c r="AJ968" s="128"/>
      <c r="AY968" s="128"/>
      <c r="BN968" s="128"/>
      <c r="BQ968" s="128"/>
      <c r="BR968" s="128"/>
      <c r="BT968" s="128"/>
      <c r="BV968" s="128"/>
      <c r="BX968" s="128"/>
      <c r="CU968" s="128"/>
      <c r="CW968" s="128"/>
      <c r="DN968" s="128"/>
      <c r="DP968" s="128"/>
      <c r="DR968" s="128"/>
      <c r="DV968" s="128"/>
      <c r="DX968" s="128"/>
      <c r="DY968" s="128"/>
      <c r="EA968" s="128"/>
      <c r="EB968" s="128"/>
      <c r="EC968" s="128"/>
      <c r="EG968" s="128"/>
      <c r="EL968" s="128"/>
      <c r="EM968" s="128"/>
      <c r="EO968" s="128"/>
      <c r="EQ968" s="128"/>
      <c r="ES968" s="128"/>
      <c r="EU968" s="128"/>
      <c r="EW968" s="128"/>
      <c r="EY968" s="128"/>
    </row>
    <row r="969" spans="3:155">
      <c r="C969" s="128"/>
      <c r="D969" s="128"/>
      <c r="E969" s="128"/>
      <c r="F969" s="128" t="str">
        <f>IF(E969 &lt;&gt; "", VLOOKUP(E969, '[2]Internal-logic'!G$1:I$364, 2, FALSE),"")</f>
        <v/>
      </c>
      <c r="G969" s="128" t="str">
        <f>IF(E969 &lt;&gt; "", VLOOKUP(E969, '[2]Internal-logic'!G$1:I$364, 3, FALSE),"")</f>
        <v/>
      </c>
      <c r="H969" s="128"/>
      <c r="I969" s="128"/>
      <c r="J969" s="128"/>
      <c r="K969" s="128"/>
      <c r="Q969" s="128"/>
      <c r="R969" s="128"/>
      <c r="S969" s="128"/>
      <c r="U969" s="128"/>
      <c r="X969" s="128"/>
      <c r="Y969" s="128"/>
      <c r="Z969" s="128"/>
      <c r="AA969" s="128"/>
      <c r="AB969" s="128"/>
      <c r="AC969" s="128"/>
      <c r="AD969" s="128"/>
      <c r="AE969" s="128"/>
      <c r="AF969" s="128"/>
      <c r="AG969" s="128"/>
      <c r="AI969" s="128"/>
      <c r="AJ969" s="128"/>
      <c r="AY969" s="128"/>
      <c r="BN969" s="128"/>
      <c r="BQ969" s="128"/>
      <c r="BR969" s="128"/>
      <c r="BT969" s="128"/>
      <c r="BV969" s="128"/>
      <c r="BX969" s="128"/>
      <c r="CU969" s="128"/>
      <c r="CW969" s="128"/>
      <c r="DN969" s="128"/>
      <c r="DP969" s="128"/>
      <c r="DR969" s="128"/>
      <c r="DV969" s="128"/>
      <c r="DX969" s="128"/>
      <c r="DY969" s="128"/>
      <c r="EA969" s="128"/>
      <c r="EB969" s="128"/>
      <c r="EC969" s="128"/>
      <c r="EG969" s="128"/>
      <c r="EL969" s="128"/>
      <c r="EM969" s="128"/>
      <c r="EO969" s="128"/>
      <c r="EQ969" s="128"/>
      <c r="ES969" s="128"/>
      <c r="EU969" s="128"/>
      <c r="EW969" s="128"/>
      <c r="EY969" s="128"/>
    </row>
    <row r="970" spans="3:155">
      <c r="C970" s="128"/>
      <c r="D970" s="128"/>
      <c r="E970" s="128"/>
      <c r="F970" s="128" t="str">
        <f>IF(E970 &lt;&gt; "", VLOOKUP(E970, '[2]Internal-logic'!G$1:I$364, 2, FALSE),"")</f>
        <v/>
      </c>
      <c r="G970" s="128" t="str">
        <f>IF(E970 &lt;&gt; "", VLOOKUP(E970, '[2]Internal-logic'!G$1:I$364, 3, FALSE),"")</f>
        <v/>
      </c>
      <c r="H970" s="128"/>
      <c r="I970" s="128"/>
      <c r="J970" s="128"/>
      <c r="K970" s="128"/>
      <c r="Q970" s="128"/>
      <c r="R970" s="128"/>
      <c r="S970" s="128"/>
      <c r="U970" s="128"/>
      <c r="X970" s="128"/>
      <c r="Y970" s="128"/>
      <c r="Z970" s="128"/>
      <c r="AA970" s="128"/>
      <c r="AB970" s="128"/>
      <c r="AC970" s="128"/>
      <c r="AD970" s="128"/>
      <c r="AE970" s="128"/>
      <c r="AF970" s="128"/>
      <c r="AG970" s="128"/>
      <c r="AI970" s="128"/>
      <c r="AJ970" s="128"/>
      <c r="AY970" s="128"/>
      <c r="BN970" s="128"/>
      <c r="BQ970" s="128"/>
      <c r="BR970" s="128"/>
      <c r="BT970" s="128"/>
      <c r="BV970" s="128"/>
      <c r="BX970" s="128"/>
      <c r="CU970" s="128"/>
      <c r="CW970" s="128"/>
      <c r="DN970" s="128"/>
      <c r="DP970" s="128"/>
      <c r="DR970" s="128"/>
      <c r="DV970" s="128"/>
      <c r="DX970" s="128"/>
      <c r="DY970" s="128"/>
      <c r="EA970" s="128"/>
      <c r="EB970" s="128"/>
      <c r="EC970" s="128"/>
      <c r="EG970" s="128"/>
      <c r="EL970" s="128"/>
      <c r="EM970" s="128"/>
      <c r="EO970" s="128"/>
      <c r="EQ970" s="128"/>
      <c r="ES970" s="128"/>
      <c r="EU970" s="128"/>
      <c r="EW970" s="128"/>
      <c r="EY970" s="128"/>
    </row>
    <row r="971" spans="3:155">
      <c r="C971" s="128"/>
      <c r="D971" s="128"/>
      <c r="E971" s="128"/>
      <c r="F971" s="128" t="str">
        <f>IF(E971 &lt;&gt; "", VLOOKUP(E971, '[2]Internal-logic'!G$1:I$364, 2, FALSE),"")</f>
        <v/>
      </c>
      <c r="G971" s="128" t="str">
        <f>IF(E971 &lt;&gt; "", VLOOKUP(E971, '[2]Internal-logic'!G$1:I$364, 3, FALSE),"")</f>
        <v/>
      </c>
      <c r="H971" s="128"/>
      <c r="I971" s="128"/>
      <c r="J971" s="128"/>
      <c r="K971" s="128"/>
      <c r="Q971" s="128"/>
      <c r="R971" s="128"/>
      <c r="S971" s="128"/>
      <c r="U971" s="128"/>
      <c r="X971" s="128"/>
      <c r="Y971" s="128"/>
      <c r="Z971" s="128"/>
      <c r="AA971" s="128"/>
      <c r="AB971" s="128"/>
      <c r="AC971" s="128"/>
      <c r="AD971" s="128"/>
      <c r="AE971" s="128"/>
      <c r="AF971" s="128"/>
      <c r="AG971" s="128"/>
      <c r="AI971" s="128"/>
      <c r="AJ971" s="128"/>
      <c r="AY971" s="128"/>
      <c r="BN971" s="128"/>
      <c r="BQ971" s="128"/>
      <c r="BR971" s="128"/>
      <c r="BT971" s="128"/>
      <c r="BV971" s="128"/>
      <c r="BX971" s="128"/>
      <c r="CU971" s="128"/>
      <c r="CW971" s="128"/>
      <c r="DN971" s="128"/>
      <c r="DP971" s="128"/>
      <c r="DR971" s="128"/>
      <c r="DV971" s="128"/>
      <c r="DX971" s="128"/>
      <c r="DY971" s="128"/>
      <c r="EA971" s="128"/>
      <c r="EB971" s="128"/>
      <c r="EC971" s="128"/>
      <c r="EG971" s="128"/>
      <c r="EL971" s="128"/>
      <c r="EM971" s="128"/>
      <c r="EO971" s="128"/>
      <c r="EQ971" s="128"/>
      <c r="ES971" s="128"/>
      <c r="EU971" s="128"/>
      <c r="EW971" s="128"/>
      <c r="EY971" s="128"/>
    </row>
    <row r="972" spans="3:155">
      <c r="C972" s="128"/>
      <c r="D972" s="128"/>
      <c r="E972" s="128"/>
      <c r="F972" s="128" t="str">
        <f>IF(E972 &lt;&gt; "", VLOOKUP(E972, '[2]Internal-logic'!G$1:I$364, 2, FALSE),"")</f>
        <v/>
      </c>
      <c r="G972" s="128" t="str">
        <f>IF(E972 &lt;&gt; "", VLOOKUP(E972, '[2]Internal-logic'!G$1:I$364, 3, FALSE),"")</f>
        <v/>
      </c>
      <c r="H972" s="128"/>
      <c r="I972" s="128"/>
      <c r="J972" s="128"/>
      <c r="K972" s="128"/>
      <c r="Q972" s="128"/>
      <c r="R972" s="128"/>
      <c r="S972" s="128"/>
      <c r="U972" s="128"/>
      <c r="X972" s="128"/>
      <c r="Y972" s="128"/>
      <c r="Z972" s="128"/>
      <c r="AA972" s="128"/>
      <c r="AB972" s="128"/>
      <c r="AC972" s="128"/>
      <c r="AD972" s="128"/>
      <c r="AE972" s="128"/>
      <c r="AF972" s="128"/>
      <c r="AG972" s="128"/>
      <c r="AI972" s="128"/>
      <c r="AJ972" s="128"/>
      <c r="AY972" s="128"/>
      <c r="BN972" s="128"/>
      <c r="BQ972" s="128"/>
      <c r="BR972" s="128"/>
      <c r="BT972" s="128"/>
      <c r="BV972" s="128"/>
      <c r="BX972" s="128"/>
      <c r="CU972" s="128"/>
      <c r="CW972" s="128"/>
      <c r="DN972" s="128"/>
      <c r="DP972" s="128"/>
      <c r="DR972" s="128"/>
      <c r="DV972" s="128"/>
      <c r="DX972" s="128"/>
      <c r="DY972" s="128"/>
      <c r="EA972" s="128"/>
      <c r="EB972" s="128"/>
      <c r="EC972" s="128"/>
      <c r="EG972" s="128"/>
      <c r="EL972" s="128"/>
      <c r="EM972" s="128"/>
      <c r="EO972" s="128"/>
      <c r="EQ972" s="128"/>
      <c r="ES972" s="128"/>
      <c r="EU972" s="128"/>
      <c r="EW972" s="128"/>
      <c r="EY972" s="128"/>
    </row>
    <row r="973" spans="3:155">
      <c r="C973" s="128"/>
      <c r="D973" s="128"/>
      <c r="E973" s="128"/>
      <c r="F973" s="128" t="str">
        <f>IF(E973 &lt;&gt; "", VLOOKUP(E973, '[2]Internal-logic'!G$1:I$364, 2, FALSE),"")</f>
        <v/>
      </c>
      <c r="G973" s="128" t="str">
        <f>IF(E973 &lt;&gt; "", VLOOKUP(E973, '[2]Internal-logic'!G$1:I$364, 3, FALSE),"")</f>
        <v/>
      </c>
      <c r="H973" s="128"/>
      <c r="I973" s="128"/>
      <c r="J973" s="128"/>
      <c r="K973" s="128"/>
      <c r="Q973" s="128"/>
      <c r="R973" s="128"/>
      <c r="S973" s="128"/>
      <c r="U973" s="128"/>
      <c r="X973" s="128"/>
      <c r="Y973" s="128"/>
      <c r="Z973" s="128"/>
      <c r="AA973" s="128"/>
      <c r="AB973" s="128"/>
      <c r="AC973" s="128"/>
      <c r="AD973" s="128"/>
      <c r="AE973" s="128"/>
      <c r="AF973" s="128"/>
      <c r="AG973" s="128"/>
      <c r="AI973" s="128"/>
      <c r="AJ973" s="128"/>
      <c r="AY973" s="128"/>
      <c r="BN973" s="128"/>
      <c r="BQ973" s="128"/>
      <c r="BR973" s="128"/>
      <c r="BT973" s="128"/>
      <c r="BV973" s="128"/>
      <c r="BX973" s="128"/>
      <c r="CU973" s="128"/>
      <c r="CW973" s="128"/>
      <c r="DN973" s="128"/>
      <c r="DP973" s="128"/>
      <c r="DR973" s="128"/>
      <c r="DV973" s="128"/>
      <c r="DX973" s="128"/>
      <c r="DY973" s="128"/>
      <c r="EA973" s="128"/>
      <c r="EB973" s="128"/>
      <c r="EC973" s="128"/>
      <c r="EG973" s="128"/>
      <c r="EL973" s="128"/>
      <c r="EM973" s="128"/>
      <c r="EO973" s="128"/>
      <c r="EQ973" s="128"/>
      <c r="ES973" s="128"/>
      <c r="EU973" s="128"/>
      <c r="EW973" s="128"/>
      <c r="EY973" s="128"/>
    </row>
    <row r="974" spans="3:155">
      <c r="C974" s="128"/>
      <c r="D974" s="128"/>
      <c r="E974" s="128"/>
      <c r="F974" s="128" t="str">
        <f>IF(E974 &lt;&gt; "", VLOOKUP(E974, '[2]Internal-logic'!G$1:I$364, 2, FALSE),"")</f>
        <v/>
      </c>
      <c r="G974" s="128" t="str">
        <f>IF(E974 &lt;&gt; "", VLOOKUP(E974, '[2]Internal-logic'!G$1:I$364, 3, FALSE),"")</f>
        <v/>
      </c>
      <c r="H974" s="128"/>
      <c r="I974" s="128"/>
      <c r="J974" s="128"/>
      <c r="K974" s="128"/>
      <c r="Q974" s="128"/>
      <c r="R974" s="128"/>
      <c r="S974" s="128"/>
      <c r="U974" s="128"/>
      <c r="X974" s="128"/>
      <c r="Y974" s="128"/>
      <c r="Z974" s="128"/>
      <c r="AA974" s="128"/>
      <c r="AB974" s="128"/>
      <c r="AC974" s="128"/>
      <c r="AD974" s="128"/>
      <c r="AE974" s="128"/>
      <c r="AF974" s="128"/>
      <c r="AG974" s="128"/>
      <c r="AI974" s="128"/>
      <c r="AJ974" s="128"/>
      <c r="AY974" s="128"/>
      <c r="BN974" s="128"/>
      <c r="BQ974" s="128"/>
      <c r="BR974" s="128"/>
      <c r="BT974" s="128"/>
      <c r="BV974" s="128"/>
      <c r="BX974" s="128"/>
      <c r="CU974" s="128"/>
      <c r="CW974" s="128"/>
      <c r="DN974" s="128"/>
      <c r="DP974" s="128"/>
      <c r="DR974" s="128"/>
      <c r="DV974" s="128"/>
      <c r="DX974" s="128"/>
      <c r="DY974" s="128"/>
      <c r="EA974" s="128"/>
      <c r="EB974" s="128"/>
      <c r="EC974" s="128"/>
      <c r="EG974" s="128"/>
      <c r="EL974" s="128"/>
      <c r="EM974" s="128"/>
      <c r="EO974" s="128"/>
      <c r="EQ974" s="128"/>
      <c r="ES974" s="128"/>
      <c r="EU974" s="128"/>
      <c r="EW974" s="128"/>
      <c r="EY974" s="128"/>
    </row>
    <row r="975" spans="3:155">
      <c r="C975" s="128"/>
      <c r="D975" s="128"/>
      <c r="E975" s="128"/>
      <c r="F975" s="128" t="str">
        <f>IF(E975 &lt;&gt; "", VLOOKUP(E975, '[2]Internal-logic'!G$1:I$364, 2, FALSE),"")</f>
        <v/>
      </c>
      <c r="G975" s="128" t="str">
        <f>IF(E975 &lt;&gt; "", VLOOKUP(E975, '[2]Internal-logic'!G$1:I$364, 3, FALSE),"")</f>
        <v/>
      </c>
      <c r="H975" s="128"/>
      <c r="I975" s="128"/>
      <c r="J975" s="128"/>
      <c r="K975" s="128"/>
      <c r="Q975" s="128"/>
      <c r="R975" s="128"/>
      <c r="S975" s="128"/>
      <c r="U975" s="128"/>
      <c r="X975" s="128"/>
      <c r="Y975" s="128"/>
      <c r="Z975" s="128"/>
      <c r="AA975" s="128"/>
      <c r="AB975" s="128"/>
      <c r="AC975" s="128"/>
      <c r="AD975" s="128"/>
      <c r="AE975" s="128"/>
      <c r="AF975" s="128"/>
      <c r="AG975" s="128"/>
      <c r="AI975" s="128"/>
      <c r="AJ975" s="128"/>
      <c r="AY975" s="128"/>
      <c r="BN975" s="128"/>
      <c r="BQ975" s="128"/>
      <c r="BR975" s="128"/>
      <c r="BT975" s="128"/>
      <c r="BV975" s="128"/>
      <c r="BX975" s="128"/>
      <c r="CU975" s="128"/>
      <c r="CW975" s="128"/>
      <c r="DN975" s="128"/>
      <c r="DP975" s="128"/>
      <c r="DR975" s="128"/>
      <c r="DV975" s="128"/>
      <c r="DX975" s="128"/>
      <c r="DY975" s="128"/>
      <c r="EA975" s="128"/>
      <c r="EB975" s="128"/>
      <c r="EC975" s="128"/>
      <c r="EG975" s="128"/>
      <c r="EL975" s="128"/>
      <c r="EM975" s="128"/>
      <c r="EO975" s="128"/>
      <c r="EQ975" s="128"/>
      <c r="ES975" s="128"/>
      <c r="EU975" s="128"/>
      <c r="EW975" s="128"/>
      <c r="EY975" s="128"/>
    </row>
    <row r="976" spans="3:155">
      <c r="C976" s="128"/>
      <c r="D976" s="128"/>
      <c r="E976" s="128"/>
      <c r="F976" s="128" t="str">
        <f>IF(E976 &lt;&gt; "", VLOOKUP(E976, '[2]Internal-logic'!G$1:I$364, 2, FALSE),"")</f>
        <v/>
      </c>
      <c r="G976" s="128" t="str">
        <f>IF(E976 &lt;&gt; "", VLOOKUP(E976, '[2]Internal-logic'!G$1:I$364, 3, FALSE),"")</f>
        <v/>
      </c>
      <c r="H976" s="128"/>
      <c r="I976" s="128"/>
      <c r="J976" s="128"/>
      <c r="K976" s="128"/>
      <c r="Q976" s="128"/>
      <c r="R976" s="128"/>
      <c r="S976" s="128"/>
      <c r="U976" s="128"/>
      <c r="X976" s="128"/>
      <c r="Y976" s="128"/>
      <c r="Z976" s="128"/>
      <c r="AA976" s="128"/>
      <c r="AB976" s="128"/>
      <c r="AC976" s="128"/>
      <c r="AD976" s="128"/>
      <c r="AE976" s="128"/>
      <c r="AF976" s="128"/>
      <c r="AG976" s="128"/>
      <c r="AI976" s="128"/>
      <c r="AJ976" s="128"/>
      <c r="AY976" s="128"/>
      <c r="BN976" s="128"/>
      <c r="BQ976" s="128"/>
      <c r="BR976" s="128"/>
      <c r="BT976" s="128"/>
      <c r="BV976" s="128"/>
      <c r="BX976" s="128"/>
      <c r="CU976" s="128"/>
      <c r="CW976" s="128"/>
      <c r="DN976" s="128"/>
      <c r="DP976" s="128"/>
      <c r="DR976" s="128"/>
      <c r="DV976" s="128"/>
      <c r="DX976" s="128"/>
      <c r="DY976" s="128"/>
      <c r="EA976" s="128"/>
      <c r="EB976" s="128"/>
      <c r="EC976" s="128"/>
      <c r="EG976" s="128"/>
      <c r="EL976" s="128"/>
      <c r="EM976" s="128"/>
      <c r="EO976" s="128"/>
      <c r="EQ976" s="128"/>
      <c r="ES976" s="128"/>
      <c r="EU976" s="128"/>
      <c r="EW976" s="128"/>
      <c r="EY976" s="128"/>
    </row>
    <row r="977" spans="3:155">
      <c r="C977" s="128"/>
      <c r="D977" s="128"/>
      <c r="E977" s="128"/>
      <c r="F977" s="128" t="str">
        <f>IF(E977 &lt;&gt; "", VLOOKUP(E977, '[2]Internal-logic'!G$1:I$364, 2, FALSE),"")</f>
        <v/>
      </c>
      <c r="G977" s="128" t="str">
        <f>IF(E977 &lt;&gt; "", VLOOKUP(E977, '[2]Internal-logic'!G$1:I$364, 3, FALSE),"")</f>
        <v/>
      </c>
      <c r="H977" s="128"/>
      <c r="I977" s="128"/>
      <c r="J977" s="128"/>
      <c r="K977" s="128"/>
      <c r="Q977" s="128"/>
      <c r="R977" s="128"/>
      <c r="S977" s="128"/>
      <c r="U977" s="128"/>
      <c r="X977" s="128"/>
      <c r="Y977" s="128"/>
      <c r="Z977" s="128"/>
      <c r="AA977" s="128"/>
      <c r="AB977" s="128"/>
      <c r="AC977" s="128"/>
      <c r="AD977" s="128"/>
      <c r="AE977" s="128"/>
      <c r="AF977" s="128"/>
      <c r="AG977" s="128"/>
      <c r="AI977" s="128"/>
      <c r="AJ977" s="128"/>
      <c r="AY977" s="128"/>
      <c r="BN977" s="128"/>
      <c r="BQ977" s="128"/>
      <c r="BR977" s="128"/>
      <c r="BT977" s="128"/>
      <c r="BV977" s="128"/>
      <c r="BX977" s="128"/>
      <c r="CU977" s="128"/>
      <c r="CW977" s="128"/>
      <c r="DN977" s="128"/>
      <c r="DP977" s="128"/>
      <c r="DR977" s="128"/>
      <c r="DV977" s="128"/>
      <c r="DX977" s="128"/>
      <c r="DY977" s="128"/>
      <c r="EA977" s="128"/>
      <c r="EB977" s="128"/>
      <c r="EC977" s="128"/>
      <c r="EG977" s="128"/>
      <c r="EL977" s="128"/>
      <c r="EM977" s="128"/>
      <c r="EO977" s="128"/>
      <c r="EQ977" s="128"/>
      <c r="ES977" s="128"/>
      <c r="EU977" s="128"/>
      <c r="EW977" s="128"/>
      <c r="EY977" s="128"/>
    </row>
    <row r="978" spans="3:155">
      <c r="C978" s="128"/>
      <c r="D978" s="128"/>
      <c r="E978" s="128"/>
      <c r="F978" s="128" t="str">
        <f>IF(E978 &lt;&gt; "", VLOOKUP(E978, '[2]Internal-logic'!G$1:I$364, 2, FALSE),"")</f>
        <v/>
      </c>
      <c r="G978" s="128" t="str">
        <f>IF(E978 &lt;&gt; "", VLOOKUP(E978, '[2]Internal-logic'!G$1:I$364, 3, FALSE),"")</f>
        <v/>
      </c>
      <c r="H978" s="128"/>
      <c r="I978" s="128"/>
      <c r="J978" s="128"/>
      <c r="K978" s="128"/>
      <c r="Q978" s="128"/>
      <c r="R978" s="128"/>
      <c r="S978" s="128"/>
      <c r="U978" s="128"/>
      <c r="X978" s="128"/>
      <c r="Y978" s="128"/>
      <c r="Z978" s="128"/>
      <c r="AA978" s="128"/>
      <c r="AB978" s="128"/>
      <c r="AC978" s="128"/>
      <c r="AD978" s="128"/>
      <c r="AE978" s="128"/>
      <c r="AF978" s="128"/>
      <c r="AG978" s="128"/>
      <c r="AI978" s="128"/>
      <c r="AJ978" s="128"/>
      <c r="AY978" s="128"/>
      <c r="BN978" s="128"/>
      <c r="BQ978" s="128"/>
      <c r="BR978" s="128"/>
      <c r="BT978" s="128"/>
      <c r="BV978" s="128"/>
      <c r="BX978" s="128"/>
      <c r="CU978" s="128"/>
      <c r="CW978" s="128"/>
      <c r="DN978" s="128"/>
      <c r="DP978" s="128"/>
      <c r="DR978" s="128"/>
      <c r="DV978" s="128"/>
      <c r="DX978" s="128"/>
      <c r="DY978" s="128"/>
      <c r="EA978" s="128"/>
      <c r="EB978" s="128"/>
      <c r="EC978" s="128"/>
      <c r="EG978" s="128"/>
      <c r="EL978" s="128"/>
      <c r="EM978" s="128"/>
      <c r="EO978" s="128"/>
      <c r="EQ978" s="128"/>
      <c r="ES978" s="128"/>
      <c r="EU978" s="128"/>
      <c r="EW978" s="128"/>
      <c r="EY978" s="128"/>
    </row>
    <row r="979" spans="3:155">
      <c r="C979" s="128"/>
      <c r="D979" s="128"/>
      <c r="E979" s="128"/>
      <c r="F979" s="128" t="str">
        <f>IF(E979 &lt;&gt; "", VLOOKUP(E979, '[2]Internal-logic'!G$1:I$364, 2, FALSE),"")</f>
        <v/>
      </c>
      <c r="G979" s="128" t="str">
        <f>IF(E979 &lt;&gt; "", VLOOKUP(E979, '[2]Internal-logic'!G$1:I$364, 3, FALSE),"")</f>
        <v/>
      </c>
      <c r="H979" s="128"/>
      <c r="I979" s="128"/>
      <c r="J979" s="128"/>
      <c r="K979" s="128"/>
      <c r="Q979" s="128"/>
      <c r="R979" s="128"/>
      <c r="S979" s="128"/>
      <c r="U979" s="128"/>
      <c r="X979" s="128"/>
      <c r="Y979" s="128"/>
      <c r="Z979" s="128"/>
      <c r="AA979" s="128"/>
      <c r="AB979" s="128"/>
      <c r="AC979" s="128"/>
      <c r="AD979" s="128"/>
      <c r="AE979" s="128"/>
      <c r="AF979" s="128"/>
      <c r="AG979" s="128"/>
      <c r="AI979" s="128"/>
      <c r="AJ979" s="128"/>
      <c r="AY979" s="128"/>
      <c r="BN979" s="128"/>
      <c r="BQ979" s="128"/>
      <c r="BR979" s="128"/>
      <c r="BT979" s="128"/>
      <c r="BV979" s="128"/>
      <c r="BX979" s="128"/>
      <c r="CU979" s="128"/>
      <c r="CW979" s="128"/>
      <c r="DN979" s="128"/>
      <c r="DP979" s="128"/>
      <c r="DR979" s="128"/>
      <c r="DV979" s="128"/>
      <c r="DX979" s="128"/>
      <c r="DY979" s="128"/>
      <c r="EA979" s="128"/>
      <c r="EB979" s="128"/>
      <c r="EC979" s="128"/>
      <c r="EG979" s="128"/>
      <c r="EL979" s="128"/>
      <c r="EM979" s="128"/>
      <c r="EO979" s="128"/>
      <c r="EQ979" s="128"/>
      <c r="ES979" s="128"/>
      <c r="EU979" s="128"/>
      <c r="EW979" s="128"/>
      <c r="EY979" s="128"/>
    </row>
    <row r="980" spans="3:155">
      <c r="C980" s="128"/>
      <c r="D980" s="128"/>
      <c r="E980" s="128"/>
      <c r="F980" s="128" t="str">
        <f>IF(E980 &lt;&gt; "", VLOOKUP(E980, '[2]Internal-logic'!G$1:I$364, 2, FALSE),"")</f>
        <v/>
      </c>
      <c r="G980" s="128" t="str">
        <f>IF(E980 &lt;&gt; "", VLOOKUP(E980, '[2]Internal-logic'!G$1:I$364, 3, FALSE),"")</f>
        <v/>
      </c>
      <c r="H980" s="128"/>
      <c r="I980" s="128"/>
      <c r="J980" s="128"/>
      <c r="K980" s="128"/>
      <c r="Q980" s="128"/>
      <c r="R980" s="128"/>
      <c r="S980" s="128"/>
      <c r="U980" s="128"/>
      <c r="X980" s="128"/>
      <c r="Y980" s="128"/>
      <c r="Z980" s="128"/>
      <c r="AA980" s="128"/>
      <c r="AB980" s="128"/>
      <c r="AC980" s="128"/>
      <c r="AD980" s="128"/>
      <c r="AE980" s="128"/>
      <c r="AF980" s="128"/>
      <c r="AG980" s="128"/>
      <c r="AI980" s="128"/>
      <c r="AJ980" s="128"/>
      <c r="AY980" s="128"/>
      <c r="BN980" s="128"/>
      <c r="BQ980" s="128"/>
      <c r="BR980" s="128"/>
      <c r="BT980" s="128"/>
      <c r="BV980" s="128"/>
      <c r="BX980" s="128"/>
      <c r="CU980" s="128"/>
      <c r="CW980" s="128"/>
      <c r="DN980" s="128"/>
      <c r="DP980" s="128"/>
      <c r="DR980" s="128"/>
      <c r="DV980" s="128"/>
      <c r="DX980" s="128"/>
      <c r="DY980" s="128"/>
      <c r="EA980" s="128"/>
      <c r="EB980" s="128"/>
      <c r="EC980" s="128"/>
      <c r="EG980" s="128"/>
      <c r="EL980" s="128"/>
      <c r="EM980" s="128"/>
      <c r="EO980" s="128"/>
      <c r="EQ980" s="128"/>
      <c r="ES980" s="128"/>
      <c r="EU980" s="128"/>
      <c r="EW980" s="128"/>
      <c r="EY980" s="128"/>
    </row>
    <row r="981" spans="3:155">
      <c r="C981" s="128"/>
      <c r="D981" s="128"/>
      <c r="E981" s="128"/>
      <c r="F981" s="128" t="str">
        <f>IF(E981 &lt;&gt; "", VLOOKUP(E981, '[2]Internal-logic'!G$1:I$364, 2, FALSE),"")</f>
        <v/>
      </c>
      <c r="G981" s="128" t="str">
        <f>IF(E981 &lt;&gt; "", VLOOKUP(E981, '[2]Internal-logic'!G$1:I$364, 3, FALSE),"")</f>
        <v/>
      </c>
      <c r="H981" s="128"/>
      <c r="I981" s="128"/>
      <c r="J981" s="128"/>
      <c r="K981" s="128"/>
      <c r="Q981" s="128"/>
      <c r="R981" s="128"/>
      <c r="S981" s="128"/>
      <c r="U981" s="128"/>
      <c r="X981" s="128"/>
      <c r="Y981" s="128"/>
      <c r="Z981" s="128"/>
      <c r="AA981" s="128"/>
      <c r="AB981" s="128"/>
      <c r="AC981" s="128"/>
      <c r="AD981" s="128"/>
      <c r="AE981" s="128"/>
      <c r="AF981" s="128"/>
      <c r="AG981" s="128"/>
      <c r="AI981" s="128"/>
      <c r="AJ981" s="128"/>
      <c r="AY981" s="128"/>
      <c r="BN981" s="128"/>
      <c r="BQ981" s="128"/>
      <c r="BR981" s="128"/>
      <c r="BT981" s="128"/>
      <c r="BV981" s="128"/>
      <c r="BX981" s="128"/>
      <c r="CU981" s="128"/>
      <c r="CW981" s="128"/>
      <c r="DN981" s="128"/>
      <c r="DP981" s="128"/>
      <c r="DR981" s="128"/>
      <c r="DV981" s="128"/>
      <c r="DX981" s="128"/>
      <c r="DY981" s="128"/>
      <c r="EA981" s="128"/>
      <c r="EB981" s="128"/>
      <c r="EC981" s="128"/>
      <c r="EG981" s="128"/>
      <c r="EL981" s="128"/>
      <c r="EM981" s="128"/>
      <c r="EO981" s="128"/>
      <c r="EQ981" s="128"/>
      <c r="ES981" s="128"/>
      <c r="EU981" s="128"/>
      <c r="EW981" s="128"/>
      <c r="EY981" s="128"/>
    </row>
    <row r="982" spans="3:155">
      <c r="C982" s="128"/>
      <c r="D982" s="128"/>
      <c r="E982" s="128"/>
      <c r="F982" s="128" t="str">
        <f>IF(E982 &lt;&gt; "", VLOOKUP(E982, '[2]Internal-logic'!G$1:I$364, 2, FALSE),"")</f>
        <v/>
      </c>
      <c r="G982" s="128" t="str">
        <f>IF(E982 &lt;&gt; "", VLOOKUP(E982, '[2]Internal-logic'!G$1:I$364, 3, FALSE),"")</f>
        <v/>
      </c>
      <c r="H982" s="128"/>
      <c r="I982" s="128"/>
      <c r="J982" s="128"/>
      <c r="K982" s="128"/>
      <c r="Q982" s="128"/>
      <c r="R982" s="128"/>
      <c r="S982" s="128"/>
      <c r="U982" s="128"/>
      <c r="X982" s="128"/>
      <c r="Y982" s="128"/>
      <c r="Z982" s="128"/>
      <c r="AA982" s="128"/>
      <c r="AB982" s="128"/>
      <c r="AC982" s="128"/>
      <c r="AD982" s="128"/>
      <c r="AE982" s="128"/>
      <c r="AF982" s="128"/>
      <c r="AG982" s="128"/>
      <c r="AI982" s="128"/>
      <c r="AJ982" s="128"/>
      <c r="AY982" s="128"/>
      <c r="BN982" s="128"/>
      <c r="BQ982" s="128"/>
      <c r="BR982" s="128"/>
      <c r="BT982" s="128"/>
      <c r="BV982" s="128"/>
      <c r="BX982" s="128"/>
      <c r="CU982" s="128"/>
      <c r="CW982" s="128"/>
      <c r="DN982" s="128"/>
      <c r="DP982" s="128"/>
      <c r="DR982" s="128"/>
      <c r="DV982" s="128"/>
      <c r="DX982" s="128"/>
      <c r="DY982" s="128"/>
      <c r="EA982" s="128"/>
      <c r="EB982" s="128"/>
      <c r="EC982" s="128"/>
      <c r="EG982" s="128"/>
      <c r="EL982" s="128"/>
      <c r="EM982" s="128"/>
      <c r="EO982" s="128"/>
      <c r="EQ982" s="128"/>
      <c r="ES982" s="128"/>
      <c r="EU982" s="128"/>
      <c r="EW982" s="128"/>
      <c r="EY982" s="128"/>
    </row>
    <row r="983" spans="3:155">
      <c r="C983" s="128"/>
      <c r="D983" s="128"/>
      <c r="E983" s="128"/>
      <c r="F983" s="128" t="str">
        <f>IF(E983 &lt;&gt; "", VLOOKUP(E983, '[2]Internal-logic'!G$1:I$364, 2, FALSE),"")</f>
        <v/>
      </c>
      <c r="G983" s="128" t="str">
        <f>IF(E983 &lt;&gt; "", VLOOKUP(E983, '[2]Internal-logic'!G$1:I$364, 3, FALSE),"")</f>
        <v/>
      </c>
      <c r="H983" s="128"/>
      <c r="I983" s="128"/>
      <c r="J983" s="128"/>
      <c r="K983" s="128"/>
      <c r="Q983" s="128"/>
      <c r="R983" s="128"/>
      <c r="S983" s="128"/>
      <c r="U983" s="128"/>
      <c r="X983" s="128"/>
      <c r="Y983" s="128"/>
      <c r="Z983" s="128"/>
      <c r="AA983" s="128"/>
      <c r="AB983" s="128"/>
      <c r="AC983" s="128"/>
      <c r="AD983" s="128"/>
      <c r="AE983" s="128"/>
      <c r="AF983" s="128"/>
      <c r="AG983" s="128"/>
      <c r="AI983" s="128"/>
      <c r="AJ983" s="128"/>
      <c r="AY983" s="128"/>
      <c r="BN983" s="128"/>
      <c r="BQ983" s="128"/>
      <c r="BR983" s="128"/>
      <c r="BT983" s="128"/>
      <c r="BV983" s="128"/>
      <c r="BX983" s="128"/>
      <c r="CU983" s="128"/>
      <c r="CW983" s="128"/>
      <c r="DN983" s="128"/>
      <c r="DP983" s="128"/>
      <c r="DR983" s="128"/>
      <c r="DV983" s="128"/>
      <c r="DX983" s="128"/>
      <c r="DY983" s="128"/>
      <c r="EA983" s="128"/>
      <c r="EB983" s="128"/>
      <c r="EC983" s="128"/>
      <c r="EG983" s="128"/>
      <c r="EL983" s="128"/>
      <c r="EM983" s="128"/>
      <c r="EO983" s="128"/>
      <c r="EQ983" s="128"/>
      <c r="ES983" s="128"/>
      <c r="EU983" s="128"/>
      <c r="EW983" s="128"/>
      <c r="EY983" s="128"/>
    </row>
    <row r="984" spans="3:155">
      <c r="C984" s="128"/>
      <c r="D984" s="128"/>
      <c r="E984" s="128"/>
      <c r="F984" s="128" t="str">
        <f>IF(E984 &lt;&gt; "", VLOOKUP(E984, '[2]Internal-logic'!G$1:I$364, 2, FALSE),"")</f>
        <v/>
      </c>
      <c r="G984" s="128" t="str">
        <f>IF(E984 &lt;&gt; "", VLOOKUP(E984, '[2]Internal-logic'!G$1:I$364, 3, FALSE),"")</f>
        <v/>
      </c>
      <c r="H984" s="128"/>
      <c r="I984" s="128"/>
      <c r="J984" s="128"/>
      <c r="K984" s="128"/>
      <c r="Q984" s="128"/>
      <c r="R984" s="128"/>
      <c r="S984" s="128"/>
      <c r="U984" s="128"/>
      <c r="X984" s="128"/>
      <c r="Y984" s="128"/>
      <c r="Z984" s="128"/>
      <c r="AA984" s="128"/>
      <c r="AB984" s="128"/>
      <c r="AC984" s="128"/>
      <c r="AD984" s="128"/>
      <c r="AE984" s="128"/>
      <c r="AF984" s="128"/>
      <c r="AG984" s="128"/>
      <c r="AI984" s="128"/>
      <c r="AJ984" s="128"/>
      <c r="AY984" s="128"/>
      <c r="BN984" s="128"/>
      <c r="BQ984" s="128"/>
      <c r="BR984" s="128"/>
      <c r="BT984" s="128"/>
      <c r="BV984" s="128"/>
      <c r="BX984" s="128"/>
      <c r="CU984" s="128"/>
      <c r="CW984" s="128"/>
      <c r="DN984" s="128"/>
      <c r="DP984" s="128"/>
      <c r="DR984" s="128"/>
      <c r="DV984" s="128"/>
      <c r="DX984" s="128"/>
      <c r="DY984" s="128"/>
      <c r="EA984" s="128"/>
      <c r="EB984" s="128"/>
      <c r="EC984" s="128"/>
      <c r="EG984" s="128"/>
      <c r="EL984" s="128"/>
      <c r="EM984" s="128"/>
      <c r="EO984" s="128"/>
      <c r="EQ984" s="128"/>
      <c r="ES984" s="128"/>
      <c r="EU984" s="128"/>
      <c r="EW984" s="128"/>
      <c r="EY984" s="128"/>
    </row>
    <row r="985" spans="3:155">
      <c r="C985" s="128"/>
      <c r="D985" s="128"/>
      <c r="E985" s="128"/>
      <c r="F985" s="128" t="str">
        <f>IF(E985 &lt;&gt; "", VLOOKUP(E985, '[2]Internal-logic'!G$1:I$364, 2, FALSE),"")</f>
        <v/>
      </c>
      <c r="G985" s="128" t="str">
        <f>IF(E985 &lt;&gt; "", VLOOKUP(E985, '[2]Internal-logic'!G$1:I$364, 3, FALSE),"")</f>
        <v/>
      </c>
      <c r="H985" s="128"/>
      <c r="I985" s="128"/>
      <c r="J985" s="128"/>
      <c r="K985" s="128"/>
      <c r="Q985" s="128"/>
      <c r="R985" s="128"/>
      <c r="S985" s="128"/>
      <c r="U985" s="128"/>
      <c r="X985" s="128"/>
      <c r="Y985" s="128"/>
      <c r="Z985" s="128"/>
      <c r="AA985" s="128"/>
      <c r="AB985" s="128"/>
      <c r="AC985" s="128"/>
      <c r="AD985" s="128"/>
      <c r="AE985" s="128"/>
      <c r="AF985" s="128"/>
      <c r="AG985" s="128"/>
      <c r="AI985" s="128"/>
      <c r="AJ985" s="128"/>
      <c r="AY985" s="128"/>
      <c r="BN985" s="128"/>
      <c r="BQ985" s="128"/>
      <c r="BR985" s="128"/>
      <c r="BT985" s="128"/>
      <c r="BV985" s="128"/>
      <c r="BX985" s="128"/>
      <c r="CU985" s="128"/>
      <c r="CW985" s="128"/>
      <c r="DN985" s="128"/>
      <c r="DP985" s="128"/>
      <c r="DR985" s="128"/>
      <c r="DV985" s="128"/>
      <c r="DX985" s="128"/>
      <c r="DY985" s="128"/>
      <c r="EA985" s="128"/>
      <c r="EB985" s="128"/>
      <c r="EC985" s="128"/>
      <c r="EG985" s="128"/>
      <c r="EL985" s="128"/>
      <c r="EM985" s="128"/>
      <c r="EO985" s="128"/>
      <c r="EQ985" s="128"/>
      <c r="ES985" s="128"/>
      <c r="EU985" s="128"/>
      <c r="EW985" s="128"/>
      <c r="EY985" s="128"/>
    </row>
    <row r="986" spans="3:155">
      <c r="C986" s="128"/>
      <c r="D986" s="128"/>
      <c r="E986" s="128"/>
      <c r="F986" s="128" t="str">
        <f>IF(E986 &lt;&gt; "", VLOOKUP(E986, '[2]Internal-logic'!G$1:I$364, 2, FALSE),"")</f>
        <v/>
      </c>
      <c r="G986" s="128" t="str">
        <f>IF(E986 &lt;&gt; "", VLOOKUP(E986, '[2]Internal-logic'!G$1:I$364, 3, FALSE),"")</f>
        <v/>
      </c>
      <c r="H986" s="128"/>
      <c r="I986" s="128"/>
      <c r="J986" s="128"/>
      <c r="K986" s="128"/>
      <c r="Q986" s="128"/>
      <c r="R986" s="128"/>
      <c r="S986" s="128"/>
      <c r="U986" s="128"/>
      <c r="X986" s="128"/>
      <c r="Y986" s="128"/>
      <c r="Z986" s="128"/>
      <c r="AA986" s="128"/>
      <c r="AB986" s="128"/>
      <c r="AC986" s="128"/>
      <c r="AD986" s="128"/>
      <c r="AE986" s="128"/>
      <c r="AF986" s="128"/>
      <c r="AG986" s="128"/>
      <c r="AI986" s="128"/>
      <c r="AJ986" s="128"/>
      <c r="AY986" s="128"/>
      <c r="BN986" s="128"/>
      <c r="BQ986" s="128"/>
      <c r="BR986" s="128"/>
      <c r="BT986" s="128"/>
      <c r="BV986" s="128"/>
      <c r="BX986" s="128"/>
      <c r="CU986" s="128"/>
      <c r="CW986" s="128"/>
      <c r="DN986" s="128"/>
      <c r="DP986" s="128"/>
      <c r="DR986" s="128"/>
      <c r="DV986" s="128"/>
      <c r="DX986" s="128"/>
      <c r="DY986" s="128"/>
      <c r="EA986" s="128"/>
      <c r="EB986" s="128"/>
      <c r="EC986" s="128"/>
      <c r="EG986" s="128"/>
      <c r="EL986" s="128"/>
      <c r="EM986" s="128"/>
      <c r="EO986" s="128"/>
      <c r="EQ986" s="128"/>
      <c r="ES986" s="128"/>
      <c r="EU986" s="128"/>
      <c r="EW986" s="128"/>
      <c r="EY986" s="128"/>
    </row>
    <row r="987" spans="3:155">
      <c r="C987" s="128"/>
      <c r="D987" s="128"/>
      <c r="E987" s="128"/>
      <c r="F987" s="128" t="str">
        <f>IF(E987 &lt;&gt; "", VLOOKUP(E987, '[2]Internal-logic'!G$1:I$364, 2, FALSE),"")</f>
        <v/>
      </c>
      <c r="G987" s="128" t="str">
        <f>IF(E987 &lt;&gt; "", VLOOKUP(E987, '[2]Internal-logic'!G$1:I$364, 3, FALSE),"")</f>
        <v/>
      </c>
      <c r="H987" s="128"/>
      <c r="I987" s="128"/>
      <c r="J987" s="128"/>
      <c r="K987" s="128"/>
      <c r="Q987" s="128"/>
      <c r="R987" s="128"/>
      <c r="S987" s="128"/>
      <c r="U987" s="128"/>
      <c r="X987" s="128"/>
      <c r="Y987" s="128"/>
      <c r="Z987" s="128"/>
      <c r="AA987" s="128"/>
      <c r="AB987" s="128"/>
      <c r="AC987" s="128"/>
      <c r="AD987" s="128"/>
      <c r="AE987" s="128"/>
      <c r="AF987" s="128"/>
      <c r="AG987" s="128"/>
      <c r="AI987" s="128"/>
      <c r="AJ987" s="128"/>
      <c r="AY987" s="128"/>
      <c r="BN987" s="128"/>
      <c r="BQ987" s="128"/>
      <c r="BR987" s="128"/>
      <c r="BT987" s="128"/>
      <c r="BV987" s="128"/>
      <c r="BX987" s="128"/>
      <c r="CU987" s="128"/>
      <c r="CW987" s="128"/>
      <c r="DN987" s="128"/>
      <c r="DP987" s="128"/>
      <c r="DR987" s="128"/>
      <c r="DV987" s="128"/>
      <c r="DX987" s="128"/>
      <c r="DY987" s="128"/>
      <c r="EA987" s="128"/>
      <c r="EB987" s="128"/>
      <c r="EC987" s="128"/>
      <c r="EG987" s="128"/>
      <c r="EL987" s="128"/>
      <c r="EM987" s="128"/>
      <c r="EO987" s="128"/>
      <c r="EQ987" s="128"/>
      <c r="ES987" s="128"/>
      <c r="EU987" s="128"/>
      <c r="EW987" s="128"/>
      <c r="EY987" s="128"/>
    </row>
    <row r="988" spans="3:155">
      <c r="C988" s="128"/>
      <c r="D988" s="128"/>
      <c r="E988" s="128"/>
      <c r="F988" s="128" t="str">
        <f>IF(E988 &lt;&gt; "", VLOOKUP(E988, '[2]Internal-logic'!G$1:I$364, 2, FALSE),"")</f>
        <v/>
      </c>
      <c r="G988" s="128" t="str">
        <f>IF(E988 &lt;&gt; "", VLOOKUP(E988, '[2]Internal-logic'!G$1:I$364, 3, FALSE),"")</f>
        <v/>
      </c>
      <c r="H988" s="128"/>
      <c r="I988" s="128"/>
      <c r="J988" s="128"/>
      <c r="K988" s="128"/>
      <c r="Q988" s="128"/>
      <c r="R988" s="128"/>
      <c r="S988" s="128"/>
      <c r="U988" s="128"/>
      <c r="X988" s="128"/>
      <c r="Y988" s="128"/>
      <c r="Z988" s="128"/>
      <c r="AA988" s="128"/>
      <c r="AB988" s="128"/>
      <c r="AC988" s="128"/>
      <c r="AD988" s="128"/>
      <c r="AE988" s="128"/>
      <c r="AF988" s="128"/>
      <c r="AG988" s="128"/>
      <c r="AI988" s="128"/>
      <c r="AJ988" s="128"/>
      <c r="AY988" s="128"/>
      <c r="BN988" s="128"/>
      <c r="BQ988" s="128"/>
      <c r="BR988" s="128"/>
      <c r="BT988" s="128"/>
      <c r="BV988" s="128"/>
      <c r="BX988" s="128"/>
      <c r="CU988" s="128"/>
      <c r="CW988" s="128"/>
      <c r="DN988" s="128"/>
      <c r="DP988" s="128"/>
      <c r="DR988" s="128"/>
      <c r="DV988" s="128"/>
      <c r="DX988" s="128"/>
      <c r="DY988" s="128"/>
      <c r="EA988" s="128"/>
      <c r="EB988" s="128"/>
      <c r="EC988" s="128"/>
      <c r="EG988" s="128"/>
      <c r="EL988" s="128"/>
      <c r="EM988" s="128"/>
      <c r="EO988" s="128"/>
      <c r="EQ988" s="128"/>
      <c r="ES988" s="128"/>
      <c r="EU988" s="128"/>
      <c r="EW988" s="128"/>
      <c r="EY988" s="128"/>
    </row>
    <row r="989" spans="3:155">
      <c r="C989" s="128"/>
      <c r="D989" s="128"/>
      <c r="E989" s="128"/>
      <c r="F989" s="128" t="str">
        <f>IF(E989 &lt;&gt; "", VLOOKUP(E989, '[2]Internal-logic'!G$1:I$364, 2, FALSE),"")</f>
        <v/>
      </c>
      <c r="G989" s="128" t="str">
        <f>IF(E989 &lt;&gt; "", VLOOKUP(E989, '[2]Internal-logic'!G$1:I$364, 3, FALSE),"")</f>
        <v/>
      </c>
      <c r="H989" s="128"/>
      <c r="I989" s="128"/>
      <c r="J989" s="128"/>
      <c r="K989" s="128"/>
      <c r="Q989" s="128"/>
      <c r="R989" s="128"/>
      <c r="S989" s="128"/>
      <c r="U989" s="128"/>
      <c r="X989" s="128"/>
      <c r="Y989" s="128"/>
      <c r="Z989" s="128"/>
      <c r="AA989" s="128"/>
      <c r="AB989" s="128"/>
      <c r="AC989" s="128"/>
      <c r="AD989" s="128"/>
      <c r="AE989" s="128"/>
      <c r="AF989" s="128"/>
      <c r="AG989" s="128"/>
      <c r="AI989" s="128"/>
      <c r="AJ989" s="128"/>
      <c r="AY989" s="128"/>
      <c r="BN989" s="128"/>
      <c r="BQ989" s="128"/>
      <c r="BR989" s="128"/>
      <c r="BT989" s="128"/>
      <c r="BV989" s="128"/>
      <c r="BX989" s="128"/>
      <c r="CU989" s="128"/>
      <c r="CW989" s="128"/>
      <c r="DN989" s="128"/>
      <c r="DP989" s="128"/>
      <c r="DR989" s="128"/>
      <c r="DV989" s="128"/>
      <c r="DX989" s="128"/>
      <c r="DY989" s="128"/>
      <c r="EA989" s="128"/>
      <c r="EB989" s="128"/>
      <c r="EC989" s="128"/>
      <c r="EG989" s="128"/>
      <c r="EL989" s="128"/>
      <c r="EM989" s="128"/>
      <c r="EO989" s="128"/>
      <c r="EQ989" s="128"/>
      <c r="ES989" s="128"/>
      <c r="EU989" s="128"/>
      <c r="EW989" s="128"/>
      <c r="EY989" s="128"/>
    </row>
    <row r="990" spans="3:155">
      <c r="C990" s="128"/>
      <c r="D990" s="128"/>
      <c r="E990" s="128"/>
      <c r="F990" s="128" t="str">
        <f>IF(E990 &lt;&gt; "", VLOOKUP(E990, '[2]Internal-logic'!G$1:I$364, 2, FALSE),"")</f>
        <v/>
      </c>
      <c r="G990" s="128" t="str">
        <f>IF(E990 &lt;&gt; "", VLOOKUP(E990, '[2]Internal-logic'!G$1:I$364, 3, FALSE),"")</f>
        <v/>
      </c>
      <c r="H990" s="128"/>
      <c r="I990" s="128"/>
      <c r="J990" s="128"/>
      <c r="K990" s="128"/>
      <c r="Q990" s="128"/>
      <c r="R990" s="128"/>
      <c r="S990" s="128"/>
      <c r="U990" s="128"/>
      <c r="X990" s="128"/>
      <c r="Y990" s="128"/>
      <c r="Z990" s="128"/>
      <c r="AA990" s="128"/>
      <c r="AB990" s="128"/>
      <c r="AC990" s="128"/>
      <c r="AD990" s="128"/>
      <c r="AE990" s="128"/>
      <c r="AF990" s="128"/>
      <c r="AG990" s="128"/>
      <c r="AI990" s="128"/>
      <c r="AJ990" s="128"/>
      <c r="AY990" s="128"/>
      <c r="BN990" s="128"/>
      <c r="BQ990" s="128"/>
      <c r="BR990" s="128"/>
      <c r="BT990" s="128"/>
      <c r="BV990" s="128"/>
      <c r="BX990" s="128"/>
      <c r="CU990" s="128"/>
      <c r="CW990" s="128"/>
      <c r="DN990" s="128"/>
      <c r="DP990" s="128"/>
      <c r="DR990" s="128"/>
      <c r="DV990" s="128"/>
      <c r="DX990" s="128"/>
      <c r="DY990" s="128"/>
      <c r="EA990" s="128"/>
      <c r="EB990" s="128"/>
      <c r="EC990" s="128"/>
      <c r="EG990" s="128"/>
      <c r="EL990" s="128"/>
      <c r="EM990" s="128"/>
      <c r="EO990" s="128"/>
      <c r="EQ990" s="128"/>
      <c r="ES990" s="128"/>
      <c r="EU990" s="128"/>
      <c r="EW990" s="128"/>
      <c r="EY990" s="128"/>
    </row>
    <row r="991" spans="3:155">
      <c r="C991" s="128"/>
      <c r="D991" s="128"/>
      <c r="E991" s="128"/>
      <c r="F991" s="128" t="str">
        <f>IF(E991 &lt;&gt; "", VLOOKUP(E991, '[2]Internal-logic'!G$1:I$364, 2, FALSE),"")</f>
        <v/>
      </c>
      <c r="G991" s="128" t="str">
        <f>IF(E991 &lt;&gt; "", VLOOKUP(E991, '[2]Internal-logic'!G$1:I$364, 3, FALSE),"")</f>
        <v/>
      </c>
      <c r="H991" s="128"/>
      <c r="I991" s="128"/>
      <c r="J991" s="128"/>
      <c r="K991" s="128"/>
      <c r="Q991" s="128"/>
      <c r="R991" s="128"/>
      <c r="S991" s="128"/>
      <c r="U991" s="128"/>
      <c r="X991" s="128"/>
      <c r="Y991" s="128"/>
      <c r="Z991" s="128"/>
      <c r="AA991" s="128"/>
      <c r="AB991" s="128"/>
      <c r="AC991" s="128"/>
      <c r="AD991" s="128"/>
      <c r="AE991" s="128"/>
      <c r="AF991" s="128"/>
      <c r="AG991" s="128"/>
      <c r="AI991" s="128"/>
      <c r="AJ991" s="128"/>
      <c r="AY991" s="128"/>
      <c r="BN991" s="128"/>
      <c r="BQ991" s="128"/>
      <c r="BR991" s="128"/>
      <c r="BT991" s="128"/>
      <c r="BV991" s="128"/>
      <c r="BX991" s="128"/>
      <c r="CU991" s="128"/>
      <c r="CW991" s="128"/>
      <c r="DN991" s="128"/>
      <c r="DP991" s="128"/>
      <c r="DR991" s="128"/>
      <c r="DV991" s="128"/>
      <c r="DX991" s="128"/>
      <c r="DY991" s="128"/>
      <c r="EA991" s="128"/>
      <c r="EB991" s="128"/>
      <c r="EC991" s="128"/>
      <c r="EG991" s="128"/>
      <c r="EL991" s="128"/>
      <c r="EM991" s="128"/>
      <c r="EO991" s="128"/>
      <c r="EQ991" s="128"/>
      <c r="ES991" s="128"/>
      <c r="EU991" s="128"/>
      <c r="EW991" s="128"/>
      <c r="EY991" s="128"/>
    </row>
    <row r="992" spans="3:155">
      <c r="C992" s="128"/>
      <c r="D992" s="128"/>
      <c r="E992" s="128"/>
      <c r="F992" s="128" t="str">
        <f>IF(E992 &lt;&gt; "", VLOOKUP(E992, '[2]Internal-logic'!G$1:I$364, 2, FALSE),"")</f>
        <v/>
      </c>
      <c r="G992" s="128" t="str">
        <f>IF(E992 &lt;&gt; "", VLOOKUP(E992, '[2]Internal-logic'!G$1:I$364, 3, FALSE),"")</f>
        <v/>
      </c>
      <c r="H992" s="128"/>
      <c r="I992" s="128"/>
      <c r="J992" s="128"/>
      <c r="K992" s="128"/>
      <c r="Q992" s="128"/>
      <c r="R992" s="128"/>
      <c r="S992" s="128"/>
      <c r="U992" s="128"/>
      <c r="X992" s="128"/>
      <c r="Y992" s="128"/>
      <c r="Z992" s="128"/>
      <c r="AA992" s="128"/>
      <c r="AB992" s="128"/>
      <c r="AC992" s="128"/>
      <c r="AD992" s="128"/>
      <c r="AE992" s="128"/>
      <c r="AF992" s="128"/>
      <c r="AG992" s="128"/>
      <c r="AI992" s="128"/>
      <c r="AJ992" s="128"/>
      <c r="AY992" s="128"/>
      <c r="BN992" s="128"/>
      <c r="BQ992" s="128"/>
      <c r="BR992" s="128"/>
      <c r="BT992" s="128"/>
      <c r="BV992" s="128"/>
      <c r="BX992" s="128"/>
      <c r="CU992" s="128"/>
      <c r="CW992" s="128"/>
      <c r="DN992" s="128"/>
      <c r="DP992" s="128"/>
      <c r="DR992" s="128"/>
      <c r="DV992" s="128"/>
      <c r="DX992" s="128"/>
      <c r="DY992" s="128"/>
      <c r="EA992" s="128"/>
      <c r="EB992" s="128"/>
      <c r="EC992" s="128"/>
      <c r="EG992" s="128"/>
      <c r="EL992" s="128"/>
      <c r="EM992" s="128"/>
      <c r="EO992" s="128"/>
      <c r="EQ992" s="128"/>
      <c r="ES992" s="128"/>
      <c r="EU992" s="128"/>
      <c r="EW992" s="128"/>
      <c r="EY992" s="128"/>
    </row>
    <row r="993" spans="3:155">
      <c r="C993" s="128"/>
      <c r="D993" s="128"/>
      <c r="E993" s="128"/>
      <c r="F993" s="128" t="str">
        <f>IF(E993 &lt;&gt; "", VLOOKUP(E993, '[2]Internal-logic'!G$1:I$364, 2, FALSE),"")</f>
        <v/>
      </c>
      <c r="G993" s="128" t="str">
        <f>IF(E993 &lt;&gt; "", VLOOKUP(E993, '[2]Internal-logic'!G$1:I$364, 3, FALSE),"")</f>
        <v/>
      </c>
      <c r="H993" s="128"/>
      <c r="I993" s="128"/>
      <c r="J993" s="128"/>
      <c r="K993" s="128"/>
      <c r="Q993" s="128"/>
      <c r="R993" s="128"/>
      <c r="S993" s="128"/>
      <c r="U993" s="128"/>
      <c r="X993" s="128"/>
      <c r="Y993" s="128"/>
      <c r="Z993" s="128"/>
      <c r="AA993" s="128"/>
      <c r="AB993" s="128"/>
      <c r="AC993" s="128"/>
      <c r="AD993" s="128"/>
      <c r="AE993" s="128"/>
      <c r="AF993" s="128"/>
      <c r="AG993" s="128"/>
      <c r="AI993" s="128"/>
      <c r="AJ993" s="128"/>
      <c r="AY993" s="128"/>
      <c r="BN993" s="128"/>
      <c r="BQ993" s="128"/>
      <c r="BR993" s="128"/>
      <c r="BT993" s="128"/>
      <c r="BV993" s="128"/>
      <c r="BX993" s="128"/>
      <c r="CU993" s="128"/>
      <c r="CW993" s="128"/>
      <c r="DN993" s="128"/>
      <c r="DP993" s="128"/>
      <c r="DR993" s="128"/>
      <c r="DV993" s="128"/>
      <c r="DX993" s="128"/>
      <c r="DY993" s="128"/>
      <c r="EA993" s="128"/>
      <c r="EB993" s="128"/>
      <c r="EC993" s="128"/>
      <c r="EG993" s="128"/>
      <c r="EL993" s="128"/>
      <c r="EM993" s="128"/>
      <c r="EO993" s="128"/>
      <c r="EQ993" s="128"/>
      <c r="ES993" s="128"/>
      <c r="EU993" s="128"/>
      <c r="EW993" s="128"/>
      <c r="EY993" s="128"/>
    </row>
    <row r="994" spans="3:155">
      <c r="C994" s="128"/>
      <c r="D994" s="128"/>
      <c r="E994" s="128"/>
      <c r="F994" s="128" t="str">
        <f>IF(E994 &lt;&gt; "", VLOOKUP(E994, '[2]Internal-logic'!G$1:I$364, 2, FALSE),"")</f>
        <v/>
      </c>
      <c r="G994" s="128" t="str">
        <f>IF(E994 &lt;&gt; "", VLOOKUP(E994, '[2]Internal-logic'!G$1:I$364, 3, FALSE),"")</f>
        <v/>
      </c>
      <c r="H994" s="128"/>
      <c r="I994" s="128"/>
      <c r="J994" s="128"/>
      <c r="K994" s="128"/>
      <c r="Q994" s="128"/>
      <c r="R994" s="128"/>
      <c r="S994" s="128"/>
      <c r="U994" s="128"/>
      <c r="X994" s="128"/>
      <c r="Y994" s="128"/>
      <c r="Z994" s="128"/>
      <c r="AA994" s="128"/>
      <c r="AB994" s="128"/>
      <c r="AC994" s="128"/>
      <c r="AD994" s="128"/>
      <c r="AE994" s="128"/>
      <c r="AF994" s="128"/>
      <c r="AG994" s="128"/>
      <c r="AI994" s="128"/>
      <c r="AJ994" s="128"/>
      <c r="AY994" s="128"/>
      <c r="BN994" s="128"/>
      <c r="BQ994" s="128"/>
      <c r="BR994" s="128"/>
      <c r="BT994" s="128"/>
      <c r="BV994" s="128"/>
      <c r="BX994" s="128"/>
      <c r="CU994" s="128"/>
      <c r="CW994" s="128"/>
      <c r="DN994" s="128"/>
      <c r="DP994" s="128"/>
      <c r="DR994" s="128"/>
      <c r="DV994" s="128"/>
      <c r="DX994" s="128"/>
      <c r="DY994" s="128"/>
      <c r="EA994" s="128"/>
      <c r="EB994" s="128"/>
      <c r="EC994" s="128"/>
      <c r="EG994" s="128"/>
      <c r="EL994" s="128"/>
      <c r="EM994" s="128"/>
      <c r="EO994" s="128"/>
      <c r="EQ994" s="128"/>
      <c r="ES994" s="128"/>
      <c r="EU994" s="128"/>
      <c r="EW994" s="128"/>
      <c r="EY994" s="128"/>
    </row>
    <row r="995" spans="3:155">
      <c r="C995" s="128"/>
      <c r="D995" s="128"/>
      <c r="E995" s="128"/>
      <c r="F995" s="128" t="str">
        <f>IF(E995 &lt;&gt; "", VLOOKUP(E995, '[2]Internal-logic'!G$1:I$364, 2, FALSE),"")</f>
        <v/>
      </c>
      <c r="G995" s="128" t="str">
        <f>IF(E995 &lt;&gt; "", VLOOKUP(E995, '[2]Internal-logic'!G$1:I$364, 3, FALSE),"")</f>
        <v/>
      </c>
      <c r="H995" s="128"/>
      <c r="I995" s="128"/>
      <c r="J995" s="128"/>
      <c r="K995" s="128"/>
      <c r="Q995" s="128"/>
      <c r="R995" s="128"/>
      <c r="S995" s="128"/>
      <c r="U995" s="128"/>
      <c r="X995" s="128"/>
      <c r="Y995" s="128"/>
      <c r="Z995" s="128"/>
      <c r="AA995" s="128"/>
      <c r="AB995" s="128"/>
      <c r="AC995" s="128"/>
      <c r="AD995" s="128"/>
      <c r="AE995" s="128"/>
      <c r="AF995" s="128"/>
      <c r="AG995" s="128"/>
      <c r="AI995" s="128"/>
      <c r="AJ995" s="128"/>
      <c r="AY995" s="128"/>
      <c r="BN995" s="128"/>
      <c r="BQ995" s="128"/>
      <c r="BR995" s="128"/>
      <c r="BT995" s="128"/>
      <c r="BV995" s="128"/>
      <c r="BX995" s="128"/>
      <c r="CU995" s="128"/>
      <c r="CW995" s="128"/>
      <c r="DN995" s="128"/>
      <c r="DP995" s="128"/>
      <c r="DR995" s="128"/>
      <c r="DV995" s="128"/>
      <c r="DX995" s="128"/>
      <c r="DY995" s="128"/>
      <c r="EA995" s="128"/>
      <c r="EB995" s="128"/>
      <c r="EC995" s="128"/>
      <c r="EG995" s="128"/>
      <c r="EL995" s="128"/>
      <c r="EM995" s="128"/>
      <c r="EO995" s="128"/>
      <c r="EQ995" s="128"/>
      <c r="ES995" s="128"/>
      <c r="EU995" s="128"/>
      <c r="EW995" s="128"/>
      <c r="EY995" s="128"/>
    </row>
    <row r="996" spans="3:155">
      <c r="C996" s="128"/>
      <c r="D996" s="128"/>
      <c r="E996" s="128"/>
      <c r="F996" s="128" t="str">
        <f>IF(E996 &lt;&gt; "", VLOOKUP(E996, '[2]Internal-logic'!G$1:I$364, 2, FALSE),"")</f>
        <v/>
      </c>
      <c r="G996" s="128" t="str">
        <f>IF(E996 &lt;&gt; "", VLOOKUP(E996, '[2]Internal-logic'!G$1:I$364, 3, FALSE),"")</f>
        <v/>
      </c>
      <c r="H996" s="128"/>
      <c r="I996" s="128"/>
      <c r="J996" s="128"/>
      <c r="K996" s="128"/>
      <c r="Q996" s="128"/>
      <c r="R996" s="128"/>
      <c r="S996" s="128"/>
      <c r="U996" s="128"/>
      <c r="X996" s="128"/>
      <c r="Y996" s="128"/>
      <c r="Z996" s="128"/>
      <c r="AA996" s="128"/>
      <c r="AB996" s="128"/>
      <c r="AC996" s="128"/>
      <c r="AD996" s="128"/>
      <c r="AE996" s="128"/>
      <c r="AF996" s="128"/>
      <c r="AG996" s="128"/>
      <c r="AI996" s="128"/>
      <c r="AJ996" s="128"/>
      <c r="AY996" s="128"/>
      <c r="BN996" s="128"/>
      <c r="BQ996" s="128"/>
      <c r="BR996" s="128"/>
      <c r="BT996" s="128"/>
      <c r="BV996" s="128"/>
      <c r="BX996" s="128"/>
      <c r="CU996" s="128"/>
      <c r="CW996" s="128"/>
      <c r="DN996" s="128"/>
      <c r="DP996" s="128"/>
      <c r="DR996" s="128"/>
      <c r="DV996" s="128"/>
      <c r="DX996" s="128"/>
      <c r="DY996" s="128"/>
      <c r="EA996" s="128"/>
      <c r="EB996" s="128"/>
      <c r="EC996" s="128"/>
      <c r="EG996" s="128"/>
      <c r="EL996" s="128"/>
      <c r="EM996" s="128"/>
      <c r="EO996" s="128"/>
      <c r="EQ996" s="128"/>
      <c r="ES996" s="128"/>
      <c r="EU996" s="128"/>
      <c r="EW996" s="128"/>
      <c r="EY996" s="128"/>
    </row>
    <row r="997" spans="3:155">
      <c r="C997" s="128"/>
      <c r="D997" s="128"/>
      <c r="E997" s="128"/>
      <c r="F997" s="128" t="str">
        <f>IF(E997 &lt;&gt; "", VLOOKUP(E997, '[2]Internal-logic'!G$1:I$364, 2, FALSE),"")</f>
        <v/>
      </c>
      <c r="G997" s="128" t="str">
        <f>IF(E997 &lt;&gt; "", VLOOKUP(E997, '[2]Internal-logic'!G$1:I$364, 3, FALSE),"")</f>
        <v/>
      </c>
      <c r="H997" s="128"/>
      <c r="I997" s="128"/>
      <c r="J997" s="128"/>
      <c r="K997" s="128"/>
      <c r="Q997" s="128"/>
      <c r="R997" s="128"/>
      <c r="S997" s="128"/>
      <c r="U997" s="128"/>
      <c r="X997" s="128"/>
      <c r="Y997" s="128"/>
      <c r="Z997" s="128"/>
      <c r="AA997" s="128"/>
      <c r="AB997" s="128"/>
      <c r="AC997" s="128"/>
      <c r="AD997" s="128"/>
      <c r="AE997" s="128"/>
      <c r="AF997" s="128"/>
      <c r="AG997" s="128"/>
      <c r="AI997" s="128"/>
      <c r="AJ997" s="128"/>
      <c r="AY997" s="128"/>
      <c r="BN997" s="128"/>
      <c r="BQ997" s="128"/>
      <c r="BR997" s="128"/>
      <c r="BT997" s="128"/>
      <c r="BV997" s="128"/>
      <c r="BX997" s="128"/>
      <c r="CU997" s="128"/>
      <c r="CW997" s="128"/>
      <c r="DN997" s="128"/>
      <c r="DP997" s="128"/>
      <c r="DR997" s="128"/>
      <c r="DV997" s="128"/>
      <c r="DX997" s="128"/>
      <c r="DY997" s="128"/>
      <c r="EA997" s="128"/>
      <c r="EB997" s="128"/>
      <c r="EC997" s="128"/>
      <c r="EG997" s="128"/>
      <c r="EL997" s="128"/>
      <c r="EM997" s="128"/>
      <c r="EO997" s="128"/>
      <c r="EQ997" s="128"/>
      <c r="ES997" s="128"/>
      <c r="EU997" s="128"/>
      <c r="EW997" s="128"/>
      <c r="EY997" s="128"/>
    </row>
    <row r="998" spans="3:155">
      <c r="C998" s="128"/>
      <c r="D998" s="128"/>
      <c r="E998" s="128"/>
      <c r="F998" s="128" t="str">
        <f>IF(E998 &lt;&gt; "", VLOOKUP(E998, '[2]Internal-logic'!G$1:I$364, 2, FALSE),"")</f>
        <v/>
      </c>
      <c r="G998" s="128" t="str">
        <f>IF(E998 &lt;&gt; "", VLOOKUP(E998, '[2]Internal-logic'!G$1:I$364, 3, FALSE),"")</f>
        <v/>
      </c>
      <c r="H998" s="128"/>
      <c r="I998" s="128"/>
      <c r="J998" s="128"/>
      <c r="K998" s="128"/>
      <c r="Q998" s="128"/>
      <c r="R998" s="128"/>
      <c r="S998" s="128"/>
      <c r="U998" s="128"/>
      <c r="X998" s="128"/>
      <c r="Y998" s="128"/>
      <c r="Z998" s="128"/>
      <c r="AA998" s="128"/>
      <c r="AB998" s="128"/>
      <c r="AC998" s="128"/>
      <c r="AD998" s="128"/>
      <c r="AE998" s="128"/>
      <c r="AF998" s="128"/>
      <c r="AG998" s="128"/>
      <c r="AI998" s="128"/>
      <c r="AJ998" s="128"/>
      <c r="AY998" s="128"/>
      <c r="BN998" s="128"/>
      <c r="BQ998" s="128"/>
      <c r="BR998" s="128"/>
      <c r="BT998" s="128"/>
      <c r="BV998" s="128"/>
      <c r="BX998" s="128"/>
      <c r="CU998" s="128"/>
      <c r="CW998" s="128"/>
      <c r="DN998" s="128"/>
      <c r="DP998" s="128"/>
      <c r="DR998" s="128"/>
      <c r="DV998" s="128"/>
      <c r="DX998" s="128"/>
      <c r="DY998" s="128"/>
      <c r="EA998" s="128"/>
      <c r="EB998" s="128"/>
      <c r="EC998" s="128"/>
      <c r="EG998" s="128"/>
      <c r="EL998" s="128"/>
      <c r="EM998" s="128"/>
      <c r="EO998" s="128"/>
      <c r="EQ998" s="128"/>
      <c r="ES998" s="128"/>
      <c r="EU998" s="128"/>
      <c r="EW998" s="128"/>
      <c r="EY998" s="128"/>
    </row>
    <row r="999" spans="3:155">
      <c r="C999" s="128"/>
      <c r="D999" s="128"/>
      <c r="E999" s="128"/>
      <c r="F999" s="128" t="str">
        <f>IF(E999 &lt;&gt; "", VLOOKUP(E999, '[2]Internal-logic'!G$1:I$364, 2, FALSE),"")</f>
        <v/>
      </c>
      <c r="G999" s="128" t="str">
        <f>IF(E999 &lt;&gt; "", VLOOKUP(E999, '[2]Internal-logic'!G$1:I$364, 3, FALSE),"")</f>
        <v/>
      </c>
      <c r="H999" s="128"/>
      <c r="I999" s="128"/>
      <c r="J999" s="128"/>
      <c r="K999" s="128"/>
      <c r="Q999" s="128"/>
      <c r="R999" s="128"/>
      <c r="S999" s="128"/>
      <c r="U999" s="128"/>
      <c r="X999" s="128"/>
      <c r="Y999" s="128"/>
      <c r="Z999" s="128"/>
      <c r="AA999" s="128"/>
      <c r="AB999" s="128"/>
      <c r="AC999" s="128"/>
      <c r="AD999" s="128"/>
      <c r="AE999" s="128"/>
      <c r="AF999" s="128"/>
      <c r="AG999" s="128"/>
      <c r="AI999" s="128"/>
      <c r="AJ999" s="128"/>
      <c r="AY999" s="128"/>
      <c r="BN999" s="128"/>
      <c r="BQ999" s="128"/>
      <c r="BR999" s="128"/>
      <c r="BT999" s="128"/>
      <c r="BV999" s="128"/>
      <c r="BX999" s="128"/>
      <c r="CU999" s="128"/>
      <c r="CW999" s="128"/>
      <c r="DN999" s="128"/>
      <c r="DP999" s="128"/>
      <c r="DR999" s="128"/>
      <c r="DV999" s="128"/>
      <c r="DX999" s="128"/>
      <c r="DY999" s="128"/>
      <c r="EA999" s="128"/>
      <c r="EB999" s="128"/>
      <c r="EC999" s="128"/>
      <c r="EG999" s="128"/>
      <c r="EL999" s="128"/>
      <c r="EM999" s="128"/>
      <c r="EO999" s="128"/>
      <c r="EQ999" s="128"/>
      <c r="ES999" s="128"/>
      <c r="EU999" s="128"/>
      <c r="EW999" s="128"/>
      <c r="EY999" s="128"/>
    </row>
    <row r="1000" spans="3:155">
      <c r="C1000" s="128"/>
      <c r="D1000" s="128"/>
      <c r="E1000" s="128"/>
      <c r="F1000" s="128" t="str">
        <f>IF(E1000 &lt;&gt; "", VLOOKUP(E1000, '[2]Internal-logic'!G$1:I$364, 2, FALSE),"")</f>
        <v/>
      </c>
      <c r="G1000" s="128" t="str">
        <f>IF(E1000 &lt;&gt; "", VLOOKUP(E1000, '[2]Internal-logic'!G$1:I$364, 3, FALSE),"")</f>
        <v/>
      </c>
      <c r="H1000" s="128"/>
      <c r="I1000" s="128"/>
      <c r="J1000" s="128"/>
      <c r="K1000" s="128"/>
      <c r="Q1000" s="128"/>
      <c r="R1000" s="128"/>
      <c r="S1000" s="128"/>
      <c r="U1000" s="128"/>
      <c r="X1000" s="128"/>
      <c r="Y1000" s="128"/>
      <c r="Z1000" s="128"/>
      <c r="AA1000" s="128"/>
      <c r="AB1000" s="128"/>
      <c r="AC1000" s="128"/>
      <c r="AD1000" s="128"/>
      <c r="AE1000" s="128"/>
      <c r="AF1000" s="128"/>
      <c r="AG1000" s="128"/>
      <c r="AI1000" s="128"/>
      <c r="AJ1000" s="128"/>
      <c r="AY1000" s="128"/>
      <c r="BN1000" s="128"/>
      <c r="BQ1000" s="128"/>
      <c r="BR1000" s="128"/>
      <c r="BT1000" s="128"/>
      <c r="BV1000" s="128"/>
      <c r="BX1000" s="128"/>
      <c r="CU1000" s="128"/>
      <c r="CW1000" s="128"/>
      <c r="DN1000" s="128"/>
      <c r="DP1000" s="128"/>
      <c r="DR1000" s="128"/>
      <c r="DV1000" s="128"/>
      <c r="DX1000" s="128"/>
      <c r="DY1000" s="128"/>
      <c r="EA1000" s="128"/>
      <c r="EB1000" s="128"/>
      <c r="EC1000" s="128"/>
      <c r="EG1000" s="128"/>
      <c r="EL1000" s="128"/>
      <c r="EM1000" s="128"/>
      <c r="EO1000" s="128"/>
      <c r="EQ1000" s="128"/>
      <c r="ES1000" s="128"/>
      <c r="EU1000" s="128"/>
      <c r="EW1000" s="128"/>
      <c r="EY1000" s="128"/>
    </row>
    <row r="1001" spans="3:155" ht="15.75" customHeight="1"/>
  </sheetData>
  <dataValidations count="4">
    <dataValidation type="decimal" operator="greaterThan" allowBlank="1" showDropDown="1" showInputMessage="1" prompt="Telephone Number (8 digits)" sqref="Q2 Q4:Q1000" xr:uid="{E5B04939-0CBF-4475-B9F0-5243C6295C89}">
      <formula1>9999999</formula1>
    </dataValidation>
    <dataValidation type="custom" allowBlank="1" showDropDown="1" showInputMessage="1" prompt="Select a valid date YYYY-MM-DD" sqref="D2 D4:D1000" xr:uid="{0738B640-F10A-4816-ABCA-F74D62F2CACD}">
      <formula1>OR(NOT(ISERROR(DATEVALUE(D2))), AND(ISNUMBER(D2), LEFT(CELL("format", D2))="D"))</formula1>
    </dataValidation>
    <dataValidation type="decimal" operator="greaterThanOrEqual" allowBlank="1" showDropDown="1" showInputMessage="1" prompt="Enter a number greater than or equal to 0" sqref="S2 AC2 AC4:AC1000 S4:S1000" xr:uid="{66E67495-FB10-4A01-AC62-B9E78493B689}">
      <formula1>0</formula1>
    </dataValidation>
    <dataValidation type="decimal" operator="greaterThan" allowBlank="1" showDropDown="1" showInputMessage="1" prompt="Enter a number greater than 1" sqref="AA2 AA4:AA1000" xr:uid="{71A49236-8776-4377-A4F0-2311CC452B70}">
      <formula1>1</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9">
        <x14:dataValidation type="list" allowBlank="1" showInputMessage="1" prompt="A number between 1 and 5" xr:uid="{82B1BE21-7CB2-4DE4-AB87-53FC5585578F}">
          <x14:formula1>
            <xm:f>'D:\Jean-Marc''s files\Jean-Marc 17 June 10\Karité\Serious Shea\Stage 2\Saisie de resultats\Sud-Ouest\[Jeremie-Thierry Sud-Ouest 2 Oct.xlsx]Internal-logic'!#REF!</xm:f>
          </x14:formula1>
          <xm:sqref>ET28 EQ21:EQ37 EY21:EY37 EM21:EM37 EU21:EU37 EO21:EO37 ES21:ES37 EW21:EW37</xm:sqref>
        </x14:dataValidation>
        <x14:dataValidation type="list" allowBlank="1" xr:uid="{101A3D78-A1C8-4F13-A84F-83E7CE3865DD}">
          <x14:formula1>
            <xm:f>'D:\Jean-Marc''s files\Jean-Marc 17 June 10\Karité\Serious Shea\Stage 2\Saisie de resultats\Sud-Ouest\[Jeremie-Thierry Sud-Ouest 2 Oct.xlsx]Internal-logic'!#REF!</xm:f>
          </x14:formula1>
          <xm:sqref>AD21:AG37 R21:R37</xm:sqref>
        </x14:dataValidation>
        <x14:dataValidation type="list" allowBlank="1" showInputMessage="1" prompt="Select surveyors:  Abdoulaye et Oswald (AZ-OK) / Lamine et Yves (LB-YY) / Thiérry et Jérémie (TD-JO)" xr:uid="{864C8EAC-865B-4CE5-844D-56736AECC411}">
          <x14:formula1>
            <xm:f>'D:\Jean-Marc''s files\Jean-Marc 17 June 10\Karité\Serious Shea\Stage 2\Saisie de resultats\Sud-Ouest\[Jeremie-Thierry Sud-Ouest 2 Oct.xlsx]Internal-logic'!#REF!</xm:f>
          </x14:formula1>
          <xm:sqref>C21:C37</xm:sqref>
        </x14:dataValidation>
        <x14:dataValidation type="list" allowBlank="1" showInputMessage="1" prompt="Select commune" xr:uid="{5DFE058E-A935-44DB-8991-1F13405C83EC}">
          <x14:formula1>
            <xm:f>'D:\Jean-Marc''s files\Jean-Marc 17 June 10\Karité\Serious Shea\Stage 2\Saisie de resultats\Sud-Ouest\[Jeremie-Thierry Sud-Ouest 2 Oct.xlsx]Internal-logic'!#REF!</xm:f>
          </x14:formula1>
          <xm:sqref>K31:K33 J21:J37 K25:K26</xm:sqref>
        </x14:dataValidation>
        <x14:dataValidation type="list" allowBlank="1" showInputMessage="1" prompt="Select a known group name or type in new" xr:uid="{F45947EA-A507-44F3-9C0B-B7DD418B0959}">
          <x14:formula1>
            <xm:f>'D:\Jean-Marc''s files\Jean-Marc 17 June 10\Karité\Serious Shea\Stage 2\Saisie de resultats\Sud-Ouest\[Jeremie-Thierry Sud-Ouest 2 Oct.xlsx]Internal-logic'!#REF!</xm:f>
          </x14:formula1>
          <xm:sqref>E21:E30 E32:E37</xm:sqref>
        </x14:dataValidation>
        <x14:dataValidation type="list" allowBlank="1" showInputMessage="1" prompt="Select village" xr:uid="{5512BEED-02A7-4640-AF24-2EE9CF5F68C5}">
          <x14:formula1>
            <xm:f>'D:\Jean-Marc''s files\Jean-Marc 17 June 10\Karité\Serious Shea\Stage 2\Saisie de resultats\Sud-Ouest\[Jeremie-Thierry Sud-Ouest 2 Oct.xlsx]Internal-logic'!#REF!</xm:f>
          </x14:formula1>
          <xm:sqref>K34:K37 K21:K24 K27:K30</xm:sqref>
        </x14:dataValidation>
        <x14:dataValidation type="list" allowBlank="1" showInputMessage="1" prompt="Yes or No" xr:uid="{2D10B810-9799-4A00-9ADD-85418DA27246}">
          <x14:formula1>
            <xm:f>'D:\Jean-Marc''s files\Jean-Marc 17 June 10\Karité\Serious Shea\Stage 2\Saisie de resultats\Sud-Ouest\[Jeremie-Thierry Sud-Ouest 2 Oct.xlsx]Internal-logic'!#REF!</xm:f>
          </x14:formula1>
          <xm:sqref>EG21:EG37 EB21:EC37 DX21:DY37 DV21:DV37 DR21:DR37 DP21:DP37 DN21:DN37 CW21:CW37 CU21:CU37 BX21:BX37 BV21:BV37 BT21:BT37 BQ21:BR37 BN21:BN37 AY21:AY37 AJ21:AJ37 AB21:AB37</xm:sqref>
        </x14:dataValidation>
        <x14:dataValidation type="list" allowBlank="1" showInputMessage="1" prompt="Select region" xr:uid="{2D36B804-BB01-450E-B313-525F7DE68469}">
          <x14:formula1>
            <xm:f>'D:\Jean-Marc''s files\Jean-Marc 17 June 10\Karité\Serious Shea\Stage 2\Saisie de resultats\Sud-Ouest\[Jeremie-Thierry Sud-Ouest 2 Oct.xlsx]Internal-logic'!#REF!</xm:f>
          </x14:formula1>
          <xm:sqref>H21:H37</xm:sqref>
        </x14:dataValidation>
        <x14:dataValidation type="list" allowBlank="1" showInputMessage="1" prompt="Enter a year (YYYY)" xr:uid="{21DB484C-E03B-47B2-A620-6E5E723FB42B}">
          <x14:formula1>
            <xm:f>'D:\Jean-Marc''s files\Jean-Marc 17 June 10\Karité\Serious Shea\Stage 2\Saisie de resultats\Sud-Ouest\[Jeremie-Thierry Sud-Ouest 2 Oct.xlsx]Internal-logic'!#REF!</xm:f>
          </x14:formula1>
          <xm:sqref>AI21:AI37 Y21:Z37 U21:U37</xm:sqref>
        </x14:dataValidation>
        <x14:dataValidation type="list" allowBlank="1" showInputMessage="1" prompt="Yes  or NO" xr:uid="{56FA7509-D4E0-4907-879A-CC78251753DA}">
          <x14:formula1>
            <xm:f>'D:\Jean-Marc''s files\Jean-Marc 17 June 10\Karité\Serious Shea\Stage 2\Saisie de resultats\Sud-Ouest\[Jeremie-Thierry Sud-Ouest 2 Oct.xlsx]Internal-logic'!#REF!</xm:f>
          </x14:formula1>
          <xm:sqref>EA21:EA37</xm:sqref>
        </x14:dataValidation>
        <x14:dataValidation type="list" allowBlank="1" showInputMessage="1" prompt="A, B or C" xr:uid="{2AFF7860-1B5A-41F3-8DFE-1182149837AF}">
          <x14:formula1>
            <xm:f>'D:\Jean-Marc''s files\Jean-Marc 17 June 10\Karité\Serious Shea\Stage 2\Saisie de resultats\Sud-Ouest\[Jeremie-Thierry Sud-Ouest 2 Oct.xlsx]Internal-logic'!#REF!</xm:f>
          </x14:formula1>
          <xm:sqref>EL21:EL37</xm:sqref>
        </x14:dataValidation>
        <x14:dataValidation type="list" allowBlank="1" showInputMessage="1" prompt="Select province" xr:uid="{D0EF8C42-7358-459F-835E-4138DF539B23}">
          <x14:formula1>
            <xm:f>'D:\Jean-Marc''s files\Jean-Marc 17 June 10\Karité\Serious Shea\Stage 2\Saisie de resultats\Sud-Ouest\[Jeremie-Thierry Sud-Ouest 2 Oct.xlsx]Internal-logic'!#REF!</xm:f>
          </x14:formula1>
          <xm:sqref>I21:I37</xm:sqref>
        </x14:dataValidation>
        <x14:dataValidation type="list" allowBlank="1" showInputMessage="1" prompt="Select Yes or No" xr:uid="{1E19CD58-3213-4832-9D8D-CC9E07905138}">
          <x14:formula1>
            <xm:f>'D:\Jean-Marc''s files\Jean-Marc 17 June 10\Karité\Serious Shea\Stage 2\Saisie de resultats\Sud-Ouest\[Jeremie-Thierry Sud-Ouest 2 Oct.xlsx]Internal-logic'!#REF!</xm:f>
          </x14:formula1>
          <xm:sqref>X21:X37</xm:sqref>
        </x14:dataValidation>
        <x14:dataValidation type="list" allowBlank="1" xr:uid="{F16AA024-CA40-45C5-A6C0-67B301E9656F}">
          <x14:formula1>
            <xm:f>'D:\Jean-Marc''s files\Jean-Marc 17 June 10\Karité\Serious Shea\Stage 2\Saisie de resultats\Sud-Ouest\[Lamine Yves 2.xlsx]Internal-logic'!#REF!</xm:f>
          </x14:formula1>
          <xm:sqref>R9:R15 AD9:AG15</xm:sqref>
        </x14:dataValidation>
        <x14:dataValidation type="list" allowBlank="1" showInputMessage="1" prompt="A number between 1 and 5" xr:uid="{FBCA6FA0-444E-48F4-9BFD-21BFFE5DACB4}">
          <x14:formula1>
            <xm:f>'D:\Jean-Marc''s files\Jean-Marc 17 June 10\Karité\Serious Shea\Stage 2\Saisie de resultats\Sud-Ouest\[Lamine Yves 2.xlsx]Internal-logic'!#REF!</xm:f>
          </x14:formula1>
          <xm:sqref>EO9:EO15 EM13:EM15 EW9:EW15 ES9:ES15 EY9:EY15 EU9:EU15 EN9:EN14 EQ9:EQ15</xm:sqref>
        </x14:dataValidation>
        <x14:dataValidation type="list" allowBlank="1" showInputMessage="1" prompt="Select commune" xr:uid="{E18C828D-C5B4-46BB-80B4-42C1D6186086}">
          <x14:formula1>
            <xm:f>'D:\Jean-Marc''s files\Jean-Marc 17 June 10\Karité\Serious Shea\Stage 2\Saisie de resultats\Sud-Ouest\[Lamine Yves 2.xlsx]Internal-logic'!#REF!</xm:f>
          </x14:formula1>
          <xm:sqref>J9:J15</xm:sqref>
        </x14:dataValidation>
        <x14:dataValidation type="list" allowBlank="1" showInputMessage="1" prompt="Select a known group name or type in new" xr:uid="{67F99DD6-968B-4F9F-B879-C77A6C28704F}">
          <x14:formula1>
            <xm:f>'D:\Jean-Marc''s files\Jean-Marc 17 June 10\Karité\Serious Shea\Stage 2\Saisie de resultats\Sud-Ouest\[Lamine Yves 2.xlsx]Internal-logic'!#REF!</xm:f>
          </x14:formula1>
          <xm:sqref>E13:E15</xm:sqref>
        </x14:dataValidation>
        <x14:dataValidation type="list" allowBlank="1" showInputMessage="1" prompt="Select village" xr:uid="{C3F287C9-153A-4D5E-A482-4D948CB87F43}">
          <x14:formula1>
            <xm:f>'D:\Jean-Marc''s files\Jean-Marc 17 June 10\Karité\Serious Shea\Stage 2\Saisie de resultats\Sud-Ouest\[Lamine Yves 2.xlsx]Internal-logic'!#REF!</xm:f>
          </x14:formula1>
          <xm:sqref>K12:K15</xm:sqref>
        </x14:dataValidation>
        <x14:dataValidation type="list" allowBlank="1" showInputMessage="1" prompt="Yes or No" xr:uid="{C96F6401-50B1-4EDB-9B84-A5055853C14B}">
          <x14:formula1>
            <xm:f>'D:\Jean-Marc''s files\Jean-Marc 17 June 10\Karité\Serious Shea\Stage 2\Saisie de resultats\Sud-Ouest\[Lamine Yves 2.xlsx]Internal-logic'!#REF!</xm:f>
          </x14:formula1>
          <xm:sqref>BV9:BX15 AB9:AB15 AJ9:AJ15 AY9:AY15 AZ12:BA15 BQ9:BT15 CU15 DN12:DN15 EG13:EG15 DP13:DP15 DV15 DR13:DR15 AZ9:BA9 BN9:BN15 CW13:CW15</xm:sqref>
        </x14:dataValidation>
        <x14:dataValidation type="list" allowBlank="1" showInputMessage="1" prompt="Select region" xr:uid="{ECEF4D5C-B1BA-41E6-A1D0-E8570345D96D}">
          <x14:formula1>
            <xm:f>'D:\Jean-Marc''s files\Jean-Marc 17 June 10\Karité\Serious Shea\Stage 2\Saisie de resultats\Sud-Ouest\[Lamine Yves 2.xlsx]Internal-logic'!#REF!</xm:f>
          </x14:formula1>
          <xm:sqref>H9:H15</xm:sqref>
        </x14:dataValidation>
        <x14:dataValidation type="list" allowBlank="1" showInputMessage="1" prompt="Enter a year (YYYY)" xr:uid="{82256C14-7156-4122-B98A-8CFB01192471}">
          <x14:formula1>
            <xm:f>'D:\Jean-Marc''s files\Jean-Marc 17 June 10\Karité\Serious Shea\Stage 2\Saisie de resultats\Sud-Ouest\[Lamine Yves 2.xlsx]Internal-logic'!#REF!</xm:f>
          </x14:formula1>
          <xm:sqref>AI9:AI15 U9:U15 Y9:Z15</xm:sqref>
        </x14:dataValidation>
        <x14:dataValidation type="list" allowBlank="1" showInputMessage="1" prompt="A, B or C" xr:uid="{93EF7EE3-B3CF-4283-AC8C-11D6FFC35776}">
          <x14:formula1>
            <xm:f>'D:\Jean-Marc''s files\Jean-Marc 17 June 10\Karité\Serious Shea\Stage 2\Saisie de resultats\Sud-Ouest\[Lamine Yves 2.xlsx]Internal-logic'!#REF!</xm:f>
          </x14:formula1>
          <xm:sqref>EL9:EL15</xm:sqref>
        </x14:dataValidation>
        <x14:dataValidation type="list" allowBlank="1" showInputMessage="1" prompt="Select province" xr:uid="{47A69B54-A55C-4101-87DF-449D0D49C271}">
          <x14:formula1>
            <xm:f>'D:\Jean-Marc''s files\Jean-Marc 17 June 10\Karité\Serious Shea\Stage 2\Saisie de resultats\Sud-Ouest\[Lamine Yves 2.xlsx]Internal-logic'!#REF!</xm:f>
          </x14:formula1>
          <xm:sqref>I9:I15</xm:sqref>
        </x14:dataValidation>
        <x14:dataValidation type="list" allowBlank="1" showInputMessage="1" prompt="Select Yes or No" xr:uid="{3F69C113-D476-49F3-A685-3C506D344050}">
          <x14:formula1>
            <xm:f>'D:\Jean-Marc''s files\Jean-Marc 17 June 10\Karité\Serious Shea\Stage 2\Saisie de resultats\Sud-Ouest\[Lamine Yves 2.xlsx]Internal-logic'!#REF!</xm:f>
          </x14:formula1>
          <xm:sqref>X9:X15</xm:sqref>
        </x14:dataValidation>
        <x14:dataValidation type="list" allowBlank="1" showInputMessage="1" prompt="Select a known group name or type in new" xr:uid="{BC034161-EA2A-4F1F-BA0B-7A558D47077A}">
          <x14:formula1>
            <xm:f>'C:\Users\YOUMA\Desktop\sansonic SERIOUS SHAE\[Sensonomic Survey input.xlsx]Internal-logic'!#REF!</xm:f>
          </x14:formula1>
          <xm:sqref>E9:E12</xm:sqref>
        </x14:dataValidation>
        <x14:dataValidation type="list" allowBlank="1" showInputMessage="1" prompt="Select village" xr:uid="{B661A67B-B923-4E25-B5CB-9A7986DD6453}">
          <x14:formula1>
            <xm:f>'C:\Users\YOUMA\Desktop\sansonic SERIOUS SHAE\[Sensonomic Survey input.xlsx]Internal-logic'!#REF!</xm:f>
          </x14:formula1>
          <xm:sqref>K9:K11</xm:sqref>
        </x14:dataValidation>
        <x14:dataValidation type="list" allowBlank="1" showInputMessage="1" prompt="Select Yes or No" xr:uid="{27B7AE1C-C03A-409A-BB94-C9880CEBED62}">
          <x14:formula1>
            <xm:f>'D:\Jean-Marc''s files\Jean-Marc 17 June 10\Karité\Serious Shea\Stage 2\Saisie de resultats\Saisies Sud-Ouest\[Donnees Sud-Ouest 3 binomes.xlsx]Internal-logic'!#REF!</xm:f>
          </x14:formula1>
          <xm:sqref>X2 X4:X8 X16:X20 X38:X1000</xm:sqref>
        </x14:dataValidation>
        <x14:dataValidation type="list" allowBlank="1" showInputMessage="1" prompt="Select province" xr:uid="{601FC007-E154-4324-BF93-2B16C6558424}">
          <x14:formula1>
            <xm:f>'D:\Jean-Marc''s files\Jean-Marc 17 June 10\Karité\Serious Shea\Stage 2\Saisie de resultats\Saisies Sud-Ouest\[Donnees Sud-Ouest 3 binomes.xlsx]Internal-logic'!#REF!</xm:f>
          </x14:formula1>
          <xm:sqref>I2 I4:I8 I16:I20 I38:I1000</xm:sqref>
        </x14:dataValidation>
        <x14:dataValidation type="list" allowBlank="1" showInputMessage="1" prompt="A, B or C" xr:uid="{646CAB6D-450E-4DC4-BEA1-66FCE16EA7BE}">
          <x14:formula1>
            <xm:f>'D:\Jean-Marc''s files\Jean-Marc 17 June 10\Karité\Serious Shea\Stage 2\Saisie de resultats\Saisies Sud-Ouest\[Donnees Sud-Ouest 3 binomes.xlsx]Internal-logic'!#REF!</xm:f>
          </x14:formula1>
          <xm:sqref>EL2 EL4:EL8 EL16:EL20 EL38:EL1000</xm:sqref>
        </x14:dataValidation>
        <x14:dataValidation type="list" allowBlank="1" showInputMessage="1" prompt="Yes  or NO" xr:uid="{7ABF380C-7F63-4988-83FA-7DA009662FDB}">
          <x14:formula1>
            <xm:f>'D:\Jean-Marc''s files\Jean-Marc 17 June 10\Karité\Serious Shea\Stage 2\Saisie de resultats\Saisies Sud-Ouest\[Donnees Sud-Ouest 3 binomes.xlsx]Internal-logic'!#REF!</xm:f>
          </x14:formula1>
          <xm:sqref>EA2 EA4:EA8 EA16:EA20 EA38:EA1000</xm:sqref>
        </x14:dataValidation>
        <x14:dataValidation type="list" allowBlank="1" showInputMessage="1" prompt="Enter a year (YYYY)" xr:uid="{5E40F875-1F61-4AF9-A09E-6871B0B140C6}">
          <x14:formula1>
            <xm:f>'D:\Jean-Marc''s files\Jean-Marc 17 June 10\Karité\Serious Shea\Stage 2\Saisie de resultats\Saisies Sud-Ouest\[Donnees Sud-Ouest 3 binomes.xlsx]Internal-logic'!#REF!</xm:f>
          </x14:formula1>
          <xm:sqref>AI2 Y2:Z2 U2 U38:U1000 Y38:Z1000 U4:U8 AI4:AI8 Y4:Z8 Y16:Z20 U16:U20 AI16:AI20 AI38:AI1000</xm:sqref>
        </x14:dataValidation>
        <x14:dataValidation type="list" allowBlank="1" showInputMessage="1" prompt="Select region" xr:uid="{DF47451B-EE0C-4DC5-B234-AD48B886D14C}">
          <x14:formula1>
            <xm:f>'D:\Jean-Marc''s files\Jean-Marc 17 June 10\Karité\Serious Shea\Stage 2\Saisie de resultats\Saisies Sud-Ouest\[Donnees Sud-Ouest 3 binomes.xlsx]Internal-logic'!#REF!</xm:f>
          </x14:formula1>
          <xm:sqref>H2 H4:H8 H16:H20 H38:H1000</xm:sqref>
        </x14:dataValidation>
        <x14:dataValidation type="list" allowBlank="1" showInputMessage="1" prompt="Yes or No" xr:uid="{3077B3E5-2874-4699-9010-13BED937A215}">
          <x14:formula1>
            <xm:f>'D:\Jean-Marc''s files\Jean-Marc 17 June 10\Karité\Serious Shea\Stage 2\Saisie de resultats\Saisies Sud-Ouest\[Donnees Sud-Ouest 3 binomes.xlsx]Internal-logic'!#REF!</xm:f>
          </x14:formula1>
          <xm:sqref>EG2 EB2:EC2 DX2:DY2 DV2 DR2 DP2 DN2 CW2 CU2 BX2 BV2 BT2 BQ2:BR2 BN2 AY2 AJ2 AB2 BN38:BN1000 BQ38:BR1000 BT38:BT1000 BV38:BV1000 BX38:BX1000 CU38:CU1000 CW38:CW1000 DN38:DN1000 DP38:DP1000 DR38:DR1000 DV38:DV1000 DX38:DY1000 EB38:EC1000 EG38:EG1000 AB38:AB1000 AJ38:AJ1000 AB4:AB8 EG4:EG8 EB4:EC8 DX4:DY8 DV4:DV8 DR4:DR8 DP4:DP8 DN4:DN8 CW4:CW8 CU4:CU8 BX4:BX8 BV4:BV8 BT4:BT8 BQ4:BR8 BN4:BN8 AY4:AY8 AJ4:AJ8 AJ16:AJ20 AB16:AB20 EG16:EG20 EB16:EC20 DX16:DY20 DV16:DV20 DR16:DR20 DP16:DP20 DN16:DN20 CW16:CW20 CU16:CU20 BX16:BX20 BV16:BV20 BT16:BT20 BQ16:BR20 BN16:BN20 AY16:AY20 AY38:AY1000</xm:sqref>
        </x14:dataValidation>
        <x14:dataValidation type="list" allowBlank="1" showInputMessage="1" prompt="Select village" xr:uid="{A97984F1-92A7-4C86-90F3-B0CDB94F2B94}">
          <x14:formula1>
            <xm:f>'D:\Jean-Marc''s files\Jean-Marc 17 June 10\Karité\Serious Shea\Stage 2\Saisie de resultats\Saisies Sud-Ouest\[Donnees Sud-Ouest 3 binomes.xlsx]Internal-logic'!#REF!</xm:f>
          </x14:formula1>
          <xm:sqref>K2 K4:K8 K16:K20 K38:K1000</xm:sqref>
        </x14:dataValidation>
        <x14:dataValidation type="list" allowBlank="1" showInputMessage="1" prompt="Select a known group name or type in new" xr:uid="{8BCF07F0-DE3E-4D01-82A6-4132E2B97F38}">
          <x14:formula1>
            <xm:f>'D:\Jean-Marc''s files\Jean-Marc 17 June 10\Karité\Serious Shea\Stage 2\Saisie de resultats\Saisies Sud-Ouest\[Donnees Sud-Ouest 3 binomes.xlsx]Internal-logic'!#REF!</xm:f>
          </x14:formula1>
          <xm:sqref>E2 E4:E8 E16:E20 E38:E1000</xm:sqref>
        </x14:dataValidation>
        <x14:dataValidation type="list" allowBlank="1" showInputMessage="1" prompt="Select commune" xr:uid="{1CEFA03B-4437-43DA-8A3D-D0152FD117F5}">
          <x14:formula1>
            <xm:f>'D:\Jean-Marc''s files\Jean-Marc 17 June 10\Karité\Serious Shea\Stage 2\Saisie de resultats\Saisies Sud-Ouest\[Donnees Sud-Ouest 3 binomes.xlsx]Internal-logic'!#REF!</xm:f>
          </x14:formula1>
          <xm:sqref>J2 J4:J8 J16:J20 J38:J1000</xm:sqref>
        </x14:dataValidation>
        <x14:dataValidation type="list" allowBlank="1" showInputMessage="1" prompt="A number between 1 and 5" xr:uid="{7D687C1D-2212-4A86-B426-F1FC4614F5B2}">
          <x14:formula1>
            <xm:f>'D:\Jean-Marc''s files\Jean-Marc 17 June 10\Karité\Serious Shea\Stage 2\Saisie de resultats\Saisies Sud-Ouest\[Donnees Sud-Ouest 3 binomes.xlsx]Internal-logic'!#REF!</xm:f>
          </x14:formula1>
          <xm:sqref>EY2 EW2 EU2 ES2 EQ2 EO2 EM2 ES38:ES1000 EU38:EU1000 EW38:EW1000 EY38:EY1000 EM38:EM1000 EO38:EO1000 EM4:EM8 EY4:EY8 EW4:EW8 EU4:EU8 ES4:ES8 EQ4:EQ8 EO4:EO8 EO16:EO20 EM16:EM20 EY16:EY20 EW16:EW20 EU16:EU20 ES16:ES20 EQ16:EQ20 EQ38:EQ1000</xm:sqref>
        </x14:dataValidation>
        <x14:dataValidation type="list" allowBlank="1" showInputMessage="1" prompt="Select surveyors:  Abdoulaye et Oswald (AZ-OK) / Lamine et Yves (LB-YY) / Thiérry et Jérémie (TD-JO)" xr:uid="{D9D7AA26-E4E0-4282-B263-A079F6ADEC10}">
          <x14:formula1>
            <xm:f>'D:\Jean-Marc''s files\Jean-Marc 17 June 10\Karité\Serious Shea\Stage 2\Saisie de resultats\Saisies Sud-Ouest\[Donnees Sud-Ouest 3 binomes.xlsx]Internal-logic'!#REF!</xm:f>
          </x14:formula1>
          <xm:sqref>C2 C4:C20 C38:C1000</xm:sqref>
        </x14:dataValidation>
        <x14:dataValidation type="list" allowBlank="1" xr:uid="{3993EEBB-5F6E-48FD-AA2D-E1007FF1ECCC}">
          <x14:formula1>
            <xm:f>'D:\Jean-Marc''s files\Jean-Marc 17 June 10\Karité\Serious Shea\Stage 2\Saisie de resultats\Saisies Sud-Ouest\[Donnees Sud-Ouest 3 binomes.xlsx]Internal-logic'!#REF!</xm:f>
          </x14:formula1>
          <xm:sqref>AD2:AG2 R2 AD38:AG1000 R4:R8 AD4:AG8 AD16:AG20 R16:R20 R38:R1000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D229D-217C-4915-901D-F396D87E2D16}">
  <dimension ref="A1:FA78"/>
  <sheetViews>
    <sheetView workbookViewId="0"/>
  </sheetViews>
  <sheetFormatPr defaultColWidth="8.73046875" defaultRowHeight="12.75"/>
  <cols>
    <col min="1" max="3" width="8.73046875" style="17"/>
    <col min="4" max="4" width="11.06640625" style="17" customWidth="1"/>
    <col min="5" max="9" width="8.73046875" style="17"/>
    <col min="10" max="10" width="12.59765625" style="17" customWidth="1"/>
    <col min="11" max="36" width="8.73046875" style="17"/>
    <col min="37" max="37" width="10.06640625" style="17" customWidth="1"/>
    <col min="38" max="38" width="8.73046875" style="94"/>
    <col min="39" max="42" width="8.73046875" style="17"/>
    <col min="43" max="43" width="8.73046875" style="94"/>
    <col min="44" max="16384" width="8.73046875" style="17"/>
  </cols>
  <sheetData>
    <row r="1" spans="1:157" ht="13.9">
      <c r="A1" s="77" t="s">
        <v>0</v>
      </c>
      <c r="B1" s="5" t="s">
        <v>1182</v>
      </c>
      <c r="C1" s="5" t="s">
        <v>1183</v>
      </c>
      <c r="D1" s="5" t="s">
        <v>1184</v>
      </c>
      <c r="E1" s="5" t="s">
        <v>1185</v>
      </c>
      <c r="F1" s="15" t="s">
        <v>1186</v>
      </c>
      <c r="G1" s="15" t="s">
        <v>1187</v>
      </c>
      <c r="H1" s="5" t="s">
        <v>1188</v>
      </c>
      <c r="I1" s="5" t="s">
        <v>1189</v>
      </c>
      <c r="J1" s="5" t="s">
        <v>1190</v>
      </c>
      <c r="K1" s="5" t="s">
        <v>1191</v>
      </c>
      <c r="L1" s="5" t="s">
        <v>1192</v>
      </c>
      <c r="M1" s="5" t="s">
        <v>1193</v>
      </c>
      <c r="N1" s="5" t="s">
        <v>1194</v>
      </c>
      <c r="O1" s="5" t="s">
        <v>1195</v>
      </c>
      <c r="P1" s="5" t="s">
        <v>1196</v>
      </c>
      <c r="Q1" s="5" t="s">
        <v>1197</v>
      </c>
      <c r="R1" s="5" t="s">
        <v>1198</v>
      </c>
      <c r="S1" s="5" t="s">
        <v>1199</v>
      </c>
      <c r="T1" s="5" t="s">
        <v>1200</v>
      </c>
      <c r="U1" s="5" t="s">
        <v>1201</v>
      </c>
      <c r="V1" s="5" t="s">
        <v>1202</v>
      </c>
      <c r="W1" s="5" t="s">
        <v>1203</v>
      </c>
      <c r="X1" s="5" t="s">
        <v>1204</v>
      </c>
      <c r="Y1" s="5" t="s">
        <v>1205</v>
      </c>
      <c r="Z1" s="5" t="s">
        <v>1206</v>
      </c>
      <c r="AA1" s="5" t="s">
        <v>1207</v>
      </c>
      <c r="AB1" s="5" t="s">
        <v>1208</v>
      </c>
      <c r="AC1" s="5" t="s">
        <v>1209</v>
      </c>
      <c r="AD1" s="5" t="s">
        <v>1210</v>
      </c>
      <c r="AE1" s="5" t="s">
        <v>1211</v>
      </c>
      <c r="AF1" s="5" t="s">
        <v>1212</v>
      </c>
      <c r="AG1" s="5" t="s">
        <v>1213</v>
      </c>
      <c r="AH1" s="5" t="s">
        <v>1214</v>
      </c>
      <c r="AI1" s="5" t="s">
        <v>1215</v>
      </c>
      <c r="AJ1" s="5" t="s">
        <v>1216</v>
      </c>
      <c r="AK1" s="5" t="s">
        <v>1217</v>
      </c>
      <c r="AL1" s="86" t="s">
        <v>1218</v>
      </c>
      <c r="AM1" s="5" t="s">
        <v>1219</v>
      </c>
      <c r="AN1" s="16" t="s">
        <v>1220</v>
      </c>
      <c r="AO1" s="5" t="s">
        <v>1221</v>
      </c>
      <c r="AP1" s="5" t="s">
        <v>1222</v>
      </c>
      <c r="AQ1" s="86" t="s">
        <v>1223</v>
      </c>
      <c r="AR1" s="5" t="s">
        <v>1224</v>
      </c>
      <c r="AS1" s="5" t="s">
        <v>1225</v>
      </c>
      <c r="AT1" s="5" t="s">
        <v>1226</v>
      </c>
      <c r="AU1" s="5" t="s">
        <v>1227</v>
      </c>
      <c r="AV1" s="5" t="s">
        <v>1228</v>
      </c>
      <c r="AW1" s="5" t="s">
        <v>1229</v>
      </c>
      <c r="AX1" s="5" t="s">
        <v>1230</v>
      </c>
      <c r="AY1" s="5" t="s">
        <v>1231</v>
      </c>
      <c r="AZ1" s="5" t="s">
        <v>1232</v>
      </c>
      <c r="BA1" s="5" t="s">
        <v>1233</v>
      </c>
      <c r="BB1" s="5" t="s">
        <v>1234</v>
      </c>
      <c r="BC1" s="5" t="s">
        <v>1235</v>
      </c>
      <c r="BD1" s="5" t="s">
        <v>1236</v>
      </c>
      <c r="BE1" s="5" t="s">
        <v>1237</v>
      </c>
      <c r="BF1" s="5" t="s">
        <v>1238</v>
      </c>
      <c r="BG1" s="5" t="s">
        <v>1239</v>
      </c>
      <c r="BH1" s="5" t="s">
        <v>1240</v>
      </c>
      <c r="BI1" s="5" t="s">
        <v>1241</v>
      </c>
      <c r="BJ1" s="5" t="s">
        <v>1242</v>
      </c>
      <c r="BK1" s="5" t="s">
        <v>1243</v>
      </c>
      <c r="BL1" s="5" t="s">
        <v>1244</v>
      </c>
      <c r="BM1" s="5" t="s">
        <v>1245</v>
      </c>
      <c r="BN1" s="5" t="s">
        <v>1246</v>
      </c>
      <c r="BO1" s="5" t="s">
        <v>1247</v>
      </c>
      <c r="BP1" s="5" t="s">
        <v>1248</v>
      </c>
      <c r="BQ1" s="5" t="s">
        <v>1249</v>
      </c>
      <c r="BR1" s="5" t="s">
        <v>1250</v>
      </c>
      <c r="BS1" s="5" t="s">
        <v>1251</v>
      </c>
      <c r="BT1" s="5" t="s">
        <v>1252</v>
      </c>
      <c r="BU1" s="5" t="s">
        <v>1253</v>
      </c>
      <c r="BV1" s="5" t="s">
        <v>1254</v>
      </c>
      <c r="BW1" s="5" t="s">
        <v>1255</v>
      </c>
      <c r="BX1" s="5" t="s">
        <v>1256</v>
      </c>
      <c r="BY1" s="5" t="s">
        <v>1257</v>
      </c>
      <c r="BZ1" s="5" t="s">
        <v>1258</v>
      </c>
      <c r="CA1" s="5" t="s">
        <v>1259</v>
      </c>
      <c r="CB1" s="5" t="s">
        <v>1260</v>
      </c>
      <c r="CC1" s="5" t="s">
        <v>1261</v>
      </c>
      <c r="CD1" s="5" t="s">
        <v>1262</v>
      </c>
      <c r="CE1" s="5" t="s">
        <v>1263</v>
      </c>
      <c r="CF1" s="5" t="s">
        <v>1264</v>
      </c>
      <c r="CG1" s="5" t="s">
        <v>1265</v>
      </c>
      <c r="CH1" s="5" t="s">
        <v>1266</v>
      </c>
      <c r="CI1" s="5" t="s">
        <v>1267</v>
      </c>
      <c r="CJ1" s="5" t="s">
        <v>1268</v>
      </c>
      <c r="CK1" s="5" t="s">
        <v>1269</v>
      </c>
      <c r="CL1" s="5" t="s">
        <v>1270</v>
      </c>
      <c r="CM1" s="5" t="s">
        <v>1271</v>
      </c>
      <c r="CN1" s="5" t="s">
        <v>1272</v>
      </c>
      <c r="CO1" s="5" t="s">
        <v>1273</v>
      </c>
      <c r="CP1" s="5" t="s">
        <v>1274</v>
      </c>
      <c r="CQ1" s="5" t="s">
        <v>1275</v>
      </c>
      <c r="CR1" s="5" t="s">
        <v>1276</v>
      </c>
      <c r="CS1" s="5" t="s">
        <v>1277</v>
      </c>
      <c r="CT1" s="5" t="s">
        <v>1278</v>
      </c>
      <c r="CU1" s="5" t="s">
        <v>1279</v>
      </c>
      <c r="CV1" s="5" t="s">
        <v>1280</v>
      </c>
      <c r="CW1" s="5" t="s">
        <v>1281</v>
      </c>
      <c r="CX1" s="5" t="s">
        <v>1282</v>
      </c>
      <c r="CY1" s="5" t="s">
        <v>1283</v>
      </c>
      <c r="CZ1" s="5" t="s">
        <v>1284</v>
      </c>
      <c r="DA1" s="5" t="s">
        <v>1285</v>
      </c>
      <c r="DB1" s="5" t="s">
        <v>1286</v>
      </c>
      <c r="DC1" s="5" t="s">
        <v>1287</v>
      </c>
      <c r="DD1" s="5" t="s">
        <v>1288</v>
      </c>
      <c r="DE1" s="5" t="s">
        <v>1289</v>
      </c>
      <c r="DF1" s="5" t="s">
        <v>1290</v>
      </c>
      <c r="DG1" s="5" t="s">
        <v>1291</v>
      </c>
      <c r="DH1" s="5" t="s">
        <v>1292</v>
      </c>
      <c r="DI1" s="5" t="s">
        <v>1293</v>
      </c>
      <c r="DJ1" s="5" t="s">
        <v>1294</v>
      </c>
      <c r="DK1" s="5" t="s">
        <v>1295</v>
      </c>
      <c r="DL1" s="5" t="s">
        <v>1296</v>
      </c>
      <c r="DM1" s="5" t="s">
        <v>1297</v>
      </c>
      <c r="DN1" s="5" t="s">
        <v>1298</v>
      </c>
      <c r="DO1" s="5" t="s">
        <v>1299</v>
      </c>
      <c r="DP1" s="5" t="s">
        <v>1300</v>
      </c>
      <c r="DQ1" s="5" t="s">
        <v>1301</v>
      </c>
      <c r="DR1" s="5" t="s">
        <v>1302</v>
      </c>
      <c r="DS1" s="5" t="s">
        <v>1303</v>
      </c>
      <c r="DT1" s="5" t="s">
        <v>1304</v>
      </c>
      <c r="DU1" s="5" t="s">
        <v>1305</v>
      </c>
      <c r="DV1" s="5" t="s">
        <v>1306</v>
      </c>
      <c r="DW1" s="5" t="s">
        <v>1307</v>
      </c>
      <c r="DX1" s="5" t="s">
        <v>1308</v>
      </c>
      <c r="DY1" s="5" t="s">
        <v>1309</v>
      </c>
      <c r="DZ1" s="5" t="s">
        <v>1310</v>
      </c>
      <c r="EA1" s="5" t="s">
        <v>1311</v>
      </c>
      <c r="EB1" s="5" t="s">
        <v>1312</v>
      </c>
      <c r="EC1" s="5" t="s">
        <v>1313</v>
      </c>
      <c r="ED1" s="5" t="s">
        <v>1314</v>
      </c>
      <c r="EE1" s="5" t="s">
        <v>1315</v>
      </c>
      <c r="EF1" s="5" t="s">
        <v>1316</v>
      </c>
      <c r="EG1" s="5" t="s">
        <v>1317</v>
      </c>
      <c r="EH1" s="5" t="s">
        <v>1318</v>
      </c>
      <c r="EI1" s="5" t="s">
        <v>1319</v>
      </c>
      <c r="EJ1" s="5" t="s">
        <v>1320</v>
      </c>
      <c r="EK1" s="5" t="s">
        <v>1321</v>
      </c>
      <c r="EL1" s="5" t="s">
        <v>1322</v>
      </c>
      <c r="EM1" s="5" t="s">
        <v>1323</v>
      </c>
      <c r="EN1" s="5" t="s">
        <v>1324</v>
      </c>
      <c r="EO1" s="5" t="s">
        <v>1325</v>
      </c>
      <c r="EP1" s="5" t="s">
        <v>1326</v>
      </c>
      <c r="EQ1" s="5" t="s">
        <v>1327</v>
      </c>
      <c r="ER1" s="5" t="s">
        <v>1328</v>
      </c>
      <c r="ES1" s="5" t="s">
        <v>1329</v>
      </c>
      <c r="ET1" s="5" t="s">
        <v>1330</v>
      </c>
      <c r="EU1" s="5" t="s">
        <v>1331</v>
      </c>
      <c r="EV1" s="5" t="s">
        <v>1332</v>
      </c>
      <c r="EW1" s="5" t="s">
        <v>1333</v>
      </c>
      <c r="EX1" s="5" t="s">
        <v>1334</v>
      </c>
      <c r="EY1" s="5" t="s">
        <v>1335</v>
      </c>
      <c r="EZ1" s="5" t="s">
        <v>1336</v>
      </c>
      <c r="FA1" s="5"/>
    </row>
    <row r="2" spans="1:157">
      <c r="A2" s="17">
        <v>37</v>
      </c>
      <c r="B2" s="22">
        <v>28</v>
      </c>
      <c r="C2" s="23" t="s">
        <v>1337</v>
      </c>
      <c r="D2" s="33">
        <v>43768</v>
      </c>
      <c r="E2" s="23" t="s">
        <v>3940</v>
      </c>
      <c r="F2" s="22">
        <v>37</v>
      </c>
      <c r="G2" s="25" t="s">
        <v>3930</v>
      </c>
      <c r="H2" s="22" t="s">
        <v>3901</v>
      </c>
      <c r="I2" s="22" t="s">
        <v>3902</v>
      </c>
      <c r="J2" s="23" t="s">
        <v>68</v>
      </c>
      <c r="K2" s="23" t="s">
        <v>3903</v>
      </c>
      <c r="L2" s="32">
        <v>10</v>
      </c>
      <c r="M2" s="23" t="s">
        <v>1342</v>
      </c>
      <c r="N2" s="22" t="s">
        <v>1448</v>
      </c>
      <c r="O2" s="23" t="s">
        <v>3941</v>
      </c>
      <c r="P2" s="23" t="s">
        <v>3942</v>
      </c>
      <c r="Q2" s="22">
        <v>65706891</v>
      </c>
      <c r="R2" s="23" t="s">
        <v>1383</v>
      </c>
      <c r="S2" s="23">
        <v>3</v>
      </c>
      <c r="T2" s="23" t="s">
        <v>1346</v>
      </c>
      <c r="U2" s="23">
        <v>2015</v>
      </c>
      <c r="V2" s="22" t="s">
        <v>3048</v>
      </c>
      <c r="W2" s="22" t="s">
        <v>1401</v>
      </c>
      <c r="X2" s="23" t="s">
        <v>1804</v>
      </c>
      <c r="Y2" s="22"/>
      <c r="Z2" s="22"/>
      <c r="AA2" s="23">
        <v>15</v>
      </c>
      <c r="AB2" s="23" t="s">
        <v>1383</v>
      </c>
      <c r="AC2" s="22">
        <v>1</v>
      </c>
      <c r="AD2" s="23" t="s">
        <v>1383</v>
      </c>
      <c r="AE2" s="23" t="s">
        <v>1383</v>
      </c>
      <c r="AF2" s="23" t="s">
        <v>1342</v>
      </c>
      <c r="AG2" s="23" t="s">
        <v>1342</v>
      </c>
      <c r="AH2" s="23" t="s">
        <v>1342</v>
      </c>
      <c r="AI2" s="22">
        <v>2017</v>
      </c>
      <c r="AJ2" s="23" t="s">
        <v>1342</v>
      </c>
      <c r="AK2" s="22" t="s">
        <v>7116</v>
      </c>
      <c r="AL2" s="68" t="s">
        <v>1352</v>
      </c>
      <c r="AM2" s="23" t="s">
        <v>1352</v>
      </c>
      <c r="AN2" s="23" t="s">
        <v>1352</v>
      </c>
      <c r="AO2" s="22" t="s">
        <v>1352</v>
      </c>
      <c r="AP2" s="22" t="s">
        <v>1352</v>
      </c>
      <c r="AQ2" s="71" t="s">
        <v>1352</v>
      </c>
      <c r="AR2" s="22" t="s">
        <v>1352</v>
      </c>
      <c r="AS2" s="22" t="s">
        <v>3906</v>
      </c>
      <c r="AT2" s="22" t="s">
        <v>3907</v>
      </c>
      <c r="AU2" s="22">
        <v>1200</v>
      </c>
      <c r="AV2" s="22">
        <v>25000</v>
      </c>
      <c r="AW2" s="22" t="s">
        <v>3908</v>
      </c>
      <c r="AX2" s="22" t="s">
        <v>3943</v>
      </c>
      <c r="AY2" s="23" t="s">
        <v>1342</v>
      </c>
      <c r="AZ2" s="22" t="s">
        <v>1357</v>
      </c>
      <c r="BA2" s="22" t="s">
        <v>1436</v>
      </c>
      <c r="BB2" s="22" t="s">
        <v>3910</v>
      </c>
      <c r="BC2" s="22" t="s">
        <v>3910</v>
      </c>
      <c r="BD2" s="22" t="s">
        <v>3910</v>
      </c>
      <c r="BE2" s="22" t="s">
        <v>3903</v>
      </c>
      <c r="BF2" s="22"/>
      <c r="BG2" s="22"/>
      <c r="BH2" s="22">
        <v>1</v>
      </c>
      <c r="BI2" s="22">
        <v>4</v>
      </c>
      <c r="BJ2" s="22"/>
      <c r="BK2" s="22" t="s">
        <v>2405</v>
      </c>
      <c r="BL2" s="22" t="s">
        <v>2405</v>
      </c>
      <c r="BM2" s="22"/>
      <c r="BN2" s="23" t="s">
        <v>1342</v>
      </c>
      <c r="BO2" s="22"/>
      <c r="BP2" s="22"/>
      <c r="BQ2" s="23" t="s">
        <v>1383</v>
      </c>
      <c r="BR2" s="23" t="s">
        <v>1342</v>
      </c>
      <c r="BS2" s="27">
        <v>0</v>
      </c>
      <c r="BT2" s="23" t="s">
        <v>1342</v>
      </c>
      <c r="BU2" s="22" t="s">
        <v>3944</v>
      </c>
      <c r="BV2" s="23" t="s">
        <v>1342</v>
      </c>
      <c r="BW2" s="22"/>
      <c r="BX2" s="23" t="s">
        <v>1383</v>
      </c>
      <c r="BY2" s="23" t="s">
        <v>1362</v>
      </c>
      <c r="BZ2" s="23" t="s">
        <v>3912</v>
      </c>
      <c r="CA2" s="22" t="s">
        <v>3945</v>
      </c>
      <c r="CB2" s="22" t="s">
        <v>1364</v>
      </c>
      <c r="CC2" s="22" t="s">
        <v>1364</v>
      </c>
      <c r="CD2" s="22" t="s">
        <v>1364</v>
      </c>
      <c r="CE2" s="22">
        <v>18000</v>
      </c>
      <c r="CF2" s="22">
        <v>15000</v>
      </c>
      <c r="CG2" s="22">
        <v>10000</v>
      </c>
      <c r="CH2" s="22">
        <v>180</v>
      </c>
      <c r="CI2" s="22">
        <v>120</v>
      </c>
      <c r="CJ2" s="22">
        <v>90</v>
      </c>
      <c r="CK2" s="27">
        <v>0.5</v>
      </c>
      <c r="CL2" s="27">
        <v>0.5</v>
      </c>
      <c r="CM2" s="27">
        <v>0.5</v>
      </c>
      <c r="CN2" s="27">
        <v>0.5</v>
      </c>
      <c r="CO2" s="22" t="s">
        <v>1365</v>
      </c>
      <c r="CP2" s="22" t="s">
        <v>1366</v>
      </c>
      <c r="CQ2" s="22" t="s">
        <v>3914</v>
      </c>
      <c r="CR2" s="22">
        <v>0.2</v>
      </c>
      <c r="CS2" s="22" t="s">
        <v>1360</v>
      </c>
      <c r="CT2" s="22" t="s">
        <v>3915</v>
      </c>
      <c r="CU2" s="22" t="s">
        <v>1383</v>
      </c>
      <c r="CV2" s="22" t="s">
        <v>3097</v>
      </c>
      <c r="CW2" s="23" t="s">
        <v>1383</v>
      </c>
      <c r="CX2" s="27">
        <v>0.1</v>
      </c>
      <c r="CY2" s="27">
        <v>0.8</v>
      </c>
      <c r="CZ2" s="22" t="s">
        <v>2905</v>
      </c>
      <c r="DA2" s="22" t="s">
        <v>1372</v>
      </c>
      <c r="DB2" s="22">
        <v>12</v>
      </c>
      <c r="DC2" s="22"/>
      <c r="DD2" s="22" t="s">
        <v>3916</v>
      </c>
      <c r="DE2" s="22" t="s">
        <v>3917</v>
      </c>
      <c r="DF2" s="22" t="s">
        <v>3918</v>
      </c>
      <c r="DG2" s="22"/>
      <c r="DH2" s="22" t="s">
        <v>3946</v>
      </c>
      <c r="DI2" s="22" t="s">
        <v>3920</v>
      </c>
      <c r="DJ2" s="22"/>
      <c r="DK2" s="22"/>
      <c r="DL2" s="22" t="s">
        <v>3921</v>
      </c>
      <c r="DM2" s="22" t="s">
        <v>3922</v>
      </c>
      <c r="DN2" s="23" t="s">
        <v>1383</v>
      </c>
      <c r="DO2" s="22" t="s">
        <v>3102</v>
      </c>
      <c r="DP2" s="23" t="s">
        <v>1383</v>
      </c>
      <c r="DQ2" s="22" t="s">
        <v>3923</v>
      </c>
      <c r="DR2" s="23" t="s">
        <v>1342</v>
      </c>
      <c r="DS2" s="22"/>
      <c r="DT2" s="22"/>
      <c r="DU2" s="22"/>
      <c r="DV2" s="23" t="s">
        <v>1383</v>
      </c>
      <c r="DW2" s="22" t="s">
        <v>3947</v>
      </c>
      <c r="DX2" s="23" t="s">
        <v>1383</v>
      </c>
      <c r="DY2" s="23" t="s">
        <v>1342</v>
      </c>
      <c r="DZ2" s="23" t="s">
        <v>3948</v>
      </c>
      <c r="EA2" s="23" t="s">
        <v>1383</v>
      </c>
      <c r="EB2" s="23" t="s">
        <v>1383</v>
      </c>
      <c r="EC2" s="23" t="s">
        <v>1383</v>
      </c>
      <c r="ED2" s="22" t="s">
        <v>2948</v>
      </c>
      <c r="EE2" s="27">
        <v>0.3</v>
      </c>
      <c r="EF2" s="22" t="s">
        <v>2931</v>
      </c>
      <c r="EG2" s="23" t="s">
        <v>1342</v>
      </c>
      <c r="EH2" s="22"/>
      <c r="EI2" s="22"/>
      <c r="EJ2" s="22"/>
      <c r="EK2" s="22"/>
      <c r="EL2" s="23" t="s">
        <v>1389</v>
      </c>
      <c r="EM2" s="23">
        <v>3</v>
      </c>
      <c r="EN2" s="22" t="s">
        <v>3925</v>
      </c>
      <c r="EO2" s="23">
        <v>3</v>
      </c>
      <c r="EP2" s="22" t="s">
        <v>3949</v>
      </c>
      <c r="EQ2" s="23">
        <v>3</v>
      </c>
      <c r="ER2" s="22" t="s">
        <v>3082</v>
      </c>
      <c r="ES2" s="23">
        <v>3</v>
      </c>
      <c r="ET2" s="22" t="s">
        <v>3174</v>
      </c>
      <c r="EU2" s="23">
        <v>3</v>
      </c>
      <c r="EV2" s="22" t="s">
        <v>3108</v>
      </c>
      <c r="EW2" s="23">
        <v>3</v>
      </c>
      <c r="EX2" s="22" t="s">
        <v>3927</v>
      </c>
      <c r="EY2" s="23">
        <v>3</v>
      </c>
      <c r="EZ2" s="22" t="s">
        <v>3928</v>
      </c>
      <c r="FA2" s="22"/>
    </row>
    <row r="3" spans="1:157">
      <c r="A3" s="17">
        <v>38</v>
      </c>
      <c r="B3" s="22">
        <v>26</v>
      </c>
      <c r="C3" s="22" t="s">
        <v>1337</v>
      </c>
      <c r="D3" s="33">
        <v>43767</v>
      </c>
      <c r="E3" s="23" t="s">
        <v>3900</v>
      </c>
      <c r="F3" s="22">
        <v>38</v>
      </c>
      <c r="G3" s="25" t="s">
        <v>68</v>
      </c>
      <c r="H3" s="23" t="s">
        <v>3901</v>
      </c>
      <c r="I3" s="23" t="s">
        <v>3902</v>
      </c>
      <c r="J3" s="23" t="s">
        <v>68</v>
      </c>
      <c r="K3" s="23" t="s">
        <v>3903</v>
      </c>
      <c r="L3" s="32">
        <v>10</v>
      </c>
      <c r="M3" s="23" t="s">
        <v>1342</v>
      </c>
      <c r="N3" s="23" t="s">
        <v>1448</v>
      </c>
      <c r="O3" s="23" t="s">
        <v>3827</v>
      </c>
      <c r="P3" s="23" t="s">
        <v>589</v>
      </c>
      <c r="Q3" s="22">
        <v>75012286</v>
      </c>
      <c r="R3" s="23" t="s">
        <v>1383</v>
      </c>
      <c r="S3" s="23">
        <v>3</v>
      </c>
      <c r="T3" s="23" t="s">
        <v>1346</v>
      </c>
      <c r="U3" s="23">
        <v>2015</v>
      </c>
      <c r="V3" s="22" t="s">
        <v>3904</v>
      </c>
      <c r="W3" s="22" t="s">
        <v>3905</v>
      </c>
      <c r="X3" s="23" t="s">
        <v>1804</v>
      </c>
      <c r="Y3" s="22"/>
      <c r="Z3" s="22"/>
      <c r="AA3" s="23">
        <v>22</v>
      </c>
      <c r="AB3" s="23" t="s">
        <v>1383</v>
      </c>
      <c r="AC3" s="22">
        <v>1</v>
      </c>
      <c r="AD3" s="23" t="s">
        <v>1383</v>
      </c>
      <c r="AE3" s="23" t="s">
        <v>1383</v>
      </c>
      <c r="AF3" s="23" t="s">
        <v>1342</v>
      </c>
      <c r="AG3" s="23" t="s">
        <v>1342</v>
      </c>
      <c r="AH3" s="23" t="s">
        <v>1342</v>
      </c>
      <c r="AI3" s="22">
        <v>2017</v>
      </c>
      <c r="AJ3" s="23" t="s">
        <v>1342</v>
      </c>
      <c r="AK3" s="23" t="s">
        <v>7116</v>
      </c>
      <c r="AL3" s="68" t="s">
        <v>1352</v>
      </c>
      <c r="AM3" s="23" t="s">
        <v>1352</v>
      </c>
      <c r="AN3" s="23" t="s">
        <v>1352</v>
      </c>
      <c r="AO3" s="23" t="s">
        <v>1352</v>
      </c>
      <c r="AP3" s="23" t="s">
        <v>1352</v>
      </c>
      <c r="AQ3" s="68" t="s">
        <v>1352</v>
      </c>
      <c r="AR3" s="23" t="s">
        <v>1352</v>
      </c>
      <c r="AS3" s="23" t="s">
        <v>3906</v>
      </c>
      <c r="AT3" s="23" t="s">
        <v>3907</v>
      </c>
      <c r="AU3" s="22">
        <v>12000</v>
      </c>
      <c r="AV3" s="22">
        <v>30000</v>
      </c>
      <c r="AW3" s="22" t="s">
        <v>3908</v>
      </c>
      <c r="AX3" s="22" t="s">
        <v>3909</v>
      </c>
      <c r="AY3" s="23" t="s">
        <v>1342</v>
      </c>
      <c r="AZ3" s="22" t="s">
        <v>1385</v>
      </c>
      <c r="BA3" s="22" t="s">
        <v>1436</v>
      </c>
      <c r="BB3" s="22" t="s">
        <v>3910</v>
      </c>
      <c r="BC3" s="22" t="s">
        <v>3910</v>
      </c>
      <c r="BD3" s="22" t="s">
        <v>3910</v>
      </c>
      <c r="BE3" s="22" t="s">
        <v>3903</v>
      </c>
      <c r="BF3" s="22"/>
      <c r="BG3" s="22"/>
      <c r="BH3" s="22">
        <v>1</v>
      </c>
      <c r="BI3" s="22">
        <v>4</v>
      </c>
      <c r="BJ3" s="22"/>
      <c r="BK3" s="22" t="s">
        <v>2405</v>
      </c>
      <c r="BL3" s="22" t="s">
        <v>2405</v>
      </c>
      <c r="BM3" s="22"/>
      <c r="BN3" s="23" t="s">
        <v>1342</v>
      </c>
      <c r="BO3" s="22"/>
      <c r="BP3" s="22"/>
      <c r="BQ3" s="23" t="s">
        <v>1383</v>
      </c>
      <c r="BR3" s="23" t="s">
        <v>1342</v>
      </c>
      <c r="BS3" s="27">
        <v>0</v>
      </c>
      <c r="BT3" s="23" t="s">
        <v>1342</v>
      </c>
      <c r="BU3" s="23" t="s">
        <v>3911</v>
      </c>
      <c r="BV3" s="23" t="s">
        <v>1342</v>
      </c>
      <c r="BW3" s="22"/>
      <c r="BX3" s="23" t="s">
        <v>1383</v>
      </c>
      <c r="BY3" s="23" t="s">
        <v>1362</v>
      </c>
      <c r="BZ3" s="23" t="s">
        <v>3912</v>
      </c>
      <c r="CA3" s="23" t="s">
        <v>3913</v>
      </c>
      <c r="CB3" s="22" t="s">
        <v>1364</v>
      </c>
      <c r="CC3" s="22" t="s">
        <v>1364</v>
      </c>
      <c r="CD3" s="22" t="s">
        <v>1364</v>
      </c>
      <c r="CE3" s="35">
        <v>200000</v>
      </c>
      <c r="CF3" s="35">
        <v>240000</v>
      </c>
      <c r="CG3" s="35">
        <v>180000</v>
      </c>
      <c r="CH3" s="22">
        <v>500</v>
      </c>
      <c r="CI3" s="22">
        <v>720</v>
      </c>
      <c r="CJ3" s="22">
        <v>650</v>
      </c>
      <c r="CK3" s="27">
        <v>0.4</v>
      </c>
      <c r="CL3" s="27">
        <v>0.4</v>
      </c>
      <c r="CM3" s="27">
        <v>0.6</v>
      </c>
      <c r="CN3" s="27">
        <v>0.6</v>
      </c>
      <c r="CO3" s="22" t="s">
        <v>1365</v>
      </c>
      <c r="CP3" s="22" t="s">
        <v>1366</v>
      </c>
      <c r="CQ3" s="22" t="s">
        <v>3914</v>
      </c>
      <c r="CR3" s="22">
        <v>0.2</v>
      </c>
      <c r="CS3" s="22" t="s">
        <v>1360</v>
      </c>
      <c r="CT3" s="22" t="s">
        <v>3915</v>
      </c>
      <c r="CU3" s="22" t="s">
        <v>1383</v>
      </c>
      <c r="CV3" s="22" t="s">
        <v>3097</v>
      </c>
      <c r="CW3" s="23" t="s">
        <v>1383</v>
      </c>
      <c r="CX3" s="27">
        <v>0.1</v>
      </c>
      <c r="CY3" s="27">
        <v>0.8</v>
      </c>
      <c r="CZ3" s="22" t="s">
        <v>2905</v>
      </c>
      <c r="DA3" s="22" t="s">
        <v>1372</v>
      </c>
      <c r="DB3" s="22">
        <v>15</v>
      </c>
      <c r="DC3" s="22"/>
      <c r="DD3" s="22" t="s">
        <v>3916</v>
      </c>
      <c r="DE3" s="22" t="s">
        <v>3917</v>
      </c>
      <c r="DF3" s="22" t="s">
        <v>3918</v>
      </c>
      <c r="DG3" s="22"/>
      <c r="DH3" s="22" t="s">
        <v>3919</v>
      </c>
      <c r="DI3" s="22" t="s">
        <v>3920</v>
      </c>
      <c r="DJ3" s="22"/>
      <c r="DK3" s="22"/>
      <c r="DL3" s="22" t="s">
        <v>3921</v>
      </c>
      <c r="DM3" s="22" t="s">
        <v>3922</v>
      </c>
      <c r="DN3" s="23" t="s">
        <v>1383</v>
      </c>
      <c r="DO3" s="22" t="s">
        <v>3102</v>
      </c>
      <c r="DP3" s="23" t="s">
        <v>1383</v>
      </c>
      <c r="DQ3" s="22" t="s">
        <v>3923</v>
      </c>
      <c r="DR3" s="23" t="s">
        <v>1342</v>
      </c>
      <c r="DS3" s="22"/>
      <c r="DT3" s="22"/>
      <c r="DU3" s="22"/>
      <c r="DV3" s="23" t="s">
        <v>1383</v>
      </c>
      <c r="DW3" s="22" t="s">
        <v>3924</v>
      </c>
      <c r="DX3" s="23" t="s">
        <v>1383</v>
      </c>
      <c r="DY3" s="23" t="s">
        <v>1342</v>
      </c>
      <c r="DZ3" s="22" t="s">
        <v>1531</v>
      </c>
      <c r="EA3" s="23" t="s">
        <v>1383</v>
      </c>
      <c r="EB3" s="23" t="s">
        <v>1383</v>
      </c>
      <c r="EC3" s="23" t="s">
        <v>1383</v>
      </c>
      <c r="ED3" s="22" t="s">
        <v>2948</v>
      </c>
      <c r="EE3" s="27">
        <v>0.4</v>
      </c>
      <c r="EF3" s="22" t="s">
        <v>2931</v>
      </c>
      <c r="EG3" s="23" t="s">
        <v>1342</v>
      </c>
      <c r="EH3" s="22"/>
      <c r="EI3" s="22"/>
      <c r="EJ3" s="22"/>
      <c r="EK3" s="22"/>
      <c r="EL3" s="23" t="s">
        <v>1389</v>
      </c>
      <c r="EM3" s="23">
        <v>3</v>
      </c>
      <c r="EN3" s="22" t="s">
        <v>3925</v>
      </c>
      <c r="EO3" s="23">
        <v>3</v>
      </c>
      <c r="EP3" s="22" t="s">
        <v>3926</v>
      </c>
      <c r="EQ3" s="23">
        <v>3</v>
      </c>
      <c r="ER3" s="22" t="s">
        <v>3082</v>
      </c>
      <c r="ES3" s="23">
        <v>3</v>
      </c>
      <c r="ET3" s="22" t="s">
        <v>3174</v>
      </c>
      <c r="EU3" s="23">
        <v>3</v>
      </c>
      <c r="EV3" s="22" t="s">
        <v>3108</v>
      </c>
      <c r="EW3" s="23">
        <v>3</v>
      </c>
      <c r="EX3" s="22" t="s">
        <v>3927</v>
      </c>
      <c r="EY3" s="23">
        <v>3</v>
      </c>
      <c r="EZ3" s="22" t="s">
        <v>3928</v>
      </c>
      <c r="FA3" s="22"/>
    </row>
    <row r="4" spans="1:157">
      <c r="A4" s="17">
        <v>98</v>
      </c>
      <c r="B4" s="22">
        <v>10</v>
      </c>
      <c r="C4" s="23" t="s">
        <v>2278</v>
      </c>
      <c r="D4" s="24">
        <v>43771</v>
      </c>
      <c r="E4" s="23" t="s">
        <v>3826</v>
      </c>
      <c r="F4" s="25"/>
      <c r="G4" s="25"/>
      <c r="H4" s="23" t="s">
        <v>1075</v>
      </c>
      <c r="I4" s="23" t="s">
        <v>1071</v>
      </c>
      <c r="J4" s="23" t="s">
        <v>165</v>
      </c>
      <c r="K4" s="23" t="s">
        <v>3790</v>
      </c>
      <c r="L4" s="32">
        <v>5</v>
      </c>
      <c r="M4" s="23" t="s">
        <v>3757</v>
      </c>
      <c r="N4" s="23" t="s">
        <v>1343</v>
      </c>
      <c r="O4" s="23" t="s">
        <v>3827</v>
      </c>
      <c r="P4" s="23" t="s">
        <v>741</v>
      </c>
      <c r="Q4" s="23">
        <v>77764772</v>
      </c>
      <c r="R4" s="23" t="s">
        <v>1345</v>
      </c>
      <c r="S4" s="23">
        <v>4</v>
      </c>
      <c r="T4" s="23" t="s">
        <v>1346</v>
      </c>
      <c r="U4" s="23">
        <v>1999</v>
      </c>
      <c r="V4" s="23" t="s">
        <v>3828</v>
      </c>
      <c r="W4" s="23" t="s">
        <v>3761</v>
      </c>
      <c r="X4" s="23" t="s">
        <v>1349</v>
      </c>
      <c r="Y4" s="23" t="s">
        <v>2300</v>
      </c>
      <c r="Z4" s="23" t="s">
        <v>2300</v>
      </c>
      <c r="AA4" s="23">
        <v>15</v>
      </c>
      <c r="AB4" s="23" t="s">
        <v>1345</v>
      </c>
      <c r="AC4" s="23">
        <v>3</v>
      </c>
      <c r="AD4" s="23" t="s">
        <v>1345</v>
      </c>
      <c r="AE4" s="23" t="s">
        <v>1345</v>
      </c>
      <c r="AF4" s="23" t="s">
        <v>1349</v>
      </c>
      <c r="AG4" s="23" t="s">
        <v>1349</v>
      </c>
      <c r="AH4" s="23" t="s">
        <v>3829</v>
      </c>
      <c r="AI4" s="23">
        <v>2013</v>
      </c>
      <c r="AJ4" s="23" t="s">
        <v>1349</v>
      </c>
      <c r="AK4" s="23" t="s">
        <v>2290</v>
      </c>
      <c r="AL4" s="68" t="s">
        <v>1612</v>
      </c>
      <c r="AM4" s="23" t="s">
        <v>1612</v>
      </c>
      <c r="AN4" s="23" t="s">
        <v>1352</v>
      </c>
      <c r="AO4" s="23" t="s">
        <v>1612</v>
      </c>
      <c r="AP4" s="23" t="s">
        <v>1612</v>
      </c>
      <c r="AQ4" s="71" t="s">
        <v>1352</v>
      </c>
      <c r="AR4" s="22" t="s">
        <v>1352</v>
      </c>
      <c r="AS4" s="23" t="s">
        <v>1802</v>
      </c>
      <c r="AT4" s="23" t="s">
        <v>1358</v>
      </c>
      <c r="AU4" s="23" t="s">
        <v>2249</v>
      </c>
      <c r="AV4" s="22">
        <v>2000</v>
      </c>
      <c r="AW4" s="23" t="s">
        <v>2293</v>
      </c>
      <c r="AX4" s="23" t="s">
        <v>2294</v>
      </c>
      <c r="AY4" s="23" t="s">
        <v>1349</v>
      </c>
      <c r="AZ4" s="23" t="s">
        <v>3810</v>
      </c>
      <c r="BA4" s="23" t="s">
        <v>2361</v>
      </c>
      <c r="BB4" s="23" t="s">
        <v>2647</v>
      </c>
      <c r="BC4" s="23" t="s">
        <v>2647</v>
      </c>
      <c r="BD4" s="23" t="s">
        <v>2289</v>
      </c>
      <c r="BE4" s="23" t="s">
        <v>3790</v>
      </c>
      <c r="BF4" s="23"/>
      <c r="BG4" s="23"/>
      <c r="BH4" s="23">
        <v>6</v>
      </c>
      <c r="BI4" s="23">
        <v>6</v>
      </c>
      <c r="BJ4" s="23">
        <v>10</v>
      </c>
      <c r="BK4" s="22" t="s">
        <v>1434</v>
      </c>
      <c r="BL4" s="22" t="s">
        <v>1702</v>
      </c>
      <c r="BM4" s="22" t="s">
        <v>1702</v>
      </c>
      <c r="BN4" s="23" t="s">
        <v>1349</v>
      </c>
      <c r="BO4" s="23" t="s">
        <v>2767</v>
      </c>
      <c r="BP4" s="23" t="s">
        <v>2767</v>
      </c>
      <c r="BQ4" s="23" t="s">
        <v>1349</v>
      </c>
      <c r="BR4" s="23" t="s">
        <v>1349</v>
      </c>
      <c r="BS4" s="23" t="s">
        <v>2643</v>
      </c>
      <c r="BT4" s="23" t="s">
        <v>1349</v>
      </c>
      <c r="BU4" s="23" t="s">
        <v>3830</v>
      </c>
      <c r="BV4" s="23" t="s">
        <v>1349</v>
      </c>
      <c r="BW4" s="23" t="s">
        <v>2300</v>
      </c>
      <c r="BX4" s="23" t="s">
        <v>1345</v>
      </c>
      <c r="BY4" s="23" t="s">
        <v>2302</v>
      </c>
      <c r="BZ4" s="23" t="s">
        <v>2767</v>
      </c>
      <c r="CA4" s="23" t="s">
        <v>2767</v>
      </c>
      <c r="CB4" s="23" t="s">
        <v>2289</v>
      </c>
      <c r="CC4" s="23" t="s">
        <v>2289</v>
      </c>
      <c r="CD4" s="23" t="s">
        <v>2289</v>
      </c>
      <c r="CE4" s="23">
        <v>1000</v>
      </c>
      <c r="CF4" s="23">
        <v>2000</v>
      </c>
      <c r="CG4" s="23">
        <v>2500</v>
      </c>
      <c r="CH4" s="23">
        <v>0</v>
      </c>
      <c r="CI4" s="23">
        <v>0</v>
      </c>
      <c r="CJ4" s="23">
        <v>0</v>
      </c>
      <c r="CK4" s="26">
        <v>0.4</v>
      </c>
      <c r="CL4" s="27">
        <v>1</v>
      </c>
      <c r="CM4" s="27">
        <v>0.6</v>
      </c>
      <c r="CN4" s="26">
        <v>0</v>
      </c>
      <c r="CO4" s="23" t="s">
        <v>2652</v>
      </c>
      <c r="CP4" s="23" t="s">
        <v>2289</v>
      </c>
      <c r="CQ4" s="23" t="s">
        <v>2767</v>
      </c>
      <c r="CR4" s="23">
        <v>5</v>
      </c>
      <c r="CS4" s="23" t="s">
        <v>3764</v>
      </c>
      <c r="CT4" s="23" t="s">
        <v>3765</v>
      </c>
      <c r="CU4" s="23" t="s">
        <v>1345</v>
      </c>
      <c r="CV4" s="23" t="s">
        <v>2310</v>
      </c>
      <c r="CW4" s="23" t="s">
        <v>1345</v>
      </c>
      <c r="CX4" s="26">
        <v>0.05</v>
      </c>
      <c r="CY4" s="26">
        <v>0.95</v>
      </c>
      <c r="CZ4" s="23" t="s">
        <v>2311</v>
      </c>
      <c r="DA4" s="23" t="s">
        <v>3766</v>
      </c>
      <c r="DB4" s="23" t="s">
        <v>1903</v>
      </c>
      <c r="DC4" s="23" t="s">
        <v>2643</v>
      </c>
      <c r="DD4" s="22" t="s">
        <v>2792</v>
      </c>
      <c r="DE4" s="23" t="s">
        <v>3767</v>
      </c>
      <c r="DF4" s="23" t="s">
        <v>3768</v>
      </c>
      <c r="DG4" s="23" t="s">
        <v>3769</v>
      </c>
      <c r="DH4" s="23" t="s">
        <v>2794</v>
      </c>
      <c r="DI4" s="23" t="s">
        <v>1556</v>
      </c>
      <c r="DJ4" s="23" t="s">
        <v>1556</v>
      </c>
      <c r="DK4" s="23" t="s">
        <v>1556</v>
      </c>
      <c r="DL4" s="23" t="s">
        <v>3831</v>
      </c>
      <c r="DM4" s="23" t="s">
        <v>3771</v>
      </c>
      <c r="DN4" s="23" t="s">
        <v>1345</v>
      </c>
      <c r="DO4" s="23" t="s">
        <v>3772</v>
      </c>
      <c r="DP4" s="23" t="s">
        <v>1349</v>
      </c>
      <c r="DQ4" s="23" t="s">
        <v>2647</v>
      </c>
      <c r="DR4" s="23" t="s">
        <v>1349</v>
      </c>
      <c r="DS4" s="23" t="s">
        <v>1556</v>
      </c>
      <c r="DT4" s="23" t="s">
        <v>2300</v>
      </c>
      <c r="DU4" s="23" t="s">
        <v>2300</v>
      </c>
      <c r="DV4" s="23" t="s">
        <v>1345</v>
      </c>
      <c r="DW4" s="23" t="s">
        <v>2797</v>
      </c>
      <c r="DX4" s="23" t="s">
        <v>1345</v>
      </c>
      <c r="DY4" s="23" t="s">
        <v>1349</v>
      </c>
      <c r="DZ4" s="23" t="s">
        <v>3773</v>
      </c>
      <c r="EA4" s="23" t="s">
        <v>1345</v>
      </c>
      <c r="EB4" s="23" t="s">
        <v>1345</v>
      </c>
      <c r="EC4" s="23" t="s">
        <v>1345</v>
      </c>
      <c r="ED4" s="23" t="s">
        <v>2323</v>
      </c>
      <c r="EE4" s="27">
        <v>0.1</v>
      </c>
      <c r="EF4" s="23" t="s">
        <v>2324</v>
      </c>
      <c r="EG4" s="23" t="s">
        <v>1345</v>
      </c>
      <c r="EH4" s="26">
        <v>0.8</v>
      </c>
      <c r="EI4" s="23" t="s">
        <v>2326</v>
      </c>
      <c r="EJ4" s="22"/>
      <c r="EK4" s="23" t="s">
        <v>3774</v>
      </c>
      <c r="EL4" s="23" t="s">
        <v>1389</v>
      </c>
      <c r="EM4" s="23">
        <v>3</v>
      </c>
      <c r="EN4" s="23" t="s">
        <v>3775</v>
      </c>
      <c r="EO4" s="23">
        <v>3</v>
      </c>
      <c r="EP4" s="23" t="s">
        <v>3776</v>
      </c>
      <c r="EQ4" s="23">
        <v>3</v>
      </c>
      <c r="ER4" s="22" t="s">
        <v>3777</v>
      </c>
      <c r="ES4" s="23">
        <v>4</v>
      </c>
      <c r="ET4" s="22" t="s">
        <v>3778</v>
      </c>
      <c r="EU4" s="23">
        <v>4</v>
      </c>
      <c r="EV4" s="22" t="s">
        <v>3779</v>
      </c>
      <c r="EW4" s="23">
        <v>2</v>
      </c>
      <c r="EX4" s="22" t="s">
        <v>3832</v>
      </c>
      <c r="EY4" s="23">
        <v>2</v>
      </c>
      <c r="EZ4" s="22" t="s">
        <v>2424</v>
      </c>
      <c r="FA4" s="22"/>
    </row>
    <row r="5" spans="1:157">
      <c r="A5" s="17">
        <v>247</v>
      </c>
      <c r="B5" s="22">
        <v>29</v>
      </c>
      <c r="C5" s="23" t="s">
        <v>1337</v>
      </c>
      <c r="D5" s="33">
        <v>43768</v>
      </c>
      <c r="E5" s="23" t="s">
        <v>3950</v>
      </c>
      <c r="F5" s="22"/>
      <c r="G5" s="25" t="s">
        <v>3930</v>
      </c>
      <c r="H5" s="23" t="s">
        <v>3901</v>
      </c>
      <c r="I5" s="23" t="s">
        <v>3902</v>
      </c>
      <c r="J5" s="23" t="s">
        <v>68</v>
      </c>
      <c r="K5" s="23" t="s">
        <v>3951</v>
      </c>
      <c r="L5" s="32">
        <v>10</v>
      </c>
      <c r="M5" s="23" t="s">
        <v>1342</v>
      </c>
      <c r="N5" s="22" t="s">
        <v>1448</v>
      </c>
      <c r="O5" s="23" t="s">
        <v>3801</v>
      </c>
      <c r="P5" s="23" t="s">
        <v>3952</v>
      </c>
      <c r="Q5" s="22">
        <v>68203292</v>
      </c>
      <c r="R5" s="23" t="s">
        <v>1383</v>
      </c>
      <c r="S5" s="23">
        <v>3</v>
      </c>
      <c r="T5" s="23" t="s">
        <v>1346</v>
      </c>
      <c r="U5" s="23">
        <v>2015</v>
      </c>
      <c r="V5" s="22" t="s">
        <v>3048</v>
      </c>
      <c r="W5" s="23" t="s">
        <v>1401</v>
      </c>
      <c r="X5" s="23" t="s">
        <v>1804</v>
      </c>
      <c r="Y5" s="22"/>
      <c r="Z5" s="22"/>
      <c r="AA5" s="23">
        <v>18</v>
      </c>
      <c r="AB5" s="23" t="s">
        <v>1342</v>
      </c>
      <c r="AC5" s="22">
        <v>1</v>
      </c>
      <c r="AD5" s="23" t="s">
        <v>1383</v>
      </c>
      <c r="AE5" s="23" t="s">
        <v>1342</v>
      </c>
      <c r="AF5" s="23" t="s">
        <v>1342</v>
      </c>
      <c r="AG5" s="23" t="s">
        <v>1342</v>
      </c>
      <c r="AH5" s="23" t="s">
        <v>1342</v>
      </c>
      <c r="AI5" s="22"/>
      <c r="AJ5" s="23" t="s">
        <v>1342</v>
      </c>
      <c r="AK5" s="22" t="s">
        <v>4199</v>
      </c>
      <c r="AL5" s="87" t="s">
        <v>1612</v>
      </c>
      <c r="AM5" s="23" t="s">
        <v>1612</v>
      </c>
      <c r="AN5" s="23" t="s">
        <v>1612</v>
      </c>
      <c r="AO5" s="23" t="s">
        <v>1612</v>
      </c>
      <c r="AP5" s="23" t="s">
        <v>1612</v>
      </c>
      <c r="AQ5" s="71" t="s">
        <v>1352</v>
      </c>
      <c r="AR5" s="23" t="s">
        <v>1612</v>
      </c>
      <c r="AS5" s="42" t="s">
        <v>1550</v>
      </c>
      <c r="AT5" s="23" t="s">
        <v>1342</v>
      </c>
      <c r="AU5" s="22">
        <v>12000</v>
      </c>
      <c r="AV5" s="22">
        <v>35000</v>
      </c>
      <c r="AW5" s="22" t="s">
        <v>2955</v>
      </c>
      <c r="AX5" s="22" t="s">
        <v>3953</v>
      </c>
      <c r="AY5" s="23" t="s">
        <v>1342</v>
      </c>
      <c r="AZ5" s="22" t="s">
        <v>1356</v>
      </c>
      <c r="BA5" s="22" t="s">
        <v>1737</v>
      </c>
      <c r="BB5" s="22" t="s">
        <v>1358</v>
      </c>
      <c r="BC5" s="22" t="s">
        <v>1358</v>
      </c>
      <c r="BD5" s="22" t="s">
        <v>1358</v>
      </c>
      <c r="BE5" s="22" t="s">
        <v>3951</v>
      </c>
      <c r="BF5" s="22"/>
      <c r="BG5" s="22"/>
      <c r="BH5" s="22">
        <v>2</v>
      </c>
      <c r="BI5" s="22">
        <v>4</v>
      </c>
      <c r="BJ5" s="22"/>
      <c r="BK5" s="22" t="s">
        <v>2405</v>
      </c>
      <c r="BL5" s="22" t="s">
        <v>2405</v>
      </c>
      <c r="BM5" s="22"/>
      <c r="BN5" s="23" t="s">
        <v>1342</v>
      </c>
      <c r="BO5" s="22"/>
      <c r="BP5" s="22"/>
      <c r="BQ5" s="23" t="s">
        <v>1383</v>
      </c>
      <c r="BR5" s="23" t="s">
        <v>1342</v>
      </c>
      <c r="BS5" s="27">
        <v>0</v>
      </c>
      <c r="BT5" s="23" t="s">
        <v>1342</v>
      </c>
      <c r="BU5" s="22" t="s">
        <v>3954</v>
      </c>
      <c r="BV5" s="23" t="s">
        <v>1342</v>
      </c>
      <c r="BW5" s="22"/>
      <c r="BX5" s="23" t="s">
        <v>1383</v>
      </c>
      <c r="BY5" s="23" t="s">
        <v>1362</v>
      </c>
      <c r="BZ5" s="23" t="s">
        <v>3912</v>
      </c>
      <c r="CA5" s="23" t="s">
        <v>3951</v>
      </c>
      <c r="CB5" s="22" t="s">
        <v>1364</v>
      </c>
      <c r="CC5" s="22" t="s">
        <v>1364</v>
      </c>
      <c r="CD5" s="22" t="s">
        <v>1364</v>
      </c>
      <c r="CE5" s="22">
        <v>3600</v>
      </c>
      <c r="CF5" s="22">
        <v>4500</v>
      </c>
      <c r="CG5" s="22">
        <v>5400</v>
      </c>
      <c r="CH5" s="22">
        <v>0</v>
      </c>
      <c r="CI5" s="22">
        <v>0</v>
      </c>
      <c r="CJ5" s="22">
        <v>0</v>
      </c>
      <c r="CK5" s="27">
        <v>0.6</v>
      </c>
      <c r="CL5" s="27">
        <v>0.7</v>
      </c>
      <c r="CM5" s="27">
        <v>0.4</v>
      </c>
      <c r="CN5" s="27">
        <v>0.3</v>
      </c>
      <c r="CO5" s="22"/>
      <c r="CP5" s="22"/>
      <c r="CQ5" s="22"/>
      <c r="CR5" s="22"/>
      <c r="CS5" s="22"/>
      <c r="CT5" s="22"/>
      <c r="CU5" s="22"/>
      <c r="CV5" s="22"/>
      <c r="CW5" s="23" t="s">
        <v>1383</v>
      </c>
      <c r="CX5" s="27">
        <v>0.1</v>
      </c>
      <c r="CY5" s="27">
        <v>0.8</v>
      </c>
      <c r="CZ5" s="22" t="s">
        <v>2905</v>
      </c>
      <c r="DA5" s="22" t="s">
        <v>1372</v>
      </c>
      <c r="DB5" s="22">
        <v>10</v>
      </c>
      <c r="DC5" s="22"/>
      <c r="DD5" s="22" t="s">
        <v>3916</v>
      </c>
      <c r="DE5" s="22" t="s">
        <v>3917</v>
      </c>
      <c r="DF5" s="22" t="s">
        <v>3918</v>
      </c>
      <c r="DG5" s="22"/>
      <c r="DH5" s="22" t="s">
        <v>3935</v>
      </c>
      <c r="DI5" s="22"/>
      <c r="DJ5" s="22"/>
      <c r="DK5" s="22"/>
      <c r="DL5" s="22" t="s">
        <v>3921</v>
      </c>
      <c r="DM5" s="22" t="s">
        <v>3121</v>
      </c>
      <c r="DN5" s="23" t="s">
        <v>1342</v>
      </c>
      <c r="DO5" s="22"/>
      <c r="DP5" s="23" t="s">
        <v>1383</v>
      </c>
      <c r="DQ5" s="22" t="s">
        <v>3955</v>
      </c>
      <c r="DR5" s="23" t="s">
        <v>1342</v>
      </c>
      <c r="DS5" s="22"/>
      <c r="DT5" s="22"/>
      <c r="DU5" s="22"/>
      <c r="DV5" s="23" t="s">
        <v>1383</v>
      </c>
      <c r="DW5" s="22" t="s">
        <v>3956</v>
      </c>
      <c r="DX5" s="23" t="s">
        <v>1383</v>
      </c>
      <c r="DY5" s="23" t="s">
        <v>1342</v>
      </c>
      <c r="DZ5" s="23" t="s">
        <v>3948</v>
      </c>
      <c r="EA5" s="23" t="s">
        <v>1383</v>
      </c>
      <c r="EB5" s="23" t="s">
        <v>1342</v>
      </c>
      <c r="EC5" s="23" t="s">
        <v>1383</v>
      </c>
      <c r="ED5" s="22" t="s">
        <v>2948</v>
      </c>
      <c r="EE5" s="27">
        <v>0.4</v>
      </c>
      <c r="EF5" s="23" t="s">
        <v>2931</v>
      </c>
      <c r="EG5" s="23" t="s">
        <v>1342</v>
      </c>
      <c r="EH5" s="22"/>
      <c r="EI5" s="22"/>
      <c r="EJ5" s="22"/>
      <c r="EK5" s="22"/>
      <c r="EL5" s="23" t="s">
        <v>1389</v>
      </c>
      <c r="EM5" s="23">
        <v>3</v>
      </c>
      <c r="EN5" s="22" t="s">
        <v>2917</v>
      </c>
      <c r="EO5" s="23">
        <v>0</v>
      </c>
      <c r="EP5" s="22" t="s">
        <v>3020</v>
      </c>
      <c r="EQ5" s="23">
        <v>2</v>
      </c>
      <c r="ER5" s="22" t="s">
        <v>3129</v>
      </c>
      <c r="ES5" s="23">
        <v>3</v>
      </c>
      <c r="ET5" s="22" t="s">
        <v>3174</v>
      </c>
      <c r="EU5" s="23">
        <v>3</v>
      </c>
      <c r="EV5" s="22" t="s">
        <v>3108</v>
      </c>
      <c r="EW5" s="23">
        <v>3</v>
      </c>
      <c r="EX5" s="22" t="s">
        <v>3927</v>
      </c>
      <c r="EY5" s="23">
        <v>1</v>
      </c>
      <c r="EZ5" s="22" t="s">
        <v>3939</v>
      </c>
      <c r="FA5" s="22"/>
    </row>
    <row r="6" spans="1:157">
      <c r="A6" s="17">
        <v>550</v>
      </c>
      <c r="B6" s="22">
        <v>6</v>
      </c>
      <c r="C6" s="23" t="s">
        <v>2278</v>
      </c>
      <c r="D6" s="24">
        <v>43769</v>
      </c>
      <c r="E6" s="23" t="s">
        <v>505</v>
      </c>
      <c r="F6" s="25"/>
      <c r="G6" s="25"/>
      <c r="H6" s="23" t="s">
        <v>1075</v>
      </c>
      <c r="I6" s="23" t="s">
        <v>1071</v>
      </c>
      <c r="J6" s="23" t="s">
        <v>165</v>
      </c>
      <c r="K6" s="23" t="s">
        <v>3806</v>
      </c>
      <c r="L6" s="32">
        <v>5</v>
      </c>
      <c r="M6" s="23" t="s">
        <v>3757</v>
      </c>
      <c r="N6" s="23" t="s">
        <v>1343</v>
      </c>
      <c r="O6" s="23" t="s">
        <v>3807</v>
      </c>
      <c r="P6" s="23" t="s">
        <v>638</v>
      </c>
      <c r="Q6" s="23">
        <v>68832805</v>
      </c>
      <c r="R6" s="23" t="s">
        <v>1345</v>
      </c>
      <c r="S6" s="23">
        <v>8</v>
      </c>
      <c r="T6" s="23" t="s">
        <v>1346</v>
      </c>
      <c r="U6" s="23">
        <v>2016</v>
      </c>
      <c r="V6" s="23" t="s">
        <v>3808</v>
      </c>
      <c r="W6" s="23" t="s">
        <v>3802</v>
      </c>
      <c r="X6" s="23" t="s">
        <v>1349</v>
      </c>
      <c r="Y6" s="23" t="s">
        <v>2300</v>
      </c>
      <c r="Z6" s="23" t="s">
        <v>2300</v>
      </c>
      <c r="AA6" s="23">
        <v>38</v>
      </c>
      <c r="AB6" s="23" t="s">
        <v>1345</v>
      </c>
      <c r="AC6" s="23">
        <v>3</v>
      </c>
      <c r="AD6" s="23" t="s">
        <v>1345</v>
      </c>
      <c r="AE6" s="23" t="s">
        <v>1345</v>
      </c>
      <c r="AF6" s="23" t="s">
        <v>1349</v>
      </c>
      <c r="AG6" s="23" t="s">
        <v>1349</v>
      </c>
      <c r="AH6" s="23" t="s">
        <v>3809</v>
      </c>
      <c r="AI6" s="23">
        <v>2016</v>
      </c>
      <c r="AJ6" s="23" t="s">
        <v>1345</v>
      </c>
      <c r="AK6" s="23" t="s">
        <v>2290</v>
      </c>
      <c r="AL6" s="68" t="s">
        <v>1612</v>
      </c>
      <c r="AM6" s="23" t="s">
        <v>1612</v>
      </c>
      <c r="AN6" s="23" t="s">
        <v>1612</v>
      </c>
      <c r="AO6" s="23" t="s">
        <v>1612</v>
      </c>
      <c r="AP6" s="23" t="s">
        <v>1612</v>
      </c>
      <c r="AQ6" s="71" t="s">
        <v>1352</v>
      </c>
      <c r="AR6" s="23" t="s">
        <v>1352</v>
      </c>
      <c r="AS6" s="23" t="s">
        <v>1802</v>
      </c>
      <c r="AT6" s="23" t="s">
        <v>1358</v>
      </c>
      <c r="AU6" s="23" t="s">
        <v>2249</v>
      </c>
      <c r="AV6" s="23">
        <v>2000</v>
      </c>
      <c r="AW6" s="23" t="s">
        <v>2397</v>
      </c>
      <c r="AX6" s="23" t="s">
        <v>2430</v>
      </c>
      <c r="AY6" s="23" t="s">
        <v>1349</v>
      </c>
      <c r="AZ6" s="23" t="s">
        <v>3810</v>
      </c>
      <c r="BA6" s="23" t="s">
        <v>2361</v>
      </c>
      <c r="BB6" s="23" t="s">
        <v>2647</v>
      </c>
      <c r="BC6" s="23" t="s">
        <v>2647</v>
      </c>
      <c r="BD6" s="23" t="s">
        <v>2289</v>
      </c>
      <c r="BE6" s="23" t="s">
        <v>3756</v>
      </c>
      <c r="BF6" s="23"/>
      <c r="BG6" s="23"/>
      <c r="BH6" s="23">
        <v>6</v>
      </c>
      <c r="BI6" s="23">
        <v>6</v>
      </c>
      <c r="BJ6" s="23">
        <v>8</v>
      </c>
      <c r="BK6" s="23" t="s">
        <v>1360</v>
      </c>
      <c r="BL6" s="23" t="s">
        <v>1360</v>
      </c>
      <c r="BM6" s="23" t="s">
        <v>1360</v>
      </c>
      <c r="BN6" s="23" t="s">
        <v>1349</v>
      </c>
      <c r="BO6" s="23" t="s">
        <v>2767</v>
      </c>
      <c r="BP6" s="23" t="s">
        <v>2767</v>
      </c>
      <c r="BQ6" s="23" t="s">
        <v>1349</v>
      </c>
      <c r="BR6" s="23" t="s">
        <v>1349</v>
      </c>
      <c r="BS6" s="23" t="s">
        <v>2643</v>
      </c>
      <c r="BT6" s="23" t="s">
        <v>1349</v>
      </c>
      <c r="BU6" s="23" t="s">
        <v>3811</v>
      </c>
      <c r="BV6" s="23" t="s">
        <v>1349</v>
      </c>
      <c r="BW6" s="23" t="s">
        <v>2300</v>
      </c>
      <c r="BX6" s="23" t="s">
        <v>1345</v>
      </c>
      <c r="BY6" s="23" t="s">
        <v>2302</v>
      </c>
      <c r="BZ6" s="23" t="s">
        <v>2767</v>
      </c>
      <c r="CA6" s="23" t="s">
        <v>2767</v>
      </c>
      <c r="CB6" s="23" t="s">
        <v>2289</v>
      </c>
      <c r="CC6" s="23" t="s">
        <v>2289</v>
      </c>
      <c r="CD6" s="23" t="s">
        <v>2289</v>
      </c>
      <c r="CE6" s="23">
        <v>1500</v>
      </c>
      <c r="CF6" s="23">
        <v>3000</v>
      </c>
      <c r="CG6" s="23">
        <v>2000</v>
      </c>
      <c r="CH6" s="23">
        <v>80</v>
      </c>
      <c r="CI6" s="23">
        <v>60</v>
      </c>
      <c r="CJ6" s="23">
        <v>30</v>
      </c>
      <c r="CK6" s="27">
        <v>0.6</v>
      </c>
      <c r="CL6" s="27">
        <v>1</v>
      </c>
      <c r="CM6" s="26">
        <v>0.4</v>
      </c>
      <c r="CN6" s="26">
        <v>0</v>
      </c>
      <c r="CO6" s="23" t="s">
        <v>2652</v>
      </c>
      <c r="CP6" s="23" t="s">
        <v>2289</v>
      </c>
      <c r="CQ6" s="23" t="s">
        <v>2767</v>
      </c>
      <c r="CR6" s="23">
        <v>4</v>
      </c>
      <c r="CS6" s="23" t="s">
        <v>3764</v>
      </c>
      <c r="CT6" s="23" t="s">
        <v>3765</v>
      </c>
      <c r="CU6" s="23" t="s">
        <v>1345</v>
      </c>
      <c r="CV6" s="23" t="s">
        <v>2407</v>
      </c>
      <c r="CW6" s="23" t="s">
        <v>1345</v>
      </c>
      <c r="CX6" s="26">
        <v>0.2</v>
      </c>
      <c r="CY6" s="26">
        <v>0.8</v>
      </c>
      <c r="CZ6" s="23" t="s">
        <v>2311</v>
      </c>
      <c r="DA6" s="23" t="s">
        <v>3766</v>
      </c>
      <c r="DB6" s="23" t="s">
        <v>1903</v>
      </c>
      <c r="DC6" s="23" t="s">
        <v>2643</v>
      </c>
      <c r="DD6" s="22" t="s">
        <v>2792</v>
      </c>
      <c r="DE6" s="23" t="s">
        <v>3767</v>
      </c>
      <c r="DF6" s="23" t="s">
        <v>3768</v>
      </c>
      <c r="DG6" s="23" t="s">
        <v>3769</v>
      </c>
      <c r="DH6" s="23" t="s">
        <v>2794</v>
      </c>
      <c r="DI6" s="23" t="s">
        <v>1556</v>
      </c>
      <c r="DJ6" s="23" t="s">
        <v>1556</v>
      </c>
      <c r="DK6" s="23" t="s">
        <v>1556</v>
      </c>
      <c r="DL6" s="23" t="s">
        <v>3770</v>
      </c>
      <c r="DM6" s="23" t="s">
        <v>3771</v>
      </c>
      <c r="DN6" s="23" t="s">
        <v>1345</v>
      </c>
      <c r="DO6" s="23" t="s">
        <v>3772</v>
      </c>
      <c r="DP6" s="23" t="s">
        <v>1349</v>
      </c>
      <c r="DQ6" s="23" t="s">
        <v>2647</v>
      </c>
      <c r="DR6" s="23" t="s">
        <v>1349</v>
      </c>
      <c r="DS6" s="23" t="s">
        <v>1556</v>
      </c>
      <c r="DT6" s="23" t="s">
        <v>2300</v>
      </c>
      <c r="DU6" s="23" t="s">
        <v>2300</v>
      </c>
      <c r="DV6" s="23" t="s">
        <v>1345</v>
      </c>
      <c r="DW6" s="23" t="s">
        <v>2797</v>
      </c>
      <c r="DX6" s="23" t="s">
        <v>1345</v>
      </c>
      <c r="DY6" s="23" t="s">
        <v>1349</v>
      </c>
      <c r="DZ6" s="23" t="s">
        <v>3773</v>
      </c>
      <c r="EA6" s="23" t="s">
        <v>1345</v>
      </c>
      <c r="EB6" s="23" t="s">
        <v>1345</v>
      </c>
      <c r="EC6" s="23" t="s">
        <v>1345</v>
      </c>
      <c r="ED6" s="23" t="s">
        <v>2418</v>
      </c>
      <c r="EE6" s="27">
        <v>0.15</v>
      </c>
      <c r="EF6" s="23" t="s">
        <v>2370</v>
      </c>
      <c r="EG6" s="23" t="s">
        <v>1349</v>
      </c>
      <c r="EH6" s="23" t="s">
        <v>2300</v>
      </c>
      <c r="EI6" s="23" t="s">
        <v>2326</v>
      </c>
      <c r="EJ6" s="22"/>
      <c r="EK6" s="23" t="s">
        <v>3774</v>
      </c>
      <c r="EL6" s="23" t="s">
        <v>1389</v>
      </c>
      <c r="EM6" s="23">
        <v>3</v>
      </c>
      <c r="EN6" s="23" t="s">
        <v>3805</v>
      </c>
      <c r="EO6" s="23">
        <v>3</v>
      </c>
      <c r="EP6" s="23" t="s">
        <v>3796</v>
      </c>
      <c r="EQ6" s="23"/>
      <c r="ER6" s="22" t="s">
        <v>3788</v>
      </c>
      <c r="ES6" s="23">
        <v>4</v>
      </c>
      <c r="ET6" s="22" t="s">
        <v>3778</v>
      </c>
      <c r="EU6" s="23">
        <v>4</v>
      </c>
      <c r="EV6" s="22" t="s">
        <v>3779</v>
      </c>
      <c r="EW6" s="23">
        <v>3</v>
      </c>
      <c r="EX6" s="22" t="s">
        <v>3780</v>
      </c>
      <c r="EY6" s="23">
        <v>2</v>
      </c>
      <c r="EZ6" s="22" t="s">
        <v>2424</v>
      </c>
      <c r="FA6" s="22"/>
    </row>
    <row r="7" spans="1:157">
      <c r="A7" s="17">
        <v>551</v>
      </c>
      <c r="B7" s="22">
        <v>49</v>
      </c>
      <c r="C7" s="38" t="s">
        <v>1795</v>
      </c>
      <c r="D7" s="39">
        <v>43767</v>
      </c>
      <c r="E7" s="38" t="s">
        <v>4157</v>
      </c>
      <c r="F7" s="40" t="s">
        <v>1728</v>
      </c>
      <c r="G7" s="40" t="s">
        <v>3856</v>
      </c>
      <c r="H7" s="38" t="s">
        <v>4158</v>
      </c>
      <c r="I7" s="38" t="s">
        <v>1071</v>
      </c>
      <c r="J7" s="23" t="s">
        <v>3856</v>
      </c>
      <c r="K7" s="38" t="s">
        <v>4159</v>
      </c>
      <c r="L7" s="42">
        <v>1</v>
      </c>
      <c r="M7" s="42" t="s">
        <v>3360</v>
      </c>
      <c r="N7" s="42" t="s">
        <v>1343</v>
      </c>
      <c r="O7" s="42" t="s">
        <v>4160</v>
      </c>
      <c r="P7" s="42" t="s">
        <v>4161</v>
      </c>
      <c r="Q7" s="38">
        <v>76668427</v>
      </c>
      <c r="R7" s="38" t="s">
        <v>1345</v>
      </c>
      <c r="S7" s="38">
        <v>7</v>
      </c>
      <c r="T7" s="42" t="s">
        <v>1346</v>
      </c>
      <c r="U7" s="38">
        <v>2012</v>
      </c>
      <c r="V7" s="42" t="s">
        <v>4162</v>
      </c>
      <c r="W7" s="42" t="s">
        <v>3708</v>
      </c>
      <c r="X7" s="38" t="s">
        <v>1349</v>
      </c>
      <c r="Y7" s="38"/>
      <c r="Z7" s="38"/>
      <c r="AA7" s="38">
        <v>30</v>
      </c>
      <c r="AB7" s="38" t="s">
        <v>1345</v>
      </c>
      <c r="AC7" s="38">
        <v>5</v>
      </c>
      <c r="AD7" s="38" t="s">
        <v>1345</v>
      </c>
      <c r="AE7" s="38" t="s">
        <v>1345</v>
      </c>
      <c r="AF7" s="38" t="s">
        <v>1349</v>
      </c>
      <c r="AG7" s="38" t="s">
        <v>1349</v>
      </c>
      <c r="AH7" s="42" t="s">
        <v>1358</v>
      </c>
      <c r="AI7" s="38">
        <v>2012</v>
      </c>
      <c r="AJ7" s="38" t="s">
        <v>1349</v>
      </c>
      <c r="AK7" s="87" t="s">
        <v>4199</v>
      </c>
      <c r="AL7" s="87" t="s">
        <v>1612</v>
      </c>
      <c r="AM7" s="23" t="s">
        <v>1612</v>
      </c>
      <c r="AN7" s="38" t="s">
        <v>1550</v>
      </c>
      <c r="AO7" s="38" t="s">
        <v>1550</v>
      </c>
      <c r="AP7" s="38" t="s">
        <v>1550</v>
      </c>
      <c r="AQ7" s="87" t="s">
        <v>1352</v>
      </c>
      <c r="AR7" s="88" t="s">
        <v>1550</v>
      </c>
      <c r="AS7" s="42" t="s">
        <v>1550</v>
      </c>
      <c r="AT7" s="42" t="s">
        <v>1804</v>
      </c>
      <c r="AU7" s="42"/>
      <c r="AV7" s="42">
        <v>1000</v>
      </c>
      <c r="AW7" s="38" t="s">
        <v>3659</v>
      </c>
      <c r="AX7" s="42" t="s">
        <v>3709</v>
      </c>
      <c r="AY7" s="38" t="s">
        <v>1349</v>
      </c>
      <c r="AZ7" s="42" t="s">
        <v>4163</v>
      </c>
      <c r="BA7" s="42" t="s">
        <v>2618</v>
      </c>
      <c r="BB7" s="42" t="s">
        <v>1358</v>
      </c>
      <c r="BC7" s="42" t="s">
        <v>1358</v>
      </c>
      <c r="BD7" s="42" t="s">
        <v>1358</v>
      </c>
      <c r="BE7" s="42" t="s">
        <v>1810</v>
      </c>
      <c r="BF7" s="42"/>
      <c r="BG7" s="42"/>
      <c r="BH7" s="42">
        <v>7</v>
      </c>
      <c r="BI7" s="42">
        <v>7</v>
      </c>
      <c r="BJ7" s="42">
        <v>12</v>
      </c>
      <c r="BK7" s="42" t="s">
        <v>4164</v>
      </c>
      <c r="BL7" s="42" t="s">
        <v>4164</v>
      </c>
      <c r="BM7" s="42" t="s">
        <v>4164</v>
      </c>
      <c r="BN7" s="38" t="s">
        <v>1349</v>
      </c>
      <c r="BO7" s="42"/>
      <c r="BP7" s="42"/>
      <c r="BQ7" s="38" t="s">
        <v>1345</v>
      </c>
      <c r="BR7" s="38" t="s">
        <v>1345</v>
      </c>
      <c r="BS7" s="42" t="s">
        <v>1358</v>
      </c>
      <c r="BT7" s="38" t="s">
        <v>1383</v>
      </c>
      <c r="BU7" s="42" t="s">
        <v>4165</v>
      </c>
      <c r="BV7" s="38" t="s">
        <v>1349</v>
      </c>
      <c r="BW7" s="42"/>
      <c r="BX7" s="38" t="s">
        <v>1345</v>
      </c>
      <c r="BY7" s="42" t="s">
        <v>1362</v>
      </c>
      <c r="BZ7" s="38" t="s">
        <v>3600</v>
      </c>
      <c r="CA7" s="38" t="s">
        <v>4166</v>
      </c>
      <c r="CB7" s="42" t="s">
        <v>1935</v>
      </c>
      <c r="CC7" s="42" t="s">
        <v>1935</v>
      </c>
      <c r="CD7" s="38" t="s">
        <v>1935</v>
      </c>
      <c r="CE7" s="42">
        <v>3600</v>
      </c>
      <c r="CF7" s="42">
        <v>1800</v>
      </c>
      <c r="CG7" s="42">
        <v>7200</v>
      </c>
      <c r="CH7" s="42" t="s">
        <v>1935</v>
      </c>
      <c r="CI7" s="42" t="s">
        <v>1935</v>
      </c>
      <c r="CJ7" s="42" t="s">
        <v>1935</v>
      </c>
      <c r="CK7" s="42" t="s">
        <v>1904</v>
      </c>
      <c r="CL7" s="42" t="s">
        <v>1904</v>
      </c>
      <c r="CM7" s="42" t="s">
        <v>1904</v>
      </c>
      <c r="CN7" s="42" t="s">
        <v>1904</v>
      </c>
      <c r="CO7" s="42" t="s">
        <v>3451</v>
      </c>
      <c r="CP7" s="42"/>
      <c r="CQ7" s="42"/>
      <c r="CR7" s="42"/>
      <c r="CS7" s="42"/>
      <c r="CT7" s="42"/>
      <c r="CU7" s="38"/>
      <c r="CV7" s="42"/>
      <c r="CW7" s="38" t="s">
        <v>1345</v>
      </c>
      <c r="CX7" s="42" t="s">
        <v>1904</v>
      </c>
      <c r="CY7" s="42"/>
      <c r="CZ7" s="42" t="s">
        <v>3750</v>
      </c>
      <c r="DA7" s="42" t="s">
        <v>3751</v>
      </c>
      <c r="DB7" s="42" t="s">
        <v>1808</v>
      </c>
      <c r="DC7" s="42" t="s">
        <v>2204</v>
      </c>
      <c r="DD7" s="42" t="s">
        <v>4167</v>
      </c>
      <c r="DE7" s="42" t="s">
        <v>4168</v>
      </c>
      <c r="DF7" s="42" t="s">
        <v>4169</v>
      </c>
      <c r="DG7" s="42" t="s">
        <v>4170</v>
      </c>
      <c r="DH7" s="42" t="s">
        <v>4171</v>
      </c>
      <c r="DI7" s="42" t="s">
        <v>3384</v>
      </c>
      <c r="DJ7" s="42" t="s">
        <v>1978</v>
      </c>
      <c r="DK7" s="42" t="s">
        <v>3384</v>
      </c>
      <c r="DL7" s="42" t="s">
        <v>4172</v>
      </c>
      <c r="DM7" s="42" t="s">
        <v>3384</v>
      </c>
      <c r="DN7" s="38" t="s">
        <v>1349</v>
      </c>
      <c r="DO7" s="42" t="s">
        <v>1358</v>
      </c>
      <c r="DP7" s="38" t="s">
        <v>1349</v>
      </c>
      <c r="DQ7" s="42" t="s">
        <v>1358</v>
      </c>
      <c r="DR7" s="38" t="s">
        <v>1349</v>
      </c>
      <c r="DS7" s="42"/>
      <c r="DT7" s="42"/>
      <c r="DU7" s="42"/>
      <c r="DV7" s="38" t="s">
        <v>1345</v>
      </c>
      <c r="DW7" s="42" t="s">
        <v>4173</v>
      </c>
      <c r="DX7" s="38" t="s">
        <v>1345</v>
      </c>
      <c r="DY7" s="38" t="s">
        <v>1349</v>
      </c>
      <c r="DZ7" s="42" t="s">
        <v>3721</v>
      </c>
      <c r="EA7" s="38" t="s">
        <v>1345</v>
      </c>
      <c r="EB7" s="38" t="s">
        <v>1345</v>
      </c>
      <c r="EC7" s="38" t="s">
        <v>1345</v>
      </c>
      <c r="ED7" s="42" t="s">
        <v>4174</v>
      </c>
      <c r="EE7" s="43">
        <v>0.4</v>
      </c>
      <c r="EF7" s="42" t="s">
        <v>3580</v>
      </c>
      <c r="EG7" s="38" t="s">
        <v>1349</v>
      </c>
      <c r="EH7" s="42"/>
      <c r="EI7" s="38" t="s">
        <v>3611</v>
      </c>
      <c r="EJ7" s="38" t="s">
        <v>3582</v>
      </c>
      <c r="EK7" s="42" t="s">
        <v>3739</v>
      </c>
      <c r="EL7" s="38" t="s">
        <v>1389</v>
      </c>
      <c r="EM7" s="38">
        <v>3</v>
      </c>
      <c r="EN7" s="42" t="s">
        <v>4175</v>
      </c>
      <c r="EO7" s="38">
        <v>1</v>
      </c>
      <c r="EP7" s="42" t="s">
        <v>3451</v>
      </c>
      <c r="EQ7" s="38">
        <v>2</v>
      </c>
      <c r="ER7" s="42" t="s">
        <v>4176</v>
      </c>
      <c r="ES7" s="38">
        <v>5</v>
      </c>
      <c r="ET7" s="42" t="s">
        <v>4177</v>
      </c>
      <c r="EU7" s="38">
        <v>5</v>
      </c>
      <c r="EV7" s="42" t="s">
        <v>4178</v>
      </c>
      <c r="EW7" s="38">
        <v>2</v>
      </c>
      <c r="EX7" s="42" t="s">
        <v>4179</v>
      </c>
      <c r="EY7" s="38">
        <v>1</v>
      </c>
      <c r="EZ7" s="42" t="s">
        <v>4180</v>
      </c>
      <c r="FA7" s="22"/>
    </row>
    <row r="8" spans="1:157">
      <c r="A8" s="17">
        <v>552</v>
      </c>
      <c r="B8" s="22">
        <v>67</v>
      </c>
      <c r="C8" s="38" t="s">
        <v>1795</v>
      </c>
      <c r="D8" s="39">
        <v>43775</v>
      </c>
      <c r="E8" s="38" t="s">
        <v>4307</v>
      </c>
      <c r="F8" s="38" t="s">
        <v>1728</v>
      </c>
      <c r="G8" s="38" t="s">
        <v>3856</v>
      </c>
      <c r="H8" s="38" t="s">
        <v>1075</v>
      </c>
      <c r="I8" s="38" t="s">
        <v>1071</v>
      </c>
      <c r="J8" s="23" t="s">
        <v>3856</v>
      </c>
      <c r="K8" s="38" t="s">
        <v>4304</v>
      </c>
      <c r="L8" s="42">
        <v>20</v>
      </c>
      <c r="M8" s="42" t="s">
        <v>3395</v>
      </c>
      <c r="N8" s="42" t="s">
        <v>1343</v>
      </c>
      <c r="O8" s="42" t="s">
        <v>4223</v>
      </c>
      <c r="P8" s="42" t="s">
        <v>913</v>
      </c>
      <c r="Q8" s="38">
        <v>75075643</v>
      </c>
      <c r="R8" s="51" t="s">
        <v>1345</v>
      </c>
      <c r="S8" s="38">
        <v>7</v>
      </c>
      <c r="T8" s="42" t="s">
        <v>1346</v>
      </c>
      <c r="U8" s="38">
        <v>2010</v>
      </c>
      <c r="V8" s="42" t="s">
        <v>4296</v>
      </c>
      <c r="W8" s="42" t="s">
        <v>4297</v>
      </c>
      <c r="X8" s="38" t="s">
        <v>1349</v>
      </c>
      <c r="Y8" s="38"/>
      <c r="Z8" s="38"/>
      <c r="AA8" s="38">
        <v>10</v>
      </c>
      <c r="AB8" s="38" t="s">
        <v>1345</v>
      </c>
      <c r="AC8" s="38">
        <v>2</v>
      </c>
      <c r="AD8" s="38" t="s">
        <v>1345</v>
      </c>
      <c r="AE8" s="38" t="s">
        <v>1349</v>
      </c>
      <c r="AF8" s="38" t="s">
        <v>1349</v>
      </c>
      <c r="AG8" s="38" t="s">
        <v>1349</v>
      </c>
      <c r="AH8" s="42" t="s">
        <v>1366</v>
      </c>
      <c r="AI8" s="38" t="s">
        <v>3384</v>
      </c>
      <c r="AJ8" s="38" t="s">
        <v>1349</v>
      </c>
      <c r="AK8" s="87" t="s">
        <v>4199</v>
      </c>
      <c r="AL8" s="87" t="s">
        <v>1612</v>
      </c>
      <c r="AM8" s="23" t="s">
        <v>1612</v>
      </c>
      <c r="AN8" s="38" t="s">
        <v>1550</v>
      </c>
      <c r="AO8" s="38" t="s">
        <v>1550</v>
      </c>
      <c r="AP8" s="38" t="s">
        <v>1550</v>
      </c>
      <c r="AQ8" s="87" t="s">
        <v>1352</v>
      </c>
      <c r="AR8" s="88" t="s">
        <v>3451</v>
      </c>
      <c r="AS8" s="42" t="s">
        <v>1550</v>
      </c>
      <c r="AT8" s="42" t="s">
        <v>1804</v>
      </c>
      <c r="AU8" s="42"/>
      <c r="AV8" s="42">
        <v>1000</v>
      </c>
      <c r="AW8" s="42" t="s">
        <v>4308</v>
      </c>
      <c r="AX8" s="42" t="s">
        <v>4309</v>
      </c>
      <c r="AY8" s="38" t="s">
        <v>1349</v>
      </c>
      <c r="AZ8" s="42" t="s">
        <v>4310</v>
      </c>
      <c r="BA8" s="42" t="s">
        <v>4311</v>
      </c>
      <c r="BB8" s="42" t="s">
        <v>1358</v>
      </c>
      <c r="BC8" s="42" t="s">
        <v>1358</v>
      </c>
      <c r="BD8" s="42" t="s">
        <v>1358</v>
      </c>
      <c r="BE8" s="55" t="s">
        <v>4304</v>
      </c>
      <c r="BF8" s="42"/>
      <c r="BG8" s="42"/>
      <c r="BH8" s="42">
        <v>7</v>
      </c>
      <c r="BI8" s="42">
        <v>7</v>
      </c>
      <c r="BJ8" s="42">
        <v>9</v>
      </c>
      <c r="BK8" s="42" t="s">
        <v>4164</v>
      </c>
      <c r="BL8" s="42" t="s">
        <v>4164</v>
      </c>
      <c r="BM8" s="42" t="s">
        <v>4164</v>
      </c>
      <c r="BN8" s="38" t="s">
        <v>1349</v>
      </c>
      <c r="BO8" s="42"/>
      <c r="BP8" s="42"/>
      <c r="BQ8" s="38" t="s">
        <v>1345</v>
      </c>
      <c r="BR8" s="38" t="s">
        <v>1345</v>
      </c>
      <c r="BS8" s="42" t="s">
        <v>1358</v>
      </c>
      <c r="BT8" s="38" t="s">
        <v>1345</v>
      </c>
      <c r="BU8" s="42" t="s">
        <v>4165</v>
      </c>
      <c r="BV8" s="38" t="s">
        <v>1349</v>
      </c>
      <c r="BW8" s="42"/>
      <c r="BX8" s="38" t="s">
        <v>1345</v>
      </c>
      <c r="BY8" s="42" t="s">
        <v>1362</v>
      </c>
      <c r="BZ8" s="38" t="s">
        <v>4261</v>
      </c>
      <c r="CA8" s="38" t="s">
        <v>4300</v>
      </c>
      <c r="CB8" s="42" t="s">
        <v>1935</v>
      </c>
      <c r="CC8" s="42" t="s">
        <v>1935</v>
      </c>
      <c r="CD8" s="38" t="s">
        <v>1935</v>
      </c>
      <c r="CE8" s="42" t="s">
        <v>1904</v>
      </c>
      <c r="CF8" s="42">
        <v>30000</v>
      </c>
      <c r="CG8" s="42">
        <v>30000</v>
      </c>
      <c r="CH8" s="42" t="s">
        <v>1935</v>
      </c>
      <c r="CI8" s="42" t="s">
        <v>1935</v>
      </c>
      <c r="CJ8" s="42" t="s">
        <v>1935</v>
      </c>
      <c r="CK8" s="43">
        <v>0.2</v>
      </c>
      <c r="CL8" s="43">
        <v>0.2</v>
      </c>
      <c r="CM8" s="43">
        <v>0.8</v>
      </c>
      <c r="CN8" s="43">
        <v>0.8</v>
      </c>
      <c r="CO8" s="42" t="s">
        <v>3451</v>
      </c>
      <c r="CP8" s="42"/>
      <c r="CQ8" s="42"/>
      <c r="CR8" s="42"/>
      <c r="CS8" s="42"/>
      <c r="CT8" s="42"/>
      <c r="CU8" s="38"/>
      <c r="CV8" s="42"/>
      <c r="CW8" s="38" t="s">
        <v>1345</v>
      </c>
      <c r="CX8" s="42" t="s">
        <v>4301</v>
      </c>
      <c r="CY8" s="42"/>
      <c r="CZ8" s="42" t="s">
        <v>3750</v>
      </c>
      <c r="DA8" s="42" t="s">
        <v>4276</v>
      </c>
      <c r="DB8" s="42">
        <v>3</v>
      </c>
      <c r="DC8" s="55" t="s">
        <v>3571</v>
      </c>
      <c r="DD8" s="55" t="s">
        <v>4167</v>
      </c>
      <c r="DE8" s="55" t="s">
        <v>4291</v>
      </c>
      <c r="DF8" s="55" t="s">
        <v>4169</v>
      </c>
      <c r="DG8" s="55" t="s">
        <v>4292</v>
      </c>
      <c r="DH8" s="42" t="s">
        <v>1978</v>
      </c>
      <c r="DI8" s="42" t="s">
        <v>3384</v>
      </c>
      <c r="DJ8" s="42" t="s">
        <v>3384</v>
      </c>
      <c r="DK8" s="42" t="s">
        <v>3384</v>
      </c>
      <c r="DL8" s="51" t="s">
        <v>4172</v>
      </c>
      <c r="DM8" s="51" t="s">
        <v>3384</v>
      </c>
      <c r="DN8" s="51" t="s">
        <v>1349</v>
      </c>
      <c r="DO8" s="51" t="s">
        <v>1358</v>
      </c>
      <c r="DP8" s="42" t="s">
        <v>1358</v>
      </c>
      <c r="DQ8" s="38" t="s">
        <v>1349</v>
      </c>
      <c r="DR8" s="38" t="s">
        <v>1349</v>
      </c>
      <c r="DS8" s="42"/>
      <c r="DT8" s="42"/>
      <c r="DU8" s="42"/>
      <c r="DV8" s="38" t="s">
        <v>1345</v>
      </c>
      <c r="DW8" s="42" t="s">
        <v>4263</v>
      </c>
      <c r="DX8" s="38" t="s">
        <v>1345</v>
      </c>
      <c r="DY8" s="38" t="s">
        <v>1349</v>
      </c>
      <c r="DZ8" s="42" t="s">
        <v>4264</v>
      </c>
      <c r="EA8" s="38" t="s">
        <v>1345</v>
      </c>
      <c r="EB8" s="38" t="s">
        <v>1345</v>
      </c>
      <c r="EC8" s="38" t="s">
        <v>1345</v>
      </c>
      <c r="ED8" s="42" t="s">
        <v>4312</v>
      </c>
      <c r="EE8" s="43">
        <v>0.1</v>
      </c>
      <c r="EF8" s="42" t="s">
        <v>3580</v>
      </c>
      <c r="EG8" s="38" t="s">
        <v>1349</v>
      </c>
      <c r="EH8" s="42"/>
      <c r="EI8" s="42" t="s">
        <v>4302</v>
      </c>
      <c r="EJ8" s="42" t="s">
        <v>4267</v>
      </c>
      <c r="EK8" s="42" t="s">
        <v>4303</v>
      </c>
      <c r="EL8" s="38" t="s">
        <v>1389</v>
      </c>
      <c r="EM8" s="38">
        <v>3</v>
      </c>
      <c r="EN8" s="42" t="s">
        <v>4293</v>
      </c>
      <c r="EO8" s="38">
        <v>1</v>
      </c>
      <c r="EP8" s="42" t="s">
        <v>3451</v>
      </c>
      <c r="EQ8" s="38">
        <v>2</v>
      </c>
      <c r="ER8" s="42" t="s">
        <v>4176</v>
      </c>
      <c r="ES8" s="38">
        <v>5</v>
      </c>
      <c r="ET8" s="42" t="s">
        <v>4177</v>
      </c>
      <c r="EU8" s="38">
        <v>5</v>
      </c>
      <c r="EV8" s="42" t="s">
        <v>4178</v>
      </c>
      <c r="EW8" s="38">
        <v>2</v>
      </c>
      <c r="EX8" s="42" t="s">
        <v>4179</v>
      </c>
      <c r="EY8" s="38">
        <v>1</v>
      </c>
      <c r="EZ8" s="42" t="s">
        <v>4269</v>
      </c>
      <c r="FA8" s="22"/>
    </row>
    <row r="9" spans="1:157">
      <c r="A9" s="17">
        <v>553</v>
      </c>
      <c r="B9" s="22">
        <v>62</v>
      </c>
      <c r="C9" s="51" t="s">
        <v>1795</v>
      </c>
      <c r="D9" s="52">
        <v>43772</v>
      </c>
      <c r="E9" s="51" t="s">
        <v>4278</v>
      </c>
      <c r="F9" s="51" t="s">
        <v>1728</v>
      </c>
      <c r="G9" s="51" t="s">
        <v>3856</v>
      </c>
      <c r="H9" s="51" t="s">
        <v>1075</v>
      </c>
      <c r="I9" s="51" t="s">
        <v>1071</v>
      </c>
      <c r="J9" s="23" t="s">
        <v>3856</v>
      </c>
      <c r="K9" s="51" t="s">
        <v>4182</v>
      </c>
      <c r="L9" s="51">
        <v>10</v>
      </c>
      <c r="M9" s="51" t="s">
        <v>3360</v>
      </c>
      <c r="N9" s="51" t="s">
        <v>1343</v>
      </c>
      <c r="O9" s="51" t="s">
        <v>4223</v>
      </c>
      <c r="P9" s="51" t="s">
        <v>4279</v>
      </c>
      <c r="Q9" s="51">
        <v>75946108</v>
      </c>
      <c r="R9" s="51" t="s">
        <v>1345</v>
      </c>
      <c r="S9" s="51">
        <v>7</v>
      </c>
      <c r="T9" s="51" t="s">
        <v>1346</v>
      </c>
      <c r="U9" s="51">
        <v>2010</v>
      </c>
      <c r="V9" s="51" t="s">
        <v>4272</v>
      </c>
      <c r="W9" s="51" t="s">
        <v>4273</v>
      </c>
      <c r="X9" s="51" t="s">
        <v>1349</v>
      </c>
      <c r="Y9" s="51"/>
      <c r="Z9" s="51"/>
      <c r="AA9" s="51">
        <v>10</v>
      </c>
      <c r="AB9" s="51" t="s">
        <v>1345</v>
      </c>
      <c r="AC9" s="51">
        <v>1</v>
      </c>
      <c r="AD9" s="51" t="s">
        <v>1345</v>
      </c>
      <c r="AE9" s="51" t="s">
        <v>1349</v>
      </c>
      <c r="AF9" s="51" t="s">
        <v>1349</v>
      </c>
      <c r="AG9" s="51" t="s">
        <v>1349</v>
      </c>
      <c r="AH9" s="51" t="s">
        <v>1366</v>
      </c>
      <c r="AI9" s="51" t="s">
        <v>3384</v>
      </c>
      <c r="AJ9" s="51" t="s">
        <v>1349</v>
      </c>
      <c r="AK9" s="89" t="s">
        <v>4199</v>
      </c>
      <c r="AL9" s="87" t="s">
        <v>1612</v>
      </c>
      <c r="AM9" s="23" t="s">
        <v>1612</v>
      </c>
      <c r="AN9" s="51" t="s">
        <v>1550</v>
      </c>
      <c r="AO9" s="51" t="s">
        <v>1550</v>
      </c>
      <c r="AP9" s="51" t="s">
        <v>1550</v>
      </c>
      <c r="AQ9" s="89" t="s">
        <v>1352</v>
      </c>
      <c r="AR9" s="90" t="s">
        <v>3451</v>
      </c>
      <c r="AS9" s="51" t="s">
        <v>1550</v>
      </c>
      <c r="AT9" s="51" t="s">
        <v>1804</v>
      </c>
      <c r="AU9" s="51"/>
      <c r="AV9" s="42">
        <v>1000</v>
      </c>
      <c r="AW9" s="51" t="s">
        <v>4256</v>
      </c>
      <c r="AX9" s="51" t="s">
        <v>4257</v>
      </c>
      <c r="AY9" s="51" t="s">
        <v>1349</v>
      </c>
      <c r="AZ9" s="51" t="s">
        <v>4258</v>
      </c>
      <c r="BA9" s="51" t="s">
        <v>4280</v>
      </c>
      <c r="BB9" s="51" t="s">
        <v>1358</v>
      </c>
      <c r="BC9" s="51" t="s">
        <v>1358</v>
      </c>
      <c r="BD9" s="51" t="s">
        <v>1358</v>
      </c>
      <c r="BE9" s="51" t="s">
        <v>4260</v>
      </c>
      <c r="BF9" s="51"/>
      <c r="BG9" s="51"/>
      <c r="BH9" s="51">
        <v>1</v>
      </c>
      <c r="BI9" s="51">
        <v>1.5</v>
      </c>
      <c r="BJ9" s="51">
        <v>2</v>
      </c>
      <c r="BK9" s="51" t="s">
        <v>4164</v>
      </c>
      <c r="BL9" s="51" t="s">
        <v>4164</v>
      </c>
      <c r="BM9" s="51" t="s">
        <v>4164</v>
      </c>
      <c r="BN9" s="51" t="s">
        <v>1349</v>
      </c>
      <c r="BO9" s="51"/>
      <c r="BP9" s="51"/>
      <c r="BQ9" s="51" t="s">
        <v>1345</v>
      </c>
      <c r="BR9" s="51" t="s">
        <v>1345</v>
      </c>
      <c r="BS9" s="51" t="s">
        <v>1358</v>
      </c>
      <c r="BT9" s="51" t="s">
        <v>1345</v>
      </c>
      <c r="BU9" s="51" t="s">
        <v>4165</v>
      </c>
      <c r="BV9" s="51" t="s">
        <v>1349</v>
      </c>
      <c r="BW9" s="51"/>
      <c r="BX9" s="51" t="s">
        <v>1345</v>
      </c>
      <c r="BY9" s="51" t="s">
        <v>1362</v>
      </c>
      <c r="BZ9" s="51" t="s">
        <v>4261</v>
      </c>
      <c r="CA9" s="51" t="s">
        <v>4182</v>
      </c>
      <c r="CB9" s="51" t="s">
        <v>1935</v>
      </c>
      <c r="CC9" s="51" t="s">
        <v>1935</v>
      </c>
      <c r="CD9" s="51" t="s">
        <v>1935</v>
      </c>
      <c r="CE9" s="51" t="s">
        <v>1904</v>
      </c>
      <c r="CF9" s="51">
        <v>36000</v>
      </c>
      <c r="CG9" s="51">
        <v>35000</v>
      </c>
      <c r="CH9" s="51" t="s">
        <v>1935</v>
      </c>
      <c r="CI9" s="51" t="s">
        <v>1935</v>
      </c>
      <c r="CJ9" s="51" t="s">
        <v>1935</v>
      </c>
      <c r="CK9" s="53">
        <v>0.1</v>
      </c>
      <c r="CL9" s="53">
        <v>0.1</v>
      </c>
      <c r="CM9" s="53">
        <v>0.9</v>
      </c>
      <c r="CN9" s="53">
        <v>0.9</v>
      </c>
      <c r="CO9" s="51" t="s">
        <v>3451</v>
      </c>
      <c r="CP9" s="51"/>
      <c r="CQ9" s="51"/>
      <c r="CR9" s="51"/>
      <c r="CS9" s="51"/>
      <c r="CT9" s="51"/>
      <c r="CU9" s="51"/>
      <c r="CV9" s="51"/>
      <c r="CW9" s="51" t="s">
        <v>1345</v>
      </c>
      <c r="CX9" s="51" t="s">
        <v>1808</v>
      </c>
      <c r="CY9" s="51" t="s">
        <v>1808</v>
      </c>
      <c r="CZ9" s="51" t="s">
        <v>3750</v>
      </c>
      <c r="DA9" s="51" t="s">
        <v>4276</v>
      </c>
      <c r="DB9" s="51" t="s">
        <v>1808</v>
      </c>
      <c r="DC9" s="51" t="s">
        <v>2204</v>
      </c>
      <c r="DD9" s="51" t="s">
        <v>4167</v>
      </c>
      <c r="DE9" s="51" t="s">
        <v>4168</v>
      </c>
      <c r="DF9" s="51" t="s">
        <v>4169</v>
      </c>
      <c r="DG9" s="51" t="s">
        <v>4170</v>
      </c>
      <c r="DH9" s="51" t="s">
        <v>4171</v>
      </c>
      <c r="DI9" s="51" t="s">
        <v>1978</v>
      </c>
      <c r="DJ9" s="51" t="s">
        <v>1978</v>
      </c>
      <c r="DK9" s="51" t="s">
        <v>3384</v>
      </c>
      <c r="DL9" s="51" t="s">
        <v>4172</v>
      </c>
      <c r="DM9" s="51" t="s">
        <v>3384</v>
      </c>
      <c r="DN9" s="51" t="s">
        <v>1349</v>
      </c>
      <c r="DO9" s="51" t="s">
        <v>1358</v>
      </c>
      <c r="DP9" s="51" t="s">
        <v>1358</v>
      </c>
      <c r="DQ9" s="51" t="s">
        <v>1349</v>
      </c>
      <c r="DR9" s="51" t="s">
        <v>1349</v>
      </c>
      <c r="DS9" s="51"/>
      <c r="DT9" s="51"/>
      <c r="DU9" s="51"/>
      <c r="DV9" s="51" t="s">
        <v>1345</v>
      </c>
      <c r="DW9" s="51" t="s">
        <v>4263</v>
      </c>
      <c r="DX9" s="51" t="s">
        <v>1345</v>
      </c>
      <c r="DY9" s="51" t="s">
        <v>1349</v>
      </c>
      <c r="DZ9" s="51" t="s">
        <v>4264</v>
      </c>
      <c r="EA9" s="51" t="s">
        <v>1345</v>
      </c>
      <c r="EB9" s="51" t="s">
        <v>1345</v>
      </c>
      <c r="EC9" s="51" t="s">
        <v>1345</v>
      </c>
      <c r="ED9" s="51" t="s">
        <v>4265</v>
      </c>
      <c r="EE9" s="53">
        <v>0.25</v>
      </c>
      <c r="EF9" s="51" t="s">
        <v>3580</v>
      </c>
      <c r="EG9" s="51" t="s">
        <v>1349</v>
      </c>
      <c r="EH9" s="51"/>
      <c r="EI9" s="51" t="s">
        <v>4281</v>
      </c>
      <c r="EJ9" s="51" t="s">
        <v>4267</v>
      </c>
      <c r="EK9" s="51" t="s">
        <v>3613</v>
      </c>
      <c r="EL9" s="51" t="s">
        <v>1389</v>
      </c>
      <c r="EM9" s="51">
        <v>4</v>
      </c>
      <c r="EN9" s="51" t="s">
        <v>4268</v>
      </c>
      <c r="EO9" s="51">
        <v>1</v>
      </c>
      <c r="EP9" s="51" t="s">
        <v>3451</v>
      </c>
      <c r="EQ9" s="51">
        <v>2</v>
      </c>
      <c r="ER9" s="51" t="s">
        <v>4176</v>
      </c>
      <c r="ES9" s="51">
        <v>5</v>
      </c>
      <c r="ET9" s="51" t="s">
        <v>4177</v>
      </c>
      <c r="EU9" s="51">
        <v>5</v>
      </c>
      <c r="EV9" s="51" t="s">
        <v>4178</v>
      </c>
      <c r="EW9" s="51">
        <v>2</v>
      </c>
      <c r="EX9" s="51" t="s">
        <v>4179</v>
      </c>
      <c r="EY9" s="51">
        <v>1</v>
      </c>
      <c r="EZ9" s="51" t="s">
        <v>4269</v>
      </c>
      <c r="FA9" s="22"/>
    </row>
    <row r="10" spans="1:157">
      <c r="A10" s="17">
        <v>554</v>
      </c>
      <c r="B10" s="22">
        <v>54</v>
      </c>
      <c r="C10" s="38" t="s">
        <v>1795</v>
      </c>
      <c r="D10" s="39">
        <v>43769</v>
      </c>
      <c r="E10" s="38" t="s">
        <v>2159</v>
      </c>
      <c r="F10" s="40" t="s">
        <v>1728</v>
      </c>
      <c r="G10" s="40" t="s">
        <v>3856</v>
      </c>
      <c r="H10" s="38" t="s">
        <v>4158</v>
      </c>
      <c r="I10" s="38" t="s">
        <v>1071</v>
      </c>
      <c r="J10" s="23" t="s">
        <v>3856</v>
      </c>
      <c r="K10" s="38" t="s">
        <v>4221</v>
      </c>
      <c r="L10" s="42">
        <v>3</v>
      </c>
      <c r="M10" s="42" t="s">
        <v>4222</v>
      </c>
      <c r="N10" s="42" t="s">
        <v>1343</v>
      </c>
      <c r="O10" s="42" t="s">
        <v>4223</v>
      </c>
      <c r="P10" s="42" t="s">
        <v>2160</v>
      </c>
      <c r="Q10" s="38">
        <v>75671813</v>
      </c>
      <c r="R10" s="38" t="s">
        <v>1345</v>
      </c>
      <c r="S10" s="38">
        <v>7</v>
      </c>
      <c r="T10" s="42" t="s">
        <v>1346</v>
      </c>
      <c r="U10" s="38">
        <v>2009</v>
      </c>
      <c r="V10" s="42" t="s">
        <v>4224</v>
      </c>
      <c r="W10" s="42" t="s">
        <v>3729</v>
      </c>
      <c r="X10" s="38" t="s">
        <v>1349</v>
      </c>
      <c r="Y10" s="38"/>
      <c r="Z10" s="38"/>
      <c r="AA10" s="38">
        <v>9</v>
      </c>
      <c r="AB10" s="38" t="s">
        <v>1345</v>
      </c>
      <c r="AC10" s="38">
        <v>3</v>
      </c>
      <c r="AD10" s="38" t="s">
        <v>1345</v>
      </c>
      <c r="AE10" s="38" t="s">
        <v>1349</v>
      </c>
      <c r="AF10" s="38" t="s">
        <v>1349</v>
      </c>
      <c r="AG10" s="38" t="s">
        <v>1349</v>
      </c>
      <c r="AH10" s="42" t="s">
        <v>1358</v>
      </c>
      <c r="AI10" s="38" t="s">
        <v>3384</v>
      </c>
      <c r="AJ10" s="38" t="s">
        <v>1349</v>
      </c>
      <c r="AK10" s="87" t="s">
        <v>4199</v>
      </c>
      <c r="AL10" s="87" t="s">
        <v>1612</v>
      </c>
      <c r="AM10" s="23" t="s">
        <v>1612</v>
      </c>
      <c r="AN10" s="38" t="s">
        <v>1550</v>
      </c>
      <c r="AO10" s="38" t="s">
        <v>1550</v>
      </c>
      <c r="AP10" s="38" t="s">
        <v>1550</v>
      </c>
      <c r="AQ10" s="87" t="s">
        <v>1352</v>
      </c>
      <c r="AR10" s="88" t="s">
        <v>3451</v>
      </c>
      <c r="AS10" s="42" t="s">
        <v>1550</v>
      </c>
      <c r="AT10" s="42" t="s">
        <v>1804</v>
      </c>
      <c r="AU10" s="42" t="s">
        <v>2727</v>
      </c>
      <c r="AV10" s="42"/>
      <c r="AW10" s="42" t="s">
        <v>4225</v>
      </c>
      <c r="AX10" s="42" t="s">
        <v>3709</v>
      </c>
      <c r="AY10" s="38" t="s">
        <v>1349</v>
      </c>
      <c r="AZ10" s="42" t="s">
        <v>4226</v>
      </c>
      <c r="BA10" s="42" t="s">
        <v>4227</v>
      </c>
      <c r="BB10" s="42" t="s">
        <v>1358</v>
      </c>
      <c r="BC10" s="42" t="s">
        <v>1358</v>
      </c>
      <c r="BD10" s="42" t="s">
        <v>1358</v>
      </c>
      <c r="BE10" s="42" t="s">
        <v>1810</v>
      </c>
      <c r="BF10" s="42"/>
      <c r="BG10" s="42"/>
      <c r="BH10" s="42">
        <v>3</v>
      </c>
      <c r="BI10" s="42">
        <v>3</v>
      </c>
      <c r="BJ10" s="42">
        <v>10</v>
      </c>
      <c r="BK10" s="42" t="s">
        <v>4164</v>
      </c>
      <c r="BL10" s="42" t="s">
        <v>4164</v>
      </c>
      <c r="BM10" s="42" t="s">
        <v>4164</v>
      </c>
      <c r="BN10" s="38" t="s">
        <v>1349</v>
      </c>
      <c r="BO10" s="42"/>
      <c r="BP10" s="42"/>
      <c r="BQ10" s="38" t="s">
        <v>1345</v>
      </c>
      <c r="BR10" s="38" t="s">
        <v>1345</v>
      </c>
      <c r="BS10" s="42" t="s">
        <v>1358</v>
      </c>
      <c r="BT10" s="38" t="s">
        <v>1383</v>
      </c>
      <c r="BU10" s="42" t="s">
        <v>4165</v>
      </c>
      <c r="BV10" s="38" t="s">
        <v>1349</v>
      </c>
      <c r="BW10" s="42"/>
      <c r="BX10" s="38" t="s">
        <v>1345</v>
      </c>
      <c r="BY10" s="42" t="s">
        <v>1362</v>
      </c>
      <c r="BZ10" s="38" t="s">
        <v>3600</v>
      </c>
      <c r="CA10" s="38" t="s">
        <v>4228</v>
      </c>
      <c r="CB10" s="42" t="s">
        <v>1935</v>
      </c>
      <c r="CC10" s="42" t="s">
        <v>1935</v>
      </c>
      <c r="CD10" s="38" t="s">
        <v>1935</v>
      </c>
      <c r="CE10" s="42">
        <v>36720</v>
      </c>
      <c r="CF10" s="42">
        <v>36840</v>
      </c>
      <c r="CG10" s="42">
        <v>29700</v>
      </c>
      <c r="CH10" s="42" t="s">
        <v>1935</v>
      </c>
      <c r="CI10" s="42" t="s">
        <v>1935</v>
      </c>
      <c r="CJ10" s="42" t="s">
        <v>1935</v>
      </c>
      <c r="CK10" s="42" t="s">
        <v>1904</v>
      </c>
      <c r="CL10" s="43">
        <v>0.12</v>
      </c>
      <c r="CM10" s="42" t="s">
        <v>1904</v>
      </c>
      <c r="CN10" s="43">
        <v>0.88</v>
      </c>
      <c r="CO10" s="42" t="s">
        <v>3451</v>
      </c>
      <c r="CP10" s="42"/>
      <c r="CQ10" s="42"/>
      <c r="CR10" s="42"/>
      <c r="CS10" s="42"/>
      <c r="CT10" s="42"/>
      <c r="CU10" s="38"/>
      <c r="CV10" s="42"/>
      <c r="CW10" s="38" t="s">
        <v>1345</v>
      </c>
      <c r="CX10" s="43">
        <v>0.1</v>
      </c>
      <c r="CY10" s="43">
        <v>0.8</v>
      </c>
      <c r="CZ10" s="42" t="s">
        <v>3750</v>
      </c>
      <c r="DA10" s="42" t="s">
        <v>3734</v>
      </c>
      <c r="DB10" s="42" t="s">
        <v>1808</v>
      </c>
      <c r="DC10" s="42" t="s">
        <v>4216</v>
      </c>
      <c r="DD10" s="42" t="s">
        <v>3571</v>
      </c>
      <c r="DE10" s="42" t="s">
        <v>4168</v>
      </c>
      <c r="DF10" s="42" t="s">
        <v>4169</v>
      </c>
      <c r="DG10" s="42" t="s">
        <v>4205</v>
      </c>
      <c r="DH10" s="42" t="s">
        <v>4229</v>
      </c>
      <c r="DI10" s="42" t="s">
        <v>3384</v>
      </c>
      <c r="DJ10" s="42" t="s">
        <v>4206</v>
      </c>
      <c r="DK10" s="42" t="s">
        <v>3384</v>
      </c>
      <c r="DL10" s="42" t="s">
        <v>4172</v>
      </c>
      <c r="DM10" s="42" t="s">
        <v>3384</v>
      </c>
      <c r="DN10" s="38" t="s">
        <v>1349</v>
      </c>
      <c r="DO10" s="42" t="s">
        <v>1358</v>
      </c>
      <c r="DP10" s="38" t="s">
        <v>1349</v>
      </c>
      <c r="DQ10" s="42" t="s">
        <v>1358</v>
      </c>
      <c r="DR10" s="38" t="s">
        <v>1349</v>
      </c>
      <c r="DS10" s="42"/>
      <c r="DT10" s="42"/>
      <c r="DU10" s="42"/>
      <c r="DV10" s="38" t="s">
        <v>1345</v>
      </c>
      <c r="DW10" s="42" t="s">
        <v>1945</v>
      </c>
      <c r="DX10" s="38" t="s">
        <v>1345</v>
      </c>
      <c r="DY10" s="38" t="s">
        <v>1349</v>
      </c>
      <c r="DZ10" s="42" t="s">
        <v>4191</v>
      </c>
      <c r="EA10" s="38" t="s">
        <v>1345</v>
      </c>
      <c r="EB10" s="38" t="s">
        <v>1345</v>
      </c>
      <c r="EC10" s="38" t="s">
        <v>1345</v>
      </c>
      <c r="ED10" s="42" t="s">
        <v>4207</v>
      </c>
      <c r="EE10" s="43">
        <v>0.3</v>
      </c>
      <c r="EF10" s="42" t="s">
        <v>3580</v>
      </c>
      <c r="EG10" s="38" t="s">
        <v>1349</v>
      </c>
      <c r="EH10" s="42"/>
      <c r="EI10" s="42" t="s">
        <v>4208</v>
      </c>
      <c r="EJ10" s="42" t="s">
        <v>3754</v>
      </c>
      <c r="EK10" s="38" t="s">
        <v>3613</v>
      </c>
      <c r="EL10" s="38" t="s">
        <v>1389</v>
      </c>
      <c r="EM10" s="38">
        <v>4</v>
      </c>
      <c r="EN10" s="42" t="s">
        <v>4192</v>
      </c>
      <c r="EO10" s="38">
        <v>1</v>
      </c>
      <c r="EP10" s="42" t="s">
        <v>4210</v>
      </c>
      <c r="EQ10" s="38">
        <v>2</v>
      </c>
      <c r="ER10" s="42" t="s">
        <v>4211</v>
      </c>
      <c r="ES10" s="38">
        <v>5</v>
      </c>
      <c r="ET10" s="42" t="s">
        <v>4177</v>
      </c>
      <c r="EU10" s="38">
        <v>5</v>
      </c>
      <c r="EV10" s="42" t="s">
        <v>4194</v>
      </c>
      <c r="EW10" s="38">
        <v>3</v>
      </c>
      <c r="EX10" s="42" t="s">
        <v>4230</v>
      </c>
      <c r="EY10" s="38">
        <v>2</v>
      </c>
      <c r="EZ10" s="42" t="s">
        <v>4231</v>
      </c>
      <c r="FA10" s="22"/>
    </row>
    <row r="11" spans="1:157">
      <c r="A11" s="17">
        <v>555</v>
      </c>
      <c r="B11" s="22">
        <v>14</v>
      </c>
      <c r="C11" s="23" t="s">
        <v>2278</v>
      </c>
      <c r="D11" s="24">
        <v>43774</v>
      </c>
      <c r="E11" s="23" t="s">
        <v>3840</v>
      </c>
      <c r="F11" s="25"/>
      <c r="G11" s="25"/>
      <c r="H11" s="23" t="s">
        <v>1075</v>
      </c>
      <c r="I11" s="23" t="s">
        <v>1071</v>
      </c>
      <c r="J11" s="23" t="s">
        <v>165</v>
      </c>
      <c r="K11" s="23" t="s">
        <v>165</v>
      </c>
      <c r="L11" s="32">
        <v>1</v>
      </c>
      <c r="M11" s="23" t="s">
        <v>3757</v>
      </c>
      <c r="N11" s="23" t="s">
        <v>1343</v>
      </c>
      <c r="O11" s="23" t="s">
        <v>3837</v>
      </c>
      <c r="P11" s="23" t="s">
        <v>3841</v>
      </c>
      <c r="Q11" s="23">
        <v>78610042</v>
      </c>
      <c r="R11" s="23" t="s">
        <v>1345</v>
      </c>
      <c r="S11" s="23">
        <v>7</v>
      </c>
      <c r="T11" s="23" t="s">
        <v>1346</v>
      </c>
      <c r="U11" s="23">
        <v>2011</v>
      </c>
      <c r="V11" s="23" t="s">
        <v>3760</v>
      </c>
      <c r="W11" s="23" t="s">
        <v>3802</v>
      </c>
      <c r="X11" s="23" t="s">
        <v>1349</v>
      </c>
      <c r="Y11" s="23" t="s">
        <v>2300</v>
      </c>
      <c r="Z11" s="23" t="s">
        <v>2300</v>
      </c>
      <c r="AA11" s="23">
        <v>24</v>
      </c>
      <c r="AB11" s="23" t="s">
        <v>1345</v>
      </c>
      <c r="AC11" s="23">
        <v>3</v>
      </c>
      <c r="AD11" s="23" t="s">
        <v>1345</v>
      </c>
      <c r="AE11" s="23" t="s">
        <v>1345</v>
      </c>
      <c r="AF11" s="23" t="s">
        <v>1349</v>
      </c>
      <c r="AG11" s="23" t="s">
        <v>1349</v>
      </c>
      <c r="AH11" s="23" t="s">
        <v>3842</v>
      </c>
      <c r="AI11" s="23">
        <v>2014</v>
      </c>
      <c r="AJ11" s="23" t="s">
        <v>1349</v>
      </c>
      <c r="AK11" s="23" t="s">
        <v>2290</v>
      </c>
      <c r="AL11" s="68" t="s">
        <v>1612</v>
      </c>
      <c r="AM11" s="23" t="s">
        <v>1612</v>
      </c>
      <c r="AN11" s="23" t="s">
        <v>1612</v>
      </c>
      <c r="AO11" s="23" t="s">
        <v>1612</v>
      </c>
      <c r="AP11" s="23" t="s">
        <v>1612</v>
      </c>
      <c r="AQ11" s="71" t="s">
        <v>1352</v>
      </c>
      <c r="AR11" s="23" t="s">
        <v>1352</v>
      </c>
      <c r="AS11" s="23" t="s">
        <v>1802</v>
      </c>
      <c r="AT11" s="23" t="s">
        <v>1358</v>
      </c>
      <c r="AU11" s="23" t="s">
        <v>3843</v>
      </c>
      <c r="AV11" s="23">
        <v>5000</v>
      </c>
      <c r="AW11" s="23" t="s">
        <v>2397</v>
      </c>
      <c r="AX11" s="23" t="s">
        <v>2398</v>
      </c>
      <c r="AY11" s="23" t="s">
        <v>1349</v>
      </c>
      <c r="AZ11" s="23" t="s">
        <v>3844</v>
      </c>
      <c r="BA11" s="23" t="s">
        <v>2361</v>
      </c>
      <c r="BB11" s="23" t="s">
        <v>2647</v>
      </c>
      <c r="BC11" s="23" t="s">
        <v>2647</v>
      </c>
      <c r="BD11" s="23" t="s">
        <v>2289</v>
      </c>
      <c r="BE11" s="23" t="s">
        <v>165</v>
      </c>
      <c r="BF11" s="23"/>
      <c r="BG11" s="23"/>
      <c r="BH11" s="23">
        <v>9</v>
      </c>
      <c r="BI11" s="23">
        <v>9</v>
      </c>
      <c r="BJ11" s="23">
        <v>16</v>
      </c>
      <c r="BK11" s="22" t="s">
        <v>1434</v>
      </c>
      <c r="BL11" s="22" t="s">
        <v>1702</v>
      </c>
      <c r="BM11" s="22" t="s">
        <v>1702</v>
      </c>
      <c r="BN11" s="23" t="s">
        <v>1349</v>
      </c>
      <c r="BO11" s="23" t="s">
        <v>2767</v>
      </c>
      <c r="BP11" s="23" t="s">
        <v>2767</v>
      </c>
      <c r="BQ11" s="23" t="s">
        <v>1349</v>
      </c>
      <c r="BR11" s="23" t="s">
        <v>1349</v>
      </c>
      <c r="BS11" s="23" t="s">
        <v>2643</v>
      </c>
      <c r="BT11" s="23" t="s">
        <v>1349</v>
      </c>
      <c r="BU11" s="23" t="s">
        <v>3830</v>
      </c>
      <c r="BV11" s="23" t="s">
        <v>1349</v>
      </c>
      <c r="BW11" s="23" t="s">
        <v>2300</v>
      </c>
      <c r="BX11" s="23" t="s">
        <v>1345</v>
      </c>
      <c r="BY11" s="23" t="s">
        <v>2302</v>
      </c>
      <c r="BZ11" s="23" t="s">
        <v>2767</v>
      </c>
      <c r="CA11" s="23" t="s">
        <v>2767</v>
      </c>
      <c r="CB11" s="23" t="s">
        <v>2289</v>
      </c>
      <c r="CC11" s="23" t="s">
        <v>2289</v>
      </c>
      <c r="CD11" s="23" t="s">
        <v>2289</v>
      </c>
      <c r="CE11" s="23">
        <v>3000</v>
      </c>
      <c r="CF11" s="23">
        <v>0</v>
      </c>
      <c r="CG11" s="23">
        <v>0</v>
      </c>
      <c r="CH11" s="23">
        <v>0</v>
      </c>
      <c r="CI11" s="23">
        <v>0</v>
      </c>
      <c r="CJ11" s="23">
        <v>0</v>
      </c>
      <c r="CK11" s="26">
        <v>0.4</v>
      </c>
      <c r="CL11" s="27">
        <v>0.5</v>
      </c>
      <c r="CM11" s="26">
        <v>0.6</v>
      </c>
      <c r="CN11" s="26">
        <v>0.5</v>
      </c>
      <c r="CO11" s="23" t="s">
        <v>2652</v>
      </c>
      <c r="CP11" s="23" t="s">
        <v>2289</v>
      </c>
      <c r="CQ11" s="23" t="s">
        <v>2767</v>
      </c>
      <c r="CR11" s="23">
        <v>0.8</v>
      </c>
      <c r="CS11" s="23" t="s">
        <v>3764</v>
      </c>
      <c r="CT11" s="23" t="s">
        <v>3765</v>
      </c>
      <c r="CU11" s="23" t="s">
        <v>1345</v>
      </c>
      <c r="CV11" s="23" t="s">
        <v>2407</v>
      </c>
      <c r="CW11" s="23" t="s">
        <v>1345</v>
      </c>
      <c r="CX11" s="26">
        <v>0.2</v>
      </c>
      <c r="CY11" s="26">
        <v>0.8</v>
      </c>
      <c r="CZ11" s="23" t="s">
        <v>2311</v>
      </c>
      <c r="DA11" s="23" t="s">
        <v>3766</v>
      </c>
      <c r="DB11" s="23" t="s">
        <v>1903</v>
      </c>
      <c r="DC11" s="23" t="s">
        <v>2643</v>
      </c>
      <c r="DD11" s="22" t="s">
        <v>2792</v>
      </c>
      <c r="DE11" s="23" t="s">
        <v>3767</v>
      </c>
      <c r="DF11" s="23" t="s">
        <v>3768</v>
      </c>
      <c r="DG11" s="23" t="s">
        <v>3769</v>
      </c>
      <c r="DH11" s="23" t="s">
        <v>2794</v>
      </c>
      <c r="DI11" s="23" t="s">
        <v>1556</v>
      </c>
      <c r="DJ11" s="23" t="s">
        <v>1556</v>
      </c>
      <c r="DK11" s="23" t="s">
        <v>1556</v>
      </c>
      <c r="DL11" s="23" t="s">
        <v>3770</v>
      </c>
      <c r="DM11" s="23" t="s">
        <v>3771</v>
      </c>
      <c r="DN11" s="23" t="s">
        <v>1345</v>
      </c>
      <c r="DO11" s="23" t="s">
        <v>3772</v>
      </c>
      <c r="DP11" s="23" t="s">
        <v>1349</v>
      </c>
      <c r="DQ11" s="23" t="s">
        <v>2647</v>
      </c>
      <c r="DR11" s="23" t="s">
        <v>1349</v>
      </c>
      <c r="DS11" s="23" t="s">
        <v>1556</v>
      </c>
      <c r="DT11" s="23" t="s">
        <v>2300</v>
      </c>
      <c r="DU11" s="23" t="s">
        <v>2300</v>
      </c>
      <c r="DV11" s="23" t="s">
        <v>1345</v>
      </c>
      <c r="DW11" s="23" t="s">
        <v>2797</v>
      </c>
      <c r="DX11" s="23" t="s">
        <v>1345</v>
      </c>
      <c r="DY11" s="23" t="s">
        <v>1349</v>
      </c>
      <c r="DZ11" s="23" t="s">
        <v>3773</v>
      </c>
      <c r="EA11" s="23" t="s">
        <v>1345</v>
      </c>
      <c r="EB11" s="23" t="s">
        <v>1345</v>
      </c>
      <c r="EC11" s="23" t="s">
        <v>1345</v>
      </c>
      <c r="ED11" s="23" t="s">
        <v>2418</v>
      </c>
      <c r="EE11" s="27">
        <v>0.1</v>
      </c>
      <c r="EF11" s="23" t="s">
        <v>2370</v>
      </c>
      <c r="EG11" s="23" t="s">
        <v>1349</v>
      </c>
      <c r="EH11" s="23" t="s">
        <v>2300</v>
      </c>
      <c r="EI11" s="23" t="s">
        <v>2326</v>
      </c>
      <c r="EJ11" s="22"/>
      <c r="EK11" s="23" t="s">
        <v>3774</v>
      </c>
      <c r="EL11" s="23" t="s">
        <v>1389</v>
      </c>
      <c r="EM11" s="23">
        <v>4</v>
      </c>
      <c r="EN11" s="23" t="s">
        <v>3805</v>
      </c>
      <c r="EO11" s="23">
        <v>3</v>
      </c>
      <c r="EP11" s="23" t="s">
        <v>3796</v>
      </c>
      <c r="EQ11" s="23">
        <v>3</v>
      </c>
      <c r="ER11" s="22" t="s">
        <v>3777</v>
      </c>
      <c r="ES11" s="23">
        <v>4</v>
      </c>
      <c r="ET11" s="22" t="s">
        <v>3778</v>
      </c>
      <c r="EU11" s="23">
        <v>4</v>
      </c>
      <c r="EV11" s="22" t="s">
        <v>3779</v>
      </c>
      <c r="EW11" s="23">
        <v>4</v>
      </c>
      <c r="EX11" s="22" t="s">
        <v>3780</v>
      </c>
      <c r="EY11" s="23">
        <v>2</v>
      </c>
      <c r="EZ11" s="22" t="s">
        <v>2424</v>
      </c>
      <c r="FA11" s="22"/>
    </row>
    <row r="12" spans="1:157">
      <c r="A12" s="17">
        <v>556</v>
      </c>
      <c r="B12" s="22">
        <v>12</v>
      </c>
      <c r="C12" s="23" t="s">
        <v>2278</v>
      </c>
      <c r="D12" s="24">
        <v>43772</v>
      </c>
      <c r="E12" s="23" t="s">
        <v>3836</v>
      </c>
      <c r="F12" s="25"/>
      <c r="G12" s="25"/>
      <c r="H12" s="23" t="s">
        <v>1075</v>
      </c>
      <c r="I12" s="23" t="s">
        <v>1071</v>
      </c>
      <c r="J12" s="23" t="s">
        <v>165</v>
      </c>
      <c r="K12" s="23" t="s">
        <v>165</v>
      </c>
      <c r="L12" s="32">
        <v>1</v>
      </c>
      <c r="M12" s="23" t="s">
        <v>2690</v>
      </c>
      <c r="N12" s="23" t="s">
        <v>1343</v>
      </c>
      <c r="O12" s="23" t="s">
        <v>3837</v>
      </c>
      <c r="P12" s="23" t="s">
        <v>2601</v>
      </c>
      <c r="Q12" s="23">
        <v>76613092</v>
      </c>
      <c r="R12" s="23" t="s">
        <v>1345</v>
      </c>
      <c r="S12" s="23">
        <v>7</v>
      </c>
      <c r="T12" s="23" t="s">
        <v>1346</v>
      </c>
      <c r="U12" s="23">
        <v>2010</v>
      </c>
      <c r="V12" s="23" t="s">
        <v>3828</v>
      </c>
      <c r="W12" s="23" t="s">
        <v>3793</v>
      </c>
      <c r="X12" s="23" t="s">
        <v>1349</v>
      </c>
      <c r="Y12" s="23" t="s">
        <v>2300</v>
      </c>
      <c r="Z12" s="23" t="s">
        <v>2300</v>
      </c>
      <c r="AA12" s="23">
        <v>25</v>
      </c>
      <c r="AB12" s="23" t="s">
        <v>1345</v>
      </c>
      <c r="AC12" s="23">
        <v>4</v>
      </c>
      <c r="AD12" s="23" t="s">
        <v>1345</v>
      </c>
      <c r="AE12" s="23" t="s">
        <v>1345</v>
      </c>
      <c r="AF12" s="23" t="s">
        <v>1345</v>
      </c>
      <c r="AG12" s="23" t="s">
        <v>1349</v>
      </c>
      <c r="AH12" s="23" t="s">
        <v>3838</v>
      </c>
      <c r="AI12" s="23">
        <v>2015</v>
      </c>
      <c r="AJ12" s="23" t="s">
        <v>1349</v>
      </c>
      <c r="AK12" s="68" t="s">
        <v>2341</v>
      </c>
      <c r="AL12" s="68" t="s">
        <v>1612</v>
      </c>
      <c r="AM12" s="23" t="s">
        <v>1612</v>
      </c>
      <c r="AN12" s="23" t="s">
        <v>1352</v>
      </c>
      <c r="AO12" s="23" t="s">
        <v>1612</v>
      </c>
      <c r="AP12" s="23" t="s">
        <v>1612</v>
      </c>
      <c r="AQ12" s="71" t="s">
        <v>1352</v>
      </c>
      <c r="AR12" s="22" t="s">
        <v>1352</v>
      </c>
      <c r="AS12" s="23" t="s">
        <v>1802</v>
      </c>
      <c r="AT12" s="23" t="s">
        <v>1358</v>
      </c>
      <c r="AU12" s="23" t="s">
        <v>2249</v>
      </c>
      <c r="AV12" s="23">
        <v>2000</v>
      </c>
      <c r="AW12" s="23" t="s">
        <v>2343</v>
      </c>
      <c r="AX12" s="23" t="s">
        <v>2294</v>
      </c>
      <c r="AY12" s="23" t="s">
        <v>1349</v>
      </c>
      <c r="AZ12" s="23" t="s">
        <v>3794</v>
      </c>
      <c r="BA12" s="23" t="s">
        <v>2361</v>
      </c>
      <c r="BB12" s="23" t="s">
        <v>2647</v>
      </c>
      <c r="BC12" s="23" t="s">
        <v>2647</v>
      </c>
      <c r="BD12" s="23" t="s">
        <v>2289</v>
      </c>
      <c r="BE12" s="23" t="s">
        <v>165</v>
      </c>
      <c r="BF12" s="23"/>
      <c r="BG12" s="23"/>
      <c r="BH12" s="23">
        <v>8</v>
      </c>
      <c r="BI12" s="23">
        <v>8</v>
      </c>
      <c r="BJ12" s="23">
        <v>18</v>
      </c>
      <c r="BK12" s="22" t="s">
        <v>1434</v>
      </c>
      <c r="BL12" s="22" t="s">
        <v>1702</v>
      </c>
      <c r="BM12" s="22" t="s">
        <v>1702</v>
      </c>
      <c r="BN12" s="23" t="s">
        <v>1349</v>
      </c>
      <c r="BO12" s="23" t="s">
        <v>2767</v>
      </c>
      <c r="BP12" s="23" t="s">
        <v>2767</v>
      </c>
      <c r="BQ12" s="23" t="s">
        <v>1349</v>
      </c>
      <c r="BR12" s="23" t="s">
        <v>1349</v>
      </c>
      <c r="BS12" s="23" t="s">
        <v>2643</v>
      </c>
      <c r="BT12" s="23" t="s">
        <v>1349</v>
      </c>
      <c r="BU12" s="23" t="s">
        <v>3830</v>
      </c>
      <c r="BV12" s="23" t="s">
        <v>1349</v>
      </c>
      <c r="BW12" s="23" t="s">
        <v>2300</v>
      </c>
      <c r="BX12" s="23" t="s">
        <v>1345</v>
      </c>
      <c r="BY12" s="23" t="s">
        <v>2302</v>
      </c>
      <c r="BZ12" s="23" t="s">
        <v>2767</v>
      </c>
      <c r="CA12" s="23" t="s">
        <v>2767</v>
      </c>
      <c r="CB12" s="23" t="s">
        <v>2289</v>
      </c>
      <c r="CC12" s="23" t="s">
        <v>2289</v>
      </c>
      <c r="CD12" s="23" t="s">
        <v>2289</v>
      </c>
      <c r="CE12" s="23">
        <v>800</v>
      </c>
      <c r="CF12" s="23">
        <v>1000</v>
      </c>
      <c r="CG12" s="23">
        <v>1000</v>
      </c>
      <c r="CH12" s="23">
        <v>0</v>
      </c>
      <c r="CI12" s="23">
        <v>0</v>
      </c>
      <c r="CJ12" s="23">
        <v>0</v>
      </c>
      <c r="CK12" s="28">
        <v>0.3</v>
      </c>
      <c r="CL12" s="27">
        <v>0.4</v>
      </c>
      <c r="CM12" s="28">
        <v>0.7</v>
      </c>
      <c r="CN12" s="26">
        <v>0.6</v>
      </c>
      <c r="CO12" s="23" t="s">
        <v>2652</v>
      </c>
      <c r="CP12" s="23" t="s">
        <v>2289</v>
      </c>
      <c r="CQ12" s="23" t="s">
        <v>2767</v>
      </c>
      <c r="CR12" s="23">
        <v>1</v>
      </c>
      <c r="CS12" s="23" t="s">
        <v>3764</v>
      </c>
      <c r="CT12" s="23" t="s">
        <v>3765</v>
      </c>
      <c r="CU12" s="23" t="s">
        <v>1345</v>
      </c>
      <c r="CV12" s="23" t="s">
        <v>2310</v>
      </c>
      <c r="CW12" s="23" t="s">
        <v>1345</v>
      </c>
      <c r="CX12" s="26">
        <v>0.2</v>
      </c>
      <c r="CY12" s="26">
        <v>0.8</v>
      </c>
      <c r="CZ12" s="23" t="s">
        <v>2311</v>
      </c>
      <c r="DA12" s="23" t="s">
        <v>3766</v>
      </c>
      <c r="DB12" s="23" t="s">
        <v>1903</v>
      </c>
      <c r="DC12" s="23" t="s">
        <v>2643</v>
      </c>
      <c r="DD12" s="22" t="s">
        <v>2792</v>
      </c>
      <c r="DE12" s="23" t="s">
        <v>3767</v>
      </c>
      <c r="DF12" s="23" t="s">
        <v>3768</v>
      </c>
      <c r="DG12" s="23" t="s">
        <v>3769</v>
      </c>
      <c r="DH12" s="23" t="s">
        <v>2794</v>
      </c>
      <c r="DI12" s="23" t="s">
        <v>1556</v>
      </c>
      <c r="DJ12" s="23" t="s">
        <v>1556</v>
      </c>
      <c r="DK12" s="23" t="s">
        <v>1556</v>
      </c>
      <c r="DL12" s="23" t="s">
        <v>3770</v>
      </c>
      <c r="DM12" s="23" t="s">
        <v>3771</v>
      </c>
      <c r="DN12" s="23" t="s">
        <v>1345</v>
      </c>
      <c r="DO12" s="23" t="s">
        <v>3772</v>
      </c>
      <c r="DP12" s="23" t="s">
        <v>1349</v>
      </c>
      <c r="DQ12" s="23" t="s">
        <v>2647</v>
      </c>
      <c r="DR12" s="23" t="s">
        <v>1349</v>
      </c>
      <c r="DS12" s="23" t="s">
        <v>1556</v>
      </c>
      <c r="DT12" s="23" t="s">
        <v>2300</v>
      </c>
      <c r="DU12" s="23" t="s">
        <v>2300</v>
      </c>
      <c r="DV12" s="23" t="s">
        <v>1345</v>
      </c>
      <c r="DW12" s="23" t="s">
        <v>2797</v>
      </c>
      <c r="DX12" s="23" t="s">
        <v>1345</v>
      </c>
      <c r="DY12" s="23" t="s">
        <v>1349</v>
      </c>
      <c r="DZ12" s="23" t="s">
        <v>3773</v>
      </c>
      <c r="EA12" s="23" t="s">
        <v>1345</v>
      </c>
      <c r="EB12" s="23" t="s">
        <v>1345</v>
      </c>
      <c r="EC12" s="23" t="s">
        <v>1345</v>
      </c>
      <c r="ED12" s="23" t="s">
        <v>2353</v>
      </c>
      <c r="EE12" s="27">
        <v>0.1</v>
      </c>
      <c r="EF12" s="23" t="s">
        <v>2370</v>
      </c>
      <c r="EG12" s="23" t="s">
        <v>1349</v>
      </c>
      <c r="EH12" s="23" t="s">
        <v>2300</v>
      </c>
      <c r="EI12" s="23" t="s">
        <v>2326</v>
      </c>
      <c r="EJ12" s="22"/>
      <c r="EK12" s="23" t="s">
        <v>3774</v>
      </c>
      <c r="EL12" s="23" t="s">
        <v>1389</v>
      </c>
      <c r="EM12" s="23">
        <v>4</v>
      </c>
      <c r="EN12" s="23" t="s">
        <v>3795</v>
      </c>
      <c r="EO12" s="23">
        <v>3</v>
      </c>
      <c r="EP12" s="23" t="s">
        <v>3796</v>
      </c>
      <c r="EQ12" s="23">
        <v>3</v>
      </c>
      <c r="ER12" s="22" t="s">
        <v>3777</v>
      </c>
      <c r="ES12" s="23">
        <v>4</v>
      </c>
      <c r="ET12" s="22" t="s">
        <v>3778</v>
      </c>
      <c r="EU12" s="23">
        <v>4</v>
      </c>
      <c r="EV12" s="22" t="s">
        <v>3779</v>
      </c>
      <c r="EW12" s="23">
        <v>3</v>
      </c>
      <c r="EX12" s="22" t="s">
        <v>3780</v>
      </c>
      <c r="EY12" s="23">
        <v>2</v>
      </c>
      <c r="EZ12" s="22" t="s">
        <v>2424</v>
      </c>
      <c r="FA12" s="22"/>
    </row>
    <row r="13" spans="1:157">
      <c r="A13" s="17">
        <v>557</v>
      </c>
      <c r="B13" s="22">
        <v>3</v>
      </c>
      <c r="C13" s="23" t="s">
        <v>2278</v>
      </c>
      <c r="D13" s="24">
        <v>43768</v>
      </c>
      <c r="E13" s="23" t="s">
        <v>3789</v>
      </c>
      <c r="F13" s="25"/>
      <c r="G13" s="25"/>
      <c r="H13" s="23" t="s">
        <v>1075</v>
      </c>
      <c r="I13" s="23" t="s">
        <v>1071</v>
      </c>
      <c r="J13" s="23" t="s">
        <v>165</v>
      </c>
      <c r="K13" s="23" t="s">
        <v>3790</v>
      </c>
      <c r="L13" s="32">
        <v>5</v>
      </c>
      <c r="M13" s="23" t="s">
        <v>2690</v>
      </c>
      <c r="N13" s="23" t="s">
        <v>1343</v>
      </c>
      <c r="O13" s="23" t="s">
        <v>3791</v>
      </c>
      <c r="P13" s="23" t="s">
        <v>3792</v>
      </c>
      <c r="Q13" s="23">
        <v>75602281</v>
      </c>
      <c r="R13" s="23" t="s">
        <v>1349</v>
      </c>
      <c r="S13" s="23" t="s">
        <v>2300</v>
      </c>
      <c r="T13" s="23" t="s">
        <v>1346</v>
      </c>
      <c r="U13" s="23">
        <v>2012</v>
      </c>
      <c r="V13" s="23" t="s">
        <v>3760</v>
      </c>
      <c r="W13" s="23" t="s">
        <v>3793</v>
      </c>
      <c r="X13" s="23" t="s">
        <v>1349</v>
      </c>
      <c r="Y13" s="23" t="s">
        <v>2300</v>
      </c>
      <c r="Z13" s="23" t="s">
        <v>2300</v>
      </c>
      <c r="AA13" s="23">
        <v>20</v>
      </c>
      <c r="AB13" s="23" t="s">
        <v>1349</v>
      </c>
      <c r="AC13" s="23">
        <v>2</v>
      </c>
      <c r="AD13" s="23" t="s">
        <v>1345</v>
      </c>
      <c r="AE13" s="23" t="s">
        <v>1345</v>
      </c>
      <c r="AF13" s="23" t="s">
        <v>1349</v>
      </c>
      <c r="AG13" s="23" t="s">
        <v>1349</v>
      </c>
      <c r="AH13" s="23" t="s">
        <v>2300</v>
      </c>
      <c r="AI13" s="23">
        <v>2016</v>
      </c>
      <c r="AJ13" s="23" t="s">
        <v>1345</v>
      </c>
      <c r="AK13" s="68" t="s">
        <v>2341</v>
      </c>
      <c r="AL13" s="68" t="s">
        <v>1612</v>
      </c>
      <c r="AM13" s="23" t="s">
        <v>1612</v>
      </c>
      <c r="AN13" s="23" t="s">
        <v>1352</v>
      </c>
      <c r="AO13" s="23" t="s">
        <v>1612</v>
      </c>
      <c r="AP13" s="23" t="s">
        <v>1612</v>
      </c>
      <c r="AQ13" s="71" t="s">
        <v>1352</v>
      </c>
      <c r="AR13" s="22" t="s">
        <v>1352</v>
      </c>
      <c r="AS13" s="23" t="s">
        <v>1802</v>
      </c>
      <c r="AT13" s="23" t="s">
        <v>1358</v>
      </c>
      <c r="AU13" s="23" t="s">
        <v>2249</v>
      </c>
      <c r="AV13" s="23">
        <v>1000</v>
      </c>
      <c r="AW13" s="23" t="s">
        <v>2343</v>
      </c>
      <c r="AX13" s="23" t="s">
        <v>2294</v>
      </c>
      <c r="AY13" s="23" t="s">
        <v>1349</v>
      </c>
      <c r="AZ13" s="23" t="s">
        <v>3794</v>
      </c>
      <c r="BA13" s="23" t="s">
        <v>2361</v>
      </c>
      <c r="BB13" s="23" t="s">
        <v>2647</v>
      </c>
      <c r="BC13" s="23" t="s">
        <v>2647</v>
      </c>
      <c r="BD13" s="23" t="s">
        <v>2289</v>
      </c>
      <c r="BE13" s="23" t="s">
        <v>3790</v>
      </c>
      <c r="BF13" s="23"/>
      <c r="BG13" s="23"/>
      <c r="BH13" s="23">
        <v>5</v>
      </c>
      <c r="BI13" s="23">
        <v>5</v>
      </c>
      <c r="BJ13" s="23">
        <v>9</v>
      </c>
      <c r="BK13" s="23" t="s">
        <v>1360</v>
      </c>
      <c r="BL13" s="23" t="s">
        <v>1360</v>
      </c>
      <c r="BM13" s="23" t="s">
        <v>1360</v>
      </c>
      <c r="BN13" s="23" t="s">
        <v>1349</v>
      </c>
      <c r="BO13" s="23" t="s">
        <v>2767</v>
      </c>
      <c r="BP13" s="23" t="s">
        <v>2767</v>
      </c>
      <c r="BQ13" s="23" t="s">
        <v>1349</v>
      </c>
      <c r="BR13" s="23" t="s">
        <v>1349</v>
      </c>
      <c r="BS13" s="23" t="s">
        <v>2643</v>
      </c>
      <c r="BT13" s="23" t="s">
        <v>1349</v>
      </c>
      <c r="BU13" s="23" t="s">
        <v>3763</v>
      </c>
      <c r="BV13" s="23" t="s">
        <v>1349</v>
      </c>
      <c r="BW13" s="23" t="s">
        <v>2300</v>
      </c>
      <c r="BX13" s="23" t="s">
        <v>1345</v>
      </c>
      <c r="BY13" s="23" t="s">
        <v>2302</v>
      </c>
      <c r="BZ13" s="23" t="s">
        <v>2767</v>
      </c>
      <c r="CA13" s="23" t="s">
        <v>2767</v>
      </c>
      <c r="CB13" s="23" t="s">
        <v>2289</v>
      </c>
      <c r="CC13" s="23" t="s">
        <v>2289</v>
      </c>
      <c r="CD13" s="23" t="s">
        <v>2289</v>
      </c>
      <c r="CE13" s="23">
        <v>5000</v>
      </c>
      <c r="CF13" s="23">
        <v>10000</v>
      </c>
      <c r="CG13" s="23">
        <v>5000</v>
      </c>
      <c r="CH13" s="23">
        <v>70</v>
      </c>
      <c r="CI13" s="23">
        <v>60</v>
      </c>
      <c r="CJ13" s="23">
        <v>60</v>
      </c>
      <c r="CK13" s="28">
        <v>0.3</v>
      </c>
      <c r="CL13" s="27">
        <v>1</v>
      </c>
      <c r="CM13" s="28">
        <v>0.7</v>
      </c>
      <c r="CN13" s="26">
        <v>0</v>
      </c>
      <c r="CO13" s="23" t="s">
        <v>2652</v>
      </c>
      <c r="CP13" s="23" t="s">
        <v>2289</v>
      </c>
      <c r="CQ13" s="23" t="s">
        <v>2767</v>
      </c>
      <c r="CR13" s="23">
        <v>2</v>
      </c>
      <c r="CS13" s="23" t="s">
        <v>3764</v>
      </c>
      <c r="CT13" s="23" t="s">
        <v>3765</v>
      </c>
      <c r="CU13" s="23" t="s">
        <v>1345</v>
      </c>
      <c r="CV13" s="23" t="s">
        <v>2310</v>
      </c>
      <c r="CW13" s="23" t="s">
        <v>1345</v>
      </c>
      <c r="CX13" s="26">
        <v>0.2</v>
      </c>
      <c r="CY13" s="26">
        <v>0.8</v>
      </c>
      <c r="CZ13" s="23" t="s">
        <v>2311</v>
      </c>
      <c r="DA13" s="23" t="s">
        <v>3766</v>
      </c>
      <c r="DB13" s="23" t="s">
        <v>1903</v>
      </c>
      <c r="DC13" s="23" t="s">
        <v>2643</v>
      </c>
      <c r="DD13" s="22" t="s">
        <v>2792</v>
      </c>
      <c r="DE13" s="23" t="s">
        <v>3767</v>
      </c>
      <c r="DF13" s="23" t="s">
        <v>3768</v>
      </c>
      <c r="DG13" s="23" t="s">
        <v>3769</v>
      </c>
      <c r="DH13" s="23" t="s">
        <v>2794</v>
      </c>
      <c r="DI13" s="23" t="s">
        <v>1556</v>
      </c>
      <c r="DJ13" s="23" t="s">
        <v>1556</v>
      </c>
      <c r="DK13" s="23" t="s">
        <v>1556</v>
      </c>
      <c r="DL13" s="23" t="s">
        <v>3770</v>
      </c>
      <c r="DM13" s="23" t="s">
        <v>3771</v>
      </c>
      <c r="DN13" s="23" t="s">
        <v>1345</v>
      </c>
      <c r="DO13" s="23" t="s">
        <v>3772</v>
      </c>
      <c r="DP13" s="23" t="s">
        <v>1349</v>
      </c>
      <c r="DQ13" s="23" t="s">
        <v>2647</v>
      </c>
      <c r="DR13" s="23" t="s">
        <v>1349</v>
      </c>
      <c r="DS13" s="23" t="s">
        <v>1556</v>
      </c>
      <c r="DT13" s="23" t="s">
        <v>2300</v>
      </c>
      <c r="DU13" s="23" t="s">
        <v>2300</v>
      </c>
      <c r="DV13" s="23" t="s">
        <v>1345</v>
      </c>
      <c r="DW13" s="23" t="s">
        <v>2797</v>
      </c>
      <c r="DX13" s="23" t="s">
        <v>1345</v>
      </c>
      <c r="DY13" s="23" t="s">
        <v>1349</v>
      </c>
      <c r="DZ13" s="23" t="s">
        <v>3773</v>
      </c>
      <c r="EA13" s="23" t="s">
        <v>1345</v>
      </c>
      <c r="EB13" s="23" t="s">
        <v>1345</v>
      </c>
      <c r="EC13" s="23" t="s">
        <v>1345</v>
      </c>
      <c r="ED13" s="23" t="s">
        <v>2353</v>
      </c>
      <c r="EE13" s="27">
        <v>0.1</v>
      </c>
      <c r="EF13" s="23" t="s">
        <v>2370</v>
      </c>
      <c r="EG13" s="23" t="s">
        <v>1345</v>
      </c>
      <c r="EH13" s="26">
        <v>1</v>
      </c>
      <c r="EI13" s="23" t="s">
        <v>2326</v>
      </c>
      <c r="EJ13" s="22"/>
      <c r="EK13" s="23" t="s">
        <v>3774</v>
      </c>
      <c r="EL13" s="23" t="s">
        <v>1389</v>
      </c>
      <c r="EM13" s="23">
        <v>2</v>
      </c>
      <c r="EN13" s="23" t="s">
        <v>3795</v>
      </c>
      <c r="EO13" s="23">
        <v>3</v>
      </c>
      <c r="EP13" s="23" t="s">
        <v>3796</v>
      </c>
      <c r="EQ13" s="23">
        <v>4</v>
      </c>
      <c r="ER13" s="22" t="s">
        <v>3788</v>
      </c>
      <c r="ES13" s="23">
        <v>4</v>
      </c>
      <c r="ET13" s="22" t="s">
        <v>3778</v>
      </c>
      <c r="EU13" s="23">
        <v>4</v>
      </c>
      <c r="EV13" s="22" t="s">
        <v>3779</v>
      </c>
      <c r="EW13" s="23">
        <v>2</v>
      </c>
      <c r="EX13" s="22" t="s">
        <v>3797</v>
      </c>
      <c r="EY13" s="23">
        <v>2</v>
      </c>
      <c r="EZ13" s="22" t="s">
        <v>2424</v>
      </c>
      <c r="FA13" s="22"/>
    </row>
    <row r="14" spans="1:157">
      <c r="A14" s="17">
        <v>558</v>
      </c>
      <c r="B14" s="22">
        <v>18</v>
      </c>
      <c r="C14" s="23" t="s">
        <v>2278</v>
      </c>
      <c r="D14" s="24">
        <v>43777</v>
      </c>
      <c r="E14" s="23" t="s">
        <v>3863</v>
      </c>
      <c r="F14" s="25"/>
      <c r="G14" s="25"/>
      <c r="H14" s="23" t="s">
        <v>1075</v>
      </c>
      <c r="I14" s="23" t="s">
        <v>1071</v>
      </c>
      <c r="J14" s="23" t="s">
        <v>165</v>
      </c>
      <c r="K14" s="23" t="s">
        <v>165</v>
      </c>
      <c r="L14" s="32">
        <v>1E-3</v>
      </c>
      <c r="M14" s="23" t="s">
        <v>3757</v>
      </c>
      <c r="N14" s="23" t="s">
        <v>1343</v>
      </c>
      <c r="O14" s="23" t="s">
        <v>3791</v>
      </c>
      <c r="P14" s="23" t="s">
        <v>3864</v>
      </c>
      <c r="Q14" s="23">
        <v>64422957</v>
      </c>
      <c r="R14" s="23" t="s">
        <v>1345</v>
      </c>
      <c r="S14" s="23">
        <v>6</v>
      </c>
      <c r="T14" s="23" t="s">
        <v>1920</v>
      </c>
      <c r="U14" s="23">
        <v>2003</v>
      </c>
      <c r="V14" s="23" t="s">
        <v>3828</v>
      </c>
      <c r="W14" s="23" t="s">
        <v>3761</v>
      </c>
      <c r="X14" s="23" t="s">
        <v>1349</v>
      </c>
      <c r="Y14" s="23" t="s">
        <v>2300</v>
      </c>
      <c r="Z14" s="23" t="s">
        <v>2300</v>
      </c>
      <c r="AA14" s="23">
        <v>30</v>
      </c>
      <c r="AB14" s="23" t="s">
        <v>1345</v>
      </c>
      <c r="AC14" s="23">
        <v>3</v>
      </c>
      <c r="AD14" s="23" t="s">
        <v>1345</v>
      </c>
      <c r="AE14" s="23" t="s">
        <v>1345</v>
      </c>
      <c r="AF14" s="23" t="s">
        <v>1345</v>
      </c>
      <c r="AG14" s="23" t="s">
        <v>1349</v>
      </c>
      <c r="AH14" s="23"/>
      <c r="AI14" s="23">
        <v>2014</v>
      </c>
      <c r="AJ14" s="23" t="s">
        <v>1349</v>
      </c>
      <c r="AK14" s="23" t="s">
        <v>2290</v>
      </c>
      <c r="AL14" s="68" t="s">
        <v>1612</v>
      </c>
      <c r="AM14" s="23" t="s">
        <v>1612</v>
      </c>
      <c r="AN14" s="23" t="s">
        <v>1352</v>
      </c>
      <c r="AO14" s="23" t="s">
        <v>1612</v>
      </c>
      <c r="AP14" s="23" t="s">
        <v>1612</v>
      </c>
      <c r="AQ14" s="71" t="s">
        <v>1352</v>
      </c>
      <c r="AR14" s="22" t="s">
        <v>1352</v>
      </c>
      <c r="AS14" s="23" t="s">
        <v>1802</v>
      </c>
      <c r="AT14" s="23" t="s">
        <v>1358</v>
      </c>
      <c r="AU14" s="23" t="s">
        <v>2249</v>
      </c>
      <c r="AV14" s="22">
        <v>2000</v>
      </c>
      <c r="AW14" s="23" t="s">
        <v>3865</v>
      </c>
      <c r="AX14" s="23" t="s">
        <v>2294</v>
      </c>
      <c r="AY14" s="23" t="s">
        <v>1349</v>
      </c>
      <c r="AZ14" s="23" t="s">
        <v>3810</v>
      </c>
      <c r="BA14" s="23" t="s">
        <v>2361</v>
      </c>
      <c r="BB14" s="23" t="s">
        <v>2647</v>
      </c>
      <c r="BC14" s="23" t="s">
        <v>2647</v>
      </c>
      <c r="BD14" s="23" t="s">
        <v>2289</v>
      </c>
      <c r="BE14" s="23" t="s">
        <v>3866</v>
      </c>
      <c r="BF14" s="23"/>
      <c r="BG14" s="23"/>
      <c r="BH14" s="23">
        <v>7</v>
      </c>
      <c r="BI14" s="23">
        <v>7</v>
      </c>
      <c r="BJ14" s="23">
        <v>16</v>
      </c>
      <c r="BK14" s="22" t="s">
        <v>1434</v>
      </c>
      <c r="BL14" s="22" t="s">
        <v>1702</v>
      </c>
      <c r="BM14" s="22" t="s">
        <v>1702</v>
      </c>
      <c r="BN14" s="23" t="s">
        <v>1349</v>
      </c>
      <c r="BO14" s="23" t="s">
        <v>2767</v>
      </c>
      <c r="BP14" s="23" t="s">
        <v>2767</v>
      </c>
      <c r="BQ14" s="23" t="s">
        <v>1349</v>
      </c>
      <c r="BR14" s="23" t="s">
        <v>1349</v>
      </c>
      <c r="BS14" s="23" t="s">
        <v>2643</v>
      </c>
      <c r="BT14" s="23" t="s">
        <v>1349</v>
      </c>
      <c r="BU14" s="23" t="s">
        <v>3830</v>
      </c>
      <c r="BV14" s="23" t="s">
        <v>1349</v>
      </c>
      <c r="BW14" s="23" t="s">
        <v>2300</v>
      </c>
      <c r="BX14" s="23" t="s">
        <v>1345</v>
      </c>
      <c r="BY14" s="23" t="s">
        <v>2302</v>
      </c>
      <c r="BZ14" s="23" t="s">
        <v>2767</v>
      </c>
      <c r="CA14" s="23" t="s">
        <v>2767</v>
      </c>
      <c r="CB14" s="23" t="s">
        <v>2289</v>
      </c>
      <c r="CC14" s="23" t="s">
        <v>2289</v>
      </c>
      <c r="CD14" s="23" t="s">
        <v>2289</v>
      </c>
      <c r="CE14" s="23">
        <v>1000</v>
      </c>
      <c r="CF14" s="23">
        <v>2000</v>
      </c>
      <c r="CG14" s="23">
        <v>2500</v>
      </c>
      <c r="CH14" s="23">
        <v>0</v>
      </c>
      <c r="CI14" s="23">
        <v>0</v>
      </c>
      <c r="CJ14" s="23">
        <v>0</v>
      </c>
      <c r="CK14" s="26">
        <v>0.4</v>
      </c>
      <c r="CL14" s="27">
        <v>1</v>
      </c>
      <c r="CM14" s="27">
        <v>0.6</v>
      </c>
      <c r="CN14" s="26">
        <v>0</v>
      </c>
      <c r="CO14" s="23" t="s">
        <v>2652</v>
      </c>
      <c r="CP14" s="23" t="s">
        <v>2289</v>
      </c>
      <c r="CQ14" s="23" t="s">
        <v>2767</v>
      </c>
      <c r="CR14" s="23">
        <v>1</v>
      </c>
      <c r="CS14" s="23" t="s">
        <v>3764</v>
      </c>
      <c r="CT14" s="23" t="s">
        <v>3765</v>
      </c>
      <c r="CU14" s="23" t="s">
        <v>1345</v>
      </c>
      <c r="CV14" s="23" t="s">
        <v>2310</v>
      </c>
      <c r="CW14" s="23" t="s">
        <v>1345</v>
      </c>
      <c r="CX14" s="26">
        <v>0.3</v>
      </c>
      <c r="CY14" s="26">
        <v>0.7</v>
      </c>
      <c r="CZ14" s="23" t="s">
        <v>2311</v>
      </c>
      <c r="DA14" s="23" t="s">
        <v>3766</v>
      </c>
      <c r="DB14" s="23" t="s">
        <v>1903</v>
      </c>
      <c r="DC14" s="23" t="s">
        <v>2643</v>
      </c>
      <c r="DD14" s="22" t="s">
        <v>2792</v>
      </c>
      <c r="DE14" s="23" t="s">
        <v>3767</v>
      </c>
      <c r="DF14" s="23" t="s">
        <v>3768</v>
      </c>
      <c r="DG14" s="23" t="s">
        <v>3867</v>
      </c>
      <c r="DH14" s="23" t="s">
        <v>2794</v>
      </c>
      <c r="DI14" s="23" t="s">
        <v>1556</v>
      </c>
      <c r="DJ14" s="23" t="s">
        <v>1556</v>
      </c>
      <c r="DK14" s="23" t="s">
        <v>1556</v>
      </c>
      <c r="DL14" s="23" t="s">
        <v>3831</v>
      </c>
      <c r="DM14" s="23" t="s">
        <v>3771</v>
      </c>
      <c r="DN14" s="23" t="s">
        <v>1345</v>
      </c>
      <c r="DO14" s="23" t="s">
        <v>3772</v>
      </c>
      <c r="DP14" s="23" t="s">
        <v>1349</v>
      </c>
      <c r="DQ14" s="23" t="s">
        <v>2647</v>
      </c>
      <c r="DR14" s="23" t="s">
        <v>1349</v>
      </c>
      <c r="DS14" s="23" t="s">
        <v>1556</v>
      </c>
      <c r="DT14" s="23" t="s">
        <v>2300</v>
      </c>
      <c r="DU14" s="23" t="s">
        <v>2300</v>
      </c>
      <c r="DV14" s="23" t="s">
        <v>1345</v>
      </c>
      <c r="DW14" s="23" t="s">
        <v>2797</v>
      </c>
      <c r="DX14" s="23" t="s">
        <v>1345</v>
      </c>
      <c r="DY14" s="23" t="s">
        <v>1349</v>
      </c>
      <c r="DZ14" s="23" t="s">
        <v>3773</v>
      </c>
      <c r="EA14" s="23" t="s">
        <v>1345</v>
      </c>
      <c r="EB14" s="23" t="s">
        <v>1345</v>
      </c>
      <c r="EC14" s="23" t="s">
        <v>1345</v>
      </c>
      <c r="ED14" s="23" t="s">
        <v>2323</v>
      </c>
      <c r="EE14" s="27">
        <v>0.1</v>
      </c>
      <c r="EF14" s="23" t="s">
        <v>2324</v>
      </c>
      <c r="EG14" s="23" t="s">
        <v>1345</v>
      </c>
      <c r="EH14" s="26">
        <v>0.8</v>
      </c>
      <c r="EI14" s="23" t="s">
        <v>2326</v>
      </c>
      <c r="EJ14" s="22"/>
      <c r="EK14" s="23" t="s">
        <v>3868</v>
      </c>
      <c r="EL14" s="23" t="s">
        <v>1389</v>
      </c>
      <c r="EM14" s="23">
        <v>3</v>
      </c>
      <c r="EN14" s="23" t="s">
        <v>3869</v>
      </c>
      <c r="EO14" s="23">
        <v>3</v>
      </c>
      <c r="EP14" s="23" t="s">
        <v>3776</v>
      </c>
      <c r="EQ14" s="23">
        <v>3</v>
      </c>
      <c r="ER14" s="22" t="s">
        <v>3777</v>
      </c>
      <c r="ES14" s="23">
        <v>4</v>
      </c>
      <c r="ET14" s="22" t="s">
        <v>3778</v>
      </c>
      <c r="EU14" s="23">
        <v>4</v>
      </c>
      <c r="EV14" s="22" t="s">
        <v>3779</v>
      </c>
      <c r="EW14" s="23">
        <v>2</v>
      </c>
      <c r="EX14" s="22" t="s">
        <v>3832</v>
      </c>
      <c r="EY14" s="23">
        <v>2</v>
      </c>
      <c r="EZ14" s="22" t="s">
        <v>2424</v>
      </c>
      <c r="FA14" s="22"/>
    </row>
    <row r="15" spans="1:157">
      <c r="A15" s="17">
        <v>559</v>
      </c>
      <c r="B15" s="22">
        <v>4</v>
      </c>
      <c r="C15" s="23" t="s">
        <v>2278</v>
      </c>
      <c r="D15" s="24">
        <v>43768</v>
      </c>
      <c r="E15" s="23" t="s">
        <v>3798</v>
      </c>
      <c r="F15" s="25"/>
      <c r="G15" s="25"/>
      <c r="H15" s="23" t="s">
        <v>1075</v>
      </c>
      <c r="I15" s="23" t="s">
        <v>1071</v>
      </c>
      <c r="J15" s="23" t="s">
        <v>165</v>
      </c>
      <c r="K15" s="23" t="s">
        <v>3790</v>
      </c>
      <c r="L15" s="32">
        <v>5</v>
      </c>
      <c r="M15" s="23" t="s">
        <v>2690</v>
      </c>
      <c r="N15" s="23" t="s">
        <v>1343</v>
      </c>
      <c r="O15" s="23" t="s">
        <v>3791</v>
      </c>
      <c r="P15" s="23" t="s">
        <v>3799</v>
      </c>
      <c r="Q15" s="23">
        <v>76942556</v>
      </c>
      <c r="R15" s="23" t="s">
        <v>1349</v>
      </c>
      <c r="S15" s="23" t="s">
        <v>2300</v>
      </c>
      <c r="T15" s="23" t="s">
        <v>1346</v>
      </c>
      <c r="U15" s="23">
        <v>2014</v>
      </c>
      <c r="V15" s="23" t="s">
        <v>3760</v>
      </c>
      <c r="W15" s="23" t="s">
        <v>3793</v>
      </c>
      <c r="X15" s="23" t="s">
        <v>1349</v>
      </c>
      <c r="Y15" s="23" t="s">
        <v>2300</v>
      </c>
      <c r="Z15" s="23" t="s">
        <v>2300</v>
      </c>
      <c r="AA15" s="23">
        <v>16</v>
      </c>
      <c r="AB15" s="23" t="s">
        <v>1349</v>
      </c>
      <c r="AC15" s="23">
        <v>2</v>
      </c>
      <c r="AD15" s="23" t="s">
        <v>1345</v>
      </c>
      <c r="AE15" s="23" t="s">
        <v>1345</v>
      </c>
      <c r="AF15" s="23" t="s">
        <v>1349</v>
      </c>
      <c r="AG15" s="23" t="s">
        <v>1349</v>
      </c>
      <c r="AH15" s="23" t="s">
        <v>2300</v>
      </c>
      <c r="AI15" s="23">
        <v>2016</v>
      </c>
      <c r="AJ15" s="23" t="s">
        <v>1345</v>
      </c>
      <c r="AK15" s="23" t="s">
        <v>2290</v>
      </c>
      <c r="AL15" s="68" t="s">
        <v>1612</v>
      </c>
      <c r="AM15" s="23" t="s">
        <v>1612</v>
      </c>
      <c r="AN15" s="23" t="s">
        <v>1612</v>
      </c>
      <c r="AO15" s="23" t="s">
        <v>1612</v>
      </c>
      <c r="AP15" s="23" t="s">
        <v>1612</v>
      </c>
      <c r="AQ15" s="71" t="s">
        <v>1352</v>
      </c>
      <c r="AR15" s="23" t="s">
        <v>1352</v>
      </c>
      <c r="AS15" s="23" t="s">
        <v>1802</v>
      </c>
      <c r="AT15" s="23" t="s">
        <v>1358</v>
      </c>
      <c r="AU15" s="23" t="s">
        <v>2249</v>
      </c>
      <c r="AV15" s="23">
        <v>1000</v>
      </c>
      <c r="AW15" s="23" t="s">
        <v>2377</v>
      </c>
      <c r="AX15" s="23" t="s">
        <v>2378</v>
      </c>
      <c r="AY15" s="23" t="s">
        <v>1349</v>
      </c>
      <c r="AZ15" s="23" t="s">
        <v>2289</v>
      </c>
      <c r="BA15" s="23" t="s">
        <v>2361</v>
      </c>
      <c r="BB15" s="23" t="s">
        <v>2647</v>
      </c>
      <c r="BC15" s="23" t="s">
        <v>2647</v>
      </c>
      <c r="BD15" s="23" t="s">
        <v>2289</v>
      </c>
      <c r="BE15" s="23" t="s">
        <v>3790</v>
      </c>
      <c r="BF15" s="23"/>
      <c r="BG15" s="23"/>
      <c r="BH15" s="23">
        <v>3</v>
      </c>
      <c r="BI15" s="23">
        <v>3</v>
      </c>
      <c r="BJ15" s="23">
        <v>8</v>
      </c>
      <c r="BK15" s="23" t="s">
        <v>1360</v>
      </c>
      <c r="BL15" s="23" t="s">
        <v>1360</v>
      </c>
      <c r="BM15" s="23" t="s">
        <v>1360</v>
      </c>
      <c r="BN15" s="23" t="s">
        <v>1349</v>
      </c>
      <c r="BO15" s="23" t="s">
        <v>2767</v>
      </c>
      <c r="BP15" s="23" t="s">
        <v>2767</v>
      </c>
      <c r="BQ15" s="23" t="s">
        <v>1349</v>
      </c>
      <c r="BR15" s="23" t="s">
        <v>1349</v>
      </c>
      <c r="BS15" s="23" t="s">
        <v>2643</v>
      </c>
      <c r="BT15" s="23" t="s">
        <v>1349</v>
      </c>
      <c r="BU15" s="23" t="s">
        <v>3763</v>
      </c>
      <c r="BV15" s="23" t="s">
        <v>1349</v>
      </c>
      <c r="BW15" s="23" t="s">
        <v>2300</v>
      </c>
      <c r="BX15" s="23" t="s">
        <v>1345</v>
      </c>
      <c r="BY15" s="23" t="s">
        <v>2302</v>
      </c>
      <c r="BZ15" s="23" t="s">
        <v>2767</v>
      </c>
      <c r="CA15" s="23" t="s">
        <v>2767</v>
      </c>
      <c r="CB15" s="23" t="s">
        <v>2289</v>
      </c>
      <c r="CC15" s="23" t="s">
        <v>2289</v>
      </c>
      <c r="CD15" s="23" t="s">
        <v>2289</v>
      </c>
      <c r="CE15" s="23">
        <v>1000</v>
      </c>
      <c r="CF15" s="23">
        <v>6500</v>
      </c>
      <c r="CG15" s="23">
        <v>2400</v>
      </c>
      <c r="CH15" s="23">
        <v>50</v>
      </c>
      <c r="CI15" s="23">
        <v>40</v>
      </c>
      <c r="CJ15" s="23">
        <v>30</v>
      </c>
      <c r="CK15" s="26">
        <v>0.3</v>
      </c>
      <c r="CL15" s="27">
        <v>1</v>
      </c>
      <c r="CM15" s="26">
        <v>0.7</v>
      </c>
      <c r="CN15" s="26">
        <v>0</v>
      </c>
      <c r="CO15" s="23" t="s">
        <v>2652</v>
      </c>
      <c r="CP15" s="23" t="s">
        <v>2289</v>
      </c>
      <c r="CQ15" s="23" t="s">
        <v>2767</v>
      </c>
      <c r="CR15" s="23">
        <v>6</v>
      </c>
      <c r="CS15" s="23" t="s">
        <v>3764</v>
      </c>
      <c r="CT15" s="23" t="s">
        <v>3765</v>
      </c>
      <c r="CU15" s="23" t="s">
        <v>1345</v>
      </c>
      <c r="CV15" s="23" t="s">
        <v>2386</v>
      </c>
      <c r="CW15" s="23" t="s">
        <v>1345</v>
      </c>
      <c r="CX15" s="26">
        <v>0.2</v>
      </c>
      <c r="CY15" s="26">
        <v>0.8</v>
      </c>
      <c r="CZ15" s="23" t="s">
        <v>2311</v>
      </c>
      <c r="DA15" s="23" t="s">
        <v>3766</v>
      </c>
      <c r="DB15" s="23" t="s">
        <v>1903</v>
      </c>
      <c r="DC15" s="23" t="s">
        <v>2643</v>
      </c>
      <c r="DD15" s="22" t="s">
        <v>2792</v>
      </c>
      <c r="DE15" s="23" t="s">
        <v>3767</v>
      </c>
      <c r="DF15" s="23" t="s">
        <v>3768</v>
      </c>
      <c r="DG15" s="23" t="s">
        <v>3769</v>
      </c>
      <c r="DH15" s="23" t="s">
        <v>2794</v>
      </c>
      <c r="DI15" s="23" t="s">
        <v>1556</v>
      </c>
      <c r="DJ15" s="23" t="s">
        <v>1556</v>
      </c>
      <c r="DK15" s="23" t="s">
        <v>1556</v>
      </c>
      <c r="DL15" s="23" t="s">
        <v>3770</v>
      </c>
      <c r="DM15" s="23" t="s">
        <v>3771</v>
      </c>
      <c r="DN15" s="23" t="s">
        <v>1345</v>
      </c>
      <c r="DO15" s="23" t="s">
        <v>3772</v>
      </c>
      <c r="DP15" s="23" t="s">
        <v>1349</v>
      </c>
      <c r="DQ15" s="23" t="s">
        <v>2647</v>
      </c>
      <c r="DR15" s="23" t="s">
        <v>1349</v>
      </c>
      <c r="DS15" s="23" t="s">
        <v>1556</v>
      </c>
      <c r="DT15" s="23" t="s">
        <v>2300</v>
      </c>
      <c r="DU15" s="23" t="s">
        <v>2300</v>
      </c>
      <c r="DV15" s="23" t="s">
        <v>1345</v>
      </c>
      <c r="DW15" s="23" t="s">
        <v>2797</v>
      </c>
      <c r="DX15" s="23" t="s">
        <v>1345</v>
      </c>
      <c r="DY15" s="23" t="s">
        <v>1349</v>
      </c>
      <c r="DZ15" s="23" t="s">
        <v>3773</v>
      </c>
      <c r="EA15" s="23" t="s">
        <v>1345</v>
      </c>
      <c r="EB15" s="23" t="s">
        <v>1345</v>
      </c>
      <c r="EC15" s="23" t="s">
        <v>1345</v>
      </c>
      <c r="ED15" s="23" t="s">
        <v>2418</v>
      </c>
      <c r="EE15" s="27">
        <v>0.15</v>
      </c>
      <c r="EF15" s="23" t="s">
        <v>2370</v>
      </c>
      <c r="EG15" s="23" t="s">
        <v>1345</v>
      </c>
      <c r="EH15" s="26">
        <v>1</v>
      </c>
      <c r="EI15" s="23" t="s">
        <v>2326</v>
      </c>
      <c r="EJ15" s="22"/>
      <c r="EK15" s="23" t="s">
        <v>3774</v>
      </c>
      <c r="EL15" s="23" t="s">
        <v>1389</v>
      </c>
      <c r="EM15" s="23">
        <v>2</v>
      </c>
      <c r="EN15" s="23" t="s">
        <v>3795</v>
      </c>
      <c r="EO15" s="23">
        <v>3</v>
      </c>
      <c r="EP15" s="23" t="s">
        <v>3796</v>
      </c>
      <c r="EQ15" s="23"/>
      <c r="ER15" s="22" t="s">
        <v>3788</v>
      </c>
      <c r="ES15" s="23">
        <v>4</v>
      </c>
      <c r="ET15" s="22" t="s">
        <v>3778</v>
      </c>
      <c r="EU15" s="23">
        <v>4</v>
      </c>
      <c r="EV15" s="22" t="s">
        <v>3779</v>
      </c>
      <c r="EW15" s="23">
        <v>2</v>
      </c>
      <c r="EX15" s="22" t="s">
        <v>3797</v>
      </c>
      <c r="EY15" s="23">
        <v>2</v>
      </c>
      <c r="EZ15" s="22" t="s">
        <v>2424</v>
      </c>
      <c r="FA15" s="22"/>
    </row>
    <row r="16" spans="1:157">
      <c r="A16" s="17">
        <v>560</v>
      </c>
      <c r="B16" s="22">
        <v>37</v>
      </c>
      <c r="C16" s="23" t="s">
        <v>1337</v>
      </c>
      <c r="D16" s="33">
        <v>43772</v>
      </c>
      <c r="E16" s="23" t="s">
        <v>4026</v>
      </c>
      <c r="F16" s="22"/>
      <c r="G16" s="25" t="s">
        <v>3981</v>
      </c>
      <c r="H16" s="23" t="s">
        <v>3901</v>
      </c>
      <c r="I16" s="22" t="s">
        <v>3902</v>
      </c>
      <c r="J16" s="23" t="s">
        <v>3982</v>
      </c>
      <c r="K16" s="23" t="s">
        <v>4027</v>
      </c>
      <c r="L16" s="32">
        <v>5</v>
      </c>
      <c r="M16" s="23" t="s">
        <v>1383</v>
      </c>
      <c r="N16" s="23" t="s">
        <v>1343</v>
      </c>
      <c r="O16" s="23" t="s">
        <v>3791</v>
      </c>
      <c r="P16" s="23" t="s">
        <v>4028</v>
      </c>
      <c r="Q16" s="22">
        <v>75240230</v>
      </c>
      <c r="R16" s="23" t="s">
        <v>1383</v>
      </c>
      <c r="S16" s="23">
        <v>3</v>
      </c>
      <c r="T16" s="23" t="s">
        <v>1346</v>
      </c>
      <c r="U16" s="23">
        <v>2013</v>
      </c>
      <c r="V16" s="22" t="s">
        <v>2896</v>
      </c>
      <c r="W16" s="22" t="s">
        <v>4029</v>
      </c>
      <c r="X16" s="23" t="s">
        <v>1862</v>
      </c>
      <c r="Y16" s="22">
        <v>2018</v>
      </c>
      <c r="Z16" s="22"/>
      <c r="AA16" s="23">
        <v>40</v>
      </c>
      <c r="AB16" s="23" t="s">
        <v>1342</v>
      </c>
      <c r="AC16" s="22">
        <v>0</v>
      </c>
      <c r="AD16" s="23" t="s">
        <v>1383</v>
      </c>
      <c r="AE16" s="23" t="s">
        <v>1342</v>
      </c>
      <c r="AF16" s="23" t="s">
        <v>1342</v>
      </c>
      <c r="AG16" s="23" t="s">
        <v>1342</v>
      </c>
      <c r="AH16" s="23" t="s">
        <v>1342</v>
      </c>
      <c r="AI16" s="22"/>
      <c r="AJ16" s="23" t="s">
        <v>1342</v>
      </c>
      <c r="AK16" s="22" t="s">
        <v>4199</v>
      </c>
      <c r="AL16" s="87" t="s">
        <v>1612</v>
      </c>
      <c r="AM16" s="23" t="s">
        <v>1612</v>
      </c>
      <c r="AN16" s="23" t="s">
        <v>1612</v>
      </c>
      <c r="AO16" s="23" t="s">
        <v>1612</v>
      </c>
      <c r="AP16" s="23" t="s">
        <v>1612</v>
      </c>
      <c r="AQ16" s="71" t="s">
        <v>1352</v>
      </c>
      <c r="AR16" s="23" t="s">
        <v>1612</v>
      </c>
      <c r="AS16" s="42" t="s">
        <v>1550</v>
      </c>
      <c r="AT16" s="22"/>
      <c r="AU16" s="22">
        <v>12000</v>
      </c>
      <c r="AV16" s="22">
        <v>20000</v>
      </c>
      <c r="AW16" s="22" t="s">
        <v>2955</v>
      </c>
      <c r="AX16" s="22" t="s">
        <v>4030</v>
      </c>
      <c r="AY16" s="23" t="s">
        <v>1342</v>
      </c>
      <c r="AZ16" s="22" t="s">
        <v>1356</v>
      </c>
      <c r="BA16" s="22" t="s">
        <v>4031</v>
      </c>
      <c r="BB16" s="22" t="s">
        <v>1358</v>
      </c>
      <c r="BC16" s="22" t="s">
        <v>1358</v>
      </c>
      <c r="BD16" s="22" t="s">
        <v>1358</v>
      </c>
      <c r="BE16" s="22" t="s">
        <v>4027</v>
      </c>
      <c r="BF16" s="22"/>
      <c r="BG16" s="22"/>
      <c r="BH16" s="22">
        <v>0.5</v>
      </c>
      <c r="BI16" s="22">
        <v>2</v>
      </c>
      <c r="BJ16" s="22">
        <v>2</v>
      </c>
      <c r="BK16" s="22" t="s">
        <v>4032</v>
      </c>
      <c r="BL16" s="22" t="s">
        <v>4033</v>
      </c>
      <c r="BM16" s="22" t="s">
        <v>4033</v>
      </c>
      <c r="BN16" s="23" t="s">
        <v>1342</v>
      </c>
      <c r="BO16" s="22"/>
      <c r="BP16" s="22"/>
      <c r="BQ16" s="23" t="s">
        <v>1383</v>
      </c>
      <c r="BR16" s="23" t="s">
        <v>1342</v>
      </c>
      <c r="BS16" s="27">
        <v>0</v>
      </c>
      <c r="BT16" s="23" t="s">
        <v>1383</v>
      </c>
      <c r="BU16" s="23" t="s">
        <v>4034</v>
      </c>
      <c r="BV16" s="23" t="s">
        <v>1342</v>
      </c>
      <c r="BW16" s="22"/>
      <c r="BX16" s="23" t="s">
        <v>1342</v>
      </c>
      <c r="BY16" s="22"/>
      <c r="BZ16" s="22"/>
      <c r="CA16" s="22"/>
      <c r="CB16" s="22" t="s">
        <v>1364</v>
      </c>
      <c r="CC16" s="22" t="s">
        <v>1364</v>
      </c>
      <c r="CD16" s="22" t="s">
        <v>1364</v>
      </c>
      <c r="CE16" s="22">
        <v>10200</v>
      </c>
      <c r="CF16" s="22">
        <v>13600</v>
      </c>
      <c r="CG16" s="22">
        <v>11900</v>
      </c>
      <c r="CH16" s="22">
        <v>0</v>
      </c>
      <c r="CI16" s="22">
        <v>0</v>
      </c>
      <c r="CJ16" s="22">
        <v>0</v>
      </c>
      <c r="CK16" s="27">
        <v>1</v>
      </c>
      <c r="CL16" s="27">
        <v>1</v>
      </c>
      <c r="CM16" s="27">
        <v>0</v>
      </c>
      <c r="CN16" s="27">
        <v>0</v>
      </c>
      <c r="CO16" s="22"/>
      <c r="CP16" s="22"/>
      <c r="CQ16" s="22"/>
      <c r="CR16" s="22"/>
      <c r="CS16" s="22"/>
      <c r="CT16" s="22"/>
      <c r="CU16" s="22"/>
      <c r="CV16" s="22"/>
      <c r="CW16" s="23" t="s">
        <v>1342</v>
      </c>
      <c r="CX16" s="22"/>
      <c r="CY16" s="22"/>
      <c r="CZ16" s="22"/>
      <c r="DA16" s="22"/>
      <c r="DB16" s="22"/>
      <c r="DC16" s="22"/>
      <c r="DD16" s="22"/>
      <c r="DE16" s="22" t="s">
        <v>4035</v>
      </c>
      <c r="DF16" s="22"/>
      <c r="DG16" s="22"/>
      <c r="DH16" s="22" t="s">
        <v>4036</v>
      </c>
      <c r="DI16" s="22"/>
      <c r="DJ16" s="22"/>
      <c r="DK16" s="22"/>
      <c r="DL16" s="22" t="s">
        <v>3992</v>
      </c>
      <c r="DM16" s="22"/>
      <c r="DN16" s="23" t="s">
        <v>1342</v>
      </c>
      <c r="DO16" s="22"/>
      <c r="DP16" s="23" t="s">
        <v>1342</v>
      </c>
      <c r="DQ16" s="22"/>
      <c r="DR16" s="23" t="s">
        <v>1342</v>
      </c>
      <c r="DS16" s="22"/>
      <c r="DT16" s="22"/>
      <c r="DU16" s="22"/>
      <c r="DV16" s="23" t="s">
        <v>1383</v>
      </c>
      <c r="DW16" s="22" t="s">
        <v>3123</v>
      </c>
      <c r="DX16" s="23" t="s">
        <v>1383</v>
      </c>
      <c r="DY16" s="23" t="s">
        <v>1342</v>
      </c>
      <c r="DZ16" s="23" t="s">
        <v>3995</v>
      </c>
      <c r="EA16" s="23" t="s">
        <v>1383</v>
      </c>
      <c r="EB16" s="23" t="s">
        <v>1383</v>
      </c>
      <c r="EC16" s="23" t="s">
        <v>1383</v>
      </c>
      <c r="ED16" s="22" t="s">
        <v>2948</v>
      </c>
      <c r="EE16" s="27">
        <v>0.6</v>
      </c>
      <c r="EF16" s="22" t="s">
        <v>2931</v>
      </c>
      <c r="EG16" s="23" t="s">
        <v>1383</v>
      </c>
      <c r="EH16" s="27">
        <v>0.4</v>
      </c>
      <c r="EI16" s="22" t="s">
        <v>4037</v>
      </c>
      <c r="EJ16" s="22" t="s">
        <v>4038</v>
      </c>
      <c r="EK16" s="22"/>
      <c r="EL16" s="23" t="s">
        <v>1389</v>
      </c>
      <c r="EM16" s="23">
        <v>2</v>
      </c>
      <c r="EN16" s="22" t="s">
        <v>4008</v>
      </c>
      <c r="EO16" s="23">
        <v>0</v>
      </c>
      <c r="EP16" s="22" t="s">
        <v>3020</v>
      </c>
      <c r="EQ16" s="23">
        <v>2</v>
      </c>
      <c r="ER16" s="22" t="s">
        <v>4039</v>
      </c>
      <c r="ES16" s="23">
        <v>4</v>
      </c>
      <c r="ET16" s="22" t="s">
        <v>4040</v>
      </c>
      <c r="EU16" s="23">
        <v>3</v>
      </c>
      <c r="EV16" s="22" t="s">
        <v>3108</v>
      </c>
      <c r="EW16" s="23">
        <v>2</v>
      </c>
      <c r="EX16" s="22" t="s">
        <v>4009</v>
      </c>
      <c r="EY16" s="23">
        <v>0</v>
      </c>
      <c r="EZ16" s="22" t="s">
        <v>2974</v>
      </c>
      <c r="FA16" s="22"/>
    </row>
    <row r="17" spans="1:157">
      <c r="A17" s="17">
        <v>561</v>
      </c>
      <c r="B17" s="22">
        <v>52</v>
      </c>
      <c r="C17" s="38" t="s">
        <v>1795</v>
      </c>
      <c r="D17" s="39">
        <v>43768</v>
      </c>
      <c r="E17" s="38" t="s">
        <v>4213</v>
      </c>
      <c r="F17" s="40" t="s">
        <v>1728</v>
      </c>
      <c r="G17" s="40" t="s">
        <v>165</v>
      </c>
      <c r="H17" s="38" t="s">
        <v>4158</v>
      </c>
      <c r="I17" s="38" t="s">
        <v>1071</v>
      </c>
      <c r="J17" s="23" t="s">
        <v>165</v>
      </c>
      <c r="K17" s="38" t="s">
        <v>3790</v>
      </c>
      <c r="L17" s="42">
        <v>7</v>
      </c>
      <c r="M17" s="42" t="s">
        <v>2027</v>
      </c>
      <c r="N17" s="42" t="s">
        <v>1343</v>
      </c>
      <c r="O17" s="42" t="s">
        <v>769</v>
      </c>
      <c r="P17" s="42" t="s">
        <v>4214</v>
      </c>
      <c r="Q17" s="38">
        <v>76748813</v>
      </c>
      <c r="R17" s="38" t="s">
        <v>1349</v>
      </c>
      <c r="S17" s="38"/>
      <c r="T17" s="42" t="s">
        <v>4198</v>
      </c>
      <c r="U17" s="38"/>
      <c r="V17" s="42" t="s">
        <v>3680</v>
      </c>
      <c r="W17" s="42" t="s">
        <v>3708</v>
      </c>
      <c r="X17" s="38" t="s">
        <v>1349</v>
      </c>
      <c r="Y17" s="38"/>
      <c r="Z17" s="38"/>
      <c r="AA17" s="38">
        <v>10</v>
      </c>
      <c r="AB17" s="38" t="s">
        <v>1349</v>
      </c>
      <c r="AC17" s="38">
        <v>0</v>
      </c>
      <c r="AD17" s="38" t="s">
        <v>1345</v>
      </c>
      <c r="AE17" s="38" t="s">
        <v>1349</v>
      </c>
      <c r="AF17" s="38" t="s">
        <v>1349</v>
      </c>
      <c r="AG17" s="38" t="s">
        <v>1349</v>
      </c>
      <c r="AH17" s="42" t="s">
        <v>1358</v>
      </c>
      <c r="AI17" s="38" t="s">
        <v>3384</v>
      </c>
      <c r="AJ17" s="38" t="s">
        <v>1349</v>
      </c>
      <c r="AK17" s="87" t="s">
        <v>4199</v>
      </c>
      <c r="AL17" s="87" t="s">
        <v>1612</v>
      </c>
      <c r="AM17" s="23" t="s">
        <v>1612</v>
      </c>
      <c r="AN17" s="38" t="s">
        <v>1550</v>
      </c>
      <c r="AO17" s="38" t="s">
        <v>1550</v>
      </c>
      <c r="AP17" s="38" t="s">
        <v>1550</v>
      </c>
      <c r="AQ17" s="87" t="s">
        <v>1352</v>
      </c>
      <c r="AR17" s="88" t="s">
        <v>3451</v>
      </c>
      <c r="AS17" s="42" t="s">
        <v>1550</v>
      </c>
      <c r="AT17" s="42" t="s">
        <v>1804</v>
      </c>
      <c r="AU17" s="42" t="s">
        <v>4200</v>
      </c>
      <c r="AV17" s="42"/>
      <c r="AW17" s="42"/>
      <c r="AX17" s="42" t="s">
        <v>3709</v>
      </c>
      <c r="AY17" s="38" t="s">
        <v>1349</v>
      </c>
      <c r="AZ17" s="42" t="s">
        <v>4215</v>
      </c>
      <c r="BA17" s="42" t="s">
        <v>4201</v>
      </c>
      <c r="BB17" s="42" t="s">
        <v>1358</v>
      </c>
      <c r="BC17" s="42" t="s">
        <v>1358</v>
      </c>
      <c r="BD17" s="42" t="s">
        <v>1358</v>
      </c>
      <c r="BE17" s="42" t="s">
        <v>1810</v>
      </c>
      <c r="BF17" s="42"/>
      <c r="BG17" s="42"/>
      <c r="BH17" s="42">
        <v>5</v>
      </c>
      <c r="BI17" s="42">
        <v>10</v>
      </c>
      <c r="BJ17" s="42">
        <v>15</v>
      </c>
      <c r="BK17" s="42" t="s">
        <v>4164</v>
      </c>
      <c r="BL17" s="42" t="s">
        <v>4164</v>
      </c>
      <c r="BM17" s="42" t="s">
        <v>4164</v>
      </c>
      <c r="BN17" s="38" t="s">
        <v>1349</v>
      </c>
      <c r="BO17" s="42"/>
      <c r="BP17" s="42"/>
      <c r="BQ17" s="38" t="s">
        <v>1345</v>
      </c>
      <c r="BR17" s="38" t="s">
        <v>1345</v>
      </c>
      <c r="BS17" s="42" t="s">
        <v>1358</v>
      </c>
      <c r="BT17" s="38" t="s">
        <v>1383</v>
      </c>
      <c r="BU17" s="42" t="s">
        <v>4165</v>
      </c>
      <c r="BV17" s="38" t="s">
        <v>1349</v>
      </c>
      <c r="BW17" s="42"/>
      <c r="BX17" s="38" t="s">
        <v>1345</v>
      </c>
      <c r="BY17" s="42" t="s">
        <v>1362</v>
      </c>
      <c r="BZ17" s="38" t="s">
        <v>3600</v>
      </c>
      <c r="CA17" s="38" t="s">
        <v>4203</v>
      </c>
      <c r="CB17" s="42" t="s">
        <v>1935</v>
      </c>
      <c r="CC17" s="42" t="s">
        <v>1935</v>
      </c>
      <c r="CD17" s="38" t="s">
        <v>1935</v>
      </c>
      <c r="CE17" s="42">
        <v>36000</v>
      </c>
      <c r="CF17" s="42">
        <v>30000</v>
      </c>
      <c r="CG17" s="42">
        <v>10000</v>
      </c>
      <c r="CH17" s="42" t="s">
        <v>1935</v>
      </c>
      <c r="CI17" s="42" t="s">
        <v>1935</v>
      </c>
      <c r="CJ17" s="42" t="s">
        <v>1935</v>
      </c>
      <c r="CK17" s="42" t="s">
        <v>1904</v>
      </c>
      <c r="CL17" s="43">
        <v>0.1</v>
      </c>
      <c r="CM17" s="42" t="s">
        <v>1904</v>
      </c>
      <c r="CN17" s="43">
        <v>0.9</v>
      </c>
      <c r="CO17" s="42" t="s">
        <v>3451</v>
      </c>
      <c r="CP17" s="42"/>
      <c r="CQ17" s="42"/>
      <c r="CR17" s="42"/>
      <c r="CS17" s="42"/>
      <c r="CT17" s="42"/>
      <c r="CU17" s="38"/>
      <c r="CV17" s="42"/>
      <c r="CW17" s="38" t="s">
        <v>1345</v>
      </c>
      <c r="CX17" s="42" t="s">
        <v>1904</v>
      </c>
      <c r="CY17" s="42" t="s">
        <v>1904</v>
      </c>
      <c r="CZ17" s="42" t="s">
        <v>3750</v>
      </c>
      <c r="DA17" s="42" t="s">
        <v>3734</v>
      </c>
      <c r="DB17" s="42" t="s">
        <v>1808</v>
      </c>
      <c r="DC17" s="42" t="s">
        <v>4216</v>
      </c>
      <c r="DD17" s="42" t="s">
        <v>3571</v>
      </c>
      <c r="DE17" s="42" t="s">
        <v>4168</v>
      </c>
      <c r="DF17" s="42" t="s">
        <v>4169</v>
      </c>
      <c r="DG17" s="42" t="s">
        <v>4205</v>
      </c>
      <c r="DH17" s="42" t="s">
        <v>4171</v>
      </c>
      <c r="DI17" s="42" t="s">
        <v>3384</v>
      </c>
      <c r="DJ17" s="42" t="s">
        <v>4206</v>
      </c>
      <c r="DK17" s="42" t="s">
        <v>3384</v>
      </c>
      <c r="DL17" s="42" t="s">
        <v>4172</v>
      </c>
      <c r="DM17" s="42" t="s">
        <v>3384</v>
      </c>
      <c r="DN17" s="38" t="s">
        <v>1349</v>
      </c>
      <c r="DO17" s="42" t="s">
        <v>1358</v>
      </c>
      <c r="DP17" s="38" t="s">
        <v>1349</v>
      </c>
      <c r="DQ17" s="42" t="s">
        <v>1358</v>
      </c>
      <c r="DR17" s="38" t="s">
        <v>1349</v>
      </c>
      <c r="DS17" s="42"/>
      <c r="DT17" s="42"/>
      <c r="DU17" s="42"/>
      <c r="DV17" s="38" t="s">
        <v>1345</v>
      </c>
      <c r="DW17" s="42" t="s">
        <v>1945</v>
      </c>
      <c r="DX17" s="38" t="s">
        <v>1345</v>
      </c>
      <c r="DY17" s="38" t="s">
        <v>1349</v>
      </c>
      <c r="DZ17" s="42" t="s">
        <v>4191</v>
      </c>
      <c r="EA17" s="38" t="s">
        <v>1345</v>
      </c>
      <c r="EB17" s="38" t="s">
        <v>1345</v>
      </c>
      <c r="EC17" s="38" t="s">
        <v>1345</v>
      </c>
      <c r="ED17" s="42" t="s">
        <v>4207</v>
      </c>
      <c r="EE17" s="43">
        <v>0.1</v>
      </c>
      <c r="EF17" s="42" t="s">
        <v>3580</v>
      </c>
      <c r="EG17" s="38" t="s">
        <v>1349</v>
      </c>
      <c r="EH17" s="42"/>
      <c r="EI17" s="42" t="s">
        <v>4208</v>
      </c>
      <c r="EJ17" s="42" t="s">
        <v>3754</v>
      </c>
      <c r="EK17" s="38" t="s">
        <v>3613</v>
      </c>
      <c r="EL17" s="38" t="s">
        <v>1389</v>
      </c>
      <c r="EM17" s="38">
        <v>1</v>
      </c>
      <c r="EN17" s="42" t="s">
        <v>4209</v>
      </c>
      <c r="EO17" s="38">
        <v>1</v>
      </c>
      <c r="EP17" s="42" t="s">
        <v>4210</v>
      </c>
      <c r="EQ17" s="38">
        <v>2</v>
      </c>
      <c r="ER17" s="42" t="s">
        <v>4211</v>
      </c>
      <c r="ES17" s="38">
        <v>5</v>
      </c>
      <c r="ET17" s="42" t="s">
        <v>4177</v>
      </c>
      <c r="EU17" s="38">
        <v>5</v>
      </c>
      <c r="EV17" s="42" t="s">
        <v>4194</v>
      </c>
      <c r="EW17" s="38">
        <v>2</v>
      </c>
      <c r="EX17" s="42" t="s">
        <v>4179</v>
      </c>
      <c r="EY17" s="38">
        <v>1</v>
      </c>
      <c r="EZ17" s="42" t="s">
        <v>4212</v>
      </c>
      <c r="FA17" s="22"/>
    </row>
    <row r="18" spans="1:157">
      <c r="A18" s="17">
        <v>562</v>
      </c>
      <c r="B18" s="22">
        <v>53</v>
      </c>
      <c r="C18" s="38" t="s">
        <v>1795</v>
      </c>
      <c r="D18" s="39">
        <v>43768</v>
      </c>
      <c r="E18" s="38" t="s">
        <v>4217</v>
      </c>
      <c r="F18" s="40" t="s">
        <v>1728</v>
      </c>
      <c r="G18" s="40" t="s">
        <v>165</v>
      </c>
      <c r="H18" s="38" t="s">
        <v>4158</v>
      </c>
      <c r="I18" s="38" t="s">
        <v>1071</v>
      </c>
      <c r="J18" s="23" t="s">
        <v>165</v>
      </c>
      <c r="K18" s="38" t="s">
        <v>3790</v>
      </c>
      <c r="L18" s="42">
        <v>7</v>
      </c>
      <c r="M18" s="42" t="s">
        <v>2027</v>
      </c>
      <c r="N18" s="42" t="s">
        <v>1343</v>
      </c>
      <c r="O18" s="42" t="s">
        <v>769</v>
      </c>
      <c r="P18" s="42" t="s">
        <v>4218</v>
      </c>
      <c r="Q18" s="38">
        <v>7406517</v>
      </c>
      <c r="R18" s="38" t="s">
        <v>1349</v>
      </c>
      <c r="S18" s="38"/>
      <c r="T18" s="42" t="s">
        <v>4198</v>
      </c>
      <c r="U18" s="38"/>
      <c r="V18" s="42" t="s">
        <v>3680</v>
      </c>
      <c r="W18" s="42" t="s">
        <v>3708</v>
      </c>
      <c r="X18" s="38" t="s">
        <v>1349</v>
      </c>
      <c r="Y18" s="38"/>
      <c r="Z18" s="38"/>
      <c r="AA18" s="38">
        <v>10</v>
      </c>
      <c r="AB18" s="38" t="s">
        <v>1349</v>
      </c>
      <c r="AC18" s="38">
        <v>0</v>
      </c>
      <c r="AD18" s="38" t="s">
        <v>1345</v>
      </c>
      <c r="AE18" s="38" t="s">
        <v>1349</v>
      </c>
      <c r="AF18" s="38" t="s">
        <v>1349</v>
      </c>
      <c r="AG18" s="38" t="s">
        <v>1349</v>
      </c>
      <c r="AH18" s="42" t="s">
        <v>1358</v>
      </c>
      <c r="AI18" s="38" t="s">
        <v>3384</v>
      </c>
      <c r="AJ18" s="38" t="s">
        <v>1349</v>
      </c>
      <c r="AK18" s="87" t="s">
        <v>4199</v>
      </c>
      <c r="AL18" s="87" t="s">
        <v>1612</v>
      </c>
      <c r="AM18" s="23" t="s">
        <v>1612</v>
      </c>
      <c r="AN18" s="38" t="s">
        <v>1550</v>
      </c>
      <c r="AO18" s="38" t="s">
        <v>1550</v>
      </c>
      <c r="AP18" s="38" t="s">
        <v>1550</v>
      </c>
      <c r="AQ18" s="87" t="s">
        <v>1352</v>
      </c>
      <c r="AR18" s="88" t="s">
        <v>3451</v>
      </c>
      <c r="AS18" s="42" t="s">
        <v>1550</v>
      </c>
      <c r="AT18" s="42" t="s">
        <v>1804</v>
      </c>
      <c r="AU18" s="42" t="s">
        <v>4200</v>
      </c>
      <c r="AV18" s="42"/>
      <c r="AW18" s="42"/>
      <c r="AX18" s="42" t="s">
        <v>3709</v>
      </c>
      <c r="AY18" s="38" t="s">
        <v>1349</v>
      </c>
      <c r="AZ18" s="42" t="s">
        <v>4219</v>
      </c>
      <c r="BA18" s="42" t="s">
        <v>4220</v>
      </c>
      <c r="BB18" s="42" t="s">
        <v>1358</v>
      </c>
      <c r="BC18" s="42" t="s">
        <v>1358</v>
      </c>
      <c r="BD18" s="42" t="s">
        <v>1358</v>
      </c>
      <c r="BE18" s="42" t="s">
        <v>1810</v>
      </c>
      <c r="BF18" s="42"/>
      <c r="BG18" s="42"/>
      <c r="BH18" s="42">
        <v>5</v>
      </c>
      <c r="BI18" s="42">
        <v>10</v>
      </c>
      <c r="BJ18" s="42">
        <v>15</v>
      </c>
      <c r="BK18" s="42" t="s">
        <v>4164</v>
      </c>
      <c r="BL18" s="42" t="s">
        <v>4164</v>
      </c>
      <c r="BM18" s="42" t="s">
        <v>4164</v>
      </c>
      <c r="BN18" s="38" t="s">
        <v>1349</v>
      </c>
      <c r="BO18" s="42"/>
      <c r="BP18" s="42"/>
      <c r="BQ18" s="38" t="s">
        <v>1345</v>
      </c>
      <c r="BR18" s="38" t="s">
        <v>1345</v>
      </c>
      <c r="BS18" s="42" t="s">
        <v>1358</v>
      </c>
      <c r="BT18" s="38" t="s">
        <v>1383</v>
      </c>
      <c r="BU18" s="42" t="s">
        <v>4165</v>
      </c>
      <c r="BV18" s="38" t="s">
        <v>1349</v>
      </c>
      <c r="BW18" s="42"/>
      <c r="BX18" s="38" t="s">
        <v>1345</v>
      </c>
      <c r="BY18" s="42" t="s">
        <v>1362</v>
      </c>
      <c r="BZ18" s="38" t="s">
        <v>3600</v>
      </c>
      <c r="CA18" s="38" t="s">
        <v>4203</v>
      </c>
      <c r="CB18" s="42" t="s">
        <v>1935</v>
      </c>
      <c r="CC18" s="42" t="s">
        <v>1935</v>
      </c>
      <c r="CD18" s="38" t="s">
        <v>1935</v>
      </c>
      <c r="CE18" s="42">
        <v>6000</v>
      </c>
      <c r="CF18" s="42">
        <v>36000</v>
      </c>
      <c r="CG18" s="42">
        <v>12000</v>
      </c>
      <c r="CH18" s="42" t="s">
        <v>1935</v>
      </c>
      <c r="CI18" s="42" t="s">
        <v>1935</v>
      </c>
      <c r="CJ18" s="42" t="s">
        <v>1935</v>
      </c>
      <c r="CK18" s="42" t="s">
        <v>1904</v>
      </c>
      <c r="CL18" s="43">
        <v>0.1</v>
      </c>
      <c r="CM18" s="42" t="s">
        <v>1904</v>
      </c>
      <c r="CN18" s="43">
        <v>0.9</v>
      </c>
      <c r="CO18" s="42" t="s">
        <v>3451</v>
      </c>
      <c r="CP18" s="42"/>
      <c r="CQ18" s="42"/>
      <c r="CR18" s="42"/>
      <c r="CS18" s="42"/>
      <c r="CT18" s="42"/>
      <c r="CU18" s="38"/>
      <c r="CV18" s="42"/>
      <c r="CW18" s="38" t="s">
        <v>1345</v>
      </c>
      <c r="CX18" s="42" t="s">
        <v>1904</v>
      </c>
      <c r="CY18" s="42" t="s">
        <v>1904</v>
      </c>
      <c r="CZ18" s="42" t="s">
        <v>3750</v>
      </c>
      <c r="DA18" s="42" t="s">
        <v>3734</v>
      </c>
      <c r="DB18" s="42" t="s">
        <v>1808</v>
      </c>
      <c r="DC18" s="42" t="s">
        <v>4216</v>
      </c>
      <c r="DD18" s="42" t="s">
        <v>4167</v>
      </c>
      <c r="DE18" s="42" t="s">
        <v>4168</v>
      </c>
      <c r="DF18" s="42" t="s">
        <v>4169</v>
      </c>
      <c r="DG18" s="42" t="s">
        <v>4205</v>
      </c>
      <c r="DH18" s="42" t="s">
        <v>4171</v>
      </c>
      <c r="DI18" s="42" t="s">
        <v>3384</v>
      </c>
      <c r="DJ18" s="42" t="s">
        <v>4206</v>
      </c>
      <c r="DK18" s="42" t="s">
        <v>3384</v>
      </c>
      <c r="DL18" s="42" t="s">
        <v>4172</v>
      </c>
      <c r="DM18" s="42" t="s">
        <v>3384</v>
      </c>
      <c r="DN18" s="38" t="s">
        <v>1349</v>
      </c>
      <c r="DO18" s="42" t="s">
        <v>1358</v>
      </c>
      <c r="DP18" s="38" t="s">
        <v>1349</v>
      </c>
      <c r="DQ18" s="42" t="s">
        <v>1358</v>
      </c>
      <c r="DR18" s="38" t="s">
        <v>1349</v>
      </c>
      <c r="DS18" s="42"/>
      <c r="DT18" s="42"/>
      <c r="DU18" s="42"/>
      <c r="DV18" s="38" t="s">
        <v>1345</v>
      </c>
      <c r="DW18" s="42" t="s">
        <v>1945</v>
      </c>
      <c r="DX18" s="38" t="s">
        <v>1345</v>
      </c>
      <c r="DY18" s="38" t="s">
        <v>1349</v>
      </c>
      <c r="DZ18" s="42" t="s">
        <v>4191</v>
      </c>
      <c r="EA18" s="38" t="s">
        <v>1345</v>
      </c>
      <c r="EB18" s="38" t="s">
        <v>1345</v>
      </c>
      <c r="EC18" s="38" t="s">
        <v>1345</v>
      </c>
      <c r="ED18" s="42" t="s">
        <v>4207</v>
      </c>
      <c r="EE18" s="43">
        <v>0.1</v>
      </c>
      <c r="EF18" s="42" t="s">
        <v>3580</v>
      </c>
      <c r="EG18" s="38" t="s">
        <v>1349</v>
      </c>
      <c r="EH18" s="42"/>
      <c r="EI18" s="42" t="s">
        <v>4208</v>
      </c>
      <c r="EJ18" s="42" t="s">
        <v>3754</v>
      </c>
      <c r="EK18" s="38" t="s">
        <v>3613</v>
      </c>
      <c r="EL18" s="38" t="s">
        <v>1389</v>
      </c>
      <c r="EM18" s="38">
        <v>1</v>
      </c>
      <c r="EN18" s="42" t="s">
        <v>4209</v>
      </c>
      <c r="EO18" s="38">
        <v>1</v>
      </c>
      <c r="EP18" s="42" t="s">
        <v>4210</v>
      </c>
      <c r="EQ18" s="38">
        <v>2</v>
      </c>
      <c r="ER18" s="42" t="s">
        <v>4211</v>
      </c>
      <c r="ES18" s="38">
        <v>5</v>
      </c>
      <c r="ET18" s="42" t="s">
        <v>4177</v>
      </c>
      <c r="EU18" s="38">
        <v>5</v>
      </c>
      <c r="EV18" s="42" t="s">
        <v>4194</v>
      </c>
      <c r="EW18" s="38">
        <v>2</v>
      </c>
      <c r="EX18" s="42" t="s">
        <v>4179</v>
      </c>
      <c r="EY18" s="38">
        <v>1</v>
      </c>
      <c r="EZ18" s="42" t="s">
        <v>4212</v>
      </c>
      <c r="FA18" s="22"/>
    </row>
    <row r="19" spans="1:157">
      <c r="A19" s="17">
        <v>563</v>
      </c>
      <c r="B19" s="22">
        <v>27</v>
      </c>
      <c r="C19" s="23" t="s">
        <v>1337</v>
      </c>
      <c r="D19" s="33">
        <v>43767</v>
      </c>
      <c r="E19" s="23" t="s">
        <v>3929</v>
      </c>
      <c r="F19" s="22"/>
      <c r="G19" s="25" t="s">
        <v>3930</v>
      </c>
      <c r="H19" s="23" t="s">
        <v>3901</v>
      </c>
      <c r="I19" s="23" t="s">
        <v>3902</v>
      </c>
      <c r="J19" s="23" t="s">
        <v>68</v>
      </c>
      <c r="K19" s="23" t="s">
        <v>3931</v>
      </c>
      <c r="L19" s="32">
        <v>12</v>
      </c>
      <c r="M19" s="23" t="s">
        <v>1342</v>
      </c>
      <c r="N19" s="23" t="s">
        <v>1448</v>
      </c>
      <c r="O19" s="23" t="s">
        <v>3827</v>
      </c>
      <c r="P19" s="23" t="s">
        <v>3932</v>
      </c>
      <c r="Q19" s="22">
        <v>75240092</v>
      </c>
      <c r="R19" s="23" t="s">
        <v>1383</v>
      </c>
      <c r="S19" s="23">
        <v>3</v>
      </c>
      <c r="T19" s="23" t="s">
        <v>158</v>
      </c>
      <c r="U19" s="23">
        <v>2013</v>
      </c>
      <c r="V19" s="22" t="s">
        <v>3048</v>
      </c>
      <c r="W19" s="22" t="s">
        <v>3049</v>
      </c>
      <c r="X19" s="23" t="s">
        <v>1804</v>
      </c>
      <c r="Y19" s="22"/>
      <c r="Z19" s="22"/>
      <c r="AA19" s="23">
        <v>23</v>
      </c>
      <c r="AB19" s="23" t="s">
        <v>1342</v>
      </c>
      <c r="AC19" s="22">
        <v>1</v>
      </c>
      <c r="AD19" s="23" t="s">
        <v>1383</v>
      </c>
      <c r="AE19" s="23" t="s">
        <v>1342</v>
      </c>
      <c r="AF19" s="23" t="s">
        <v>1342</v>
      </c>
      <c r="AG19" s="23" t="s">
        <v>1342</v>
      </c>
      <c r="AH19" s="23" t="s">
        <v>1342</v>
      </c>
      <c r="AI19" s="22"/>
      <c r="AJ19" s="23" t="s">
        <v>1342</v>
      </c>
      <c r="AK19" s="23" t="s">
        <v>4199</v>
      </c>
      <c r="AL19" s="87" t="s">
        <v>1612</v>
      </c>
      <c r="AM19" s="23" t="s">
        <v>1612</v>
      </c>
      <c r="AN19" s="23" t="s">
        <v>1612</v>
      </c>
      <c r="AO19" s="23" t="s">
        <v>1612</v>
      </c>
      <c r="AP19" s="23" t="s">
        <v>1612</v>
      </c>
      <c r="AQ19" s="71" t="s">
        <v>1352</v>
      </c>
      <c r="AR19" s="23" t="s">
        <v>1612</v>
      </c>
      <c r="AS19" s="42" t="s">
        <v>1550</v>
      </c>
      <c r="AT19" s="23" t="s">
        <v>1342</v>
      </c>
      <c r="AU19" s="22">
        <v>9600</v>
      </c>
      <c r="AV19" s="22">
        <v>35000</v>
      </c>
      <c r="AW19" s="22" t="s">
        <v>2955</v>
      </c>
      <c r="AX19" s="22" t="s">
        <v>3933</v>
      </c>
      <c r="AY19" s="23" t="s">
        <v>1342</v>
      </c>
      <c r="AZ19" s="22" t="s">
        <v>1738</v>
      </c>
      <c r="BA19" s="22" t="s">
        <v>1737</v>
      </c>
      <c r="BB19" s="22" t="s">
        <v>1358</v>
      </c>
      <c r="BC19" s="22" t="s">
        <v>1358</v>
      </c>
      <c r="BD19" s="22" t="s">
        <v>1358</v>
      </c>
      <c r="BE19" s="22" t="s">
        <v>3931</v>
      </c>
      <c r="BF19" s="22"/>
      <c r="BG19" s="22"/>
      <c r="BH19" s="22">
        <v>1</v>
      </c>
      <c r="BI19" s="22">
        <v>3</v>
      </c>
      <c r="BJ19" s="22"/>
      <c r="BK19" s="22" t="s">
        <v>1434</v>
      </c>
      <c r="BL19" s="22" t="s">
        <v>2405</v>
      </c>
      <c r="BM19" s="22"/>
      <c r="BN19" s="23" t="s">
        <v>1342</v>
      </c>
      <c r="BO19" s="22"/>
      <c r="BP19" s="22"/>
      <c r="BQ19" s="23" t="s">
        <v>1383</v>
      </c>
      <c r="BR19" s="23" t="s">
        <v>1342</v>
      </c>
      <c r="BS19" s="27">
        <v>0</v>
      </c>
      <c r="BT19" s="23" t="s">
        <v>1342</v>
      </c>
      <c r="BU19" s="23" t="s">
        <v>3934</v>
      </c>
      <c r="BV19" s="23" t="s">
        <v>1342</v>
      </c>
      <c r="BW19" s="22"/>
      <c r="BX19" s="23" t="s">
        <v>1383</v>
      </c>
      <c r="BY19" s="23" t="s">
        <v>1362</v>
      </c>
      <c r="BZ19" s="23" t="s">
        <v>3912</v>
      </c>
      <c r="CA19" s="23" t="s">
        <v>3931</v>
      </c>
      <c r="CB19" s="22" t="s">
        <v>1364</v>
      </c>
      <c r="CC19" s="22" t="s">
        <v>1364</v>
      </c>
      <c r="CD19" s="22" t="s">
        <v>1364</v>
      </c>
      <c r="CE19" s="22">
        <v>4600</v>
      </c>
      <c r="CF19" s="22">
        <v>7000</v>
      </c>
      <c r="CG19" s="22">
        <v>6000</v>
      </c>
      <c r="CH19" s="22">
        <v>0</v>
      </c>
      <c r="CI19" s="22">
        <v>0</v>
      </c>
      <c r="CJ19" s="22">
        <v>0</v>
      </c>
      <c r="CK19" s="27">
        <v>0.7</v>
      </c>
      <c r="CL19" s="27">
        <v>0.7</v>
      </c>
      <c r="CM19" s="27">
        <v>0.3</v>
      </c>
      <c r="CN19" s="27">
        <v>0.3</v>
      </c>
      <c r="CO19" s="22"/>
      <c r="CP19" s="22"/>
      <c r="CQ19" s="22"/>
      <c r="CR19" s="22"/>
      <c r="CS19" s="22"/>
      <c r="CT19" s="22"/>
      <c r="CU19" s="22"/>
      <c r="CV19" s="22"/>
      <c r="CW19" s="23" t="s">
        <v>1383</v>
      </c>
      <c r="CX19" s="27">
        <v>0.15</v>
      </c>
      <c r="CY19" s="27">
        <v>0.7</v>
      </c>
      <c r="CZ19" s="22" t="s">
        <v>2905</v>
      </c>
      <c r="DA19" s="22" t="s">
        <v>1372</v>
      </c>
      <c r="DB19" s="22">
        <v>16</v>
      </c>
      <c r="DC19" s="22"/>
      <c r="DD19" s="22" t="s">
        <v>3916</v>
      </c>
      <c r="DE19" s="22" t="s">
        <v>3917</v>
      </c>
      <c r="DF19" s="22" t="s">
        <v>3918</v>
      </c>
      <c r="DG19" s="22"/>
      <c r="DH19" s="22" t="s">
        <v>3935</v>
      </c>
      <c r="DI19" s="22"/>
      <c r="DJ19" s="22"/>
      <c r="DK19" s="22"/>
      <c r="DL19" s="22" t="s">
        <v>3936</v>
      </c>
      <c r="DM19" s="22" t="s">
        <v>3121</v>
      </c>
      <c r="DN19" s="23" t="s">
        <v>1342</v>
      </c>
      <c r="DO19" s="22"/>
      <c r="DP19" s="23" t="s">
        <v>1383</v>
      </c>
      <c r="DQ19" s="22" t="s">
        <v>3937</v>
      </c>
      <c r="DR19" s="23" t="s">
        <v>1342</v>
      </c>
      <c r="DS19" s="22"/>
      <c r="DT19" s="22"/>
      <c r="DU19" s="22"/>
      <c r="DV19" s="23" t="s">
        <v>1383</v>
      </c>
      <c r="DW19" s="22" t="s">
        <v>2947</v>
      </c>
      <c r="DX19" s="23" t="s">
        <v>1383</v>
      </c>
      <c r="DY19" s="23" t="s">
        <v>1342</v>
      </c>
      <c r="DZ19" s="22" t="s">
        <v>1531</v>
      </c>
      <c r="EA19" s="23" t="s">
        <v>1383</v>
      </c>
      <c r="EB19" s="23" t="s">
        <v>1342</v>
      </c>
      <c r="EC19" s="23" t="s">
        <v>1383</v>
      </c>
      <c r="ED19" s="22" t="s">
        <v>3938</v>
      </c>
      <c r="EE19" s="27">
        <v>0.5</v>
      </c>
      <c r="EF19" s="23" t="s">
        <v>2931</v>
      </c>
      <c r="EG19" s="23" t="s">
        <v>1342</v>
      </c>
      <c r="EH19" s="22"/>
      <c r="EI19" s="22"/>
      <c r="EJ19" s="22"/>
      <c r="EK19" s="22"/>
      <c r="EL19" s="23" t="s">
        <v>1389</v>
      </c>
      <c r="EM19" s="23">
        <v>3</v>
      </c>
      <c r="EN19" s="22" t="s">
        <v>2917</v>
      </c>
      <c r="EO19" s="23">
        <v>0</v>
      </c>
      <c r="EP19" s="22" t="s">
        <v>3020</v>
      </c>
      <c r="EQ19" s="23">
        <v>2</v>
      </c>
      <c r="ER19" s="22" t="s">
        <v>3129</v>
      </c>
      <c r="ES19" s="23">
        <v>3</v>
      </c>
      <c r="ET19" s="22" t="s">
        <v>3174</v>
      </c>
      <c r="EU19" s="23">
        <v>3</v>
      </c>
      <c r="EV19" s="22" t="s">
        <v>3108</v>
      </c>
      <c r="EW19" s="23">
        <v>3</v>
      </c>
      <c r="EX19" s="22" t="s">
        <v>3927</v>
      </c>
      <c r="EY19" s="23">
        <v>1</v>
      </c>
      <c r="EZ19" s="22" t="s">
        <v>3939</v>
      </c>
      <c r="FA19" s="22"/>
    </row>
    <row r="20" spans="1:157">
      <c r="A20" s="17">
        <v>564</v>
      </c>
      <c r="B20" s="22">
        <v>13</v>
      </c>
      <c r="C20" s="23" t="s">
        <v>2278</v>
      </c>
      <c r="D20" s="24">
        <v>43772</v>
      </c>
      <c r="E20" s="23" t="s">
        <v>3839</v>
      </c>
      <c r="F20" s="25"/>
      <c r="G20" s="25"/>
      <c r="H20" s="23" t="s">
        <v>1075</v>
      </c>
      <c r="I20" s="23" t="s">
        <v>1071</v>
      </c>
      <c r="J20" s="23" t="s">
        <v>165</v>
      </c>
      <c r="K20" s="23" t="s">
        <v>3790</v>
      </c>
      <c r="L20" s="32">
        <v>5</v>
      </c>
      <c r="M20" s="23" t="s">
        <v>2690</v>
      </c>
      <c r="N20" s="23" t="s">
        <v>1343</v>
      </c>
      <c r="O20" s="23" t="s">
        <v>3827</v>
      </c>
      <c r="P20" s="23" t="s">
        <v>2723</v>
      </c>
      <c r="Q20" s="23">
        <v>75529510</v>
      </c>
      <c r="R20" s="23" t="s">
        <v>1345</v>
      </c>
      <c r="S20" s="23">
        <v>4</v>
      </c>
      <c r="T20" s="23" t="s">
        <v>1346</v>
      </c>
      <c r="U20" s="23">
        <v>2014</v>
      </c>
      <c r="V20" s="23" t="s">
        <v>3760</v>
      </c>
      <c r="W20" s="23" t="s">
        <v>3793</v>
      </c>
      <c r="X20" s="23" t="s">
        <v>1349</v>
      </c>
      <c r="Y20" s="23" t="s">
        <v>2300</v>
      </c>
      <c r="Z20" s="23" t="s">
        <v>2300</v>
      </c>
      <c r="AA20" s="23">
        <v>13</v>
      </c>
      <c r="AB20" s="23" t="s">
        <v>1349</v>
      </c>
      <c r="AC20" s="23">
        <v>2</v>
      </c>
      <c r="AD20" s="23" t="s">
        <v>1345</v>
      </c>
      <c r="AE20" s="23" t="s">
        <v>1345</v>
      </c>
      <c r="AF20" s="23" t="s">
        <v>1349</v>
      </c>
      <c r="AG20" s="23" t="s">
        <v>1349</v>
      </c>
      <c r="AH20" s="23" t="s">
        <v>2300</v>
      </c>
      <c r="AI20" s="23">
        <v>2016</v>
      </c>
      <c r="AJ20" s="23" t="s">
        <v>1349</v>
      </c>
      <c r="AK20" s="23" t="s">
        <v>2290</v>
      </c>
      <c r="AL20" s="68" t="s">
        <v>1612</v>
      </c>
      <c r="AM20" s="23" t="s">
        <v>1612</v>
      </c>
      <c r="AN20" s="23" t="s">
        <v>1612</v>
      </c>
      <c r="AO20" s="23" t="s">
        <v>1612</v>
      </c>
      <c r="AP20" s="23" t="s">
        <v>1612</v>
      </c>
      <c r="AQ20" s="71" t="s">
        <v>1352</v>
      </c>
      <c r="AR20" s="23" t="s">
        <v>1352</v>
      </c>
      <c r="AS20" s="23" t="s">
        <v>1802</v>
      </c>
      <c r="AT20" s="23" t="s">
        <v>1358</v>
      </c>
      <c r="AU20" s="23" t="s">
        <v>2249</v>
      </c>
      <c r="AV20" s="23">
        <v>1000</v>
      </c>
      <c r="AW20" s="23" t="s">
        <v>2377</v>
      </c>
      <c r="AX20" s="23" t="s">
        <v>2378</v>
      </c>
      <c r="AY20" s="23" t="s">
        <v>1349</v>
      </c>
      <c r="AZ20" s="23" t="s">
        <v>3810</v>
      </c>
      <c r="BA20" s="23" t="s">
        <v>2361</v>
      </c>
      <c r="BB20" s="23" t="s">
        <v>2647</v>
      </c>
      <c r="BC20" s="23" t="s">
        <v>2647</v>
      </c>
      <c r="BD20" s="23" t="s">
        <v>2289</v>
      </c>
      <c r="BE20" s="23" t="s">
        <v>3790</v>
      </c>
      <c r="BF20" s="23"/>
      <c r="BG20" s="23"/>
      <c r="BH20" s="23">
        <v>3</v>
      </c>
      <c r="BI20" s="23">
        <v>3</v>
      </c>
      <c r="BJ20" s="23">
        <v>8</v>
      </c>
      <c r="BK20" s="22" t="s">
        <v>1434</v>
      </c>
      <c r="BL20" s="22" t="s">
        <v>1702</v>
      </c>
      <c r="BM20" s="22" t="s">
        <v>1702</v>
      </c>
      <c r="BN20" s="23" t="s">
        <v>1349</v>
      </c>
      <c r="BO20" s="23" t="s">
        <v>2767</v>
      </c>
      <c r="BP20" s="23" t="s">
        <v>2767</v>
      </c>
      <c r="BQ20" s="23" t="s">
        <v>1349</v>
      </c>
      <c r="BR20" s="23" t="s">
        <v>1349</v>
      </c>
      <c r="BS20" s="23" t="s">
        <v>2643</v>
      </c>
      <c r="BT20" s="23" t="s">
        <v>1349</v>
      </c>
      <c r="BU20" s="23" t="s">
        <v>3830</v>
      </c>
      <c r="BV20" s="23" t="s">
        <v>1349</v>
      </c>
      <c r="BW20" s="23" t="s">
        <v>2300</v>
      </c>
      <c r="BX20" s="23" t="s">
        <v>1345</v>
      </c>
      <c r="BY20" s="23" t="s">
        <v>2302</v>
      </c>
      <c r="BZ20" s="23" t="s">
        <v>2767</v>
      </c>
      <c r="CA20" s="23" t="s">
        <v>2767</v>
      </c>
      <c r="CB20" s="23" t="s">
        <v>2289</v>
      </c>
      <c r="CC20" s="23" t="s">
        <v>2289</v>
      </c>
      <c r="CD20" s="23" t="s">
        <v>2289</v>
      </c>
      <c r="CE20" s="23">
        <v>2000</v>
      </c>
      <c r="CF20" s="23">
        <v>4500</v>
      </c>
      <c r="CG20" s="23">
        <v>2400</v>
      </c>
      <c r="CH20" s="23">
        <v>20</v>
      </c>
      <c r="CI20" s="23">
        <v>30</v>
      </c>
      <c r="CJ20" s="23">
        <v>30</v>
      </c>
      <c r="CK20" s="26">
        <v>0.4</v>
      </c>
      <c r="CL20" s="27">
        <v>0.2</v>
      </c>
      <c r="CM20" s="26">
        <v>0.6</v>
      </c>
      <c r="CN20" s="26">
        <v>0.8</v>
      </c>
      <c r="CO20" s="23" t="s">
        <v>2652</v>
      </c>
      <c r="CP20" s="23" t="s">
        <v>2289</v>
      </c>
      <c r="CQ20" s="23" t="s">
        <v>2767</v>
      </c>
      <c r="CR20" s="23">
        <v>6</v>
      </c>
      <c r="CS20" s="23" t="s">
        <v>3764</v>
      </c>
      <c r="CT20" s="23" t="s">
        <v>3765</v>
      </c>
      <c r="CU20" s="23" t="s">
        <v>1345</v>
      </c>
      <c r="CV20" s="23" t="s">
        <v>2386</v>
      </c>
      <c r="CW20" s="23" t="s">
        <v>1345</v>
      </c>
      <c r="CX20" s="26">
        <v>0.1</v>
      </c>
      <c r="CY20" s="26">
        <v>0.9</v>
      </c>
      <c r="CZ20" s="23" t="s">
        <v>2311</v>
      </c>
      <c r="DA20" s="23" t="s">
        <v>3766</v>
      </c>
      <c r="DB20" s="23" t="s">
        <v>1903</v>
      </c>
      <c r="DC20" s="23" t="s">
        <v>2643</v>
      </c>
      <c r="DD20" s="22" t="s">
        <v>2792</v>
      </c>
      <c r="DE20" s="23" t="s">
        <v>3767</v>
      </c>
      <c r="DF20" s="23" t="s">
        <v>3768</v>
      </c>
      <c r="DG20" s="23" t="s">
        <v>3769</v>
      </c>
      <c r="DH20" s="23" t="s">
        <v>2794</v>
      </c>
      <c r="DI20" s="23" t="s">
        <v>1556</v>
      </c>
      <c r="DJ20" s="23" t="s">
        <v>1556</v>
      </c>
      <c r="DK20" s="23" t="s">
        <v>1556</v>
      </c>
      <c r="DL20" s="23" t="s">
        <v>3770</v>
      </c>
      <c r="DM20" s="23" t="s">
        <v>3771</v>
      </c>
      <c r="DN20" s="23" t="s">
        <v>1345</v>
      </c>
      <c r="DO20" s="23" t="s">
        <v>3772</v>
      </c>
      <c r="DP20" s="23" t="s">
        <v>1349</v>
      </c>
      <c r="DQ20" s="23" t="s">
        <v>2647</v>
      </c>
      <c r="DR20" s="23" t="s">
        <v>1349</v>
      </c>
      <c r="DS20" s="23" t="s">
        <v>1556</v>
      </c>
      <c r="DT20" s="23" t="s">
        <v>2300</v>
      </c>
      <c r="DU20" s="23" t="s">
        <v>2300</v>
      </c>
      <c r="DV20" s="23" t="s">
        <v>1345</v>
      </c>
      <c r="DW20" s="23" t="s">
        <v>2797</v>
      </c>
      <c r="DX20" s="23" t="s">
        <v>1345</v>
      </c>
      <c r="DY20" s="23" t="s">
        <v>1349</v>
      </c>
      <c r="DZ20" s="23" t="s">
        <v>3773</v>
      </c>
      <c r="EA20" s="23" t="s">
        <v>1345</v>
      </c>
      <c r="EB20" s="23" t="s">
        <v>1345</v>
      </c>
      <c r="EC20" s="23" t="s">
        <v>1345</v>
      </c>
      <c r="ED20" s="23" t="s">
        <v>2418</v>
      </c>
      <c r="EE20" s="27">
        <v>0.1</v>
      </c>
      <c r="EF20" s="23" t="s">
        <v>2370</v>
      </c>
      <c r="EG20" s="23" t="s">
        <v>1349</v>
      </c>
      <c r="EH20" s="23" t="s">
        <v>2300</v>
      </c>
      <c r="EI20" s="23" t="s">
        <v>2326</v>
      </c>
      <c r="EJ20" s="22"/>
      <c r="EK20" s="23" t="s">
        <v>3774</v>
      </c>
      <c r="EL20" s="23" t="s">
        <v>1389</v>
      </c>
      <c r="EM20" s="23">
        <v>2</v>
      </c>
      <c r="EN20" s="23" t="s">
        <v>3795</v>
      </c>
      <c r="EO20" s="23">
        <v>3</v>
      </c>
      <c r="EP20" s="23" t="s">
        <v>3796</v>
      </c>
      <c r="EQ20" s="23">
        <v>3</v>
      </c>
      <c r="ER20" s="22" t="s">
        <v>3777</v>
      </c>
      <c r="ES20" s="23">
        <v>4</v>
      </c>
      <c r="ET20" s="22" t="s">
        <v>3778</v>
      </c>
      <c r="EU20" s="23">
        <v>4</v>
      </c>
      <c r="EV20" s="22" t="s">
        <v>3779</v>
      </c>
      <c r="EW20" s="23">
        <v>4</v>
      </c>
      <c r="EX20" s="22" t="s">
        <v>3780</v>
      </c>
      <c r="EY20" s="23">
        <v>2</v>
      </c>
      <c r="EZ20" s="22" t="s">
        <v>2424</v>
      </c>
      <c r="FA20" s="22"/>
    </row>
    <row r="21" spans="1:157">
      <c r="A21" s="17">
        <v>565</v>
      </c>
      <c r="B21" s="22">
        <v>41</v>
      </c>
      <c r="C21" s="23" t="s">
        <v>1337</v>
      </c>
      <c r="D21" s="33">
        <v>43775</v>
      </c>
      <c r="E21" s="23" t="s">
        <v>3998</v>
      </c>
      <c r="F21" s="22"/>
      <c r="G21" s="25" t="s">
        <v>3981</v>
      </c>
      <c r="H21" s="23" t="s">
        <v>3901</v>
      </c>
      <c r="I21" s="22" t="s">
        <v>3902</v>
      </c>
      <c r="J21" s="23" t="s">
        <v>3982</v>
      </c>
      <c r="K21" s="23" t="s">
        <v>4068</v>
      </c>
      <c r="L21" s="32">
        <v>5</v>
      </c>
      <c r="M21" s="23" t="s">
        <v>1342</v>
      </c>
      <c r="N21" s="23" t="s">
        <v>1343</v>
      </c>
      <c r="O21" s="23" t="s">
        <v>3827</v>
      </c>
      <c r="P21" s="23" t="s">
        <v>920</v>
      </c>
      <c r="Q21" s="22">
        <v>79724915</v>
      </c>
      <c r="R21" s="22" t="s">
        <v>1383</v>
      </c>
      <c r="S21" s="23">
        <v>3</v>
      </c>
      <c r="T21" s="23" t="s">
        <v>1346</v>
      </c>
      <c r="U21" s="23">
        <v>2013</v>
      </c>
      <c r="V21" s="22" t="s">
        <v>2896</v>
      </c>
      <c r="W21" s="22" t="s">
        <v>4069</v>
      </c>
      <c r="X21" s="23" t="s">
        <v>1862</v>
      </c>
      <c r="Y21" s="22">
        <v>2018</v>
      </c>
      <c r="Z21" s="22"/>
      <c r="AA21" s="23">
        <v>25</v>
      </c>
      <c r="AB21" s="23" t="s">
        <v>1342</v>
      </c>
      <c r="AC21" s="22">
        <v>0</v>
      </c>
      <c r="AD21" s="23" t="s">
        <v>1383</v>
      </c>
      <c r="AE21" s="23" t="s">
        <v>1342</v>
      </c>
      <c r="AF21" s="23" t="s">
        <v>1342</v>
      </c>
      <c r="AG21" s="23" t="s">
        <v>1342</v>
      </c>
      <c r="AH21" s="23" t="s">
        <v>1342</v>
      </c>
      <c r="AI21" s="22"/>
      <c r="AJ21" s="23" t="s">
        <v>1342</v>
      </c>
      <c r="AK21" s="22" t="s">
        <v>4199</v>
      </c>
      <c r="AL21" s="87" t="s">
        <v>1612</v>
      </c>
      <c r="AM21" s="23" t="s">
        <v>1612</v>
      </c>
      <c r="AN21" s="23" t="s">
        <v>1612</v>
      </c>
      <c r="AO21" s="23" t="s">
        <v>1612</v>
      </c>
      <c r="AP21" s="23" t="s">
        <v>1612</v>
      </c>
      <c r="AQ21" s="68" t="s">
        <v>1352</v>
      </c>
      <c r="AR21" s="23" t="s">
        <v>1612</v>
      </c>
      <c r="AS21" s="42" t="s">
        <v>1550</v>
      </c>
      <c r="AT21" s="22"/>
      <c r="AU21" s="22">
        <v>9600</v>
      </c>
      <c r="AV21" s="22">
        <v>30000</v>
      </c>
      <c r="AW21" s="22" t="s">
        <v>2955</v>
      </c>
      <c r="AX21" s="22" t="s">
        <v>4070</v>
      </c>
      <c r="AY21" s="23" t="s">
        <v>1342</v>
      </c>
      <c r="AZ21" s="22" t="s">
        <v>4057</v>
      </c>
      <c r="BA21" s="22">
        <v>510</v>
      </c>
      <c r="BB21" s="22" t="s">
        <v>1358</v>
      </c>
      <c r="BC21" s="22" t="s">
        <v>1358</v>
      </c>
      <c r="BD21" s="22" t="s">
        <v>1358</v>
      </c>
      <c r="BE21" s="22" t="s">
        <v>4068</v>
      </c>
      <c r="BF21" s="22"/>
      <c r="BG21" s="22"/>
      <c r="BH21" s="22">
        <v>1</v>
      </c>
      <c r="BI21" s="22">
        <v>2</v>
      </c>
      <c r="BJ21" s="22">
        <v>5</v>
      </c>
      <c r="BK21" s="22" t="s">
        <v>1702</v>
      </c>
      <c r="BL21" s="22" t="s">
        <v>1702</v>
      </c>
      <c r="BM21" s="22" t="s">
        <v>2405</v>
      </c>
      <c r="BN21" s="23" t="s">
        <v>1342</v>
      </c>
      <c r="BO21" s="22"/>
      <c r="BP21" s="22"/>
      <c r="BQ21" s="23" t="s">
        <v>1383</v>
      </c>
      <c r="BR21" s="23" t="s">
        <v>1342</v>
      </c>
      <c r="BS21" s="27">
        <v>0</v>
      </c>
      <c r="BT21" s="23" t="s">
        <v>1383</v>
      </c>
      <c r="BU21" s="23" t="s">
        <v>4071</v>
      </c>
      <c r="BV21" s="23" t="s">
        <v>1342</v>
      </c>
      <c r="BW21" s="22"/>
      <c r="BX21" s="23" t="s">
        <v>1342</v>
      </c>
      <c r="BY21" s="22"/>
      <c r="BZ21" s="22"/>
      <c r="CA21" s="22"/>
      <c r="CB21" s="22" t="s">
        <v>1364</v>
      </c>
      <c r="CC21" s="22" t="s">
        <v>1364</v>
      </c>
      <c r="CD21" s="22" t="s">
        <v>1364</v>
      </c>
      <c r="CE21" s="22">
        <v>4250</v>
      </c>
      <c r="CF21" s="22">
        <v>6800</v>
      </c>
      <c r="CG21" s="22">
        <v>4250</v>
      </c>
      <c r="CH21" s="22">
        <v>0</v>
      </c>
      <c r="CI21" s="22">
        <v>0</v>
      </c>
      <c r="CJ21" s="22">
        <v>0</v>
      </c>
      <c r="CK21" s="27">
        <v>0.6</v>
      </c>
      <c r="CL21" s="27">
        <v>0.6</v>
      </c>
      <c r="CM21" s="27">
        <v>0.4</v>
      </c>
      <c r="CN21" s="27">
        <v>0.4</v>
      </c>
      <c r="CO21" s="22"/>
      <c r="CP21" s="22"/>
      <c r="CQ21" s="22"/>
      <c r="CR21" s="22"/>
      <c r="CS21" s="22"/>
      <c r="CT21" s="22"/>
      <c r="CU21" s="22"/>
      <c r="CV21" s="22"/>
      <c r="CW21" s="23" t="s">
        <v>1342</v>
      </c>
      <c r="CX21" s="22"/>
      <c r="CY21" s="22"/>
      <c r="CZ21" s="22"/>
      <c r="DA21" s="22"/>
      <c r="DB21" s="22"/>
      <c r="DC21" s="22"/>
      <c r="DD21" s="22" t="s">
        <v>4017</v>
      </c>
      <c r="DE21" s="22" t="s">
        <v>4018</v>
      </c>
      <c r="DF21" s="22" t="s">
        <v>4019</v>
      </c>
      <c r="DG21" s="22"/>
      <c r="DH21" s="22" t="s">
        <v>4072</v>
      </c>
      <c r="DI21" s="22"/>
      <c r="DJ21" s="22"/>
      <c r="DK21" s="22"/>
      <c r="DL21" s="22" t="s">
        <v>4073</v>
      </c>
      <c r="DM21" s="22"/>
      <c r="DN21" s="23" t="s">
        <v>1342</v>
      </c>
      <c r="DO21" s="22"/>
      <c r="DP21" s="23" t="s">
        <v>1383</v>
      </c>
      <c r="DQ21" s="22" t="s">
        <v>4006</v>
      </c>
      <c r="DR21" s="23" t="s">
        <v>1342</v>
      </c>
      <c r="DS21" s="22"/>
      <c r="DT21" s="22"/>
      <c r="DU21" s="22"/>
      <c r="DV21" s="23" t="s">
        <v>1383</v>
      </c>
      <c r="DW21" s="22" t="s">
        <v>3994</v>
      </c>
      <c r="DX21" s="23" t="s">
        <v>1383</v>
      </c>
      <c r="DY21" s="23" t="s">
        <v>1342</v>
      </c>
      <c r="DZ21" s="23" t="s">
        <v>4052</v>
      </c>
      <c r="EA21" s="23" t="s">
        <v>1383</v>
      </c>
      <c r="EB21" s="23" t="s">
        <v>1383</v>
      </c>
      <c r="EC21" s="23" t="s">
        <v>1383</v>
      </c>
      <c r="ED21" s="22" t="s">
        <v>2948</v>
      </c>
      <c r="EE21" s="27">
        <v>0.3</v>
      </c>
      <c r="EF21" s="23" t="s">
        <v>2931</v>
      </c>
      <c r="EG21" s="23" t="s">
        <v>1342</v>
      </c>
      <c r="EH21" s="22"/>
      <c r="EI21" s="22"/>
      <c r="EJ21" s="22"/>
      <c r="EK21" s="22"/>
      <c r="EL21" s="23" t="s">
        <v>1389</v>
      </c>
      <c r="EM21" s="23">
        <v>2</v>
      </c>
      <c r="EN21" s="22" t="s">
        <v>4008</v>
      </c>
      <c r="EO21" s="22">
        <v>0</v>
      </c>
      <c r="EP21" s="22" t="s">
        <v>3020</v>
      </c>
      <c r="EQ21" s="23">
        <v>2</v>
      </c>
      <c r="ER21" s="22" t="s">
        <v>4039</v>
      </c>
      <c r="ES21" s="22">
        <v>4</v>
      </c>
      <c r="ET21" s="22" t="s">
        <v>4040</v>
      </c>
      <c r="EU21" s="23">
        <v>3</v>
      </c>
      <c r="EV21" s="22" t="s">
        <v>3108</v>
      </c>
      <c r="EW21" s="23">
        <v>3</v>
      </c>
      <c r="EX21" s="22" t="s">
        <v>4067</v>
      </c>
      <c r="EY21" s="23">
        <v>0</v>
      </c>
      <c r="EZ21" s="22" t="s">
        <v>2974</v>
      </c>
      <c r="FA21" s="22"/>
    </row>
    <row r="22" spans="1:157">
      <c r="A22" s="17">
        <v>566</v>
      </c>
      <c r="B22" s="22">
        <v>36</v>
      </c>
      <c r="C22" s="23" t="s">
        <v>1337</v>
      </c>
      <c r="D22" s="33">
        <v>43772</v>
      </c>
      <c r="E22" s="23" t="s">
        <v>4010</v>
      </c>
      <c r="F22" s="22"/>
      <c r="G22" s="25" t="s">
        <v>3981</v>
      </c>
      <c r="H22" s="22" t="s">
        <v>3901</v>
      </c>
      <c r="I22" s="22" t="s">
        <v>3902</v>
      </c>
      <c r="J22" s="23" t="s">
        <v>3982</v>
      </c>
      <c r="K22" s="23" t="s">
        <v>4011</v>
      </c>
      <c r="L22" s="32">
        <v>0.1</v>
      </c>
      <c r="M22" s="23" t="s">
        <v>1342</v>
      </c>
      <c r="N22" s="23" t="s">
        <v>1448</v>
      </c>
      <c r="O22" s="23" t="s">
        <v>3827</v>
      </c>
      <c r="P22" s="23" t="s">
        <v>791</v>
      </c>
      <c r="Q22" s="22">
        <v>58601975</v>
      </c>
      <c r="R22" s="23" t="s">
        <v>1383</v>
      </c>
      <c r="S22" s="23">
        <v>3</v>
      </c>
      <c r="T22" s="23" t="s">
        <v>1346</v>
      </c>
      <c r="U22" s="23">
        <v>2011</v>
      </c>
      <c r="V22" s="22" t="s">
        <v>2896</v>
      </c>
      <c r="W22" s="22" t="s">
        <v>3060</v>
      </c>
      <c r="X22" s="23" t="s">
        <v>1862</v>
      </c>
      <c r="Y22" s="22">
        <v>2018</v>
      </c>
      <c r="Z22" s="22"/>
      <c r="AA22" s="23">
        <v>30</v>
      </c>
      <c r="AB22" s="23" t="s">
        <v>1342</v>
      </c>
      <c r="AC22" s="22">
        <v>0</v>
      </c>
      <c r="AD22" s="23" t="s">
        <v>1383</v>
      </c>
      <c r="AE22" s="23" t="s">
        <v>1383</v>
      </c>
      <c r="AF22" s="23" t="s">
        <v>1383</v>
      </c>
      <c r="AG22" s="23" t="s">
        <v>1342</v>
      </c>
      <c r="AH22" s="23" t="s">
        <v>1342</v>
      </c>
      <c r="AI22" s="22">
        <v>2017</v>
      </c>
      <c r="AJ22" s="23" t="s">
        <v>1342</v>
      </c>
      <c r="AK22" s="22" t="s">
        <v>7117</v>
      </c>
      <c r="AL22" s="87" t="s">
        <v>1612</v>
      </c>
      <c r="AM22" s="23" t="s">
        <v>1352</v>
      </c>
      <c r="AN22" s="22" t="s">
        <v>1352</v>
      </c>
      <c r="AO22" s="22" t="s">
        <v>1352</v>
      </c>
      <c r="AP22" s="22" t="s">
        <v>1352</v>
      </c>
      <c r="AQ22" s="71" t="s">
        <v>1352</v>
      </c>
      <c r="AR22" s="22" t="s">
        <v>1352</v>
      </c>
      <c r="AS22" s="23" t="s">
        <v>1802</v>
      </c>
      <c r="AT22" s="22"/>
      <c r="AU22" s="22">
        <v>12000</v>
      </c>
      <c r="AV22" s="22">
        <v>25000</v>
      </c>
      <c r="AW22" s="22" t="s">
        <v>3177</v>
      </c>
      <c r="AX22" s="22" t="s">
        <v>3061</v>
      </c>
      <c r="AY22" s="23" t="s">
        <v>1342</v>
      </c>
      <c r="AZ22" s="22" t="s">
        <v>3985</v>
      </c>
      <c r="BA22" s="22" t="s">
        <v>4012</v>
      </c>
      <c r="BB22" s="22" t="s">
        <v>1358</v>
      </c>
      <c r="BC22" s="22" t="s">
        <v>1358</v>
      </c>
      <c r="BD22" s="22" t="s">
        <v>1358</v>
      </c>
      <c r="BE22" s="22" t="s">
        <v>4011</v>
      </c>
      <c r="BF22" s="22"/>
      <c r="BG22" s="22"/>
      <c r="BH22" s="22">
        <v>5</v>
      </c>
      <c r="BI22" s="22">
        <v>7</v>
      </c>
      <c r="BJ22" s="22"/>
      <c r="BK22" s="22" t="s">
        <v>2405</v>
      </c>
      <c r="BL22" s="22" t="s">
        <v>2405</v>
      </c>
      <c r="BM22" s="22"/>
      <c r="BN22" s="23" t="s">
        <v>1342</v>
      </c>
      <c r="BO22" s="22"/>
      <c r="BP22" s="22"/>
      <c r="BQ22" s="23" t="s">
        <v>1383</v>
      </c>
      <c r="BR22" s="23" t="s">
        <v>1342</v>
      </c>
      <c r="BS22" s="27">
        <v>0</v>
      </c>
      <c r="BT22" s="23" t="s">
        <v>1383</v>
      </c>
      <c r="BU22" s="23" t="s">
        <v>4013</v>
      </c>
      <c r="BV22" s="23" t="s">
        <v>1342</v>
      </c>
      <c r="BW22" s="22"/>
      <c r="BX22" s="23" t="s">
        <v>1383</v>
      </c>
      <c r="BY22" s="23" t="s">
        <v>1362</v>
      </c>
      <c r="BZ22" s="22" t="s">
        <v>3075</v>
      </c>
      <c r="CA22" s="23" t="s">
        <v>4014</v>
      </c>
      <c r="CB22" s="22" t="s">
        <v>1364</v>
      </c>
      <c r="CC22" s="22" t="s">
        <v>1364</v>
      </c>
      <c r="CD22" s="22" t="s">
        <v>1364</v>
      </c>
      <c r="CE22" s="22">
        <v>30600</v>
      </c>
      <c r="CF22" s="22">
        <v>25500</v>
      </c>
      <c r="CG22" s="22">
        <v>32300</v>
      </c>
      <c r="CH22" s="22">
        <v>90</v>
      </c>
      <c r="CI22" s="22">
        <v>90</v>
      </c>
      <c r="CJ22" s="22">
        <v>90</v>
      </c>
      <c r="CK22" s="27">
        <v>0.5</v>
      </c>
      <c r="CL22" s="27">
        <v>0.5</v>
      </c>
      <c r="CM22" s="27">
        <v>0.5</v>
      </c>
      <c r="CN22" s="27">
        <v>0.5</v>
      </c>
      <c r="CO22" s="22" t="s">
        <v>1365</v>
      </c>
      <c r="CP22" s="22" t="s">
        <v>1366</v>
      </c>
      <c r="CQ22" s="22" t="s">
        <v>4015</v>
      </c>
      <c r="CR22" s="22">
        <v>2</v>
      </c>
      <c r="CS22" s="22" t="s">
        <v>2405</v>
      </c>
      <c r="CT22" s="22" t="s">
        <v>3915</v>
      </c>
      <c r="CU22" s="22" t="s">
        <v>1383</v>
      </c>
      <c r="CV22" s="22" t="s">
        <v>1370</v>
      </c>
      <c r="CW22" s="23" t="s">
        <v>1383</v>
      </c>
      <c r="CX22" s="27">
        <v>0.1</v>
      </c>
      <c r="CY22" s="27">
        <v>0.8</v>
      </c>
      <c r="CZ22" s="22" t="s">
        <v>4016</v>
      </c>
      <c r="DA22" s="22" t="s">
        <v>1372</v>
      </c>
      <c r="DB22" s="22">
        <v>12</v>
      </c>
      <c r="DC22" s="22"/>
      <c r="DD22" s="22" t="s">
        <v>4017</v>
      </c>
      <c r="DE22" s="22" t="s">
        <v>4018</v>
      </c>
      <c r="DF22" s="22" t="s">
        <v>4019</v>
      </c>
      <c r="DG22" s="22"/>
      <c r="DH22" s="22" t="s">
        <v>4020</v>
      </c>
      <c r="DI22" s="22" t="s">
        <v>3099</v>
      </c>
      <c r="DJ22" s="22" t="s">
        <v>1381</v>
      </c>
      <c r="DK22" s="22"/>
      <c r="DL22" s="22" t="s">
        <v>3936</v>
      </c>
      <c r="DM22" s="22" t="s">
        <v>3121</v>
      </c>
      <c r="DN22" s="23" t="s">
        <v>1342</v>
      </c>
      <c r="DO22" s="22"/>
      <c r="DP22" s="23" t="s">
        <v>1383</v>
      </c>
      <c r="DQ22" s="22" t="s">
        <v>4021</v>
      </c>
      <c r="DR22" s="23" t="s">
        <v>1342</v>
      </c>
      <c r="DS22" s="22"/>
      <c r="DT22" s="22"/>
      <c r="DU22" s="22"/>
      <c r="DV22" s="23" t="s">
        <v>1383</v>
      </c>
      <c r="DW22" s="22" t="s">
        <v>4022</v>
      </c>
      <c r="DX22" s="23" t="s">
        <v>1383</v>
      </c>
      <c r="DY22" s="23" t="s">
        <v>1342</v>
      </c>
      <c r="DZ22" s="23" t="s">
        <v>3995</v>
      </c>
      <c r="EA22" s="23" t="s">
        <v>1383</v>
      </c>
      <c r="EB22" s="23" t="s">
        <v>1383</v>
      </c>
      <c r="EC22" s="23" t="s">
        <v>1383</v>
      </c>
      <c r="ED22" s="22" t="s">
        <v>2948</v>
      </c>
      <c r="EE22" s="27">
        <v>0.5</v>
      </c>
      <c r="EF22" s="22" t="s">
        <v>2931</v>
      </c>
      <c r="EG22" s="23" t="s">
        <v>1342</v>
      </c>
      <c r="EH22" s="22"/>
      <c r="EI22" s="22"/>
      <c r="EJ22" s="22"/>
      <c r="EK22" s="22"/>
      <c r="EL22" s="23" t="s">
        <v>1389</v>
      </c>
      <c r="EM22" s="23">
        <v>3</v>
      </c>
      <c r="EN22" s="22" t="s">
        <v>3996</v>
      </c>
      <c r="EO22" s="23">
        <v>1</v>
      </c>
      <c r="EP22" s="22" t="s">
        <v>4023</v>
      </c>
      <c r="EQ22" s="23">
        <v>2</v>
      </c>
      <c r="ER22" s="22" t="s">
        <v>3064</v>
      </c>
      <c r="ES22" s="23">
        <v>3</v>
      </c>
      <c r="ET22" s="22" t="s">
        <v>3065</v>
      </c>
      <c r="EU22" s="23">
        <v>4</v>
      </c>
      <c r="EV22" s="22" t="s">
        <v>4024</v>
      </c>
      <c r="EW22" s="23">
        <v>5</v>
      </c>
      <c r="EX22" s="22" t="s">
        <v>4025</v>
      </c>
      <c r="EY22" s="23">
        <v>0</v>
      </c>
      <c r="EZ22" s="22" t="s">
        <v>2974</v>
      </c>
      <c r="FA22" s="22"/>
    </row>
    <row r="23" spans="1:157">
      <c r="A23" s="17">
        <v>567</v>
      </c>
      <c r="B23" s="22">
        <v>24</v>
      </c>
      <c r="C23" s="23" t="s">
        <v>2278</v>
      </c>
      <c r="D23" s="24">
        <v>43780</v>
      </c>
      <c r="E23" s="23" t="s">
        <v>3892</v>
      </c>
      <c r="F23" s="25"/>
      <c r="G23" s="25"/>
      <c r="H23" s="23" t="s">
        <v>1075</v>
      </c>
      <c r="I23" s="23" t="s">
        <v>1071</v>
      </c>
      <c r="J23" s="23" t="s">
        <v>3851</v>
      </c>
      <c r="K23" s="23" t="s">
        <v>3878</v>
      </c>
      <c r="L23" s="32">
        <v>1</v>
      </c>
      <c r="M23" s="23" t="s">
        <v>3757</v>
      </c>
      <c r="N23" s="23" t="s">
        <v>1343</v>
      </c>
      <c r="O23" s="23" t="s">
        <v>3827</v>
      </c>
      <c r="P23" s="23" t="s">
        <v>3893</v>
      </c>
      <c r="Q23" s="23" t="s">
        <v>3894</v>
      </c>
      <c r="R23" s="23" t="s">
        <v>1345</v>
      </c>
      <c r="S23" s="23">
        <v>4</v>
      </c>
      <c r="T23" s="23" t="s">
        <v>1346</v>
      </c>
      <c r="U23" s="23">
        <v>2010</v>
      </c>
      <c r="V23" s="23" t="s">
        <v>3848</v>
      </c>
      <c r="W23" s="23" t="s">
        <v>3802</v>
      </c>
      <c r="X23" s="23" t="s">
        <v>1349</v>
      </c>
      <c r="Y23" s="23" t="s">
        <v>2300</v>
      </c>
      <c r="Z23" s="23" t="s">
        <v>2300</v>
      </c>
      <c r="AA23" s="23">
        <v>16</v>
      </c>
      <c r="AB23" s="23" t="s">
        <v>1349</v>
      </c>
      <c r="AC23" s="23">
        <v>2</v>
      </c>
      <c r="AD23" s="23" t="s">
        <v>1345</v>
      </c>
      <c r="AE23" s="23" t="s">
        <v>1345</v>
      </c>
      <c r="AF23" s="23" t="s">
        <v>1349</v>
      </c>
      <c r="AG23" s="23" t="s">
        <v>1349</v>
      </c>
      <c r="AH23" s="23" t="s">
        <v>2300</v>
      </c>
      <c r="AI23" s="23">
        <v>2014</v>
      </c>
      <c r="AJ23" s="23" t="s">
        <v>1349</v>
      </c>
      <c r="AK23" s="23" t="s">
        <v>2290</v>
      </c>
      <c r="AL23" s="68" t="s">
        <v>1612</v>
      </c>
      <c r="AM23" s="23" t="s">
        <v>1612</v>
      </c>
      <c r="AN23" s="23" t="s">
        <v>1612</v>
      </c>
      <c r="AO23" s="23" t="s">
        <v>1612</v>
      </c>
      <c r="AP23" s="23" t="s">
        <v>1612</v>
      </c>
      <c r="AQ23" s="71" t="s">
        <v>1352</v>
      </c>
      <c r="AR23" s="23" t="s">
        <v>1352</v>
      </c>
      <c r="AS23" s="23" t="s">
        <v>1802</v>
      </c>
      <c r="AT23" s="23" t="s">
        <v>1358</v>
      </c>
      <c r="AU23" s="23" t="s">
        <v>2249</v>
      </c>
      <c r="AV23" s="23">
        <v>1000</v>
      </c>
      <c r="AW23" s="23" t="s">
        <v>3889</v>
      </c>
      <c r="AX23" s="23" t="s">
        <v>2430</v>
      </c>
      <c r="AY23" s="23" t="s">
        <v>1349</v>
      </c>
      <c r="AZ23" s="23" t="s">
        <v>3794</v>
      </c>
      <c r="BA23" s="23" t="s">
        <v>2361</v>
      </c>
      <c r="BB23" s="23" t="s">
        <v>2647</v>
      </c>
      <c r="BC23" s="23" t="s">
        <v>2647</v>
      </c>
      <c r="BD23" s="23" t="s">
        <v>2289</v>
      </c>
      <c r="BE23" s="23" t="s">
        <v>3878</v>
      </c>
      <c r="BF23" s="23"/>
      <c r="BG23" s="23"/>
      <c r="BH23" s="23">
        <v>6</v>
      </c>
      <c r="BI23" s="23">
        <v>6</v>
      </c>
      <c r="BJ23" s="23">
        <v>18</v>
      </c>
      <c r="BK23" s="22" t="s">
        <v>1434</v>
      </c>
      <c r="BL23" s="22" t="s">
        <v>1702</v>
      </c>
      <c r="BM23" s="22" t="s">
        <v>1702</v>
      </c>
      <c r="BN23" s="23" t="s">
        <v>1349</v>
      </c>
      <c r="BO23" s="23" t="s">
        <v>2767</v>
      </c>
      <c r="BP23" s="23" t="s">
        <v>2767</v>
      </c>
      <c r="BQ23" s="23" t="s">
        <v>1349</v>
      </c>
      <c r="BR23" s="23" t="s">
        <v>1349</v>
      </c>
      <c r="BS23" s="23" t="s">
        <v>2643</v>
      </c>
      <c r="BT23" s="23" t="s">
        <v>1349</v>
      </c>
      <c r="BU23" s="23" t="s">
        <v>3830</v>
      </c>
      <c r="BV23" s="23" t="s">
        <v>1349</v>
      </c>
      <c r="BW23" s="23" t="s">
        <v>2300</v>
      </c>
      <c r="BX23" s="23" t="s">
        <v>1345</v>
      </c>
      <c r="BY23" s="23" t="s">
        <v>2302</v>
      </c>
      <c r="BZ23" s="23" t="s">
        <v>2767</v>
      </c>
      <c r="CA23" s="23" t="s">
        <v>2767</v>
      </c>
      <c r="CB23" s="23" t="s">
        <v>2289</v>
      </c>
      <c r="CC23" s="23" t="s">
        <v>2289</v>
      </c>
      <c r="CD23" s="23" t="s">
        <v>2289</v>
      </c>
      <c r="CE23" s="23">
        <v>0</v>
      </c>
      <c r="CF23" s="23">
        <v>1000</v>
      </c>
      <c r="CG23" s="23">
        <v>2000</v>
      </c>
      <c r="CH23" s="23">
        <v>0</v>
      </c>
      <c r="CI23" s="23">
        <v>0</v>
      </c>
      <c r="CJ23" s="23">
        <v>10</v>
      </c>
      <c r="CK23" s="27">
        <v>0.5</v>
      </c>
      <c r="CL23" s="27">
        <v>0.3</v>
      </c>
      <c r="CM23" s="27">
        <v>0.5</v>
      </c>
      <c r="CN23" s="26">
        <v>0.7</v>
      </c>
      <c r="CO23" s="23" t="s">
        <v>2652</v>
      </c>
      <c r="CP23" s="23" t="s">
        <v>2289</v>
      </c>
      <c r="CQ23" s="23" t="s">
        <v>2767</v>
      </c>
      <c r="CR23" s="23">
        <v>2</v>
      </c>
      <c r="CS23" s="23" t="s">
        <v>3764</v>
      </c>
      <c r="CT23" s="23" t="s">
        <v>3765</v>
      </c>
      <c r="CU23" s="23" t="s">
        <v>1345</v>
      </c>
      <c r="CV23" s="23" t="s">
        <v>2407</v>
      </c>
      <c r="CW23" s="23" t="s">
        <v>1345</v>
      </c>
      <c r="CX23" s="26">
        <v>0.2</v>
      </c>
      <c r="CY23" s="26">
        <v>0.8</v>
      </c>
      <c r="CZ23" s="23" t="s">
        <v>2311</v>
      </c>
      <c r="DA23" s="23" t="s">
        <v>3766</v>
      </c>
      <c r="DB23" s="23" t="s">
        <v>1903</v>
      </c>
      <c r="DC23" s="23" t="s">
        <v>2643</v>
      </c>
      <c r="DD23" s="22" t="s">
        <v>2792</v>
      </c>
      <c r="DE23" s="23" t="s">
        <v>2350</v>
      </c>
      <c r="DF23" s="23" t="s">
        <v>3768</v>
      </c>
      <c r="DG23" s="23" t="s">
        <v>3874</v>
      </c>
      <c r="DH23" s="23" t="s">
        <v>2794</v>
      </c>
      <c r="DI23" s="23" t="s">
        <v>1556</v>
      </c>
      <c r="DJ23" s="23" t="s">
        <v>1556</v>
      </c>
      <c r="DK23" s="23" t="s">
        <v>1556</v>
      </c>
      <c r="DL23" s="23" t="s">
        <v>3854</v>
      </c>
      <c r="DM23" s="23" t="s">
        <v>3771</v>
      </c>
      <c r="DN23" s="23" t="s">
        <v>1345</v>
      </c>
      <c r="DO23" s="23" t="s">
        <v>3875</v>
      </c>
      <c r="DP23" s="23" t="s">
        <v>1349</v>
      </c>
      <c r="DQ23" s="23" t="s">
        <v>2647</v>
      </c>
      <c r="DR23" s="23" t="s">
        <v>1349</v>
      </c>
      <c r="DS23" s="23" t="s">
        <v>1556</v>
      </c>
      <c r="DT23" s="23" t="s">
        <v>2300</v>
      </c>
      <c r="DU23" s="23" t="s">
        <v>2300</v>
      </c>
      <c r="DV23" s="23" t="s">
        <v>1345</v>
      </c>
      <c r="DW23" s="23" t="s">
        <v>2797</v>
      </c>
      <c r="DX23" s="23" t="s">
        <v>1345</v>
      </c>
      <c r="DY23" s="23" t="s">
        <v>1349</v>
      </c>
      <c r="DZ23" s="23" t="s">
        <v>3773</v>
      </c>
      <c r="EA23" s="23" t="s">
        <v>1345</v>
      </c>
      <c r="EB23" s="23" t="s">
        <v>1345</v>
      </c>
      <c r="EC23" s="23" t="s">
        <v>1345</v>
      </c>
      <c r="ED23" s="23" t="s">
        <v>2438</v>
      </c>
      <c r="EE23" s="27">
        <v>0.1</v>
      </c>
      <c r="EF23" s="23" t="s">
        <v>2370</v>
      </c>
      <c r="EG23" s="23" t="s">
        <v>1349</v>
      </c>
      <c r="EH23" s="23" t="s">
        <v>2300</v>
      </c>
      <c r="EI23" s="23" t="s">
        <v>2326</v>
      </c>
      <c r="EJ23" s="22"/>
      <c r="EK23" s="23" t="s">
        <v>3868</v>
      </c>
      <c r="EL23" s="23" t="s">
        <v>1389</v>
      </c>
      <c r="EM23" s="23">
        <v>3</v>
      </c>
      <c r="EN23" s="23" t="s">
        <v>3805</v>
      </c>
      <c r="EO23" s="23">
        <v>3</v>
      </c>
      <c r="EP23" s="23" t="s">
        <v>3796</v>
      </c>
      <c r="EQ23" s="23">
        <v>3</v>
      </c>
      <c r="ER23" s="22" t="s">
        <v>3777</v>
      </c>
      <c r="ES23" s="23">
        <v>4</v>
      </c>
      <c r="ET23" s="22" t="s">
        <v>3778</v>
      </c>
      <c r="EU23" s="23">
        <v>4</v>
      </c>
      <c r="EV23" s="22" t="s">
        <v>3779</v>
      </c>
      <c r="EW23" s="23">
        <v>3</v>
      </c>
      <c r="EX23" s="22" t="s">
        <v>3780</v>
      </c>
      <c r="EY23" s="23">
        <v>2</v>
      </c>
      <c r="EZ23" s="22" t="s">
        <v>2424</v>
      </c>
      <c r="FA23" s="22"/>
    </row>
    <row r="24" spans="1:157">
      <c r="A24" s="17">
        <v>568</v>
      </c>
      <c r="B24" s="22">
        <v>22</v>
      </c>
      <c r="C24" s="23" t="s">
        <v>2278</v>
      </c>
      <c r="D24" s="24">
        <v>43779</v>
      </c>
      <c r="E24" s="23" t="s">
        <v>3886</v>
      </c>
      <c r="F24" s="25"/>
      <c r="G24" s="25"/>
      <c r="H24" s="23" t="s">
        <v>1075</v>
      </c>
      <c r="I24" s="23" t="s">
        <v>1071</v>
      </c>
      <c r="J24" s="23" t="s">
        <v>3851</v>
      </c>
      <c r="K24" s="23" t="s">
        <v>3878</v>
      </c>
      <c r="L24" s="32">
        <v>3</v>
      </c>
      <c r="M24" s="23" t="s">
        <v>3757</v>
      </c>
      <c r="N24" s="23" t="s">
        <v>1343</v>
      </c>
      <c r="O24" s="23" t="s">
        <v>3827</v>
      </c>
      <c r="P24" s="23" t="s">
        <v>737</v>
      </c>
      <c r="Q24" s="23">
        <v>79252867</v>
      </c>
      <c r="R24" s="23" t="s">
        <v>1345</v>
      </c>
      <c r="S24" s="23">
        <v>3</v>
      </c>
      <c r="T24" s="23" t="s">
        <v>1346</v>
      </c>
      <c r="U24" s="23">
        <v>2015</v>
      </c>
      <c r="V24" s="23" t="s">
        <v>3760</v>
      </c>
      <c r="W24" s="23" t="s">
        <v>3802</v>
      </c>
      <c r="X24" s="23" t="s">
        <v>1349</v>
      </c>
      <c r="Y24" s="23" t="s">
        <v>2300</v>
      </c>
      <c r="Z24" s="23" t="s">
        <v>2300</v>
      </c>
      <c r="AA24" s="23">
        <v>20</v>
      </c>
      <c r="AB24" s="23" t="s">
        <v>1349</v>
      </c>
      <c r="AC24" s="23">
        <v>3</v>
      </c>
      <c r="AD24" s="23" t="s">
        <v>1345</v>
      </c>
      <c r="AE24" s="23" t="s">
        <v>1349</v>
      </c>
      <c r="AF24" s="23" t="s">
        <v>1349</v>
      </c>
      <c r="AG24" s="23" t="s">
        <v>1349</v>
      </c>
      <c r="AH24" s="23" t="s">
        <v>3887</v>
      </c>
      <c r="AI24" s="23">
        <v>2016</v>
      </c>
      <c r="AJ24" s="23" t="s">
        <v>1349</v>
      </c>
      <c r="AK24" s="23" t="s">
        <v>3888</v>
      </c>
      <c r="AL24" s="68" t="s">
        <v>1612</v>
      </c>
      <c r="AM24" s="23" t="s">
        <v>1612</v>
      </c>
      <c r="AN24" s="23" t="s">
        <v>1612</v>
      </c>
      <c r="AO24" s="23" t="s">
        <v>1612</v>
      </c>
      <c r="AP24" s="23" t="s">
        <v>1612</v>
      </c>
      <c r="AQ24" s="71" t="s">
        <v>1352</v>
      </c>
      <c r="AR24" s="23" t="s">
        <v>3451</v>
      </c>
      <c r="AS24" s="23" t="s">
        <v>1802</v>
      </c>
      <c r="AT24" s="23" t="s">
        <v>1358</v>
      </c>
      <c r="AU24" s="23" t="s">
        <v>2249</v>
      </c>
      <c r="AV24" s="23">
        <v>1000</v>
      </c>
      <c r="AW24" s="23" t="s">
        <v>3889</v>
      </c>
      <c r="AX24" s="23" t="s">
        <v>2398</v>
      </c>
      <c r="AY24" s="23" t="s">
        <v>1349</v>
      </c>
      <c r="AZ24" s="23" t="s">
        <v>3762</v>
      </c>
      <c r="BA24" s="23" t="s">
        <v>2361</v>
      </c>
      <c r="BB24" s="23" t="s">
        <v>2647</v>
      </c>
      <c r="BC24" s="23" t="s">
        <v>2647</v>
      </c>
      <c r="BD24" s="23" t="s">
        <v>2289</v>
      </c>
      <c r="BE24" s="23" t="s">
        <v>3878</v>
      </c>
      <c r="BF24" s="23"/>
      <c r="BG24" s="23"/>
      <c r="BH24" s="23">
        <v>6</v>
      </c>
      <c r="BI24" s="23">
        <v>6</v>
      </c>
      <c r="BJ24" s="23">
        <v>16</v>
      </c>
      <c r="BK24" s="22" t="s">
        <v>1434</v>
      </c>
      <c r="BL24" s="22" t="s">
        <v>1702</v>
      </c>
      <c r="BM24" s="22" t="s">
        <v>1702</v>
      </c>
      <c r="BN24" s="23" t="s">
        <v>1349</v>
      </c>
      <c r="BO24" s="23" t="s">
        <v>2767</v>
      </c>
      <c r="BP24" s="23" t="s">
        <v>2767</v>
      </c>
      <c r="BQ24" s="23" t="s">
        <v>1349</v>
      </c>
      <c r="BR24" s="23" t="s">
        <v>1349</v>
      </c>
      <c r="BS24" s="23" t="s">
        <v>2643</v>
      </c>
      <c r="BT24" s="23" t="s">
        <v>1349</v>
      </c>
      <c r="BU24" s="23" t="s">
        <v>3830</v>
      </c>
      <c r="BV24" s="23" t="s">
        <v>1349</v>
      </c>
      <c r="BW24" s="23" t="s">
        <v>2300</v>
      </c>
      <c r="BX24" s="23" t="s">
        <v>1345</v>
      </c>
      <c r="BY24" s="23" t="s">
        <v>2302</v>
      </c>
      <c r="BZ24" s="23" t="s">
        <v>2767</v>
      </c>
      <c r="CA24" s="23" t="s">
        <v>2767</v>
      </c>
      <c r="CB24" s="23" t="s">
        <v>2289</v>
      </c>
      <c r="CC24" s="23" t="s">
        <v>2289</v>
      </c>
      <c r="CD24" s="23" t="s">
        <v>2289</v>
      </c>
      <c r="CE24" s="23">
        <v>1000</v>
      </c>
      <c r="CF24" s="23">
        <v>0</v>
      </c>
      <c r="CG24" s="23">
        <v>0</v>
      </c>
      <c r="CH24" s="23">
        <v>0</v>
      </c>
      <c r="CI24" s="23">
        <v>0</v>
      </c>
      <c r="CJ24" s="23">
        <v>0</v>
      </c>
      <c r="CK24" s="26">
        <v>0.4</v>
      </c>
      <c r="CL24" s="27">
        <v>0.5</v>
      </c>
      <c r="CM24" s="26">
        <v>0.6</v>
      </c>
      <c r="CN24" s="26">
        <v>0.5</v>
      </c>
      <c r="CO24" s="23" t="s">
        <v>2652</v>
      </c>
      <c r="CP24" s="23" t="s">
        <v>2289</v>
      </c>
      <c r="CQ24" s="23" t="s">
        <v>2767</v>
      </c>
      <c r="CR24" s="23">
        <v>0.8</v>
      </c>
      <c r="CS24" s="23" t="s">
        <v>3764</v>
      </c>
      <c r="CT24" s="23" t="s">
        <v>3765</v>
      </c>
      <c r="CU24" s="23" t="s">
        <v>1345</v>
      </c>
      <c r="CV24" s="23" t="s">
        <v>2407</v>
      </c>
      <c r="CW24" s="23" t="s">
        <v>1345</v>
      </c>
      <c r="CX24" s="26">
        <v>0.6</v>
      </c>
      <c r="CY24" s="26">
        <v>0.4</v>
      </c>
      <c r="CZ24" s="23" t="s">
        <v>2311</v>
      </c>
      <c r="DA24" s="23" t="s">
        <v>3766</v>
      </c>
      <c r="DB24" s="23" t="s">
        <v>1903</v>
      </c>
      <c r="DC24" s="23" t="s">
        <v>2643</v>
      </c>
      <c r="DD24" s="22" t="s">
        <v>2792</v>
      </c>
      <c r="DE24" s="23" t="s">
        <v>2350</v>
      </c>
      <c r="DF24" s="23" t="s">
        <v>3768</v>
      </c>
      <c r="DG24" s="23" t="s">
        <v>3874</v>
      </c>
      <c r="DH24" s="23" t="s">
        <v>2794</v>
      </c>
      <c r="DI24" s="23" t="s">
        <v>1556</v>
      </c>
      <c r="DJ24" s="23" t="s">
        <v>1556</v>
      </c>
      <c r="DK24" s="23" t="s">
        <v>1556</v>
      </c>
      <c r="DL24" s="23" t="s">
        <v>3770</v>
      </c>
      <c r="DM24" s="23" t="s">
        <v>3771</v>
      </c>
      <c r="DN24" s="23" t="s">
        <v>1345</v>
      </c>
      <c r="DO24" s="23" t="s">
        <v>3875</v>
      </c>
      <c r="DP24" s="23" t="s">
        <v>1349</v>
      </c>
      <c r="DQ24" s="23" t="s">
        <v>2647</v>
      </c>
      <c r="DR24" s="23" t="s">
        <v>1349</v>
      </c>
      <c r="DS24" s="23" t="s">
        <v>1556</v>
      </c>
      <c r="DT24" s="23" t="s">
        <v>2300</v>
      </c>
      <c r="DU24" s="23" t="s">
        <v>2300</v>
      </c>
      <c r="DV24" s="23" t="s">
        <v>1345</v>
      </c>
      <c r="DW24" s="23" t="s">
        <v>2797</v>
      </c>
      <c r="DX24" s="23" t="s">
        <v>1345</v>
      </c>
      <c r="DY24" s="23" t="s">
        <v>1349</v>
      </c>
      <c r="DZ24" s="23" t="s">
        <v>3773</v>
      </c>
      <c r="EA24" s="23" t="s">
        <v>1345</v>
      </c>
      <c r="EB24" s="23" t="s">
        <v>1345</v>
      </c>
      <c r="EC24" s="23" t="s">
        <v>1345</v>
      </c>
      <c r="ED24" s="23" t="s">
        <v>2418</v>
      </c>
      <c r="EE24" s="27">
        <v>0.1</v>
      </c>
      <c r="EF24" s="23" t="s">
        <v>2370</v>
      </c>
      <c r="EG24" s="23" t="s">
        <v>1349</v>
      </c>
      <c r="EH24" s="23" t="s">
        <v>2300</v>
      </c>
      <c r="EI24" s="23" t="s">
        <v>2326</v>
      </c>
      <c r="EJ24" s="22"/>
      <c r="EK24" s="23" t="s">
        <v>3868</v>
      </c>
      <c r="EL24" s="23" t="s">
        <v>1389</v>
      </c>
      <c r="EM24" s="23">
        <v>4</v>
      </c>
      <c r="EN24" s="23" t="s">
        <v>3805</v>
      </c>
      <c r="EO24" s="23">
        <v>3</v>
      </c>
      <c r="EP24" s="23" t="s">
        <v>3796</v>
      </c>
      <c r="EQ24" s="23">
        <v>3</v>
      </c>
      <c r="ER24" s="22" t="s">
        <v>3777</v>
      </c>
      <c r="ES24" s="23">
        <v>4</v>
      </c>
      <c r="ET24" s="22" t="s">
        <v>3778</v>
      </c>
      <c r="EU24" s="23">
        <v>4</v>
      </c>
      <c r="EV24" s="22" t="s">
        <v>3779</v>
      </c>
      <c r="EW24" s="23">
        <v>4</v>
      </c>
      <c r="EX24" s="22" t="s">
        <v>3780</v>
      </c>
      <c r="EY24" s="23">
        <v>2</v>
      </c>
      <c r="EZ24" s="22" t="s">
        <v>2424</v>
      </c>
      <c r="FA24" s="22"/>
    </row>
    <row r="25" spans="1:157">
      <c r="A25" s="17">
        <v>569</v>
      </c>
      <c r="B25" s="22">
        <v>39</v>
      </c>
      <c r="C25" s="23" t="s">
        <v>1337</v>
      </c>
      <c r="D25" s="33">
        <v>43774</v>
      </c>
      <c r="E25" s="23" t="s">
        <v>4054</v>
      </c>
      <c r="F25" s="22"/>
      <c r="G25" s="25" t="s">
        <v>3981</v>
      </c>
      <c r="H25" s="23" t="s">
        <v>3901</v>
      </c>
      <c r="I25" s="22" t="s">
        <v>3902</v>
      </c>
      <c r="J25" s="23" t="s">
        <v>3982</v>
      </c>
      <c r="K25" s="23" t="s">
        <v>4055</v>
      </c>
      <c r="L25" s="32">
        <v>6</v>
      </c>
      <c r="M25" s="23" t="s">
        <v>1342</v>
      </c>
      <c r="N25" s="23" t="s">
        <v>1343</v>
      </c>
      <c r="O25" s="23" t="s">
        <v>817</v>
      </c>
      <c r="P25" s="23" t="s">
        <v>4056</v>
      </c>
      <c r="Q25" s="22">
        <v>65427644</v>
      </c>
      <c r="R25" s="23" t="s">
        <v>1383</v>
      </c>
      <c r="S25" s="23">
        <v>3</v>
      </c>
      <c r="T25" s="23" t="s">
        <v>1346</v>
      </c>
      <c r="U25" s="23">
        <v>2011</v>
      </c>
      <c r="V25" s="22" t="s">
        <v>2896</v>
      </c>
      <c r="W25" s="22" t="s">
        <v>3071</v>
      </c>
      <c r="X25" s="23" t="s">
        <v>1862</v>
      </c>
      <c r="Y25" s="22">
        <v>2018</v>
      </c>
      <c r="Z25" s="22"/>
      <c r="AA25" s="23">
        <v>27</v>
      </c>
      <c r="AB25" s="23" t="s">
        <v>1342</v>
      </c>
      <c r="AC25" s="22">
        <v>0</v>
      </c>
      <c r="AD25" s="23" t="s">
        <v>1383</v>
      </c>
      <c r="AE25" s="23" t="s">
        <v>1342</v>
      </c>
      <c r="AF25" s="23" t="s">
        <v>1342</v>
      </c>
      <c r="AG25" s="23" t="s">
        <v>1342</v>
      </c>
      <c r="AH25" s="23" t="s">
        <v>1342</v>
      </c>
      <c r="AI25" s="22"/>
      <c r="AJ25" s="23" t="s">
        <v>1342</v>
      </c>
      <c r="AK25" s="22" t="s">
        <v>4199</v>
      </c>
      <c r="AL25" s="87" t="s">
        <v>1612</v>
      </c>
      <c r="AM25" s="23" t="s">
        <v>1612</v>
      </c>
      <c r="AN25" s="23" t="s">
        <v>1612</v>
      </c>
      <c r="AO25" s="23" t="s">
        <v>1612</v>
      </c>
      <c r="AP25" s="23" t="s">
        <v>1612</v>
      </c>
      <c r="AQ25" s="68" t="s">
        <v>1352</v>
      </c>
      <c r="AR25" s="23" t="s">
        <v>1612</v>
      </c>
      <c r="AS25" s="42" t="s">
        <v>1550</v>
      </c>
      <c r="AT25" s="22"/>
      <c r="AU25" s="22">
        <v>9600</v>
      </c>
      <c r="AV25" s="22">
        <v>15000</v>
      </c>
      <c r="AW25" s="22" t="s">
        <v>2955</v>
      </c>
      <c r="AX25" s="22" t="s">
        <v>4002</v>
      </c>
      <c r="AY25" s="23" t="s">
        <v>1342</v>
      </c>
      <c r="AZ25" s="22" t="s">
        <v>4057</v>
      </c>
      <c r="BA25" s="22">
        <v>510</v>
      </c>
      <c r="BB25" s="22" t="s">
        <v>1358</v>
      </c>
      <c r="BC25" s="22" t="s">
        <v>1358</v>
      </c>
      <c r="BD25" s="22" t="s">
        <v>1358</v>
      </c>
      <c r="BE25" s="22" t="s">
        <v>4055</v>
      </c>
      <c r="BF25" s="22"/>
      <c r="BG25" s="22"/>
      <c r="BH25" s="22">
        <v>3</v>
      </c>
      <c r="BI25" s="22">
        <v>3</v>
      </c>
      <c r="BJ25" s="22"/>
      <c r="BK25" s="22" t="s">
        <v>2405</v>
      </c>
      <c r="BL25" s="22" t="s">
        <v>2405</v>
      </c>
      <c r="BM25" s="22"/>
      <c r="BN25" s="23" t="s">
        <v>1342</v>
      </c>
      <c r="BO25" s="22"/>
      <c r="BP25" s="22"/>
      <c r="BQ25" s="23" t="s">
        <v>1383</v>
      </c>
      <c r="BR25" s="23" t="s">
        <v>1342</v>
      </c>
      <c r="BS25" s="27">
        <v>0</v>
      </c>
      <c r="BT25" s="23" t="s">
        <v>1383</v>
      </c>
      <c r="BU25" s="23" t="s">
        <v>4058</v>
      </c>
      <c r="BV25" s="23" t="s">
        <v>1342</v>
      </c>
      <c r="BW25" s="22"/>
      <c r="BX25" s="23" t="s">
        <v>1383</v>
      </c>
      <c r="BY25" s="23" t="s">
        <v>1362</v>
      </c>
      <c r="BZ25" s="23" t="s">
        <v>3075</v>
      </c>
      <c r="CA25" s="23" t="s">
        <v>4055</v>
      </c>
      <c r="CB25" s="22" t="s">
        <v>1364</v>
      </c>
      <c r="CC25" s="22" t="s">
        <v>1364</v>
      </c>
      <c r="CD25" s="22" t="s">
        <v>1364</v>
      </c>
      <c r="CE25" s="22">
        <v>11475</v>
      </c>
      <c r="CF25" s="22">
        <v>9180</v>
      </c>
      <c r="CG25" s="22">
        <v>6885</v>
      </c>
      <c r="CH25" s="22">
        <v>0</v>
      </c>
      <c r="CI25" s="22">
        <v>0</v>
      </c>
      <c r="CJ25" s="22">
        <v>0</v>
      </c>
      <c r="CK25" s="27">
        <v>0.6</v>
      </c>
      <c r="CL25" s="27">
        <v>1</v>
      </c>
      <c r="CM25" s="27">
        <v>0.4</v>
      </c>
      <c r="CN25" s="27">
        <v>1</v>
      </c>
      <c r="CO25" s="22"/>
      <c r="CP25" s="22"/>
      <c r="CQ25" s="22"/>
      <c r="CR25" s="22"/>
      <c r="CS25" s="22"/>
      <c r="CT25" s="22"/>
      <c r="CU25" s="22"/>
      <c r="CV25" s="22"/>
      <c r="CW25" s="23" t="s">
        <v>1383</v>
      </c>
      <c r="CX25" s="27">
        <v>0.1</v>
      </c>
      <c r="CY25" s="27">
        <v>0.85</v>
      </c>
      <c r="CZ25" s="22" t="s">
        <v>4047</v>
      </c>
      <c r="DA25" s="22" t="s">
        <v>1372</v>
      </c>
      <c r="DB25" s="22">
        <v>10</v>
      </c>
      <c r="DC25" s="22"/>
      <c r="DD25" s="22" t="s">
        <v>4017</v>
      </c>
      <c r="DE25" s="22" t="s">
        <v>4018</v>
      </c>
      <c r="DF25" s="22" t="s">
        <v>4019</v>
      </c>
      <c r="DG25" s="22"/>
      <c r="DH25" s="22" t="s">
        <v>3991</v>
      </c>
      <c r="DI25" s="22"/>
      <c r="DJ25" s="22"/>
      <c r="DK25" s="22"/>
      <c r="DL25" s="22" t="s">
        <v>4005</v>
      </c>
      <c r="DM25" s="22"/>
      <c r="DN25" s="23" t="s">
        <v>1342</v>
      </c>
      <c r="DO25" s="22"/>
      <c r="DP25" s="23" t="s">
        <v>1383</v>
      </c>
      <c r="DQ25" s="22"/>
      <c r="DR25" s="23" t="s">
        <v>1342</v>
      </c>
      <c r="DS25" s="22"/>
      <c r="DT25" s="22"/>
      <c r="DU25" s="22"/>
      <c r="DV25" s="23" t="s">
        <v>1383</v>
      </c>
      <c r="DW25" s="22" t="s">
        <v>3994</v>
      </c>
      <c r="DX25" s="23" t="s">
        <v>1383</v>
      </c>
      <c r="DY25" s="23" t="s">
        <v>1342</v>
      </c>
      <c r="DZ25" s="23" t="s">
        <v>4052</v>
      </c>
      <c r="EA25" s="23" t="s">
        <v>1383</v>
      </c>
      <c r="EB25" s="23" t="s">
        <v>1383</v>
      </c>
      <c r="EC25" s="23" t="s">
        <v>1383</v>
      </c>
      <c r="ED25" s="23" t="s">
        <v>4007</v>
      </c>
      <c r="EE25" s="27">
        <v>0.3</v>
      </c>
      <c r="EF25" s="23" t="s">
        <v>2931</v>
      </c>
      <c r="EG25" s="23" t="s">
        <v>1342</v>
      </c>
      <c r="EH25" s="22"/>
      <c r="EI25" s="22"/>
      <c r="EJ25" s="22"/>
      <c r="EK25" s="22"/>
      <c r="EL25" s="23" t="s">
        <v>1389</v>
      </c>
      <c r="EM25" s="23">
        <v>2</v>
      </c>
      <c r="EN25" s="22" t="s">
        <v>4008</v>
      </c>
      <c r="EO25" s="22">
        <v>0</v>
      </c>
      <c r="EP25" s="22" t="s">
        <v>3020</v>
      </c>
      <c r="EQ25" s="23">
        <v>2</v>
      </c>
      <c r="ER25" s="22" t="s">
        <v>3064</v>
      </c>
      <c r="ES25" s="23">
        <v>3</v>
      </c>
      <c r="ET25" s="22" t="s">
        <v>3065</v>
      </c>
      <c r="EU25" s="23">
        <v>3</v>
      </c>
      <c r="EV25" s="22" t="s">
        <v>3108</v>
      </c>
      <c r="EW25" s="23">
        <v>3</v>
      </c>
      <c r="EX25" s="22" t="s">
        <v>4059</v>
      </c>
      <c r="EY25" s="23">
        <v>0</v>
      </c>
      <c r="EZ25" s="22" t="s">
        <v>2974</v>
      </c>
      <c r="FA25" s="22"/>
    </row>
    <row r="26" spans="1:157">
      <c r="A26" s="17">
        <v>570</v>
      </c>
      <c r="B26" s="22">
        <v>55</v>
      </c>
      <c r="C26" s="38" t="s">
        <v>1795</v>
      </c>
      <c r="D26" s="39">
        <v>43769</v>
      </c>
      <c r="E26" s="38" t="s">
        <v>4232</v>
      </c>
      <c r="F26" s="40" t="s">
        <v>1728</v>
      </c>
      <c r="G26" s="40" t="s">
        <v>3856</v>
      </c>
      <c r="H26" s="38" t="s">
        <v>4158</v>
      </c>
      <c r="I26" s="38" t="s">
        <v>1071</v>
      </c>
      <c r="J26" s="23" t="s">
        <v>3856</v>
      </c>
      <c r="K26" s="38" t="s">
        <v>4221</v>
      </c>
      <c r="L26" s="42">
        <v>3</v>
      </c>
      <c r="M26" s="42" t="s">
        <v>4222</v>
      </c>
      <c r="N26" s="42" t="s">
        <v>1343</v>
      </c>
      <c r="O26" s="42" t="s">
        <v>4233</v>
      </c>
      <c r="P26" s="42" t="s">
        <v>892</v>
      </c>
      <c r="Q26" s="38">
        <v>76653753</v>
      </c>
      <c r="R26" s="38" t="s">
        <v>1345</v>
      </c>
      <c r="S26" s="38">
        <v>7</v>
      </c>
      <c r="T26" s="42" t="s">
        <v>1346</v>
      </c>
      <c r="U26" s="38">
        <v>2009</v>
      </c>
      <c r="V26" s="42" t="s">
        <v>4224</v>
      </c>
      <c r="W26" s="42" t="s">
        <v>3729</v>
      </c>
      <c r="X26" s="38" t="s">
        <v>1349</v>
      </c>
      <c r="Y26" s="38"/>
      <c r="Z26" s="38"/>
      <c r="AA26" s="38">
        <v>13</v>
      </c>
      <c r="AB26" s="38" t="s">
        <v>1345</v>
      </c>
      <c r="AC26" s="38">
        <v>2</v>
      </c>
      <c r="AD26" s="38" t="s">
        <v>1345</v>
      </c>
      <c r="AE26" s="38" t="s">
        <v>1349</v>
      </c>
      <c r="AF26" s="38" t="s">
        <v>1349</v>
      </c>
      <c r="AG26" s="38" t="s">
        <v>1349</v>
      </c>
      <c r="AH26" s="42" t="s">
        <v>1358</v>
      </c>
      <c r="AI26" s="38" t="s">
        <v>3384</v>
      </c>
      <c r="AJ26" s="38" t="s">
        <v>1349</v>
      </c>
      <c r="AK26" s="87" t="s">
        <v>4199</v>
      </c>
      <c r="AL26" s="87" t="s">
        <v>1612</v>
      </c>
      <c r="AM26" s="23" t="s">
        <v>1612</v>
      </c>
      <c r="AN26" s="38" t="s">
        <v>1550</v>
      </c>
      <c r="AO26" s="38" t="s">
        <v>1550</v>
      </c>
      <c r="AP26" s="38" t="s">
        <v>1550</v>
      </c>
      <c r="AQ26" s="87" t="s">
        <v>1352</v>
      </c>
      <c r="AR26" s="88" t="s">
        <v>3451</v>
      </c>
      <c r="AS26" s="42" t="s">
        <v>1550</v>
      </c>
      <c r="AT26" s="42" t="s">
        <v>1804</v>
      </c>
      <c r="AU26" s="42" t="s">
        <v>2727</v>
      </c>
      <c r="AV26" s="42"/>
      <c r="AW26" s="42" t="s">
        <v>4225</v>
      </c>
      <c r="AX26" s="42" t="s">
        <v>3709</v>
      </c>
      <c r="AY26" s="38" t="s">
        <v>1349</v>
      </c>
      <c r="AZ26" s="42" t="s">
        <v>4226</v>
      </c>
      <c r="BA26" s="42" t="s">
        <v>4234</v>
      </c>
      <c r="BB26" s="42" t="s">
        <v>1358</v>
      </c>
      <c r="BC26" s="42" t="s">
        <v>1358</v>
      </c>
      <c r="BD26" s="42" t="s">
        <v>1358</v>
      </c>
      <c r="BE26" s="42" t="s">
        <v>1810</v>
      </c>
      <c r="BF26" s="42"/>
      <c r="BG26" s="42"/>
      <c r="BH26" s="42">
        <v>3</v>
      </c>
      <c r="BI26" s="42">
        <v>3</v>
      </c>
      <c r="BJ26" s="42">
        <v>10</v>
      </c>
      <c r="BK26" s="42" t="s">
        <v>4164</v>
      </c>
      <c r="BL26" s="42" t="s">
        <v>4164</v>
      </c>
      <c r="BM26" s="42" t="s">
        <v>4164</v>
      </c>
      <c r="BN26" s="38" t="s">
        <v>1349</v>
      </c>
      <c r="BO26" s="42"/>
      <c r="BP26" s="42"/>
      <c r="BQ26" s="38" t="s">
        <v>1345</v>
      </c>
      <c r="BR26" s="38" t="s">
        <v>1345</v>
      </c>
      <c r="BS26" s="42" t="s">
        <v>1358</v>
      </c>
      <c r="BT26" s="38" t="s">
        <v>1383</v>
      </c>
      <c r="BU26" s="42" t="s">
        <v>4165</v>
      </c>
      <c r="BV26" s="38" t="s">
        <v>1349</v>
      </c>
      <c r="BW26" s="42"/>
      <c r="BX26" s="38" t="s">
        <v>1345</v>
      </c>
      <c r="BY26" s="42" t="s">
        <v>1362</v>
      </c>
      <c r="BZ26" s="38" t="s">
        <v>3600</v>
      </c>
      <c r="CA26" s="38" t="s">
        <v>4228</v>
      </c>
      <c r="CB26" s="42" t="s">
        <v>1935</v>
      </c>
      <c r="CC26" s="42" t="s">
        <v>1935</v>
      </c>
      <c r="CD26" s="38" t="s">
        <v>1935</v>
      </c>
      <c r="CE26" s="42">
        <v>49920</v>
      </c>
      <c r="CF26" s="42">
        <v>49920</v>
      </c>
      <c r="CG26" s="42">
        <v>40300</v>
      </c>
      <c r="CH26" s="42" t="s">
        <v>1935</v>
      </c>
      <c r="CI26" s="42" t="s">
        <v>1935</v>
      </c>
      <c r="CJ26" s="42" t="s">
        <v>1935</v>
      </c>
      <c r="CK26" s="42" t="s">
        <v>1904</v>
      </c>
      <c r="CL26" s="43">
        <v>0.06</v>
      </c>
      <c r="CM26" s="42" t="s">
        <v>1904</v>
      </c>
      <c r="CN26" s="43">
        <v>0.94</v>
      </c>
      <c r="CO26" s="42" t="s">
        <v>3451</v>
      </c>
      <c r="CP26" s="42"/>
      <c r="CQ26" s="42"/>
      <c r="CR26" s="42"/>
      <c r="CS26" s="42"/>
      <c r="CT26" s="42"/>
      <c r="CU26" s="38"/>
      <c r="CV26" s="42"/>
      <c r="CW26" s="38" t="s">
        <v>1345</v>
      </c>
      <c r="CX26" s="43">
        <v>0.05</v>
      </c>
      <c r="CY26" s="43">
        <v>0.9</v>
      </c>
      <c r="CZ26" s="42" t="s">
        <v>3750</v>
      </c>
      <c r="DA26" s="42" t="s">
        <v>3734</v>
      </c>
      <c r="DB26" s="42" t="s">
        <v>1808</v>
      </c>
      <c r="DC26" s="42" t="s">
        <v>1936</v>
      </c>
      <c r="DD26" s="42" t="s">
        <v>2044</v>
      </c>
      <c r="DE26" s="42" t="s">
        <v>4235</v>
      </c>
      <c r="DF26" s="42" t="s">
        <v>4169</v>
      </c>
      <c r="DG26" s="42" t="s">
        <v>4236</v>
      </c>
      <c r="DH26" s="42" t="s">
        <v>4229</v>
      </c>
      <c r="DI26" s="42" t="s">
        <v>3384</v>
      </c>
      <c r="DJ26" s="42" t="s">
        <v>4206</v>
      </c>
      <c r="DK26" s="42" t="s">
        <v>3384</v>
      </c>
      <c r="DL26" s="42" t="s">
        <v>4172</v>
      </c>
      <c r="DM26" s="42" t="s">
        <v>3384</v>
      </c>
      <c r="DN26" s="38" t="s">
        <v>1349</v>
      </c>
      <c r="DO26" s="42" t="s">
        <v>1358</v>
      </c>
      <c r="DP26" s="38" t="s">
        <v>1349</v>
      </c>
      <c r="DQ26" s="42" t="s">
        <v>1358</v>
      </c>
      <c r="DR26" s="38" t="s">
        <v>1349</v>
      </c>
      <c r="DS26" s="42"/>
      <c r="DT26" s="42"/>
      <c r="DU26" s="42"/>
      <c r="DV26" s="38" t="s">
        <v>1345</v>
      </c>
      <c r="DW26" s="42" t="s">
        <v>1945</v>
      </c>
      <c r="DX26" s="38" t="s">
        <v>1345</v>
      </c>
      <c r="DY26" s="38" t="s">
        <v>1349</v>
      </c>
      <c r="DZ26" s="42" t="s">
        <v>4191</v>
      </c>
      <c r="EA26" s="38" t="s">
        <v>1345</v>
      </c>
      <c r="EB26" s="38" t="s">
        <v>1345</v>
      </c>
      <c r="EC26" s="38" t="s">
        <v>1345</v>
      </c>
      <c r="ED26" s="42" t="s">
        <v>4207</v>
      </c>
      <c r="EE26" s="43">
        <v>0.3</v>
      </c>
      <c r="EF26" s="42" t="s">
        <v>3580</v>
      </c>
      <c r="EG26" s="38" t="s">
        <v>1349</v>
      </c>
      <c r="EH26" s="42"/>
      <c r="EI26" s="42" t="s">
        <v>4208</v>
      </c>
      <c r="EJ26" s="42" t="s">
        <v>3754</v>
      </c>
      <c r="EK26" s="38" t="s">
        <v>3613</v>
      </c>
      <c r="EL26" s="38" t="s">
        <v>1389</v>
      </c>
      <c r="EM26" s="38">
        <v>4</v>
      </c>
      <c r="EN26" s="42" t="s">
        <v>4192</v>
      </c>
      <c r="EO26" s="38">
        <v>1</v>
      </c>
      <c r="EP26" s="42" t="s">
        <v>4210</v>
      </c>
      <c r="EQ26" s="38">
        <v>2</v>
      </c>
      <c r="ER26" s="42" t="s">
        <v>4211</v>
      </c>
      <c r="ES26" s="38">
        <v>5</v>
      </c>
      <c r="ET26" s="42" t="s">
        <v>4177</v>
      </c>
      <c r="EU26" s="38">
        <v>5</v>
      </c>
      <c r="EV26" s="42" t="s">
        <v>4194</v>
      </c>
      <c r="EW26" s="38">
        <v>3</v>
      </c>
      <c r="EX26" s="42" t="s">
        <v>4230</v>
      </c>
      <c r="EY26" s="38">
        <v>2</v>
      </c>
      <c r="EZ26" s="42" t="s">
        <v>4231</v>
      </c>
      <c r="FA26" s="22"/>
    </row>
    <row r="27" spans="1:157">
      <c r="A27" s="17">
        <v>571</v>
      </c>
      <c r="B27" s="22">
        <v>42</v>
      </c>
      <c r="C27" s="23" t="s">
        <v>1337</v>
      </c>
      <c r="D27" s="24">
        <v>43777</v>
      </c>
      <c r="E27" s="23" t="s">
        <v>4074</v>
      </c>
      <c r="F27" s="25"/>
      <c r="G27" s="25" t="s">
        <v>3981</v>
      </c>
      <c r="H27" s="23" t="s">
        <v>3901</v>
      </c>
      <c r="I27" s="23" t="s">
        <v>3902</v>
      </c>
      <c r="J27" s="23" t="s">
        <v>3982</v>
      </c>
      <c r="K27" s="23" t="s">
        <v>4075</v>
      </c>
      <c r="L27" s="32">
        <v>5</v>
      </c>
      <c r="M27" s="23" t="s">
        <v>1342</v>
      </c>
      <c r="N27" s="23" t="s">
        <v>1343</v>
      </c>
      <c r="O27" s="22" t="s">
        <v>3852</v>
      </c>
      <c r="P27" s="22" t="s">
        <v>4076</v>
      </c>
      <c r="Q27" s="23">
        <v>78133414</v>
      </c>
      <c r="R27" s="23" t="s">
        <v>1383</v>
      </c>
      <c r="S27" s="23">
        <v>3</v>
      </c>
      <c r="T27" s="23" t="s">
        <v>1346</v>
      </c>
      <c r="U27" s="23">
        <v>2013</v>
      </c>
      <c r="V27" s="22" t="s">
        <v>2896</v>
      </c>
      <c r="W27" s="22" t="s">
        <v>4069</v>
      </c>
      <c r="X27" s="23" t="s">
        <v>1862</v>
      </c>
      <c r="Y27" s="23">
        <v>2018</v>
      </c>
      <c r="Z27" s="23"/>
      <c r="AA27" s="23">
        <v>24</v>
      </c>
      <c r="AB27" s="23"/>
      <c r="AC27" s="23"/>
      <c r="AD27" s="23" t="s">
        <v>1383</v>
      </c>
      <c r="AE27" s="23" t="s">
        <v>1342</v>
      </c>
      <c r="AF27" s="23" t="s">
        <v>1342</v>
      </c>
      <c r="AG27" s="23" t="s">
        <v>1342</v>
      </c>
      <c r="AH27" s="23" t="s">
        <v>1342</v>
      </c>
      <c r="AI27" s="23"/>
      <c r="AJ27" s="23" t="s">
        <v>1342</v>
      </c>
      <c r="AK27" s="22" t="s">
        <v>4199</v>
      </c>
      <c r="AL27" s="87" t="s">
        <v>1612</v>
      </c>
      <c r="AM27" s="23" t="s">
        <v>1612</v>
      </c>
      <c r="AN27" s="23" t="s">
        <v>1612</v>
      </c>
      <c r="AO27" s="23" t="s">
        <v>1612</v>
      </c>
      <c r="AP27" s="23" t="s">
        <v>1612</v>
      </c>
      <c r="AQ27" s="68" t="s">
        <v>1352</v>
      </c>
      <c r="AR27" s="23" t="s">
        <v>1612</v>
      </c>
      <c r="AS27" s="42" t="s">
        <v>1550</v>
      </c>
      <c r="AT27" s="22"/>
      <c r="AU27" s="22">
        <v>12000</v>
      </c>
      <c r="AV27" s="22">
        <v>20000</v>
      </c>
      <c r="AW27" s="22" t="s">
        <v>2955</v>
      </c>
      <c r="AX27" s="22" t="s">
        <v>2937</v>
      </c>
      <c r="AY27" s="23" t="s">
        <v>1349</v>
      </c>
      <c r="AZ27" s="22" t="s">
        <v>3985</v>
      </c>
      <c r="BA27" s="22" t="s">
        <v>4012</v>
      </c>
      <c r="BB27" s="22" t="s">
        <v>1358</v>
      </c>
      <c r="BC27" s="22" t="s">
        <v>1358</v>
      </c>
      <c r="BD27" s="22" t="s">
        <v>1358</v>
      </c>
      <c r="BE27" s="22" t="s">
        <v>4075</v>
      </c>
      <c r="BF27" s="22"/>
      <c r="BG27" s="22"/>
      <c r="BH27" s="22">
        <v>4</v>
      </c>
      <c r="BI27" s="22">
        <v>5</v>
      </c>
      <c r="BJ27" s="22"/>
      <c r="BK27" s="22" t="s">
        <v>1702</v>
      </c>
      <c r="BL27" s="22" t="s">
        <v>1702</v>
      </c>
      <c r="BM27" s="22"/>
      <c r="BN27" s="23" t="s">
        <v>1342</v>
      </c>
      <c r="BO27" s="22"/>
      <c r="BP27" s="22"/>
      <c r="BQ27" s="23" t="s">
        <v>1383</v>
      </c>
      <c r="BR27" s="23" t="s">
        <v>1342</v>
      </c>
      <c r="BS27" s="27">
        <v>0</v>
      </c>
      <c r="BT27" s="23" t="s">
        <v>1383</v>
      </c>
      <c r="BU27" s="22" t="s">
        <v>4058</v>
      </c>
      <c r="BV27" s="23" t="s">
        <v>1342</v>
      </c>
      <c r="BW27" s="22"/>
      <c r="BX27" s="23" t="s">
        <v>1383</v>
      </c>
      <c r="BY27" s="22" t="s">
        <v>1362</v>
      </c>
      <c r="BZ27" s="22" t="s">
        <v>3075</v>
      </c>
      <c r="CA27" s="22" t="s">
        <v>4075</v>
      </c>
      <c r="CB27" s="22" t="s">
        <v>1364</v>
      </c>
      <c r="CC27" s="22" t="s">
        <v>1364</v>
      </c>
      <c r="CD27" s="22" t="s">
        <v>1364</v>
      </c>
      <c r="CE27" s="22">
        <v>8160</v>
      </c>
      <c r="CF27" s="22">
        <v>6120</v>
      </c>
      <c r="CG27" s="22">
        <v>10200</v>
      </c>
      <c r="CH27" s="22">
        <v>0</v>
      </c>
      <c r="CI27" s="22">
        <v>0</v>
      </c>
      <c r="CJ27" s="22">
        <v>0</v>
      </c>
      <c r="CK27" s="27">
        <v>0.8</v>
      </c>
      <c r="CL27" s="27">
        <v>0.7</v>
      </c>
      <c r="CM27" s="27">
        <v>0.2</v>
      </c>
      <c r="CN27" s="27">
        <v>0.3</v>
      </c>
      <c r="CO27" s="22"/>
      <c r="CP27" s="22"/>
      <c r="CQ27" s="22"/>
      <c r="CR27" s="22"/>
      <c r="CS27" s="22"/>
      <c r="CT27" s="22"/>
      <c r="CU27" s="23"/>
      <c r="CV27" s="22"/>
      <c r="CW27" s="23" t="s">
        <v>1383</v>
      </c>
      <c r="CX27" s="27">
        <v>0.1</v>
      </c>
      <c r="CY27" s="27">
        <v>0.8</v>
      </c>
      <c r="CZ27" s="22" t="s">
        <v>4047</v>
      </c>
      <c r="DA27" s="22" t="s">
        <v>4077</v>
      </c>
      <c r="DB27" s="22">
        <v>8</v>
      </c>
      <c r="DC27" s="22"/>
      <c r="DD27" s="22" t="s">
        <v>4017</v>
      </c>
      <c r="DE27" s="22" t="s">
        <v>4018</v>
      </c>
      <c r="DF27" s="22" t="s">
        <v>4019</v>
      </c>
      <c r="DG27" s="22"/>
      <c r="DH27" s="22" t="s">
        <v>4064</v>
      </c>
      <c r="DI27" s="22"/>
      <c r="DJ27" s="22"/>
      <c r="DK27" s="22"/>
      <c r="DL27" s="22" t="s">
        <v>4005</v>
      </c>
      <c r="DM27" s="22"/>
      <c r="DN27" s="23" t="s">
        <v>1342</v>
      </c>
      <c r="DO27" s="22"/>
      <c r="DP27" s="23" t="s">
        <v>1383</v>
      </c>
      <c r="DQ27" s="22" t="s">
        <v>4006</v>
      </c>
      <c r="DR27" s="23" t="s">
        <v>1342</v>
      </c>
      <c r="DS27" s="22"/>
      <c r="DT27" s="22"/>
      <c r="DU27" s="22"/>
      <c r="DV27" s="23" t="s">
        <v>1383</v>
      </c>
      <c r="DW27" s="22" t="s">
        <v>3123</v>
      </c>
      <c r="DX27" s="23" t="s">
        <v>1383</v>
      </c>
      <c r="DY27" s="23" t="s">
        <v>1342</v>
      </c>
      <c r="DZ27" s="22" t="s">
        <v>3995</v>
      </c>
      <c r="EA27" s="23" t="s">
        <v>1383</v>
      </c>
      <c r="EB27" s="23" t="s">
        <v>1383</v>
      </c>
      <c r="EC27" s="23" t="s">
        <v>1383</v>
      </c>
      <c r="ED27" s="22" t="s">
        <v>2948</v>
      </c>
      <c r="EE27" s="27">
        <v>0.3</v>
      </c>
      <c r="EF27" s="23" t="s">
        <v>4078</v>
      </c>
      <c r="EG27" s="23" t="s">
        <v>1342</v>
      </c>
      <c r="EH27" s="22"/>
      <c r="EI27" s="22"/>
      <c r="EJ27" s="22"/>
      <c r="EK27" s="22"/>
      <c r="EL27" s="23" t="s">
        <v>1389</v>
      </c>
      <c r="EM27" s="23">
        <v>2</v>
      </c>
      <c r="EN27" s="22" t="s">
        <v>4008</v>
      </c>
      <c r="EO27" s="23">
        <v>0</v>
      </c>
      <c r="EP27" s="22" t="s">
        <v>3020</v>
      </c>
      <c r="EQ27" s="23">
        <v>2</v>
      </c>
      <c r="ER27" s="22" t="s">
        <v>4079</v>
      </c>
      <c r="ES27" s="23">
        <v>3</v>
      </c>
      <c r="ET27" s="22" t="s">
        <v>3065</v>
      </c>
      <c r="EU27" s="23">
        <v>3</v>
      </c>
      <c r="EV27" s="22" t="s">
        <v>3108</v>
      </c>
      <c r="EW27" s="23">
        <v>3</v>
      </c>
      <c r="EX27" s="22" t="s">
        <v>4067</v>
      </c>
      <c r="EY27" s="23">
        <v>0</v>
      </c>
      <c r="EZ27" s="22" t="s">
        <v>2974</v>
      </c>
      <c r="FA27" s="22"/>
    </row>
    <row r="28" spans="1:157">
      <c r="A28" s="17">
        <v>572</v>
      </c>
      <c r="B28" s="22">
        <v>34</v>
      </c>
      <c r="C28" s="23" t="s">
        <v>1337</v>
      </c>
      <c r="D28" s="33">
        <v>43771</v>
      </c>
      <c r="E28" s="23" t="s">
        <v>3950</v>
      </c>
      <c r="F28" s="22"/>
      <c r="G28" s="25" t="s">
        <v>3981</v>
      </c>
      <c r="H28" s="23" t="s">
        <v>3901</v>
      </c>
      <c r="I28" s="22" t="s">
        <v>3902</v>
      </c>
      <c r="J28" s="23" t="s">
        <v>3982</v>
      </c>
      <c r="K28" s="23" t="s">
        <v>3983</v>
      </c>
      <c r="L28" s="32">
        <v>6</v>
      </c>
      <c r="M28" s="23" t="s">
        <v>1383</v>
      </c>
      <c r="N28" s="23" t="s">
        <v>1343</v>
      </c>
      <c r="O28" s="23" t="s">
        <v>3852</v>
      </c>
      <c r="P28" s="23" t="s">
        <v>3984</v>
      </c>
      <c r="Q28" s="22">
        <v>77677539</v>
      </c>
      <c r="R28" s="23" t="s">
        <v>1383</v>
      </c>
      <c r="S28" s="23">
        <v>3</v>
      </c>
      <c r="T28" s="23" t="s">
        <v>1346</v>
      </c>
      <c r="U28" s="23">
        <v>2013</v>
      </c>
      <c r="V28" s="22" t="s">
        <v>2896</v>
      </c>
      <c r="W28" s="22" t="s">
        <v>2925</v>
      </c>
      <c r="X28" s="23" t="s">
        <v>1862</v>
      </c>
      <c r="Y28" s="22">
        <v>2018</v>
      </c>
      <c r="Z28" s="22"/>
      <c r="AA28" s="23">
        <v>28</v>
      </c>
      <c r="AB28" s="23" t="s">
        <v>1342</v>
      </c>
      <c r="AC28" s="22">
        <v>1</v>
      </c>
      <c r="AD28" s="23" t="s">
        <v>1383</v>
      </c>
      <c r="AE28" s="23" t="s">
        <v>1342</v>
      </c>
      <c r="AF28" s="23" t="s">
        <v>1342</v>
      </c>
      <c r="AG28" s="23" t="s">
        <v>1342</v>
      </c>
      <c r="AH28" s="23" t="s">
        <v>1342</v>
      </c>
      <c r="AI28" s="22"/>
      <c r="AJ28" s="23" t="s">
        <v>1349</v>
      </c>
      <c r="AK28" s="22" t="s">
        <v>4199</v>
      </c>
      <c r="AL28" s="87" t="s">
        <v>1612</v>
      </c>
      <c r="AM28" s="23" t="s">
        <v>1612</v>
      </c>
      <c r="AN28" s="23" t="s">
        <v>1612</v>
      </c>
      <c r="AO28" s="23" t="s">
        <v>1612</v>
      </c>
      <c r="AP28" s="23" t="s">
        <v>1612</v>
      </c>
      <c r="AQ28" s="68" t="s">
        <v>1352</v>
      </c>
      <c r="AR28" s="23" t="s">
        <v>1612</v>
      </c>
      <c r="AS28" s="42" t="s">
        <v>1550</v>
      </c>
      <c r="AT28" s="22"/>
      <c r="AU28" s="22">
        <v>12000</v>
      </c>
      <c r="AV28" s="22">
        <v>35000</v>
      </c>
      <c r="AW28" s="22" t="s">
        <v>2955</v>
      </c>
      <c r="AX28" s="22" t="s">
        <v>3061</v>
      </c>
      <c r="AY28" s="23" t="s">
        <v>1342</v>
      </c>
      <c r="AZ28" s="22" t="s">
        <v>3985</v>
      </c>
      <c r="BA28" s="22" t="s">
        <v>3986</v>
      </c>
      <c r="BB28" s="22" t="s">
        <v>1358</v>
      </c>
      <c r="BC28" s="22" t="s">
        <v>1358</v>
      </c>
      <c r="BD28" s="22" t="s">
        <v>1358</v>
      </c>
      <c r="BE28" s="22" t="s">
        <v>3987</v>
      </c>
      <c r="BF28" s="22"/>
      <c r="BG28" s="22"/>
      <c r="BH28" s="22">
        <v>3</v>
      </c>
      <c r="BI28" s="22">
        <v>4</v>
      </c>
      <c r="BJ28" s="22"/>
      <c r="BK28" s="22" t="s">
        <v>2405</v>
      </c>
      <c r="BL28" s="22" t="s">
        <v>2405</v>
      </c>
      <c r="BM28" s="22"/>
      <c r="BN28" s="23" t="s">
        <v>1342</v>
      </c>
      <c r="BO28" s="22"/>
      <c r="BP28" s="22"/>
      <c r="BQ28" s="23" t="s">
        <v>1342</v>
      </c>
      <c r="BR28" s="23" t="s">
        <v>1342</v>
      </c>
      <c r="BS28" s="27">
        <v>0</v>
      </c>
      <c r="BT28" s="23" t="s">
        <v>1383</v>
      </c>
      <c r="BU28" s="23" t="s">
        <v>3988</v>
      </c>
      <c r="BV28" s="23" t="s">
        <v>1342</v>
      </c>
      <c r="BW28" s="22"/>
      <c r="BX28" s="23" t="s">
        <v>1342</v>
      </c>
      <c r="BY28" s="22"/>
      <c r="BZ28" s="22"/>
      <c r="CA28" s="22"/>
      <c r="CB28" s="22" t="s">
        <v>1364</v>
      </c>
      <c r="CC28" s="22" t="s">
        <v>1364</v>
      </c>
      <c r="CD28" s="22" t="s">
        <v>1364</v>
      </c>
      <c r="CE28" s="22">
        <v>4760</v>
      </c>
      <c r="CF28" s="22">
        <v>4760</v>
      </c>
      <c r="CG28" s="22">
        <v>7140</v>
      </c>
      <c r="CH28" s="22">
        <v>0</v>
      </c>
      <c r="CI28" s="22">
        <v>0</v>
      </c>
      <c r="CJ28" s="22">
        <v>0</v>
      </c>
      <c r="CK28" s="27">
        <v>1</v>
      </c>
      <c r="CL28" s="27">
        <v>1</v>
      </c>
      <c r="CM28" s="27">
        <v>1</v>
      </c>
      <c r="CN28" s="27">
        <v>1</v>
      </c>
      <c r="CO28" s="22"/>
      <c r="CP28" s="22"/>
      <c r="CQ28" s="22"/>
      <c r="CR28" s="22"/>
      <c r="CS28" s="22"/>
      <c r="CT28" s="22"/>
      <c r="CU28" s="22"/>
      <c r="CV28" s="22"/>
      <c r="CW28" s="23" t="s">
        <v>1342</v>
      </c>
      <c r="CX28" s="22"/>
      <c r="CY28" s="22"/>
      <c r="CZ28" s="22"/>
      <c r="DA28" s="22"/>
      <c r="DB28" s="22"/>
      <c r="DC28" s="22"/>
      <c r="DD28" s="22" t="s">
        <v>3989</v>
      </c>
      <c r="DE28" s="22" t="s">
        <v>3990</v>
      </c>
      <c r="DF28" s="22"/>
      <c r="DG28" s="22"/>
      <c r="DH28" s="22" t="s">
        <v>3991</v>
      </c>
      <c r="DI28" s="22"/>
      <c r="DJ28" s="22"/>
      <c r="DK28" s="22"/>
      <c r="DL28" s="22" t="s">
        <v>3992</v>
      </c>
      <c r="DM28" s="22"/>
      <c r="DN28" s="23" t="s">
        <v>1342</v>
      </c>
      <c r="DO28" s="22"/>
      <c r="DP28" s="23" t="s">
        <v>1383</v>
      </c>
      <c r="DQ28" s="22" t="s">
        <v>3993</v>
      </c>
      <c r="DR28" s="23" t="s">
        <v>1342</v>
      </c>
      <c r="DS28" s="22"/>
      <c r="DT28" s="22"/>
      <c r="DU28" s="22"/>
      <c r="DV28" s="23" t="s">
        <v>1383</v>
      </c>
      <c r="DW28" s="22" t="s">
        <v>3994</v>
      </c>
      <c r="DX28" s="23" t="s">
        <v>1383</v>
      </c>
      <c r="DY28" s="23" t="s">
        <v>1342</v>
      </c>
      <c r="DZ28" s="22" t="s">
        <v>3995</v>
      </c>
      <c r="EA28" s="23" t="s">
        <v>1383</v>
      </c>
      <c r="EB28" s="23" t="s">
        <v>1383</v>
      </c>
      <c r="EC28" s="23" t="s">
        <v>1383</v>
      </c>
      <c r="ED28" s="22" t="s">
        <v>3033</v>
      </c>
      <c r="EE28" s="27">
        <v>0.3</v>
      </c>
      <c r="EF28" s="23" t="s">
        <v>2931</v>
      </c>
      <c r="EG28" s="23" t="s">
        <v>1342</v>
      </c>
      <c r="EH28" s="22"/>
      <c r="EI28" s="22"/>
      <c r="EJ28" s="22"/>
      <c r="EK28" s="22"/>
      <c r="EL28" s="23" t="s">
        <v>1389</v>
      </c>
      <c r="EM28" s="23">
        <v>3</v>
      </c>
      <c r="EN28" s="22" t="s">
        <v>3996</v>
      </c>
      <c r="EO28" s="22">
        <v>0</v>
      </c>
      <c r="EP28" s="22" t="s">
        <v>3020</v>
      </c>
      <c r="EQ28" s="23">
        <v>2</v>
      </c>
      <c r="ER28" s="22" t="s">
        <v>3064</v>
      </c>
      <c r="ES28" s="23">
        <v>3</v>
      </c>
      <c r="ET28" s="22" t="s">
        <v>3065</v>
      </c>
      <c r="EU28" s="23">
        <v>3</v>
      </c>
      <c r="EV28" s="22" t="s">
        <v>3108</v>
      </c>
      <c r="EW28" s="22">
        <v>2</v>
      </c>
      <c r="EX28" s="22" t="s">
        <v>3997</v>
      </c>
      <c r="EY28" s="23">
        <v>0</v>
      </c>
      <c r="EZ28" s="22" t="s">
        <v>2974</v>
      </c>
      <c r="FA28" s="22"/>
    </row>
    <row r="29" spans="1:157">
      <c r="A29" s="17">
        <v>573</v>
      </c>
      <c r="B29" s="22">
        <v>16</v>
      </c>
      <c r="C29" s="23" t="s">
        <v>2278</v>
      </c>
      <c r="D29" s="24">
        <v>43775</v>
      </c>
      <c r="E29" s="23" t="s">
        <v>3850</v>
      </c>
      <c r="F29" s="25"/>
      <c r="G29" s="25"/>
      <c r="H29" s="23" t="s">
        <v>1075</v>
      </c>
      <c r="I29" s="23" t="s">
        <v>1156</v>
      </c>
      <c r="J29" s="23" t="s">
        <v>3851</v>
      </c>
      <c r="K29" s="23" t="s">
        <v>3851</v>
      </c>
      <c r="L29" s="32">
        <v>1</v>
      </c>
      <c r="M29" s="23" t="s">
        <v>3757</v>
      </c>
      <c r="N29" s="23" t="s">
        <v>1343</v>
      </c>
      <c r="O29" s="23" t="s">
        <v>3852</v>
      </c>
      <c r="P29" s="23" t="s">
        <v>3853</v>
      </c>
      <c r="Q29" s="23">
        <v>76357989</v>
      </c>
      <c r="R29" s="23" t="s">
        <v>1345</v>
      </c>
      <c r="S29" s="23">
        <v>4</v>
      </c>
      <c r="T29" s="23" t="s">
        <v>1346</v>
      </c>
      <c r="U29" s="23">
        <v>2013</v>
      </c>
      <c r="V29" s="23" t="s">
        <v>3848</v>
      </c>
      <c r="W29" s="23" t="s">
        <v>3802</v>
      </c>
      <c r="X29" s="23" t="s">
        <v>1349</v>
      </c>
      <c r="Y29" s="23" t="s">
        <v>2300</v>
      </c>
      <c r="Z29" s="23" t="s">
        <v>2300</v>
      </c>
      <c r="AA29" s="23">
        <v>20</v>
      </c>
      <c r="AB29" s="23" t="s">
        <v>1345</v>
      </c>
      <c r="AC29" s="23">
        <v>2</v>
      </c>
      <c r="AD29" s="23" t="s">
        <v>1345</v>
      </c>
      <c r="AE29" s="23" t="s">
        <v>1345</v>
      </c>
      <c r="AF29" s="23" t="s">
        <v>1349</v>
      </c>
      <c r="AG29" s="23" t="s">
        <v>1349</v>
      </c>
      <c r="AH29" s="23" t="s">
        <v>2300</v>
      </c>
      <c r="AI29" s="23">
        <v>2014</v>
      </c>
      <c r="AJ29" s="23" t="s">
        <v>1349</v>
      </c>
      <c r="AK29" s="23" t="s">
        <v>2290</v>
      </c>
      <c r="AL29" s="68" t="s">
        <v>1612</v>
      </c>
      <c r="AM29" s="23" t="s">
        <v>1612</v>
      </c>
      <c r="AN29" s="23" t="s">
        <v>1612</v>
      </c>
      <c r="AO29" s="23" t="s">
        <v>1612</v>
      </c>
      <c r="AP29" s="23" t="s">
        <v>1612</v>
      </c>
      <c r="AQ29" s="71" t="s">
        <v>1352</v>
      </c>
      <c r="AR29" s="23" t="s">
        <v>1352</v>
      </c>
      <c r="AS29" s="23" t="s">
        <v>1802</v>
      </c>
      <c r="AT29" s="23" t="s">
        <v>1358</v>
      </c>
      <c r="AU29" s="23" t="s">
        <v>2249</v>
      </c>
      <c r="AV29" s="23">
        <v>1000</v>
      </c>
      <c r="AW29" s="23" t="s">
        <v>2377</v>
      </c>
      <c r="AX29" s="23" t="s">
        <v>2430</v>
      </c>
      <c r="AY29" s="23" t="s">
        <v>1349</v>
      </c>
      <c r="AZ29" s="23" t="s">
        <v>3794</v>
      </c>
      <c r="BA29" s="23" t="s">
        <v>2361</v>
      </c>
      <c r="BB29" s="23" t="s">
        <v>2647</v>
      </c>
      <c r="BC29" s="23" t="s">
        <v>2647</v>
      </c>
      <c r="BD29" s="23" t="s">
        <v>2289</v>
      </c>
      <c r="BE29" s="23" t="s">
        <v>3851</v>
      </c>
      <c r="BF29" s="23"/>
      <c r="BG29" s="23"/>
      <c r="BH29" s="23">
        <v>12</v>
      </c>
      <c r="BI29" s="23">
        <v>12</v>
      </c>
      <c r="BJ29" s="23">
        <v>18</v>
      </c>
      <c r="BK29" s="22" t="s">
        <v>1434</v>
      </c>
      <c r="BL29" s="22" t="s">
        <v>1702</v>
      </c>
      <c r="BM29" s="22" t="s">
        <v>1702</v>
      </c>
      <c r="BN29" s="23" t="s">
        <v>1349</v>
      </c>
      <c r="BO29" s="23" t="s">
        <v>2767</v>
      </c>
      <c r="BP29" s="23" t="s">
        <v>2767</v>
      </c>
      <c r="BQ29" s="23" t="s">
        <v>1349</v>
      </c>
      <c r="BR29" s="23" t="s">
        <v>1349</v>
      </c>
      <c r="BS29" s="23" t="s">
        <v>2643</v>
      </c>
      <c r="BT29" s="23" t="s">
        <v>1349</v>
      </c>
      <c r="BU29" s="23" t="s">
        <v>3830</v>
      </c>
      <c r="BV29" s="23" t="s">
        <v>1349</v>
      </c>
      <c r="BW29" s="23" t="s">
        <v>2300</v>
      </c>
      <c r="BX29" s="23" t="s">
        <v>1345</v>
      </c>
      <c r="BY29" s="23" t="s">
        <v>2302</v>
      </c>
      <c r="BZ29" s="23" t="s">
        <v>2767</v>
      </c>
      <c r="CA29" s="23" t="s">
        <v>2767</v>
      </c>
      <c r="CB29" s="23" t="s">
        <v>2289</v>
      </c>
      <c r="CC29" s="23" t="s">
        <v>2289</v>
      </c>
      <c r="CD29" s="23" t="s">
        <v>2289</v>
      </c>
      <c r="CE29" s="23">
        <v>0</v>
      </c>
      <c r="CF29" s="23">
        <v>3000</v>
      </c>
      <c r="CG29" s="23">
        <v>2000</v>
      </c>
      <c r="CH29" s="23">
        <v>20</v>
      </c>
      <c r="CI29" s="23">
        <v>25</v>
      </c>
      <c r="CJ29" s="23">
        <v>10</v>
      </c>
      <c r="CK29" s="27">
        <v>0.5</v>
      </c>
      <c r="CL29" s="27">
        <v>0.3</v>
      </c>
      <c r="CM29" s="27">
        <v>0.5</v>
      </c>
      <c r="CN29" s="26">
        <v>0.7</v>
      </c>
      <c r="CO29" s="23" t="s">
        <v>2652</v>
      </c>
      <c r="CP29" s="23" t="s">
        <v>2289</v>
      </c>
      <c r="CQ29" s="23" t="s">
        <v>2767</v>
      </c>
      <c r="CR29" s="23">
        <v>2</v>
      </c>
      <c r="CS29" s="23" t="s">
        <v>3764</v>
      </c>
      <c r="CT29" s="23" t="s">
        <v>3765</v>
      </c>
      <c r="CU29" s="23" t="s">
        <v>1345</v>
      </c>
      <c r="CV29" s="23" t="s">
        <v>2407</v>
      </c>
      <c r="CW29" s="23" t="s">
        <v>1345</v>
      </c>
      <c r="CX29" s="26">
        <v>0.1</v>
      </c>
      <c r="CY29" s="26">
        <v>0.8</v>
      </c>
      <c r="CZ29" s="23" t="s">
        <v>2311</v>
      </c>
      <c r="DA29" s="23" t="s">
        <v>3766</v>
      </c>
      <c r="DB29" s="23" t="s">
        <v>1903</v>
      </c>
      <c r="DC29" s="23" t="s">
        <v>2643</v>
      </c>
      <c r="DD29" s="22" t="s">
        <v>2792</v>
      </c>
      <c r="DE29" s="23" t="s">
        <v>3767</v>
      </c>
      <c r="DF29" s="23" t="s">
        <v>3768</v>
      </c>
      <c r="DG29" s="23" t="s">
        <v>3769</v>
      </c>
      <c r="DH29" s="23" t="s">
        <v>2794</v>
      </c>
      <c r="DI29" s="23" t="s">
        <v>1556</v>
      </c>
      <c r="DJ29" s="23" t="s">
        <v>1556</v>
      </c>
      <c r="DK29" s="23" t="s">
        <v>1556</v>
      </c>
      <c r="DL29" s="23" t="s">
        <v>3854</v>
      </c>
      <c r="DM29" s="23" t="s">
        <v>3771</v>
      </c>
      <c r="DN29" s="23" t="s">
        <v>1345</v>
      </c>
      <c r="DO29" s="23" t="s">
        <v>3772</v>
      </c>
      <c r="DP29" s="23" t="s">
        <v>1349</v>
      </c>
      <c r="DQ29" s="23" t="s">
        <v>2647</v>
      </c>
      <c r="DR29" s="23" t="s">
        <v>1349</v>
      </c>
      <c r="DS29" s="23" t="s">
        <v>1556</v>
      </c>
      <c r="DT29" s="23" t="s">
        <v>2300</v>
      </c>
      <c r="DU29" s="23" t="s">
        <v>2300</v>
      </c>
      <c r="DV29" s="23" t="s">
        <v>1345</v>
      </c>
      <c r="DW29" s="23" t="s">
        <v>2797</v>
      </c>
      <c r="DX29" s="23" t="s">
        <v>1345</v>
      </c>
      <c r="DY29" s="23" t="s">
        <v>1349</v>
      </c>
      <c r="DZ29" s="23" t="s">
        <v>3773</v>
      </c>
      <c r="EA29" s="23" t="s">
        <v>1345</v>
      </c>
      <c r="EB29" s="23" t="s">
        <v>1345</v>
      </c>
      <c r="EC29" s="23" t="s">
        <v>1345</v>
      </c>
      <c r="ED29" s="23" t="s">
        <v>2438</v>
      </c>
      <c r="EE29" s="27">
        <v>0.1</v>
      </c>
      <c r="EF29" s="23" t="s">
        <v>2370</v>
      </c>
      <c r="EG29" s="23" t="s">
        <v>1349</v>
      </c>
      <c r="EH29" s="23" t="s">
        <v>2300</v>
      </c>
      <c r="EI29" s="23" t="s">
        <v>2326</v>
      </c>
      <c r="EJ29" s="22"/>
      <c r="EK29" s="23" t="s">
        <v>3774</v>
      </c>
      <c r="EL29" s="23" t="s">
        <v>1389</v>
      </c>
      <c r="EM29" s="23">
        <v>3</v>
      </c>
      <c r="EN29" s="23" t="s">
        <v>3805</v>
      </c>
      <c r="EO29" s="23">
        <v>3</v>
      </c>
      <c r="EP29" s="23" t="s">
        <v>3796</v>
      </c>
      <c r="EQ29" s="23">
        <v>3</v>
      </c>
      <c r="ER29" s="22" t="s">
        <v>3777</v>
      </c>
      <c r="ES29" s="23">
        <v>4</v>
      </c>
      <c r="ET29" s="22" t="s">
        <v>3778</v>
      </c>
      <c r="EU29" s="23">
        <v>4</v>
      </c>
      <c r="EV29" s="22" t="s">
        <v>3779</v>
      </c>
      <c r="EW29" s="23">
        <v>3</v>
      </c>
      <c r="EX29" s="22" t="s">
        <v>3780</v>
      </c>
      <c r="EY29" s="23">
        <v>2</v>
      </c>
      <c r="EZ29" s="22" t="s">
        <v>2424</v>
      </c>
      <c r="FA29" s="22"/>
    </row>
    <row r="30" spans="1:157">
      <c r="A30" s="17">
        <v>574</v>
      </c>
      <c r="B30" s="22">
        <v>75</v>
      </c>
      <c r="C30" s="44" t="s">
        <v>4330</v>
      </c>
      <c r="D30" s="45">
        <v>43780</v>
      </c>
      <c r="E30" s="44" t="s">
        <v>4361</v>
      </c>
      <c r="F30" s="46" t="s">
        <v>1728</v>
      </c>
      <c r="G30" s="40" t="s">
        <v>4091</v>
      </c>
      <c r="H30" s="44" t="s">
        <v>1075</v>
      </c>
      <c r="I30" s="44" t="s">
        <v>1071</v>
      </c>
      <c r="J30" s="44" t="s">
        <v>4091</v>
      </c>
      <c r="K30" s="44" t="s">
        <v>4345</v>
      </c>
      <c r="L30" s="48">
        <v>10</v>
      </c>
      <c r="M30" s="48" t="s">
        <v>3539</v>
      </c>
      <c r="N30" s="48" t="s">
        <v>1343</v>
      </c>
      <c r="O30" s="48" t="s">
        <v>4362</v>
      </c>
      <c r="P30" s="48" t="s">
        <v>4363</v>
      </c>
      <c r="Q30" s="44">
        <v>78385422</v>
      </c>
      <c r="R30" s="44" t="s">
        <v>1383</v>
      </c>
      <c r="S30" s="44">
        <v>7</v>
      </c>
      <c r="T30" s="48" t="s">
        <v>1346</v>
      </c>
      <c r="U30" s="44">
        <v>2010</v>
      </c>
      <c r="V30" s="48" t="s">
        <v>4296</v>
      </c>
      <c r="W30" s="48" t="s">
        <v>4297</v>
      </c>
      <c r="X30" s="44" t="s">
        <v>1349</v>
      </c>
      <c r="Y30" s="44"/>
      <c r="Z30" s="44"/>
      <c r="AA30" s="44">
        <v>20</v>
      </c>
      <c r="AB30" s="44" t="s">
        <v>1345</v>
      </c>
      <c r="AC30" s="44" t="s">
        <v>4333</v>
      </c>
      <c r="AD30" s="44" t="s">
        <v>1383</v>
      </c>
      <c r="AE30" s="44" t="s">
        <v>1349</v>
      </c>
      <c r="AF30" s="44" t="s">
        <v>1349</v>
      </c>
      <c r="AG30" s="44" t="s">
        <v>1349</v>
      </c>
      <c r="AH30" s="48" t="s">
        <v>1366</v>
      </c>
      <c r="AI30" s="44" t="s">
        <v>3384</v>
      </c>
      <c r="AJ30" s="44" t="s">
        <v>1349</v>
      </c>
      <c r="AK30" s="91" t="s">
        <v>4199</v>
      </c>
      <c r="AL30" s="87" t="s">
        <v>1612</v>
      </c>
      <c r="AM30" s="23" t="s">
        <v>1612</v>
      </c>
      <c r="AN30" s="44" t="s">
        <v>1550</v>
      </c>
      <c r="AO30" s="44" t="s">
        <v>1550</v>
      </c>
      <c r="AP30" s="44" t="s">
        <v>1550</v>
      </c>
      <c r="AQ30" s="91" t="s">
        <v>1352</v>
      </c>
      <c r="AR30" s="92" t="s">
        <v>3451</v>
      </c>
      <c r="AS30" s="48" t="s">
        <v>1550</v>
      </c>
      <c r="AT30" s="48" t="s">
        <v>1804</v>
      </c>
      <c r="AU30" s="48"/>
      <c r="AV30" s="42">
        <v>1000</v>
      </c>
      <c r="AW30" s="48" t="s">
        <v>4334</v>
      </c>
      <c r="AX30" s="48" t="s">
        <v>4309</v>
      </c>
      <c r="AY30" s="44" t="s">
        <v>1349</v>
      </c>
      <c r="AZ30" s="48" t="s">
        <v>4364</v>
      </c>
      <c r="BA30" s="48" t="s">
        <v>4336</v>
      </c>
      <c r="BB30" s="48" t="s">
        <v>1358</v>
      </c>
      <c r="BC30" s="48" t="s">
        <v>1358</v>
      </c>
      <c r="BD30" s="48" t="s">
        <v>1358</v>
      </c>
      <c r="BE30" s="48" t="s">
        <v>1810</v>
      </c>
      <c r="BF30" s="48"/>
      <c r="BG30" s="48"/>
      <c r="BH30" s="48">
        <v>15</v>
      </c>
      <c r="BI30" s="48">
        <v>15</v>
      </c>
      <c r="BJ30" s="48">
        <v>20</v>
      </c>
      <c r="BK30" s="48" t="s">
        <v>4164</v>
      </c>
      <c r="BL30" s="48" t="s">
        <v>4164</v>
      </c>
      <c r="BM30" s="48" t="s">
        <v>4164</v>
      </c>
      <c r="BN30" s="44" t="s">
        <v>1349</v>
      </c>
      <c r="BO30" s="48"/>
      <c r="BP30" s="48"/>
      <c r="BQ30" s="44" t="s">
        <v>1383</v>
      </c>
      <c r="BR30" s="44" t="s">
        <v>1383</v>
      </c>
      <c r="BS30" s="48" t="s">
        <v>1358</v>
      </c>
      <c r="BT30" s="44" t="s">
        <v>1383</v>
      </c>
      <c r="BU30" s="48" t="s">
        <v>4165</v>
      </c>
      <c r="BV30" s="44" t="s">
        <v>1349</v>
      </c>
      <c r="BW30" s="48"/>
      <c r="BX30" s="44" t="s">
        <v>1383</v>
      </c>
      <c r="BY30" s="48" t="s">
        <v>1362</v>
      </c>
      <c r="BZ30" s="44" t="s">
        <v>4261</v>
      </c>
      <c r="CA30" s="44" t="s">
        <v>4347</v>
      </c>
      <c r="CB30" s="48" t="s">
        <v>1935</v>
      </c>
      <c r="CC30" s="48" t="s">
        <v>1935</v>
      </c>
      <c r="CD30" s="48" t="s">
        <v>1935</v>
      </c>
      <c r="CE30" s="48">
        <v>30000</v>
      </c>
      <c r="CF30" s="48">
        <v>33600</v>
      </c>
      <c r="CG30" s="48">
        <v>35000</v>
      </c>
      <c r="CH30" s="48" t="s">
        <v>1935</v>
      </c>
      <c r="CI30" s="48" t="s">
        <v>1935</v>
      </c>
      <c r="CJ30" s="48" t="s">
        <v>1935</v>
      </c>
      <c r="CK30" s="49">
        <v>0.6</v>
      </c>
      <c r="CL30" s="49">
        <v>0.6</v>
      </c>
      <c r="CM30" s="49">
        <v>0.4</v>
      </c>
      <c r="CN30" s="49">
        <v>0.4</v>
      </c>
      <c r="CO30" s="48" t="s">
        <v>3451</v>
      </c>
      <c r="CP30" s="48"/>
      <c r="CQ30" s="48"/>
      <c r="CR30" s="48"/>
      <c r="CS30" s="48"/>
      <c r="CT30" s="48"/>
      <c r="CU30" s="44"/>
      <c r="CV30" s="48"/>
      <c r="CW30" s="44" t="s">
        <v>1383</v>
      </c>
      <c r="CX30" s="49">
        <v>0.1</v>
      </c>
      <c r="CY30" s="49">
        <v>0.8</v>
      </c>
      <c r="CZ30" s="48" t="s">
        <v>3750</v>
      </c>
      <c r="DA30" s="48" t="s">
        <v>4276</v>
      </c>
      <c r="DB30" s="48" t="s">
        <v>3388</v>
      </c>
      <c r="DC30" s="56" t="s">
        <v>2204</v>
      </c>
      <c r="DD30" s="56" t="s">
        <v>4167</v>
      </c>
      <c r="DE30" s="56" t="s">
        <v>4168</v>
      </c>
      <c r="DF30" s="56" t="s">
        <v>4169</v>
      </c>
      <c r="DG30" s="56" t="s">
        <v>4170</v>
      </c>
      <c r="DH30" s="48" t="s">
        <v>1978</v>
      </c>
      <c r="DI30" s="48" t="s">
        <v>3384</v>
      </c>
      <c r="DJ30" s="48" t="s">
        <v>3384</v>
      </c>
      <c r="DK30" s="48" t="s">
        <v>3384</v>
      </c>
      <c r="DL30" s="56" t="s">
        <v>4172</v>
      </c>
      <c r="DM30" s="56" t="s">
        <v>3384</v>
      </c>
      <c r="DN30" s="44" t="s">
        <v>1349</v>
      </c>
      <c r="DO30" s="48" t="s">
        <v>1358</v>
      </c>
      <c r="DP30" s="44" t="s">
        <v>1358</v>
      </c>
      <c r="DQ30" s="48" t="s">
        <v>1349</v>
      </c>
      <c r="DR30" s="44" t="s">
        <v>1349</v>
      </c>
      <c r="DS30" s="48"/>
      <c r="DT30" s="48"/>
      <c r="DU30" s="48"/>
      <c r="DV30" s="44" t="s">
        <v>1383</v>
      </c>
      <c r="DW30" s="48" t="s">
        <v>4263</v>
      </c>
      <c r="DX30" s="44" t="s">
        <v>1383</v>
      </c>
      <c r="DY30" s="44" t="s">
        <v>1342</v>
      </c>
      <c r="DZ30" s="48" t="s">
        <v>4325</v>
      </c>
      <c r="EA30" s="44" t="s">
        <v>1383</v>
      </c>
      <c r="EB30" s="44" t="s">
        <v>1383</v>
      </c>
      <c r="EC30" s="44" t="s">
        <v>1383</v>
      </c>
      <c r="ED30" s="48" t="s">
        <v>4312</v>
      </c>
      <c r="EE30" s="49">
        <v>0.5</v>
      </c>
      <c r="EF30" s="48" t="s">
        <v>3580</v>
      </c>
      <c r="EG30" s="44" t="s">
        <v>1349</v>
      </c>
      <c r="EH30" s="48"/>
      <c r="EI30" s="48" t="s">
        <v>4349</v>
      </c>
      <c r="EJ30" s="48" t="s">
        <v>4267</v>
      </c>
      <c r="EK30" s="48" t="s">
        <v>4350</v>
      </c>
      <c r="EL30" s="44" t="s">
        <v>1389</v>
      </c>
      <c r="EM30" s="44">
        <v>4</v>
      </c>
      <c r="EN30" s="48" t="s">
        <v>4344</v>
      </c>
      <c r="EO30" s="44">
        <v>1</v>
      </c>
      <c r="EP30" s="48" t="s">
        <v>3451</v>
      </c>
      <c r="EQ30" s="44">
        <v>2</v>
      </c>
      <c r="ER30" s="48" t="s">
        <v>4339</v>
      </c>
      <c r="ES30" s="44">
        <v>5</v>
      </c>
      <c r="ET30" s="48" t="s">
        <v>4177</v>
      </c>
      <c r="EU30" s="44">
        <v>5</v>
      </c>
      <c r="EV30" s="48" t="s">
        <v>4178</v>
      </c>
      <c r="EW30" s="44">
        <v>2</v>
      </c>
      <c r="EX30" s="48" t="s">
        <v>4179</v>
      </c>
      <c r="EY30" s="44">
        <v>1</v>
      </c>
      <c r="EZ30" s="48" t="s">
        <v>4269</v>
      </c>
      <c r="FA30" s="22"/>
    </row>
    <row r="31" spans="1:157">
      <c r="A31" s="17">
        <v>575</v>
      </c>
      <c r="B31" s="22">
        <v>2</v>
      </c>
      <c r="C31" s="23" t="s">
        <v>2278</v>
      </c>
      <c r="D31" s="24">
        <v>43767</v>
      </c>
      <c r="E31" s="23" t="s">
        <v>511</v>
      </c>
      <c r="F31" s="25"/>
      <c r="G31" s="25"/>
      <c r="H31" s="23" t="s">
        <v>1075</v>
      </c>
      <c r="I31" s="23" t="s">
        <v>1071</v>
      </c>
      <c r="J31" s="23" t="s">
        <v>165</v>
      </c>
      <c r="K31" s="23" t="s">
        <v>3781</v>
      </c>
      <c r="L31" s="32">
        <v>3</v>
      </c>
      <c r="M31" s="23" t="s">
        <v>3757</v>
      </c>
      <c r="N31" s="23" t="s">
        <v>1343</v>
      </c>
      <c r="O31" s="23" t="s">
        <v>2623</v>
      </c>
      <c r="P31" s="23" t="s">
        <v>574</v>
      </c>
      <c r="Q31" s="23" t="s">
        <v>3782</v>
      </c>
      <c r="R31" s="23" t="s">
        <v>1345</v>
      </c>
      <c r="S31" s="23">
        <v>4</v>
      </c>
      <c r="T31" s="23" t="s">
        <v>1346</v>
      </c>
      <c r="U31" s="23">
        <v>2007</v>
      </c>
      <c r="V31" s="23" t="s">
        <v>3760</v>
      </c>
      <c r="W31" s="23" t="s">
        <v>3783</v>
      </c>
      <c r="X31" s="23" t="s">
        <v>1349</v>
      </c>
      <c r="Y31" s="23" t="s">
        <v>2300</v>
      </c>
      <c r="Z31" s="23" t="s">
        <v>2300</v>
      </c>
      <c r="AA31" s="23">
        <v>28</v>
      </c>
      <c r="AB31" s="23" t="s">
        <v>1345</v>
      </c>
      <c r="AC31" s="23">
        <v>3</v>
      </c>
      <c r="AD31" s="23" t="s">
        <v>1345</v>
      </c>
      <c r="AE31" s="23" t="s">
        <v>1345</v>
      </c>
      <c r="AF31" s="23" t="s">
        <v>1345</v>
      </c>
      <c r="AG31" s="23" t="s">
        <v>1349</v>
      </c>
      <c r="AH31" s="23" t="s">
        <v>2300</v>
      </c>
      <c r="AI31" s="23">
        <v>2015</v>
      </c>
      <c r="AJ31" s="23" t="s">
        <v>1345</v>
      </c>
      <c r="AK31" s="68" t="s">
        <v>2341</v>
      </c>
      <c r="AL31" s="68" t="s">
        <v>1612</v>
      </c>
      <c r="AM31" s="23" t="s">
        <v>1612</v>
      </c>
      <c r="AN31" s="23" t="s">
        <v>1352</v>
      </c>
      <c r="AO31" s="23" t="s">
        <v>1612</v>
      </c>
      <c r="AP31" s="23" t="s">
        <v>1612</v>
      </c>
      <c r="AQ31" s="71" t="s">
        <v>1352</v>
      </c>
      <c r="AR31" s="22" t="s">
        <v>1352</v>
      </c>
      <c r="AS31" s="23" t="s">
        <v>1802</v>
      </c>
      <c r="AT31" s="23" t="s">
        <v>1358</v>
      </c>
      <c r="AU31" s="23" t="s">
        <v>2249</v>
      </c>
      <c r="AV31" s="23">
        <v>1000</v>
      </c>
      <c r="AW31" s="23" t="s">
        <v>2343</v>
      </c>
      <c r="AX31" s="23" t="s">
        <v>2294</v>
      </c>
      <c r="AY31" s="23" t="s">
        <v>1349</v>
      </c>
      <c r="AZ31" s="23" t="s">
        <v>3784</v>
      </c>
      <c r="BA31" s="23" t="s">
        <v>2361</v>
      </c>
      <c r="BB31" s="23" t="s">
        <v>2647</v>
      </c>
      <c r="BC31" s="23" t="s">
        <v>2647</v>
      </c>
      <c r="BD31" s="23" t="s">
        <v>2289</v>
      </c>
      <c r="BE31" s="23" t="s">
        <v>3785</v>
      </c>
      <c r="BF31" s="23"/>
      <c r="BG31" s="23"/>
      <c r="BH31" s="23">
        <v>10</v>
      </c>
      <c r="BI31" s="23">
        <v>10</v>
      </c>
      <c r="BJ31" s="23">
        <v>15</v>
      </c>
      <c r="BK31" s="23" t="s">
        <v>1360</v>
      </c>
      <c r="BL31" s="23" t="s">
        <v>1360</v>
      </c>
      <c r="BM31" s="23" t="s">
        <v>1360</v>
      </c>
      <c r="BN31" s="23" t="s">
        <v>1345</v>
      </c>
      <c r="BO31" s="23" t="s">
        <v>2706</v>
      </c>
      <c r="BP31" s="23" t="s">
        <v>3786</v>
      </c>
      <c r="BQ31" s="23" t="s">
        <v>1349</v>
      </c>
      <c r="BR31" s="23" t="s">
        <v>1349</v>
      </c>
      <c r="BS31" s="23" t="s">
        <v>2643</v>
      </c>
      <c r="BT31" s="23" t="s">
        <v>1349</v>
      </c>
      <c r="BU31" s="23" t="s">
        <v>3781</v>
      </c>
      <c r="BV31" s="23" t="s">
        <v>1349</v>
      </c>
      <c r="BW31" s="23" t="s">
        <v>2300</v>
      </c>
      <c r="BX31" s="23" t="s">
        <v>1345</v>
      </c>
      <c r="BY31" s="23" t="s">
        <v>2302</v>
      </c>
      <c r="BZ31" s="23" t="s">
        <v>2767</v>
      </c>
      <c r="CA31" s="23" t="s">
        <v>2767</v>
      </c>
      <c r="CB31" s="23" t="s">
        <v>2289</v>
      </c>
      <c r="CC31" s="23" t="s">
        <v>2289</v>
      </c>
      <c r="CD31" s="23" t="s">
        <v>2289</v>
      </c>
      <c r="CE31" s="23">
        <v>2000</v>
      </c>
      <c r="CF31" s="23">
        <v>3500</v>
      </c>
      <c r="CG31" s="23">
        <v>4000</v>
      </c>
      <c r="CH31" s="23">
        <v>40</v>
      </c>
      <c r="CI31" s="23">
        <v>50</v>
      </c>
      <c r="CJ31" s="23">
        <v>40</v>
      </c>
      <c r="CK31" s="26">
        <v>0.5</v>
      </c>
      <c r="CL31" s="27">
        <v>1</v>
      </c>
      <c r="CM31" s="27">
        <v>0.5</v>
      </c>
      <c r="CN31" s="26">
        <v>0</v>
      </c>
      <c r="CO31" s="23" t="s">
        <v>2652</v>
      </c>
      <c r="CP31" s="23" t="s">
        <v>2289</v>
      </c>
      <c r="CQ31" s="23" t="s">
        <v>2767</v>
      </c>
      <c r="CR31" s="23">
        <v>3</v>
      </c>
      <c r="CS31" s="23" t="s">
        <v>3764</v>
      </c>
      <c r="CT31" s="23" t="s">
        <v>3765</v>
      </c>
      <c r="CU31" s="23" t="s">
        <v>1345</v>
      </c>
      <c r="CV31" s="23" t="s">
        <v>2310</v>
      </c>
      <c r="CW31" s="23" t="s">
        <v>1345</v>
      </c>
      <c r="CX31" s="26">
        <v>0.15</v>
      </c>
      <c r="CY31" s="26">
        <v>0.85</v>
      </c>
      <c r="CZ31" s="23" t="s">
        <v>2311</v>
      </c>
      <c r="DA31" s="23" t="s">
        <v>3766</v>
      </c>
      <c r="DB31" s="23" t="s">
        <v>1903</v>
      </c>
      <c r="DC31" s="23" t="s">
        <v>2643</v>
      </c>
      <c r="DD31" s="22" t="s">
        <v>2792</v>
      </c>
      <c r="DE31" s="23" t="s">
        <v>3767</v>
      </c>
      <c r="DF31" s="23" t="s">
        <v>3768</v>
      </c>
      <c r="DG31" s="23" t="s">
        <v>3769</v>
      </c>
      <c r="DH31" s="23" t="s">
        <v>2794</v>
      </c>
      <c r="DI31" s="23" t="s">
        <v>1556</v>
      </c>
      <c r="DJ31" s="23" t="s">
        <v>1556</v>
      </c>
      <c r="DK31" s="23" t="s">
        <v>1556</v>
      </c>
      <c r="DL31" s="23" t="s">
        <v>3770</v>
      </c>
      <c r="DM31" s="23" t="s">
        <v>3771</v>
      </c>
      <c r="DN31" s="23" t="s">
        <v>1345</v>
      </c>
      <c r="DO31" s="23" t="s">
        <v>3772</v>
      </c>
      <c r="DP31" s="23" t="s">
        <v>1349</v>
      </c>
      <c r="DQ31" s="23" t="s">
        <v>2647</v>
      </c>
      <c r="DR31" s="23" t="s">
        <v>1349</v>
      </c>
      <c r="DS31" s="23" t="s">
        <v>1556</v>
      </c>
      <c r="DT31" s="23" t="s">
        <v>2300</v>
      </c>
      <c r="DU31" s="23" t="s">
        <v>2300</v>
      </c>
      <c r="DV31" s="23" t="s">
        <v>1345</v>
      </c>
      <c r="DW31" s="23" t="s">
        <v>2797</v>
      </c>
      <c r="DX31" s="23" t="s">
        <v>1345</v>
      </c>
      <c r="DY31" s="23" t="s">
        <v>1349</v>
      </c>
      <c r="DZ31" s="23" t="s">
        <v>3773</v>
      </c>
      <c r="EA31" s="23" t="s">
        <v>1345</v>
      </c>
      <c r="EB31" s="23" t="s">
        <v>1345</v>
      </c>
      <c r="EC31" s="23" t="s">
        <v>1345</v>
      </c>
      <c r="ED31" s="23" t="s">
        <v>2353</v>
      </c>
      <c r="EE31" s="27">
        <v>0.05</v>
      </c>
      <c r="EF31" s="23" t="s">
        <v>2324</v>
      </c>
      <c r="EG31" s="23" t="s">
        <v>1345</v>
      </c>
      <c r="EH31" s="26">
        <v>0.8</v>
      </c>
      <c r="EI31" s="23" t="s">
        <v>2326</v>
      </c>
      <c r="EJ31" s="22"/>
      <c r="EK31" s="23" t="s">
        <v>3774</v>
      </c>
      <c r="EL31" s="23" t="s">
        <v>1389</v>
      </c>
      <c r="EM31" s="23">
        <v>3</v>
      </c>
      <c r="EN31" s="23" t="s">
        <v>3775</v>
      </c>
      <c r="EO31" s="23">
        <v>4</v>
      </c>
      <c r="EP31" s="23" t="s">
        <v>3787</v>
      </c>
      <c r="EQ31" s="23">
        <v>4</v>
      </c>
      <c r="ER31" s="22" t="s">
        <v>3788</v>
      </c>
      <c r="ES31" s="23">
        <v>4</v>
      </c>
      <c r="ET31" s="22" t="s">
        <v>3778</v>
      </c>
      <c r="EU31" s="23">
        <v>4</v>
      </c>
      <c r="EV31" s="22" t="s">
        <v>3779</v>
      </c>
      <c r="EW31" s="23">
        <v>3</v>
      </c>
      <c r="EX31" s="22" t="s">
        <v>3780</v>
      </c>
      <c r="EY31" s="23">
        <v>2</v>
      </c>
      <c r="EZ31" s="22" t="s">
        <v>2424</v>
      </c>
      <c r="FA31" s="22"/>
    </row>
    <row r="32" spans="1:157">
      <c r="A32" s="17">
        <v>576</v>
      </c>
      <c r="B32" s="22">
        <v>60</v>
      </c>
      <c r="C32" s="51" t="s">
        <v>1795</v>
      </c>
      <c r="D32" s="52">
        <v>43771</v>
      </c>
      <c r="E32" s="51" t="s">
        <v>4157</v>
      </c>
      <c r="F32" s="51" t="s">
        <v>1728</v>
      </c>
      <c r="G32" s="51" t="s">
        <v>3856</v>
      </c>
      <c r="H32" s="51" t="s">
        <v>1075</v>
      </c>
      <c r="I32" s="51" t="s">
        <v>1071</v>
      </c>
      <c r="J32" s="23" t="s">
        <v>3856</v>
      </c>
      <c r="K32" s="51" t="s">
        <v>4182</v>
      </c>
      <c r="L32" s="51">
        <v>10</v>
      </c>
      <c r="M32" s="51" t="s">
        <v>3360</v>
      </c>
      <c r="N32" s="51" t="s">
        <v>1343</v>
      </c>
      <c r="O32" s="51" t="s">
        <v>4253</v>
      </c>
      <c r="P32" s="51" t="s">
        <v>558</v>
      </c>
      <c r="Q32" s="51">
        <v>67720058</v>
      </c>
      <c r="R32" s="51" t="s">
        <v>1345</v>
      </c>
      <c r="S32" s="51">
        <v>7</v>
      </c>
      <c r="T32" s="51" t="s">
        <v>1346</v>
      </c>
      <c r="U32" s="51">
        <v>2010</v>
      </c>
      <c r="V32" s="51" t="s">
        <v>4254</v>
      </c>
      <c r="W32" s="51" t="s">
        <v>4255</v>
      </c>
      <c r="X32" s="51" t="s">
        <v>1349</v>
      </c>
      <c r="Y32" s="51"/>
      <c r="Z32" s="51"/>
      <c r="AA32" s="51">
        <v>15</v>
      </c>
      <c r="AB32" s="51" t="s">
        <v>1345</v>
      </c>
      <c r="AC32" s="51">
        <v>2</v>
      </c>
      <c r="AD32" s="51" t="s">
        <v>1345</v>
      </c>
      <c r="AE32" s="51" t="s">
        <v>1349</v>
      </c>
      <c r="AF32" s="51" t="s">
        <v>1349</v>
      </c>
      <c r="AG32" s="51" t="s">
        <v>1349</v>
      </c>
      <c r="AH32" s="51" t="s">
        <v>1366</v>
      </c>
      <c r="AI32" s="51" t="s">
        <v>3384</v>
      </c>
      <c r="AJ32" s="51" t="s">
        <v>1349</v>
      </c>
      <c r="AK32" s="89" t="s">
        <v>4199</v>
      </c>
      <c r="AL32" s="87" t="s">
        <v>1612</v>
      </c>
      <c r="AM32" s="23" t="s">
        <v>1612</v>
      </c>
      <c r="AN32" s="51" t="s">
        <v>1550</v>
      </c>
      <c r="AO32" s="51" t="s">
        <v>1550</v>
      </c>
      <c r="AP32" s="51" t="s">
        <v>1550</v>
      </c>
      <c r="AQ32" s="89" t="s">
        <v>1352</v>
      </c>
      <c r="AR32" s="90" t="s">
        <v>3451</v>
      </c>
      <c r="AS32" s="51" t="s">
        <v>1550</v>
      </c>
      <c r="AT32" s="51" t="s">
        <v>1804</v>
      </c>
      <c r="AU32" s="51"/>
      <c r="AV32" s="42">
        <v>1000</v>
      </c>
      <c r="AW32" s="51" t="s">
        <v>4256</v>
      </c>
      <c r="AX32" s="51" t="s">
        <v>4257</v>
      </c>
      <c r="AY32" s="51" t="s">
        <v>1349</v>
      </c>
      <c r="AZ32" s="51" t="s">
        <v>4258</v>
      </c>
      <c r="BA32" s="51" t="s">
        <v>4259</v>
      </c>
      <c r="BB32" s="51" t="s">
        <v>1358</v>
      </c>
      <c r="BC32" s="51" t="s">
        <v>1358</v>
      </c>
      <c r="BD32" s="51" t="s">
        <v>1358</v>
      </c>
      <c r="BE32" s="51" t="s">
        <v>4260</v>
      </c>
      <c r="BF32" s="51"/>
      <c r="BG32" s="51"/>
      <c r="BH32" s="51">
        <v>1</v>
      </c>
      <c r="BI32" s="51">
        <v>1.5</v>
      </c>
      <c r="BJ32" s="51">
        <v>2</v>
      </c>
      <c r="BK32" s="51" t="s">
        <v>4164</v>
      </c>
      <c r="BL32" s="51" t="s">
        <v>4164</v>
      </c>
      <c r="BM32" s="51" t="s">
        <v>4164</v>
      </c>
      <c r="BN32" s="51" t="s">
        <v>1349</v>
      </c>
      <c r="BO32" s="51"/>
      <c r="BP32" s="51"/>
      <c r="BQ32" s="51" t="s">
        <v>1345</v>
      </c>
      <c r="BR32" s="51" t="s">
        <v>1345</v>
      </c>
      <c r="BS32" s="51" t="s">
        <v>1358</v>
      </c>
      <c r="BT32" s="51" t="s">
        <v>1345</v>
      </c>
      <c r="BU32" s="51" t="s">
        <v>4165</v>
      </c>
      <c r="BV32" s="51" t="s">
        <v>1349</v>
      </c>
      <c r="BW32" s="51"/>
      <c r="BX32" s="51" t="s">
        <v>1345</v>
      </c>
      <c r="BY32" s="51" t="s">
        <v>1362</v>
      </c>
      <c r="BZ32" s="51" t="s">
        <v>4261</v>
      </c>
      <c r="CA32" s="51" t="s">
        <v>4182</v>
      </c>
      <c r="CB32" s="51" t="s">
        <v>1935</v>
      </c>
      <c r="CC32" s="51" t="s">
        <v>1935</v>
      </c>
      <c r="CD32" s="51" t="s">
        <v>1935</v>
      </c>
      <c r="CE32" s="51">
        <v>42000</v>
      </c>
      <c r="CF32" s="51">
        <v>46080</v>
      </c>
      <c r="CG32" s="51">
        <v>40000</v>
      </c>
      <c r="CH32" s="51" t="s">
        <v>1935</v>
      </c>
      <c r="CI32" s="51" t="s">
        <v>1935</v>
      </c>
      <c r="CJ32" s="51" t="s">
        <v>1935</v>
      </c>
      <c r="CK32" s="53">
        <v>0.2</v>
      </c>
      <c r="CL32" s="53">
        <v>0.15</v>
      </c>
      <c r="CM32" s="53">
        <v>0.8</v>
      </c>
      <c r="CN32" s="53">
        <v>0.85</v>
      </c>
      <c r="CO32" s="51" t="s">
        <v>3451</v>
      </c>
      <c r="CP32" s="51"/>
      <c r="CQ32" s="51"/>
      <c r="CR32" s="51"/>
      <c r="CS32" s="51"/>
      <c r="CT32" s="51"/>
      <c r="CU32" s="51"/>
      <c r="CV32" s="51"/>
      <c r="CW32" s="51" t="s">
        <v>1345</v>
      </c>
      <c r="CX32" s="51" t="s">
        <v>4262</v>
      </c>
      <c r="CY32" s="51"/>
      <c r="CZ32" s="51" t="s">
        <v>3750</v>
      </c>
      <c r="DA32" s="51" t="s">
        <v>3751</v>
      </c>
      <c r="DB32" s="51" t="s">
        <v>1808</v>
      </c>
      <c r="DC32" s="51" t="s">
        <v>2204</v>
      </c>
      <c r="DD32" s="51" t="s">
        <v>4167</v>
      </c>
      <c r="DE32" s="51" t="s">
        <v>4168</v>
      </c>
      <c r="DF32" s="51" t="s">
        <v>4169</v>
      </c>
      <c r="DG32" s="51" t="s">
        <v>4170</v>
      </c>
      <c r="DH32" s="51" t="s">
        <v>4171</v>
      </c>
      <c r="DI32" s="51" t="s">
        <v>1978</v>
      </c>
      <c r="DJ32" s="51" t="s">
        <v>1978</v>
      </c>
      <c r="DK32" s="51" t="s">
        <v>3384</v>
      </c>
      <c r="DL32" s="51" t="s">
        <v>4172</v>
      </c>
      <c r="DM32" s="51" t="s">
        <v>3384</v>
      </c>
      <c r="DN32" s="51" t="s">
        <v>1349</v>
      </c>
      <c r="DO32" s="51" t="s">
        <v>1358</v>
      </c>
      <c r="DP32" s="51" t="s">
        <v>1358</v>
      </c>
      <c r="DQ32" s="51" t="s">
        <v>1349</v>
      </c>
      <c r="DR32" s="51" t="s">
        <v>1349</v>
      </c>
      <c r="DS32" s="51"/>
      <c r="DT32" s="51"/>
      <c r="DU32" s="51"/>
      <c r="DV32" s="51" t="s">
        <v>1345</v>
      </c>
      <c r="DW32" s="51" t="s">
        <v>4263</v>
      </c>
      <c r="DX32" s="51" t="s">
        <v>1345</v>
      </c>
      <c r="DY32" s="51" t="s">
        <v>1349</v>
      </c>
      <c r="DZ32" s="51" t="s">
        <v>4264</v>
      </c>
      <c r="EA32" s="51" t="s">
        <v>1345</v>
      </c>
      <c r="EB32" s="51" t="s">
        <v>1345</v>
      </c>
      <c r="EC32" s="51" t="s">
        <v>1345</v>
      </c>
      <c r="ED32" s="51" t="s">
        <v>4265</v>
      </c>
      <c r="EE32" s="53">
        <v>0.3</v>
      </c>
      <c r="EF32" s="51" t="s">
        <v>3580</v>
      </c>
      <c r="EG32" s="51" t="s">
        <v>1349</v>
      </c>
      <c r="EH32" s="51"/>
      <c r="EI32" s="51" t="s">
        <v>4266</v>
      </c>
      <c r="EJ32" s="51" t="s">
        <v>4267</v>
      </c>
      <c r="EK32" s="51" t="s">
        <v>3613</v>
      </c>
      <c r="EL32" s="51" t="s">
        <v>1389</v>
      </c>
      <c r="EM32" s="51">
        <v>4</v>
      </c>
      <c r="EN32" s="51" t="s">
        <v>4268</v>
      </c>
      <c r="EO32" s="51">
        <v>1</v>
      </c>
      <c r="EP32" s="51" t="s">
        <v>3451</v>
      </c>
      <c r="EQ32" s="51">
        <v>2</v>
      </c>
      <c r="ER32" s="51" t="s">
        <v>4176</v>
      </c>
      <c r="ES32" s="51">
        <v>5</v>
      </c>
      <c r="ET32" s="51" t="s">
        <v>4177</v>
      </c>
      <c r="EU32" s="51">
        <v>5</v>
      </c>
      <c r="EV32" s="51" t="s">
        <v>4178</v>
      </c>
      <c r="EW32" s="51">
        <v>2</v>
      </c>
      <c r="EX32" s="51" t="s">
        <v>4179</v>
      </c>
      <c r="EY32" s="51">
        <v>1</v>
      </c>
      <c r="EZ32" s="51" t="s">
        <v>4269</v>
      </c>
      <c r="FA32" s="22"/>
    </row>
    <row r="33" spans="1:157">
      <c r="A33" s="17">
        <v>577</v>
      </c>
      <c r="B33" s="22">
        <v>19</v>
      </c>
      <c r="C33" s="23" t="s">
        <v>2278</v>
      </c>
      <c r="D33" s="24">
        <v>43777</v>
      </c>
      <c r="E33" s="23" t="s">
        <v>3870</v>
      </c>
      <c r="F33" s="25"/>
      <c r="G33" s="25"/>
      <c r="H33" s="23" t="s">
        <v>1075</v>
      </c>
      <c r="I33" s="23" t="s">
        <v>1071</v>
      </c>
      <c r="J33" s="23" t="s">
        <v>3851</v>
      </c>
      <c r="K33" s="23" t="s">
        <v>3851</v>
      </c>
      <c r="L33" s="32">
        <v>0.5</v>
      </c>
      <c r="M33" s="23" t="s">
        <v>3757</v>
      </c>
      <c r="N33" s="23" t="s">
        <v>1343</v>
      </c>
      <c r="O33" s="23" t="s">
        <v>3871</v>
      </c>
      <c r="P33" s="23" t="s">
        <v>3872</v>
      </c>
      <c r="Q33" s="23">
        <v>68255114</v>
      </c>
      <c r="R33" s="23" t="s">
        <v>1345</v>
      </c>
      <c r="S33" s="23">
        <v>5</v>
      </c>
      <c r="T33" s="23" t="s">
        <v>1346</v>
      </c>
      <c r="U33" s="23">
        <v>2015</v>
      </c>
      <c r="V33" s="23" t="s">
        <v>3828</v>
      </c>
      <c r="W33" s="23" t="s">
        <v>3783</v>
      </c>
      <c r="X33" s="23" t="s">
        <v>1349</v>
      </c>
      <c r="Y33" s="23" t="s">
        <v>2300</v>
      </c>
      <c r="Z33" s="23" t="s">
        <v>2300</v>
      </c>
      <c r="AA33" s="23">
        <v>25</v>
      </c>
      <c r="AB33" s="23" t="s">
        <v>1349</v>
      </c>
      <c r="AC33" s="23">
        <v>2</v>
      </c>
      <c r="AD33" s="23" t="s">
        <v>1345</v>
      </c>
      <c r="AE33" s="23" t="s">
        <v>1345</v>
      </c>
      <c r="AF33" s="23" t="s">
        <v>1349</v>
      </c>
      <c r="AG33" s="23" t="s">
        <v>1349</v>
      </c>
      <c r="AH33" s="23" t="s">
        <v>2300</v>
      </c>
      <c r="AI33" s="23">
        <v>2016</v>
      </c>
      <c r="AJ33" s="23" t="s">
        <v>1349</v>
      </c>
      <c r="AK33" s="68" t="s">
        <v>2341</v>
      </c>
      <c r="AL33" s="68" t="s">
        <v>1612</v>
      </c>
      <c r="AM33" s="23" t="s">
        <v>1612</v>
      </c>
      <c r="AN33" s="23" t="s">
        <v>1612</v>
      </c>
      <c r="AO33" s="23" t="s">
        <v>1612</v>
      </c>
      <c r="AP33" s="23" t="s">
        <v>1612</v>
      </c>
      <c r="AQ33" s="87" t="s">
        <v>1352</v>
      </c>
      <c r="AR33" s="23" t="s">
        <v>1352</v>
      </c>
      <c r="AS33" s="23" t="s">
        <v>1802</v>
      </c>
      <c r="AT33" s="23" t="s">
        <v>1358</v>
      </c>
      <c r="AU33" s="23" t="s">
        <v>2249</v>
      </c>
      <c r="AV33" s="23">
        <v>1000</v>
      </c>
      <c r="AW33" s="23" t="s">
        <v>3873</v>
      </c>
      <c r="AX33" s="23" t="s">
        <v>2294</v>
      </c>
      <c r="AY33" s="23" t="s">
        <v>1349</v>
      </c>
      <c r="AZ33" s="23" t="s">
        <v>3762</v>
      </c>
      <c r="BA33" s="23" t="s">
        <v>2361</v>
      </c>
      <c r="BB33" s="23" t="s">
        <v>2647</v>
      </c>
      <c r="BC33" s="23" t="s">
        <v>2647</v>
      </c>
      <c r="BD33" s="23" t="s">
        <v>2289</v>
      </c>
      <c r="BE33" s="23" t="s">
        <v>3790</v>
      </c>
      <c r="BF33" s="23" t="s">
        <v>3851</v>
      </c>
      <c r="BG33" s="23"/>
      <c r="BH33" s="23">
        <v>5</v>
      </c>
      <c r="BI33" s="23">
        <v>5</v>
      </c>
      <c r="BJ33" s="23">
        <v>15</v>
      </c>
      <c r="BK33" s="22" t="s">
        <v>1434</v>
      </c>
      <c r="BL33" s="22" t="s">
        <v>1702</v>
      </c>
      <c r="BM33" s="22" t="s">
        <v>1702</v>
      </c>
      <c r="BN33" s="23" t="s">
        <v>1349</v>
      </c>
      <c r="BO33" s="23" t="s">
        <v>2767</v>
      </c>
      <c r="BP33" s="23" t="s">
        <v>2767</v>
      </c>
      <c r="BQ33" s="23" t="s">
        <v>1349</v>
      </c>
      <c r="BR33" s="23" t="s">
        <v>1349</v>
      </c>
      <c r="BS33" s="23" t="s">
        <v>2643</v>
      </c>
      <c r="BT33" s="23" t="s">
        <v>1349</v>
      </c>
      <c r="BU33" s="23" t="s">
        <v>3830</v>
      </c>
      <c r="BV33" s="23" t="s">
        <v>1349</v>
      </c>
      <c r="BW33" s="23" t="s">
        <v>2300</v>
      </c>
      <c r="BX33" s="23" t="s">
        <v>1345</v>
      </c>
      <c r="BY33" s="23" t="s">
        <v>2302</v>
      </c>
      <c r="BZ33" s="23" t="s">
        <v>2767</v>
      </c>
      <c r="CA33" s="23" t="s">
        <v>2767</v>
      </c>
      <c r="CB33" s="23" t="s">
        <v>2289</v>
      </c>
      <c r="CC33" s="23" t="s">
        <v>2289</v>
      </c>
      <c r="CD33" s="23" t="s">
        <v>2289</v>
      </c>
      <c r="CE33" s="23">
        <v>500</v>
      </c>
      <c r="CF33" s="23">
        <v>1500</v>
      </c>
      <c r="CG33" s="23">
        <v>4000</v>
      </c>
      <c r="CH33" s="23">
        <v>40</v>
      </c>
      <c r="CI33" s="23">
        <v>30</v>
      </c>
      <c r="CJ33" s="23">
        <v>20</v>
      </c>
      <c r="CK33" s="26">
        <v>0.3</v>
      </c>
      <c r="CL33" s="27">
        <v>0.3</v>
      </c>
      <c r="CM33" s="27">
        <v>0.7</v>
      </c>
      <c r="CN33" s="26">
        <v>0.7</v>
      </c>
      <c r="CO33" s="23" t="s">
        <v>2652</v>
      </c>
      <c r="CP33" s="23" t="s">
        <v>2289</v>
      </c>
      <c r="CQ33" s="23" t="s">
        <v>2767</v>
      </c>
      <c r="CR33" s="23">
        <v>0.8</v>
      </c>
      <c r="CS33" s="23" t="s">
        <v>3764</v>
      </c>
      <c r="CT33" s="23" t="s">
        <v>3765</v>
      </c>
      <c r="CU33" s="23" t="s">
        <v>1345</v>
      </c>
      <c r="CV33" s="23" t="s">
        <v>2310</v>
      </c>
      <c r="CW33" s="23" t="s">
        <v>1345</v>
      </c>
      <c r="CX33" s="26">
        <v>0.4</v>
      </c>
      <c r="CY33" s="26">
        <v>0.6</v>
      </c>
      <c r="CZ33" s="23" t="s">
        <v>2311</v>
      </c>
      <c r="DA33" s="23" t="s">
        <v>3766</v>
      </c>
      <c r="DB33" s="23" t="s">
        <v>1903</v>
      </c>
      <c r="DC33" s="23" t="s">
        <v>2643</v>
      </c>
      <c r="DD33" s="22" t="s">
        <v>2792</v>
      </c>
      <c r="DE33" s="23" t="s">
        <v>2350</v>
      </c>
      <c r="DF33" s="23" t="s">
        <v>3768</v>
      </c>
      <c r="DG33" s="23" t="s">
        <v>3874</v>
      </c>
      <c r="DH33" s="23" t="s">
        <v>2794</v>
      </c>
      <c r="DI33" s="23" t="s">
        <v>1556</v>
      </c>
      <c r="DJ33" s="23" t="s">
        <v>1556</v>
      </c>
      <c r="DK33" s="23" t="s">
        <v>1556</v>
      </c>
      <c r="DL33" s="23" t="s">
        <v>3770</v>
      </c>
      <c r="DM33" s="23" t="s">
        <v>3771</v>
      </c>
      <c r="DN33" s="23" t="s">
        <v>1345</v>
      </c>
      <c r="DO33" s="23" t="s">
        <v>3875</v>
      </c>
      <c r="DP33" s="23" t="s">
        <v>1349</v>
      </c>
      <c r="DQ33" s="23" t="s">
        <v>2647</v>
      </c>
      <c r="DR33" s="23" t="s">
        <v>1349</v>
      </c>
      <c r="DS33" s="23" t="s">
        <v>1556</v>
      </c>
      <c r="DT33" s="23" t="s">
        <v>2300</v>
      </c>
      <c r="DU33" s="23" t="s">
        <v>2300</v>
      </c>
      <c r="DV33" s="23" t="s">
        <v>1345</v>
      </c>
      <c r="DW33" s="23" t="s">
        <v>2797</v>
      </c>
      <c r="DX33" s="23" t="s">
        <v>1345</v>
      </c>
      <c r="DY33" s="23" t="s">
        <v>1349</v>
      </c>
      <c r="DZ33" s="23" t="s">
        <v>3773</v>
      </c>
      <c r="EA33" s="23" t="s">
        <v>1345</v>
      </c>
      <c r="EB33" s="23" t="s">
        <v>1345</v>
      </c>
      <c r="EC33" s="23" t="s">
        <v>1345</v>
      </c>
      <c r="ED33" s="23" t="s">
        <v>2353</v>
      </c>
      <c r="EE33" s="27">
        <v>0.05</v>
      </c>
      <c r="EF33" s="23" t="s">
        <v>2324</v>
      </c>
      <c r="EG33" s="23" t="s">
        <v>1349</v>
      </c>
      <c r="EH33" s="23" t="s">
        <v>2300</v>
      </c>
      <c r="EI33" s="23" t="s">
        <v>2326</v>
      </c>
      <c r="EJ33" s="22"/>
      <c r="EK33" s="23" t="s">
        <v>3868</v>
      </c>
      <c r="EL33" s="23" t="s">
        <v>1389</v>
      </c>
      <c r="EM33" s="23">
        <v>2</v>
      </c>
      <c r="EN33" s="23" t="s">
        <v>3835</v>
      </c>
      <c r="EO33" s="23">
        <v>3</v>
      </c>
      <c r="EP33" s="23" t="s">
        <v>3776</v>
      </c>
      <c r="EQ33" s="23">
        <v>3</v>
      </c>
      <c r="ER33" s="22" t="s">
        <v>3777</v>
      </c>
      <c r="ES33" s="23">
        <v>4</v>
      </c>
      <c r="ET33" s="22" t="s">
        <v>3778</v>
      </c>
      <c r="EU33" s="23">
        <v>4</v>
      </c>
      <c r="EV33" s="22" t="s">
        <v>3876</v>
      </c>
      <c r="EW33" s="23">
        <v>3</v>
      </c>
      <c r="EX33" s="22" t="s">
        <v>3832</v>
      </c>
      <c r="EY33" s="23">
        <v>2</v>
      </c>
      <c r="EZ33" s="22" t="s">
        <v>2424</v>
      </c>
      <c r="FA33" s="22"/>
    </row>
    <row r="34" spans="1:157">
      <c r="A34" s="17">
        <v>578</v>
      </c>
      <c r="B34" s="22">
        <v>44</v>
      </c>
      <c r="C34" s="23" t="s">
        <v>1337</v>
      </c>
      <c r="D34" s="24">
        <v>43778</v>
      </c>
      <c r="E34" s="23" t="s">
        <v>4088</v>
      </c>
      <c r="F34" s="25" t="e">
        <v>#N/A</v>
      </c>
      <c r="G34" s="25" t="s">
        <v>4089</v>
      </c>
      <c r="H34" s="23" t="s">
        <v>3901</v>
      </c>
      <c r="I34" s="23" t="s">
        <v>4090</v>
      </c>
      <c r="J34" s="38" t="s">
        <v>4091</v>
      </c>
      <c r="K34" s="23" t="s">
        <v>4092</v>
      </c>
      <c r="L34" s="32">
        <v>7</v>
      </c>
      <c r="M34" s="23" t="s">
        <v>1342</v>
      </c>
      <c r="N34" s="23" t="s">
        <v>1343</v>
      </c>
      <c r="O34" s="23" t="s">
        <v>4093</v>
      </c>
      <c r="P34" s="23" t="s">
        <v>1654</v>
      </c>
      <c r="Q34" s="23" t="s">
        <v>4094</v>
      </c>
      <c r="R34" s="23" t="s">
        <v>1383</v>
      </c>
      <c r="S34" s="23">
        <v>6</v>
      </c>
      <c r="T34" s="23" t="s">
        <v>1346</v>
      </c>
      <c r="U34" s="23">
        <v>2006</v>
      </c>
      <c r="V34" s="23" t="s">
        <v>4095</v>
      </c>
      <c r="W34" s="22" t="s">
        <v>4096</v>
      </c>
      <c r="X34" s="23" t="s">
        <v>1342</v>
      </c>
      <c r="Y34" s="23"/>
      <c r="Z34" s="23"/>
      <c r="AA34" s="23">
        <v>92</v>
      </c>
      <c r="AB34" s="23"/>
      <c r="AC34" s="23">
        <v>2</v>
      </c>
      <c r="AD34" s="23" t="s">
        <v>1383</v>
      </c>
      <c r="AE34" s="23" t="s">
        <v>1383</v>
      </c>
      <c r="AF34" s="23" t="s">
        <v>1342</v>
      </c>
      <c r="AG34" s="23" t="s">
        <v>1342</v>
      </c>
      <c r="AH34" s="23" t="s">
        <v>4097</v>
      </c>
      <c r="AI34" s="23"/>
      <c r="AJ34" s="23" t="s">
        <v>1342</v>
      </c>
      <c r="AK34" s="23" t="s">
        <v>1366</v>
      </c>
      <c r="AL34" s="68" t="s">
        <v>1612</v>
      </c>
      <c r="AM34" s="23" t="s">
        <v>1612</v>
      </c>
      <c r="AN34" s="23" t="s">
        <v>1612</v>
      </c>
      <c r="AO34" s="23" t="s">
        <v>1612</v>
      </c>
      <c r="AP34" s="23" t="s">
        <v>1612</v>
      </c>
      <c r="AQ34" s="68" t="s">
        <v>1552</v>
      </c>
      <c r="AR34" s="23" t="s">
        <v>1612</v>
      </c>
      <c r="AS34" s="42" t="s">
        <v>1550</v>
      </c>
      <c r="AT34" s="22"/>
      <c r="AU34" s="22">
        <v>12000</v>
      </c>
      <c r="AV34" s="22">
        <v>35000</v>
      </c>
      <c r="AW34" s="22" t="s">
        <v>4098</v>
      </c>
      <c r="AX34" s="22" t="s">
        <v>4099</v>
      </c>
      <c r="AY34" s="23" t="s">
        <v>1349</v>
      </c>
      <c r="AZ34" s="22"/>
      <c r="BA34" s="22"/>
      <c r="BB34" s="22" t="s">
        <v>1358</v>
      </c>
      <c r="BC34" s="22" t="s">
        <v>1358</v>
      </c>
      <c r="BD34" s="22" t="s">
        <v>1358</v>
      </c>
      <c r="BE34" s="22" t="s">
        <v>4092</v>
      </c>
      <c r="BF34" s="22"/>
      <c r="BG34" s="22"/>
      <c r="BH34" s="22">
        <v>2</v>
      </c>
      <c r="BI34" s="22">
        <v>3</v>
      </c>
      <c r="BJ34" s="22">
        <v>4</v>
      </c>
      <c r="BK34" s="22" t="s">
        <v>1702</v>
      </c>
      <c r="BL34" s="22" t="s">
        <v>1702</v>
      </c>
      <c r="BM34" s="22" t="s">
        <v>1702</v>
      </c>
      <c r="BN34" s="23" t="s">
        <v>1342</v>
      </c>
      <c r="BO34" s="22"/>
      <c r="BP34" s="22"/>
      <c r="BQ34" s="23" t="s">
        <v>1383</v>
      </c>
      <c r="BR34" s="23" t="s">
        <v>1342</v>
      </c>
      <c r="BS34" s="27">
        <v>0</v>
      </c>
      <c r="BT34" s="23" t="s">
        <v>1383</v>
      </c>
      <c r="BU34" s="23" t="s">
        <v>4100</v>
      </c>
      <c r="BV34" s="23" t="s">
        <v>1342</v>
      </c>
      <c r="BW34" s="22"/>
      <c r="BX34" s="23" t="s">
        <v>1342</v>
      </c>
      <c r="BY34" s="22"/>
      <c r="BZ34" s="22"/>
      <c r="CA34" s="22"/>
      <c r="CB34" s="22" t="s">
        <v>1364</v>
      </c>
      <c r="CC34" s="22" t="s">
        <v>1364</v>
      </c>
      <c r="CD34" s="22" t="s">
        <v>1364</v>
      </c>
      <c r="CE34" s="22">
        <v>15300</v>
      </c>
      <c r="CF34" s="22">
        <v>18400</v>
      </c>
      <c r="CG34" s="22">
        <v>15300</v>
      </c>
      <c r="CH34" s="22">
        <v>0</v>
      </c>
      <c r="CI34" s="22">
        <v>0</v>
      </c>
      <c r="CJ34" s="22">
        <v>0</v>
      </c>
      <c r="CK34" s="27">
        <v>1</v>
      </c>
      <c r="CL34" s="27">
        <v>1</v>
      </c>
      <c r="CM34" s="27">
        <v>0</v>
      </c>
      <c r="CN34" s="27">
        <v>0</v>
      </c>
      <c r="CO34" s="22" t="s">
        <v>1365</v>
      </c>
      <c r="CP34" s="22" t="s">
        <v>1366</v>
      </c>
      <c r="CQ34" s="22" t="s">
        <v>4015</v>
      </c>
      <c r="CR34" s="22">
        <v>3</v>
      </c>
      <c r="CS34" s="22" t="s">
        <v>1434</v>
      </c>
      <c r="CT34" s="22" t="s">
        <v>1407</v>
      </c>
      <c r="CU34" s="23" t="s">
        <v>1383</v>
      </c>
      <c r="CV34" s="22" t="s">
        <v>1528</v>
      </c>
      <c r="CW34" s="23" t="s">
        <v>1383</v>
      </c>
      <c r="CX34" s="27">
        <v>0.9</v>
      </c>
      <c r="CY34" s="27">
        <v>0</v>
      </c>
      <c r="CZ34" s="22" t="s">
        <v>4101</v>
      </c>
      <c r="DA34" s="22" t="s">
        <v>4084</v>
      </c>
      <c r="DB34" s="22">
        <v>20</v>
      </c>
      <c r="DC34" s="22"/>
      <c r="DD34" s="22" t="s">
        <v>4102</v>
      </c>
      <c r="DE34" s="22" t="s">
        <v>4103</v>
      </c>
      <c r="DF34" s="22" t="s">
        <v>4104</v>
      </c>
      <c r="DG34" s="22"/>
      <c r="DH34" s="22" t="s">
        <v>4072</v>
      </c>
      <c r="DI34" s="22"/>
      <c r="DJ34" s="22"/>
      <c r="DK34" s="22"/>
      <c r="DL34" s="22" t="s">
        <v>4073</v>
      </c>
      <c r="DM34" s="22"/>
      <c r="DN34" s="23" t="s">
        <v>1342</v>
      </c>
      <c r="DO34" s="22"/>
      <c r="DP34" s="23" t="s">
        <v>1383</v>
      </c>
      <c r="DQ34" s="22" t="s">
        <v>4105</v>
      </c>
      <c r="DR34" s="23" t="s">
        <v>1342</v>
      </c>
      <c r="DS34" s="22"/>
      <c r="DT34" s="22"/>
      <c r="DU34" s="22"/>
      <c r="DV34" s="23" t="s">
        <v>1383</v>
      </c>
      <c r="DW34" s="22" t="s">
        <v>4106</v>
      </c>
      <c r="DX34" s="23" t="s">
        <v>1383</v>
      </c>
      <c r="DY34" s="23" t="s">
        <v>1342</v>
      </c>
      <c r="DZ34" s="23" t="s">
        <v>3995</v>
      </c>
      <c r="EA34" s="23" t="s">
        <v>1383</v>
      </c>
      <c r="EB34" s="23" t="s">
        <v>1383</v>
      </c>
      <c r="EC34" s="23" t="s">
        <v>1383</v>
      </c>
      <c r="ED34" s="22" t="s">
        <v>2948</v>
      </c>
      <c r="EE34" s="27">
        <v>0.1</v>
      </c>
      <c r="EF34" s="22" t="s">
        <v>4078</v>
      </c>
      <c r="EG34" s="23" t="s">
        <v>1342</v>
      </c>
      <c r="EH34" s="22"/>
      <c r="EI34" s="22"/>
      <c r="EJ34" s="22"/>
      <c r="EK34" s="22"/>
      <c r="EL34" s="23" t="s">
        <v>1416</v>
      </c>
      <c r="EM34" s="23">
        <v>3</v>
      </c>
      <c r="EN34" s="22" t="s">
        <v>4107</v>
      </c>
      <c r="EO34" s="23">
        <v>1</v>
      </c>
      <c r="EP34" s="22" t="s">
        <v>4108</v>
      </c>
      <c r="EQ34" s="23">
        <v>4</v>
      </c>
      <c r="ER34" s="22" t="s">
        <v>4109</v>
      </c>
      <c r="ES34" s="23">
        <v>3</v>
      </c>
      <c r="ET34" s="22" t="s">
        <v>4110</v>
      </c>
      <c r="EU34" s="23">
        <v>4</v>
      </c>
      <c r="EV34" s="22" t="s">
        <v>4111</v>
      </c>
      <c r="EW34" s="23">
        <v>3</v>
      </c>
      <c r="EX34" s="22" t="s">
        <v>4112</v>
      </c>
      <c r="EY34" s="23">
        <v>0</v>
      </c>
      <c r="EZ34" s="22" t="s">
        <v>2974</v>
      </c>
      <c r="FA34" s="22"/>
    </row>
    <row r="35" spans="1:157">
      <c r="A35" s="17">
        <v>579</v>
      </c>
      <c r="B35" s="22">
        <v>35</v>
      </c>
      <c r="C35" s="23" t="s">
        <v>1337</v>
      </c>
      <c r="D35" s="33">
        <v>43771</v>
      </c>
      <c r="E35" s="23" t="s">
        <v>3998</v>
      </c>
      <c r="F35" s="22"/>
      <c r="G35" s="25" t="s">
        <v>3981</v>
      </c>
      <c r="H35" s="23" t="s">
        <v>3901</v>
      </c>
      <c r="I35" s="22" t="s">
        <v>3902</v>
      </c>
      <c r="J35" s="23" t="s">
        <v>3982</v>
      </c>
      <c r="K35" s="23" t="s">
        <v>3983</v>
      </c>
      <c r="L35" s="32">
        <v>5</v>
      </c>
      <c r="M35" s="23" t="s">
        <v>1383</v>
      </c>
      <c r="N35" s="23" t="s">
        <v>1343</v>
      </c>
      <c r="O35" s="23" t="s">
        <v>736</v>
      </c>
      <c r="P35" s="23" t="s">
        <v>3999</v>
      </c>
      <c r="Q35" s="22">
        <v>74468842</v>
      </c>
      <c r="R35" s="23" t="s">
        <v>1383</v>
      </c>
      <c r="S35" s="23">
        <v>3</v>
      </c>
      <c r="T35" s="23" t="s">
        <v>1346</v>
      </c>
      <c r="U35" s="23">
        <v>2013</v>
      </c>
      <c r="V35" s="22" t="s">
        <v>2896</v>
      </c>
      <c r="W35" s="22" t="s">
        <v>4000</v>
      </c>
      <c r="X35" s="23" t="s">
        <v>1862</v>
      </c>
      <c r="Y35" s="22">
        <v>2018</v>
      </c>
      <c r="Z35" s="22"/>
      <c r="AA35" s="23">
        <v>21</v>
      </c>
      <c r="AB35" s="23" t="s">
        <v>1342</v>
      </c>
      <c r="AC35" s="22">
        <v>0</v>
      </c>
      <c r="AD35" s="23" t="s">
        <v>1383</v>
      </c>
      <c r="AE35" s="23" t="s">
        <v>1342</v>
      </c>
      <c r="AF35" s="23" t="s">
        <v>1342</v>
      </c>
      <c r="AG35" s="23" t="s">
        <v>1342</v>
      </c>
      <c r="AH35" s="23" t="s">
        <v>1342</v>
      </c>
      <c r="AI35" s="22"/>
      <c r="AJ35" s="23" t="s">
        <v>1349</v>
      </c>
      <c r="AK35" s="22" t="s">
        <v>4199</v>
      </c>
      <c r="AL35" s="87" t="s">
        <v>1612</v>
      </c>
      <c r="AM35" s="23" t="s">
        <v>1612</v>
      </c>
      <c r="AN35" s="23" t="s">
        <v>1612</v>
      </c>
      <c r="AO35" s="23" t="s">
        <v>1612</v>
      </c>
      <c r="AP35" s="23" t="s">
        <v>1612</v>
      </c>
      <c r="AQ35" s="68" t="s">
        <v>1352</v>
      </c>
      <c r="AR35" s="23" t="s">
        <v>1612</v>
      </c>
      <c r="AS35" s="42" t="s">
        <v>1550</v>
      </c>
      <c r="AT35" s="22"/>
      <c r="AU35" s="22">
        <v>12000</v>
      </c>
      <c r="AV35" s="22">
        <v>20000</v>
      </c>
      <c r="AW35" s="22" t="s">
        <v>4001</v>
      </c>
      <c r="AX35" s="22" t="s">
        <v>4002</v>
      </c>
      <c r="AY35" s="23" t="s">
        <v>1342</v>
      </c>
      <c r="AZ35" s="22" t="s">
        <v>3985</v>
      </c>
      <c r="BA35" s="22" t="s">
        <v>4003</v>
      </c>
      <c r="BB35" s="22" t="s">
        <v>1358</v>
      </c>
      <c r="BC35" s="22" t="s">
        <v>1358</v>
      </c>
      <c r="BD35" s="22" t="s">
        <v>1358</v>
      </c>
      <c r="BE35" s="22" t="s">
        <v>4004</v>
      </c>
      <c r="BF35" s="22"/>
      <c r="BG35" s="22"/>
      <c r="BH35" s="22">
        <v>4</v>
      </c>
      <c r="BI35" s="22">
        <v>5</v>
      </c>
      <c r="BJ35" s="22"/>
      <c r="BK35" s="22" t="s">
        <v>2405</v>
      </c>
      <c r="BL35" s="22" t="s">
        <v>2405</v>
      </c>
      <c r="BM35" s="22"/>
      <c r="BN35" s="23" t="s">
        <v>1342</v>
      </c>
      <c r="BO35" s="22"/>
      <c r="BP35" s="22"/>
      <c r="BQ35" s="23" t="s">
        <v>1383</v>
      </c>
      <c r="BR35" s="23" t="s">
        <v>1342</v>
      </c>
      <c r="BS35" s="27">
        <v>0</v>
      </c>
      <c r="BT35" s="23" t="s">
        <v>1383</v>
      </c>
      <c r="BU35" s="22"/>
      <c r="BV35" s="23" t="s">
        <v>1342</v>
      </c>
      <c r="BW35" s="22"/>
      <c r="BX35" s="23" t="s">
        <v>1342</v>
      </c>
      <c r="BY35" s="22"/>
      <c r="BZ35" s="22"/>
      <c r="CA35" s="22"/>
      <c r="CB35" s="22" t="s">
        <v>1364</v>
      </c>
      <c r="CC35" s="22" t="s">
        <v>1364</v>
      </c>
      <c r="CD35" s="22" t="s">
        <v>1364</v>
      </c>
      <c r="CE35" s="22">
        <v>5355</v>
      </c>
      <c r="CF35" s="22">
        <v>7140</v>
      </c>
      <c r="CG35" s="22">
        <v>7140</v>
      </c>
      <c r="CH35" s="22">
        <v>0</v>
      </c>
      <c r="CI35" s="22">
        <v>0</v>
      </c>
      <c r="CJ35" s="22">
        <v>0</v>
      </c>
      <c r="CK35" s="27">
        <v>1</v>
      </c>
      <c r="CL35" s="27">
        <v>1</v>
      </c>
      <c r="CM35" s="27">
        <v>1</v>
      </c>
      <c r="CN35" s="27">
        <v>1</v>
      </c>
      <c r="CO35" s="22"/>
      <c r="CP35" s="22"/>
      <c r="CQ35" s="22"/>
      <c r="CR35" s="22"/>
      <c r="CS35" s="22"/>
      <c r="CT35" s="22"/>
      <c r="CU35" s="22"/>
      <c r="CV35" s="22"/>
      <c r="CW35" s="23" t="s">
        <v>1342</v>
      </c>
      <c r="CX35" s="22"/>
      <c r="CY35" s="22"/>
      <c r="CZ35" s="22"/>
      <c r="DA35" s="22"/>
      <c r="DB35" s="22"/>
      <c r="DC35" s="22"/>
      <c r="DD35" s="22"/>
      <c r="DE35" s="22" t="s">
        <v>3990</v>
      </c>
      <c r="DF35" s="22"/>
      <c r="DG35" s="22"/>
      <c r="DH35" s="22" t="s">
        <v>3991</v>
      </c>
      <c r="DI35" s="22"/>
      <c r="DJ35" s="22"/>
      <c r="DK35" s="22"/>
      <c r="DL35" s="22" t="s">
        <v>4005</v>
      </c>
      <c r="DM35" s="22"/>
      <c r="DN35" s="23" t="s">
        <v>1342</v>
      </c>
      <c r="DO35" s="22"/>
      <c r="DP35" s="23" t="s">
        <v>1383</v>
      </c>
      <c r="DQ35" s="22" t="s">
        <v>4006</v>
      </c>
      <c r="DR35" s="23" t="s">
        <v>1342</v>
      </c>
      <c r="DS35" s="22"/>
      <c r="DT35" s="22"/>
      <c r="DU35" s="22"/>
      <c r="DV35" s="23" t="s">
        <v>1383</v>
      </c>
      <c r="DW35" s="22" t="s">
        <v>2947</v>
      </c>
      <c r="DX35" s="23" t="s">
        <v>1383</v>
      </c>
      <c r="DY35" s="23" t="s">
        <v>1342</v>
      </c>
      <c r="DZ35" s="22" t="s">
        <v>3995</v>
      </c>
      <c r="EA35" s="23" t="s">
        <v>1383</v>
      </c>
      <c r="EB35" s="23" t="s">
        <v>1383</v>
      </c>
      <c r="EC35" s="23" t="s">
        <v>1383</v>
      </c>
      <c r="ED35" s="22" t="s">
        <v>4007</v>
      </c>
      <c r="EE35" s="27">
        <v>0.5</v>
      </c>
      <c r="EF35" s="23" t="s">
        <v>2931</v>
      </c>
      <c r="EG35" s="23" t="s">
        <v>1342</v>
      </c>
      <c r="EH35" s="22"/>
      <c r="EI35" s="22"/>
      <c r="EJ35" s="22"/>
      <c r="EK35" s="22"/>
      <c r="EL35" s="23" t="s">
        <v>1389</v>
      </c>
      <c r="EM35" s="23">
        <v>2</v>
      </c>
      <c r="EN35" s="22" t="s">
        <v>4008</v>
      </c>
      <c r="EO35" s="22">
        <v>0</v>
      </c>
      <c r="EP35" s="22" t="s">
        <v>3020</v>
      </c>
      <c r="EQ35" s="23">
        <v>2</v>
      </c>
      <c r="ER35" s="22" t="s">
        <v>3064</v>
      </c>
      <c r="ES35" s="23">
        <v>3</v>
      </c>
      <c r="ET35" s="22" t="s">
        <v>3065</v>
      </c>
      <c r="EU35" s="23">
        <v>3</v>
      </c>
      <c r="EV35" s="22" t="s">
        <v>3108</v>
      </c>
      <c r="EW35" s="22">
        <v>2</v>
      </c>
      <c r="EX35" s="22" t="s">
        <v>4009</v>
      </c>
      <c r="EY35" s="23">
        <v>0</v>
      </c>
      <c r="EZ35" s="22" t="s">
        <v>2974</v>
      </c>
      <c r="FA35" s="22"/>
    </row>
    <row r="36" spans="1:157">
      <c r="A36" s="17">
        <v>580</v>
      </c>
      <c r="B36" s="22">
        <v>45</v>
      </c>
      <c r="C36" s="23" t="s">
        <v>1337</v>
      </c>
      <c r="D36" s="24">
        <v>43778</v>
      </c>
      <c r="E36" s="23" t="s">
        <v>512</v>
      </c>
      <c r="F36" s="25">
        <v>407</v>
      </c>
      <c r="G36" s="25" t="s">
        <v>4089</v>
      </c>
      <c r="H36" s="23" t="s">
        <v>3901</v>
      </c>
      <c r="I36" s="23" t="s">
        <v>4090</v>
      </c>
      <c r="J36" s="38" t="s">
        <v>4091</v>
      </c>
      <c r="K36" s="23" t="s">
        <v>4113</v>
      </c>
      <c r="L36" s="32">
        <v>12</v>
      </c>
      <c r="M36" s="23" t="s">
        <v>1342</v>
      </c>
      <c r="N36" s="23" t="s">
        <v>1343</v>
      </c>
      <c r="O36" s="23" t="s">
        <v>4114</v>
      </c>
      <c r="P36" s="23" t="s">
        <v>4115</v>
      </c>
      <c r="Q36" s="23" t="s">
        <v>4116</v>
      </c>
      <c r="R36" s="23" t="s">
        <v>1383</v>
      </c>
      <c r="S36" s="23">
        <v>3</v>
      </c>
      <c r="T36" s="23" t="s">
        <v>1346</v>
      </c>
      <c r="U36" s="23">
        <v>2012</v>
      </c>
      <c r="V36" s="22" t="s">
        <v>2896</v>
      </c>
      <c r="W36" s="22" t="s">
        <v>4000</v>
      </c>
      <c r="X36" s="23" t="s">
        <v>1349</v>
      </c>
      <c r="Y36" s="23"/>
      <c r="Z36" s="23"/>
      <c r="AA36" s="23">
        <v>20</v>
      </c>
      <c r="AB36" s="23"/>
      <c r="AC36" s="23">
        <v>0</v>
      </c>
      <c r="AD36" s="23" t="s">
        <v>1383</v>
      </c>
      <c r="AE36" s="23" t="s">
        <v>1342</v>
      </c>
      <c r="AF36" s="23" t="s">
        <v>1342</v>
      </c>
      <c r="AG36" s="23" t="s">
        <v>1342</v>
      </c>
      <c r="AH36" s="23" t="s">
        <v>1342</v>
      </c>
      <c r="AI36" s="23"/>
      <c r="AJ36" s="23" t="s">
        <v>1342</v>
      </c>
      <c r="AK36" s="23" t="s">
        <v>1366</v>
      </c>
      <c r="AL36" s="68" t="s">
        <v>1612</v>
      </c>
      <c r="AM36" s="23" t="s">
        <v>1612</v>
      </c>
      <c r="AN36" s="23" t="s">
        <v>1612</v>
      </c>
      <c r="AO36" s="23" t="s">
        <v>1612</v>
      </c>
      <c r="AP36" s="23" t="s">
        <v>1612</v>
      </c>
      <c r="AQ36" s="68" t="s">
        <v>1552</v>
      </c>
      <c r="AR36" s="23" t="s">
        <v>1612</v>
      </c>
      <c r="AS36" s="42" t="s">
        <v>1550</v>
      </c>
      <c r="AT36" s="22"/>
      <c r="AU36" s="22">
        <v>12000</v>
      </c>
      <c r="AV36" s="22">
        <v>35000</v>
      </c>
      <c r="AW36" s="22" t="s">
        <v>4098</v>
      </c>
      <c r="AX36" s="22" t="s">
        <v>4117</v>
      </c>
      <c r="AY36" s="23" t="s">
        <v>1349</v>
      </c>
      <c r="AZ36" s="22"/>
      <c r="BA36" s="22"/>
      <c r="BB36" s="22" t="s">
        <v>1358</v>
      </c>
      <c r="BC36" s="22" t="s">
        <v>1358</v>
      </c>
      <c r="BD36" s="22" t="s">
        <v>1358</v>
      </c>
      <c r="BE36" s="22" t="s">
        <v>4118</v>
      </c>
      <c r="BF36" s="22"/>
      <c r="BG36" s="22"/>
      <c r="BH36" s="22">
        <v>1.5</v>
      </c>
      <c r="BI36" s="22">
        <v>3</v>
      </c>
      <c r="BJ36" s="22"/>
      <c r="BK36" s="22" t="s">
        <v>1702</v>
      </c>
      <c r="BL36" s="22" t="s">
        <v>1702</v>
      </c>
      <c r="BM36" s="22"/>
      <c r="BN36" s="23" t="s">
        <v>1342</v>
      </c>
      <c r="BO36" s="22"/>
      <c r="BP36" s="22"/>
      <c r="BQ36" s="23" t="s">
        <v>1383</v>
      </c>
      <c r="BR36" s="23" t="s">
        <v>1342</v>
      </c>
      <c r="BS36" s="27">
        <v>0</v>
      </c>
      <c r="BT36" s="23" t="s">
        <v>1383</v>
      </c>
      <c r="BU36" s="22" t="s">
        <v>4058</v>
      </c>
      <c r="BV36" s="23" t="s">
        <v>1342</v>
      </c>
      <c r="BW36" s="22"/>
      <c r="BX36" s="23" t="s">
        <v>1342</v>
      </c>
      <c r="BY36" s="22"/>
      <c r="BZ36" s="22"/>
      <c r="CA36" s="22"/>
      <c r="CB36" s="22" t="s">
        <v>1364</v>
      </c>
      <c r="CC36" s="22" t="s">
        <v>1364</v>
      </c>
      <c r="CD36" s="22" t="s">
        <v>1364</v>
      </c>
      <c r="CE36" s="22">
        <v>2000</v>
      </c>
      <c r="CF36" s="22">
        <v>2000</v>
      </c>
      <c r="CG36" s="22">
        <v>6000</v>
      </c>
      <c r="CH36" s="22">
        <v>0</v>
      </c>
      <c r="CI36" s="22">
        <v>0</v>
      </c>
      <c r="CJ36" s="22">
        <v>0</v>
      </c>
      <c r="CK36" s="27">
        <v>1</v>
      </c>
      <c r="CL36" s="27">
        <v>1</v>
      </c>
      <c r="CM36" s="27">
        <v>0</v>
      </c>
      <c r="CN36" s="27">
        <v>0</v>
      </c>
      <c r="CO36" s="22"/>
      <c r="CP36" s="22"/>
      <c r="CQ36" s="22"/>
      <c r="CR36" s="22"/>
      <c r="CS36" s="22"/>
      <c r="CT36" s="22"/>
      <c r="CU36" s="23"/>
      <c r="CV36" s="22"/>
      <c r="CW36" s="23" t="s">
        <v>1383</v>
      </c>
      <c r="CX36" s="27">
        <v>0.9</v>
      </c>
      <c r="CY36" s="27">
        <v>0</v>
      </c>
      <c r="CZ36" s="22" t="s">
        <v>4119</v>
      </c>
      <c r="DA36" s="22" t="s">
        <v>4084</v>
      </c>
      <c r="DB36" s="22">
        <v>28</v>
      </c>
      <c r="DC36" s="22" t="s">
        <v>4120</v>
      </c>
      <c r="DD36" s="22" t="s">
        <v>4121</v>
      </c>
      <c r="DE36" s="22" t="s">
        <v>4122</v>
      </c>
      <c r="DF36" s="22" t="s">
        <v>4123</v>
      </c>
      <c r="DG36" s="22"/>
      <c r="DH36" s="22" t="s">
        <v>4072</v>
      </c>
      <c r="DI36" s="22"/>
      <c r="DJ36" s="22"/>
      <c r="DK36" s="22"/>
      <c r="DL36" s="22" t="s">
        <v>4073</v>
      </c>
      <c r="DM36" s="22"/>
      <c r="DN36" s="23" t="s">
        <v>1342</v>
      </c>
      <c r="DO36" s="22"/>
      <c r="DP36" s="23" t="s">
        <v>1383</v>
      </c>
      <c r="DQ36" s="22" t="s">
        <v>4105</v>
      </c>
      <c r="DR36" s="23" t="s">
        <v>1342</v>
      </c>
      <c r="DS36" s="22"/>
      <c r="DT36" s="22"/>
      <c r="DU36" s="22"/>
      <c r="DV36" s="23" t="s">
        <v>1383</v>
      </c>
      <c r="DW36" s="22" t="s">
        <v>3123</v>
      </c>
      <c r="DX36" s="23" t="s">
        <v>1383</v>
      </c>
      <c r="DY36" s="23" t="s">
        <v>1342</v>
      </c>
      <c r="DZ36" s="23" t="s">
        <v>4124</v>
      </c>
      <c r="EA36" s="23" t="s">
        <v>1383</v>
      </c>
      <c r="EB36" s="23" t="s">
        <v>1383</v>
      </c>
      <c r="EC36" s="23" t="s">
        <v>1383</v>
      </c>
      <c r="ED36" s="23" t="s">
        <v>2948</v>
      </c>
      <c r="EE36" s="27">
        <v>0.1</v>
      </c>
      <c r="EF36" s="22" t="s">
        <v>4078</v>
      </c>
      <c r="EG36" s="23" t="s">
        <v>1342</v>
      </c>
      <c r="EH36" s="22"/>
      <c r="EI36" s="22"/>
      <c r="EJ36" s="22"/>
      <c r="EK36" s="22"/>
      <c r="EL36" s="23" t="s">
        <v>1416</v>
      </c>
      <c r="EM36" s="23">
        <v>2</v>
      </c>
      <c r="EN36" s="22" t="s">
        <v>4008</v>
      </c>
      <c r="EO36" s="23">
        <v>1</v>
      </c>
      <c r="EP36" s="22" t="s">
        <v>4108</v>
      </c>
      <c r="EQ36" s="23">
        <v>4</v>
      </c>
      <c r="ER36" s="22" t="s">
        <v>4109</v>
      </c>
      <c r="ES36" s="23">
        <v>3</v>
      </c>
      <c r="ET36" s="22" t="s">
        <v>4110</v>
      </c>
      <c r="EU36" s="23">
        <v>4</v>
      </c>
      <c r="EV36" s="22" t="s">
        <v>4111</v>
      </c>
      <c r="EW36" s="23">
        <v>3</v>
      </c>
      <c r="EX36" s="22" t="s">
        <v>4125</v>
      </c>
      <c r="EY36" s="23">
        <v>0</v>
      </c>
      <c r="EZ36" s="22" t="s">
        <v>2974</v>
      </c>
      <c r="FA36" s="22"/>
    </row>
    <row r="37" spans="1:157">
      <c r="A37" s="17">
        <v>581</v>
      </c>
      <c r="B37" s="22">
        <v>9</v>
      </c>
      <c r="C37" s="23" t="s">
        <v>2278</v>
      </c>
      <c r="D37" s="24">
        <v>43770</v>
      </c>
      <c r="E37" s="23" t="s">
        <v>3819</v>
      </c>
      <c r="F37" s="25"/>
      <c r="G37" s="25"/>
      <c r="H37" s="23" t="s">
        <v>1075</v>
      </c>
      <c r="I37" s="23" t="s">
        <v>1071</v>
      </c>
      <c r="J37" s="23" t="s">
        <v>165</v>
      </c>
      <c r="K37" s="23" t="s">
        <v>165</v>
      </c>
      <c r="L37" s="32">
        <v>0.8</v>
      </c>
      <c r="M37" s="23" t="s">
        <v>3757</v>
      </c>
      <c r="N37" s="23" t="s">
        <v>1343</v>
      </c>
      <c r="O37" s="23" t="s">
        <v>3820</v>
      </c>
      <c r="P37" s="23" t="s">
        <v>3821</v>
      </c>
      <c r="Q37" s="23">
        <v>70139036</v>
      </c>
      <c r="R37" s="23" t="s">
        <v>1345</v>
      </c>
      <c r="S37" s="23">
        <v>3</v>
      </c>
      <c r="T37" s="23" t="s">
        <v>3822</v>
      </c>
      <c r="U37" s="23">
        <v>2007</v>
      </c>
      <c r="V37" s="23" t="s">
        <v>3760</v>
      </c>
      <c r="W37" s="23" t="s">
        <v>3802</v>
      </c>
      <c r="X37" s="23" t="s">
        <v>1345</v>
      </c>
      <c r="Y37" s="23">
        <v>2018</v>
      </c>
      <c r="Z37" s="23">
        <v>2019</v>
      </c>
      <c r="AA37" s="23">
        <v>25</v>
      </c>
      <c r="AB37" s="23" t="s">
        <v>1345</v>
      </c>
      <c r="AC37" s="23">
        <v>4</v>
      </c>
      <c r="AD37" s="23" t="s">
        <v>1345</v>
      </c>
      <c r="AE37" s="23" t="s">
        <v>1345</v>
      </c>
      <c r="AF37" s="23" t="s">
        <v>1345</v>
      </c>
      <c r="AG37" s="23" t="s">
        <v>1349</v>
      </c>
      <c r="AH37" s="23" t="s">
        <v>2428</v>
      </c>
      <c r="AI37" s="23">
        <v>2014</v>
      </c>
      <c r="AJ37" s="23" t="s">
        <v>1349</v>
      </c>
      <c r="AK37" s="68" t="s">
        <v>2341</v>
      </c>
      <c r="AL37" s="68" t="s">
        <v>1612</v>
      </c>
      <c r="AM37" s="23" t="s">
        <v>1612</v>
      </c>
      <c r="AN37" s="23" t="s">
        <v>1612</v>
      </c>
      <c r="AO37" s="23" t="s">
        <v>1612</v>
      </c>
      <c r="AP37" s="23" t="s">
        <v>1612</v>
      </c>
      <c r="AQ37" s="87" t="s">
        <v>1352</v>
      </c>
      <c r="AR37" s="23" t="s">
        <v>1352</v>
      </c>
      <c r="AS37" s="23" t="s">
        <v>1802</v>
      </c>
      <c r="AT37" s="23" t="s">
        <v>1358</v>
      </c>
      <c r="AU37" s="23" t="s">
        <v>2249</v>
      </c>
      <c r="AV37" s="22">
        <v>2500</v>
      </c>
      <c r="AW37" s="23" t="s">
        <v>2487</v>
      </c>
      <c r="AX37" s="23" t="s">
        <v>2430</v>
      </c>
      <c r="AY37" s="23" t="s">
        <v>1349</v>
      </c>
      <c r="AZ37" s="23" t="s">
        <v>2289</v>
      </c>
      <c r="BA37" s="23" t="s">
        <v>2361</v>
      </c>
      <c r="BB37" s="23" t="s">
        <v>2647</v>
      </c>
      <c r="BC37" s="23" t="s">
        <v>2647</v>
      </c>
      <c r="BD37" s="23" t="s">
        <v>2289</v>
      </c>
      <c r="BE37" s="23" t="s">
        <v>165</v>
      </c>
      <c r="BF37" s="23"/>
      <c r="BG37" s="23"/>
      <c r="BH37" s="23"/>
      <c r="BI37" s="23">
        <v>5</v>
      </c>
      <c r="BJ37" s="23">
        <v>8</v>
      </c>
      <c r="BK37" s="23" t="s">
        <v>1360</v>
      </c>
      <c r="BL37" s="23" t="s">
        <v>1360</v>
      </c>
      <c r="BM37" s="23" t="s">
        <v>1360</v>
      </c>
      <c r="BN37" s="23" t="s">
        <v>1349</v>
      </c>
      <c r="BO37" s="23" t="s">
        <v>2767</v>
      </c>
      <c r="BP37" s="23" t="s">
        <v>2767</v>
      </c>
      <c r="BQ37" s="23" t="s">
        <v>1349</v>
      </c>
      <c r="BR37" s="23" t="s">
        <v>1349</v>
      </c>
      <c r="BS37" s="23" t="s">
        <v>2643</v>
      </c>
      <c r="BT37" s="23" t="s">
        <v>1349</v>
      </c>
      <c r="BU37" s="23" t="s">
        <v>3823</v>
      </c>
      <c r="BV37" s="23" t="s">
        <v>1349</v>
      </c>
      <c r="BW37" s="23" t="s">
        <v>2300</v>
      </c>
      <c r="BX37" s="23" t="s">
        <v>1349</v>
      </c>
      <c r="BY37" s="23" t="s">
        <v>1565</v>
      </c>
      <c r="BZ37" s="23" t="s">
        <v>2767</v>
      </c>
      <c r="CA37" s="23" t="s">
        <v>2767</v>
      </c>
      <c r="CB37" s="23" t="s">
        <v>2289</v>
      </c>
      <c r="CC37" s="23" t="s">
        <v>2289</v>
      </c>
      <c r="CD37" s="23" t="s">
        <v>2289</v>
      </c>
      <c r="CE37" s="23">
        <v>1500</v>
      </c>
      <c r="CF37" s="23">
        <v>1000</v>
      </c>
      <c r="CG37" s="23">
        <v>0</v>
      </c>
      <c r="CH37" s="23">
        <v>80</v>
      </c>
      <c r="CI37" s="23">
        <v>40</v>
      </c>
      <c r="CJ37" s="23">
        <v>30</v>
      </c>
      <c r="CK37" s="27"/>
      <c r="CL37" s="27"/>
      <c r="CM37" s="27"/>
      <c r="CN37" s="26">
        <v>0</v>
      </c>
      <c r="CO37" s="23" t="s">
        <v>2652</v>
      </c>
      <c r="CP37" s="23" t="s">
        <v>2289</v>
      </c>
      <c r="CQ37" s="23" t="s">
        <v>2767</v>
      </c>
      <c r="CR37" s="23">
        <v>5</v>
      </c>
      <c r="CS37" s="23" t="s">
        <v>3764</v>
      </c>
      <c r="CT37" s="23" t="s">
        <v>3765</v>
      </c>
      <c r="CU37" s="23" t="s">
        <v>1345</v>
      </c>
      <c r="CV37" s="23" t="s">
        <v>2407</v>
      </c>
      <c r="CW37" s="23" t="s">
        <v>1345</v>
      </c>
      <c r="CX37" s="26">
        <v>0.1</v>
      </c>
      <c r="CY37" s="26">
        <v>0.9</v>
      </c>
      <c r="CZ37" s="23" t="s">
        <v>2311</v>
      </c>
      <c r="DA37" s="23" t="s">
        <v>3766</v>
      </c>
      <c r="DB37" s="23" t="s">
        <v>1903</v>
      </c>
      <c r="DC37" s="23" t="s">
        <v>2643</v>
      </c>
      <c r="DD37" s="22" t="s">
        <v>2792</v>
      </c>
      <c r="DE37" s="23" t="s">
        <v>3767</v>
      </c>
      <c r="DF37" s="23" t="s">
        <v>3768</v>
      </c>
      <c r="DG37" s="23" t="s">
        <v>3769</v>
      </c>
      <c r="DH37" s="23" t="s">
        <v>2794</v>
      </c>
      <c r="DI37" s="23" t="s">
        <v>1556</v>
      </c>
      <c r="DJ37" s="23" t="s">
        <v>1556</v>
      </c>
      <c r="DK37" s="23" t="s">
        <v>1556</v>
      </c>
      <c r="DL37" s="23" t="s">
        <v>3770</v>
      </c>
      <c r="DM37" s="23" t="s">
        <v>3771</v>
      </c>
      <c r="DN37" s="23" t="s">
        <v>1345</v>
      </c>
      <c r="DO37" s="23" t="s">
        <v>3772</v>
      </c>
      <c r="DP37" s="23" t="s">
        <v>1349</v>
      </c>
      <c r="DQ37" s="23" t="s">
        <v>2647</v>
      </c>
      <c r="DR37" s="23" t="s">
        <v>1349</v>
      </c>
      <c r="DS37" s="23" t="s">
        <v>1556</v>
      </c>
      <c r="DT37" s="23" t="s">
        <v>2300</v>
      </c>
      <c r="DU37" s="23" t="s">
        <v>2300</v>
      </c>
      <c r="DV37" s="23" t="s">
        <v>1345</v>
      </c>
      <c r="DW37" s="23" t="s">
        <v>2797</v>
      </c>
      <c r="DX37" s="23" t="s">
        <v>1345</v>
      </c>
      <c r="DY37" s="23" t="s">
        <v>1349</v>
      </c>
      <c r="DZ37" s="23" t="s">
        <v>3773</v>
      </c>
      <c r="EA37" s="23" t="s">
        <v>1345</v>
      </c>
      <c r="EB37" s="23" t="s">
        <v>1345</v>
      </c>
      <c r="EC37" s="23" t="s">
        <v>1345</v>
      </c>
      <c r="ED37" s="23" t="s">
        <v>2353</v>
      </c>
      <c r="EE37" s="27">
        <v>0.1</v>
      </c>
      <c r="EF37" s="23" t="s">
        <v>2370</v>
      </c>
      <c r="EG37" s="23" t="s">
        <v>1349</v>
      </c>
      <c r="EH37" s="23" t="s">
        <v>2300</v>
      </c>
      <c r="EI37" s="23" t="s">
        <v>2326</v>
      </c>
      <c r="EJ37" s="22"/>
      <c r="EK37" s="23" t="s">
        <v>3774</v>
      </c>
      <c r="EL37" s="23" t="s">
        <v>1389</v>
      </c>
      <c r="EM37" s="23">
        <v>3</v>
      </c>
      <c r="EN37" s="23" t="s">
        <v>3824</v>
      </c>
      <c r="EO37" s="23">
        <v>4</v>
      </c>
      <c r="EP37" s="23" t="s">
        <v>3825</v>
      </c>
      <c r="EQ37" s="23"/>
      <c r="ER37" s="22" t="s">
        <v>3788</v>
      </c>
      <c r="ES37" s="23">
        <v>4</v>
      </c>
      <c r="ET37" s="22" t="s">
        <v>3778</v>
      </c>
      <c r="EU37" s="23">
        <v>4</v>
      </c>
      <c r="EV37" s="22" t="s">
        <v>3779</v>
      </c>
      <c r="EW37" s="23">
        <v>3</v>
      </c>
      <c r="EX37" s="22" t="s">
        <v>3780</v>
      </c>
      <c r="EY37" s="23">
        <v>2</v>
      </c>
      <c r="EZ37" s="22" t="s">
        <v>2424</v>
      </c>
      <c r="FA37" s="22"/>
    </row>
    <row r="38" spans="1:157">
      <c r="A38" s="17">
        <v>582</v>
      </c>
      <c r="B38" s="22">
        <v>59</v>
      </c>
      <c r="C38" s="38" t="s">
        <v>1795</v>
      </c>
      <c r="D38" s="39">
        <v>43770</v>
      </c>
      <c r="E38" s="38" t="s">
        <v>505</v>
      </c>
      <c r="F38" s="40" t="s">
        <v>1728</v>
      </c>
      <c r="G38" s="40" t="s">
        <v>3856</v>
      </c>
      <c r="H38" s="38" t="s">
        <v>4158</v>
      </c>
      <c r="I38" s="38" t="s">
        <v>1071</v>
      </c>
      <c r="J38" s="23" t="s">
        <v>3856</v>
      </c>
      <c r="K38" s="38" t="s">
        <v>4221</v>
      </c>
      <c r="L38" s="42">
        <v>3</v>
      </c>
      <c r="M38" s="42" t="s">
        <v>4222</v>
      </c>
      <c r="N38" s="42" t="s">
        <v>1343</v>
      </c>
      <c r="O38" s="42" t="s">
        <v>4251</v>
      </c>
      <c r="P38" s="42" t="s">
        <v>534</v>
      </c>
      <c r="Q38" s="38">
        <v>55194705</v>
      </c>
      <c r="R38" s="38" t="s">
        <v>1345</v>
      </c>
      <c r="S38" s="38">
        <v>7</v>
      </c>
      <c r="T38" s="42" t="s">
        <v>1346</v>
      </c>
      <c r="U38" s="38">
        <v>2009</v>
      </c>
      <c r="V38" s="42" t="s">
        <v>4224</v>
      </c>
      <c r="W38" s="42" t="s">
        <v>4241</v>
      </c>
      <c r="X38" s="38" t="s">
        <v>1349</v>
      </c>
      <c r="Y38" s="38"/>
      <c r="Z38" s="38"/>
      <c r="AA38" s="38">
        <v>7</v>
      </c>
      <c r="AB38" s="38" t="s">
        <v>1345</v>
      </c>
      <c r="AC38" s="38">
        <v>2</v>
      </c>
      <c r="AD38" s="38" t="s">
        <v>1345</v>
      </c>
      <c r="AE38" s="38" t="s">
        <v>1349</v>
      </c>
      <c r="AF38" s="38" t="s">
        <v>1349</v>
      </c>
      <c r="AG38" s="38" t="s">
        <v>1349</v>
      </c>
      <c r="AH38" s="42" t="s">
        <v>1358</v>
      </c>
      <c r="AI38" s="38" t="s">
        <v>3384</v>
      </c>
      <c r="AJ38" s="38" t="s">
        <v>1349</v>
      </c>
      <c r="AK38" s="87" t="s">
        <v>4199</v>
      </c>
      <c r="AL38" s="87" t="s">
        <v>1612</v>
      </c>
      <c r="AM38" s="23" t="s">
        <v>1612</v>
      </c>
      <c r="AN38" s="38" t="s">
        <v>1550</v>
      </c>
      <c r="AO38" s="38" t="s">
        <v>1550</v>
      </c>
      <c r="AP38" s="38" t="s">
        <v>1550</v>
      </c>
      <c r="AQ38" s="87" t="s">
        <v>1352</v>
      </c>
      <c r="AR38" s="88" t="s">
        <v>3451</v>
      </c>
      <c r="AS38" s="42" t="s">
        <v>1550</v>
      </c>
      <c r="AT38" s="42" t="s">
        <v>1804</v>
      </c>
      <c r="AU38" s="42"/>
      <c r="AV38" s="42">
        <v>1000</v>
      </c>
      <c r="AW38" s="42" t="s">
        <v>4242</v>
      </c>
      <c r="AX38" s="42" t="s">
        <v>4243</v>
      </c>
      <c r="AY38" s="38" t="s">
        <v>1349</v>
      </c>
      <c r="AZ38" s="42" t="s">
        <v>4226</v>
      </c>
      <c r="BA38" s="42" t="s">
        <v>4252</v>
      </c>
      <c r="BB38" s="42" t="s">
        <v>2062</v>
      </c>
      <c r="BC38" s="42" t="s">
        <v>1358</v>
      </c>
      <c r="BD38" s="42" t="s">
        <v>1358</v>
      </c>
      <c r="BE38" s="42" t="s">
        <v>1810</v>
      </c>
      <c r="BF38" s="42"/>
      <c r="BG38" s="42"/>
      <c r="BH38" s="42">
        <v>3</v>
      </c>
      <c r="BI38" s="42">
        <v>3</v>
      </c>
      <c r="BJ38" s="42">
        <v>10</v>
      </c>
      <c r="BK38" s="42" t="s">
        <v>4164</v>
      </c>
      <c r="BL38" s="42" t="s">
        <v>4164</v>
      </c>
      <c r="BM38" s="42" t="s">
        <v>4164</v>
      </c>
      <c r="BN38" s="38" t="s">
        <v>1349</v>
      </c>
      <c r="BO38" s="42"/>
      <c r="BP38" s="42"/>
      <c r="BQ38" s="38" t="s">
        <v>1345</v>
      </c>
      <c r="BR38" s="38" t="s">
        <v>1345</v>
      </c>
      <c r="BS38" s="42" t="s">
        <v>1358</v>
      </c>
      <c r="BT38" s="38" t="s">
        <v>1383</v>
      </c>
      <c r="BU38" s="42" t="s">
        <v>4165</v>
      </c>
      <c r="BV38" s="38" t="s">
        <v>1349</v>
      </c>
      <c r="BW38" s="42"/>
      <c r="BX38" s="38" t="s">
        <v>1345</v>
      </c>
      <c r="BY38" s="42" t="s">
        <v>1362</v>
      </c>
      <c r="BZ38" s="38" t="s">
        <v>3600</v>
      </c>
      <c r="CA38" s="38" t="s">
        <v>4228</v>
      </c>
      <c r="CB38" s="42" t="s">
        <v>1935</v>
      </c>
      <c r="CC38" s="42" t="s">
        <v>1935</v>
      </c>
      <c r="CD38" s="38" t="s">
        <v>1935</v>
      </c>
      <c r="CE38" s="42">
        <v>29400</v>
      </c>
      <c r="CF38" s="42">
        <v>26880</v>
      </c>
      <c r="CG38" s="42">
        <v>23100</v>
      </c>
      <c r="CH38" s="42" t="s">
        <v>1935</v>
      </c>
      <c r="CI38" s="42" t="s">
        <v>1935</v>
      </c>
      <c r="CJ38" s="42" t="s">
        <v>1935</v>
      </c>
      <c r="CK38" s="42" t="s">
        <v>1904</v>
      </c>
      <c r="CL38" s="43">
        <v>0.1</v>
      </c>
      <c r="CM38" s="42" t="s">
        <v>1904</v>
      </c>
      <c r="CN38" s="43">
        <v>0.9</v>
      </c>
      <c r="CO38" s="42" t="s">
        <v>3451</v>
      </c>
      <c r="CP38" s="42"/>
      <c r="CQ38" s="42"/>
      <c r="CR38" s="42"/>
      <c r="CS38" s="42"/>
      <c r="CT38" s="42"/>
      <c r="CU38" s="38"/>
      <c r="CV38" s="42"/>
      <c r="CW38" s="38" t="s">
        <v>1345</v>
      </c>
      <c r="CX38" s="42" t="s">
        <v>1904</v>
      </c>
      <c r="CY38" s="42" t="s">
        <v>1904</v>
      </c>
      <c r="CZ38" s="42" t="s">
        <v>3750</v>
      </c>
      <c r="DA38" s="42" t="s">
        <v>3734</v>
      </c>
      <c r="DB38" s="42" t="s">
        <v>1808</v>
      </c>
      <c r="DC38" s="42" t="s">
        <v>1936</v>
      </c>
      <c r="DD38" s="42" t="s">
        <v>2044</v>
      </c>
      <c r="DE38" s="42" t="s">
        <v>4235</v>
      </c>
      <c r="DF38" s="42" t="s">
        <v>4169</v>
      </c>
      <c r="DG38" s="42" t="s">
        <v>4236</v>
      </c>
      <c r="DH38" s="42" t="s">
        <v>4229</v>
      </c>
      <c r="DI38" s="42" t="s">
        <v>1940</v>
      </c>
      <c r="DJ38" s="42" t="s">
        <v>4206</v>
      </c>
      <c r="DK38" s="42" t="s">
        <v>3384</v>
      </c>
      <c r="DL38" s="42" t="s">
        <v>4172</v>
      </c>
      <c r="DM38" s="42" t="s">
        <v>3384</v>
      </c>
      <c r="DN38" s="38" t="s">
        <v>1349</v>
      </c>
      <c r="DO38" s="42" t="s">
        <v>1358</v>
      </c>
      <c r="DP38" s="38" t="s">
        <v>1349</v>
      </c>
      <c r="DQ38" s="42" t="s">
        <v>1358</v>
      </c>
      <c r="DR38" s="38" t="s">
        <v>1349</v>
      </c>
      <c r="DS38" s="42"/>
      <c r="DT38" s="42"/>
      <c r="DU38" s="42"/>
      <c r="DV38" s="38" t="s">
        <v>1345</v>
      </c>
      <c r="DW38" s="42" t="s">
        <v>1945</v>
      </c>
      <c r="DX38" s="38" t="s">
        <v>1345</v>
      </c>
      <c r="DY38" s="38" t="s">
        <v>1349</v>
      </c>
      <c r="DZ38" s="42" t="s">
        <v>4248</v>
      </c>
      <c r="EA38" s="38" t="s">
        <v>1345</v>
      </c>
      <c r="EB38" s="38" t="s">
        <v>1345</v>
      </c>
      <c r="EC38" s="38" t="s">
        <v>1345</v>
      </c>
      <c r="ED38" s="42" t="s">
        <v>4207</v>
      </c>
      <c r="EE38" s="43">
        <v>0.3</v>
      </c>
      <c r="EF38" s="42" t="s">
        <v>3580</v>
      </c>
      <c r="EG38" s="38" t="s">
        <v>1349</v>
      </c>
      <c r="EH38" s="42"/>
      <c r="EI38" s="42" t="s">
        <v>4208</v>
      </c>
      <c r="EJ38" s="42" t="s">
        <v>3754</v>
      </c>
      <c r="EK38" s="38" t="s">
        <v>3613</v>
      </c>
      <c r="EL38" s="38" t="s">
        <v>1389</v>
      </c>
      <c r="EM38" s="38">
        <v>4</v>
      </c>
      <c r="EN38" s="42" t="s">
        <v>4192</v>
      </c>
      <c r="EO38" s="38">
        <v>1</v>
      </c>
      <c r="EP38" s="42" t="s">
        <v>4210</v>
      </c>
      <c r="EQ38" s="38">
        <v>2</v>
      </c>
      <c r="ER38" s="42" t="s">
        <v>4211</v>
      </c>
      <c r="ES38" s="38">
        <v>5</v>
      </c>
      <c r="ET38" s="42" t="s">
        <v>4177</v>
      </c>
      <c r="EU38" s="38"/>
      <c r="EV38" s="42" t="s">
        <v>4194</v>
      </c>
      <c r="EW38" s="38">
        <v>3</v>
      </c>
      <c r="EX38" s="42" t="s">
        <v>4230</v>
      </c>
      <c r="EY38" s="38">
        <v>2</v>
      </c>
      <c r="EZ38" s="42" t="s">
        <v>4231</v>
      </c>
      <c r="FA38" s="22"/>
    </row>
    <row r="39" spans="1:157">
      <c r="A39" s="17">
        <v>583</v>
      </c>
      <c r="B39" s="22">
        <v>8</v>
      </c>
      <c r="C39" s="23" t="s">
        <v>2278</v>
      </c>
      <c r="D39" s="24">
        <v>43770</v>
      </c>
      <c r="E39" s="23" t="s">
        <v>3817</v>
      </c>
      <c r="F39" s="25"/>
      <c r="G39" s="25"/>
      <c r="H39" s="23" t="s">
        <v>1075</v>
      </c>
      <c r="I39" s="23" t="s">
        <v>1071</v>
      </c>
      <c r="J39" s="23" t="s">
        <v>165</v>
      </c>
      <c r="K39" s="23" t="s">
        <v>3790</v>
      </c>
      <c r="L39" s="32">
        <v>5</v>
      </c>
      <c r="M39" s="23" t="s">
        <v>3757</v>
      </c>
      <c r="N39" s="23" t="s">
        <v>1343</v>
      </c>
      <c r="O39" s="23" t="s">
        <v>3758</v>
      </c>
      <c r="P39" s="23" t="s">
        <v>3818</v>
      </c>
      <c r="Q39" s="23">
        <v>77234720</v>
      </c>
      <c r="R39" s="23" t="s">
        <v>1349</v>
      </c>
      <c r="S39" s="23" t="s">
        <v>2300</v>
      </c>
      <c r="T39" s="23" t="s">
        <v>1346</v>
      </c>
      <c r="U39" s="23">
        <v>2015</v>
      </c>
      <c r="V39" s="23" t="s">
        <v>3760</v>
      </c>
      <c r="W39" s="23" t="s">
        <v>3793</v>
      </c>
      <c r="X39" s="23" t="s">
        <v>1349</v>
      </c>
      <c r="Y39" s="23" t="s">
        <v>2300</v>
      </c>
      <c r="Z39" s="23" t="s">
        <v>2300</v>
      </c>
      <c r="AA39" s="23">
        <v>14</v>
      </c>
      <c r="AB39" s="23" t="s">
        <v>1349</v>
      </c>
      <c r="AC39" s="23">
        <v>2</v>
      </c>
      <c r="AD39" s="23" t="s">
        <v>1345</v>
      </c>
      <c r="AE39" s="23" t="s">
        <v>1345</v>
      </c>
      <c r="AF39" s="23" t="s">
        <v>1349</v>
      </c>
      <c r="AG39" s="23" t="s">
        <v>1349</v>
      </c>
      <c r="AH39" s="23" t="s">
        <v>2300</v>
      </c>
      <c r="AI39" s="23">
        <v>2017</v>
      </c>
      <c r="AJ39" s="23" t="s">
        <v>1345</v>
      </c>
      <c r="AK39" s="23" t="s">
        <v>2290</v>
      </c>
      <c r="AL39" s="68" t="s">
        <v>1612</v>
      </c>
      <c r="AM39" s="23" t="s">
        <v>1612</v>
      </c>
      <c r="AN39" s="23" t="s">
        <v>1612</v>
      </c>
      <c r="AO39" s="23" t="s">
        <v>1612</v>
      </c>
      <c r="AP39" s="23" t="s">
        <v>1612</v>
      </c>
      <c r="AQ39" s="71" t="s">
        <v>1352</v>
      </c>
      <c r="AR39" s="23" t="s">
        <v>1352</v>
      </c>
      <c r="AS39" s="23" t="s">
        <v>1802</v>
      </c>
      <c r="AT39" s="23" t="s">
        <v>1358</v>
      </c>
      <c r="AU39" s="23" t="s">
        <v>2249</v>
      </c>
      <c r="AV39" s="23">
        <v>1500</v>
      </c>
      <c r="AW39" s="23" t="s">
        <v>2397</v>
      </c>
      <c r="AX39" s="23" t="s">
        <v>2430</v>
      </c>
      <c r="AY39" s="23" t="s">
        <v>1349</v>
      </c>
      <c r="AZ39" s="23" t="s">
        <v>3762</v>
      </c>
      <c r="BA39" s="23" t="s">
        <v>2361</v>
      </c>
      <c r="BB39" s="23" t="s">
        <v>2647</v>
      </c>
      <c r="BC39" s="23" t="s">
        <v>2647</v>
      </c>
      <c r="BD39" s="23" t="s">
        <v>2289</v>
      </c>
      <c r="BE39" s="23" t="s">
        <v>3790</v>
      </c>
      <c r="BF39" s="23"/>
      <c r="BG39" s="23"/>
      <c r="BH39" s="23">
        <v>7</v>
      </c>
      <c r="BI39" s="23">
        <v>7</v>
      </c>
      <c r="BJ39" s="23">
        <v>10</v>
      </c>
      <c r="BK39" s="23" t="s">
        <v>1360</v>
      </c>
      <c r="BL39" s="23" t="s">
        <v>1360</v>
      </c>
      <c r="BM39" s="23" t="s">
        <v>1360</v>
      </c>
      <c r="BN39" s="23" t="s">
        <v>1349</v>
      </c>
      <c r="BO39" s="23" t="s">
        <v>2767</v>
      </c>
      <c r="BP39" s="23" t="s">
        <v>2767</v>
      </c>
      <c r="BQ39" s="23" t="s">
        <v>1349</v>
      </c>
      <c r="BR39" s="23" t="s">
        <v>1349</v>
      </c>
      <c r="BS39" s="23" t="s">
        <v>2643</v>
      </c>
      <c r="BT39" s="23" t="s">
        <v>1349</v>
      </c>
      <c r="BU39" s="23" t="s">
        <v>3790</v>
      </c>
      <c r="BV39" s="23" t="s">
        <v>1349</v>
      </c>
      <c r="BW39" s="23" t="s">
        <v>2300</v>
      </c>
      <c r="BX39" s="23" t="s">
        <v>1345</v>
      </c>
      <c r="BY39" s="23" t="s">
        <v>2302</v>
      </c>
      <c r="BZ39" s="23" t="s">
        <v>2767</v>
      </c>
      <c r="CA39" s="23" t="s">
        <v>2767</v>
      </c>
      <c r="CB39" s="23" t="s">
        <v>2289</v>
      </c>
      <c r="CC39" s="23" t="s">
        <v>2289</v>
      </c>
      <c r="CD39" s="23" t="s">
        <v>2289</v>
      </c>
      <c r="CE39" s="23">
        <v>2000</v>
      </c>
      <c r="CF39" s="23">
        <v>1500</v>
      </c>
      <c r="CG39" s="23">
        <v>1800</v>
      </c>
      <c r="CH39" s="23">
        <v>60</v>
      </c>
      <c r="CI39" s="23">
        <v>50</v>
      </c>
      <c r="CJ39" s="23">
        <v>20</v>
      </c>
      <c r="CK39" s="27">
        <v>1</v>
      </c>
      <c r="CL39" s="27">
        <v>1</v>
      </c>
      <c r="CM39" s="27">
        <v>0</v>
      </c>
      <c r="CN39" s="26">
        <v>0</v>
      </c>
      <c r="CO39" s="23" t="s">
        <v>2652</v>
      </c>
      <c r="CP39" s="23" t="s">
        <v>2289</v>
      </c>
      <c r="CQ39" s="23" t="s">
        <v>2767</v>
      </c>
      <c r="CR39" s="23">
        <v>1</v>
      </c>
      <c r="CS39" s="23" t="s">
        <v>3764</v>
      </c>
      <c r="CT39" s="23" t="s">
        <v>3765</v>
      </c>
      <c r="CU39" s="23" t="s">
        <v>1345</v>
      </c>
      <c r="CV39" s="23" t="s">
        <v>2407</v>
      </c>
      <c r="CW39" s="23" t="s">
        <v>1345</v>
      </c>
      <c r="CX39" s="26">
        <v>0.1</v>
      </c>
      <c r="CY39" s="26">
        <v>0.9</v>
      </c>
      <c r="CZ39" s="23" t="s">
        <v>2311</v>
      </c>
      <c r="DA39" s="23" t="s">
        <v>3766</v>
      </c>
      <c r="DB39" s="23" t="s">
        <v>1903</v>
      </c>
      <c r="DC39" s="23" t="s">
        <v>2643</v>
      </c>
      <c r="DD39" s="22" t="s">
        <v>2792</v>
      </c>
      <c r="DE39" s="23" t="s">
        <v>3767</v>
      </c>
      <c r="DF39" s="23" t="s">
        <v>3768</v>
      </c>
      <c r="DG39" s="23" t="s">
        <v>3769</v>
      </c>
      <c r="DH39" s="23" t="s">
        <v>2794</v>
      </c>
      <c r="DI39" s="23" t="s">
        <v>1556</v>
      </c>
      <c r="DJ39" s="23" t="s">
        <v>1556</v>
      </c>
      <c r="DK39" s="23" t="s">
        <v>1556</v>
      </c>
      <c r="DL39" s="23" t="s">
        <v>3770</v>
      </c>
      <c r="DM39" s="23" t="s">
        <v>3771</v>
      </c>
      <c r="DN39" s="23" t="s">
        <v>1345</v>
      </c>
      <c r="DO39" s="23" t="s">
        <v>3772</v>
      </c>
      <c r="DP39" s="23" t="s">
        <v>1349</v>
      </c>
      <c r="DQ39" s="23" t="s">
        <v>2647</v>
      </c>
      <c r="DR39" s="23" t="s">
        <v>1349</v>
      </c>
      <c r="DS39" s="23" t="s">
        <v>1556</v>
      </c>
      <c r="DT39" s="23" t="s">
        <v>2300</v>
      </c>
      <c r="DU39" s="23" t="s">
        <v>2300</v>
      </c>
      <c r="DV39" s="23" t="s">
        <v>1345</v>
      </c>
      <c r="DW39" s="23" t="s">
        <v>2797</v>
      </c>
      <c r="DX39" s="23" t="s">
        <v>1345</v>
      </c>
      <c r="DY39" s="23" t="s">
        <v>1349</v>
      </c>
      <c r="DZ39" s="23" t="s">
        <v>3773</v>
      </c>
      <c r="EA39" s="23" t="s">
        <v>1345</v>
      </c>
      <c r="EB39" s="23" t="s">
        <v>1345</v>
      </c>
      <c r="EC39" s="23" t="s">
        <v>1345</v>
      </c>
      <c r="ED39" s="23" t="s">
        <v>2353</v>
      </c>
      <c r="EE39" s="27">
        <v>0.05</v>
      </c>
      <c r="EF39" s="23" t="s">
        <v>2370</v>
      </c>
      <c r="EG39" s="23" t="s">
        <v>1349</v>
      </c>
      <c r="EH39" s="23" t="s">
        <v>2300</v>
      </c>
      <c r="EI39" s="23" t="s">
        <v>2326</v>
      </c>
      <c r="EJ39" s="22"/>
      <c r="EK39" s="23" t="s">
        <v>3774</v>
      </c>
      <c r="EL39" s="23" t="s">
        <v>1389</v>
      </c>
      <c r="EM39" s="23">
        <v>2</v>
      </c>
      <c r="EN39" s="23" t="s">
        <v>3795</v>
      </c>
      <c r="EO39" s="23">
        <v>3</v>
      </c>
      <c r="EP39" s="23" t="s">
        <v>3796</v>
      </c>
      <c r="EQ39" s="23"/>
      <c r="ER39" s="22" t="s">
        <v>3788</v>
      </c>
      <c r="ES39" s="23">
        <v>4</v>
      </c>
      <c r="ET39" s="22" t="s">
        <v>3778</v>
      </c>
      <c r="EU39" s="23">
        <v>4</v>
      </c>
      <c r="EV39" s="22" t="s">
        <v>3779</v>
      </c>
      <c r="EW39" s="23">
        <v>2</v>
      </c>
      <c r="EX39" s="22" t="s">
        <v>3797</v>
      </c>
      <c r="EY39" s="23">
        <v>2</v>
      </c>
      <c r="EZ39" s="22" t="s">
        <v>2424</v>
      </c>
      <c r="FA39" s="22"/>
    </row>
    <row r="40" spans="1:157">
      <c r="A40" s="17">
        <v>584</v>
      </c>
      <c r="B40" s="22">
        <v>1</v>
      </c>
      <c r="C40" s="23" t="s">
        <v>2278</v>
      </c>
      <c r="D40" s="24">
        <v>43767</v>
      </c>
      <c r="E40" s="23" t="s">
        <v>3755</v>
      </c>
      <c r="F40" s="25"/>
      <c r="G40" s="25"/>
      <c r="H40" s="23" t="s">
        <v>1075</v>
      </c>
      <c r="I40" s="23" t="s">
        <v>1071</v>
      </c>
      <c r="J40" s="23" t="s">
        <v>165</v>
      </c>
      <c r="K40" s="23" t="s">
        <v>3756</v>
      </c>
      <c r="L40" s="32">
        <v>4</v>
      </c>
      <c r="M40" s="23" t="s">
        <v>3757</v>
      </c>
      <c r="N40" s="23" t="s">
        <v>1343</v>
      </c>
      <c r="O40" s="23" t="s">
        <v>3758</v>
      </c>
      <c r="P40" s="23" t="s">
        <v>544</v>
      </c>
      <c r="Q40" s="23" t="s">
        <v>3759</v>
      </c>
      <c r="R40" s="23" t="s">
        <v>1345</v>
      </c>
      <c r="S40" s="23">
        <v>3</v>
      </c>
      <c r="T40" s="23" t="s">
        <v>1346</v>
      </c>
      <c r="U40" s="23">
        <v>2011</v>
      </c>
      <c r="V40" s="23" t="s">
        <v>3760</v>
      </c>
      <c r="W40" s="23" t="s">
        <v>3761</v>
      </c>
      <c r="X40" s="23" t="s">
        <v>1349</v>
      </c>
      <c r="Y40" s="23" t="s">
        <v>2300</v>
      </c>
      <c r="Z40" s="23" t="s">
        <v>2300</v>
      </c>
      <c r="AA40" s="23">
        <v>33</v>
      </c>
      <c r="AB40" s="23" t="s">
        <v>1349</v>
      </c>
      <c r="AC40" s="23">
        <v>2</v>
      </c>
      <c r="AD40" s="23" t="s">
        <v>1345</v>
      </c>
      <c r="AE40" s="23" t="s">
        <v>1345</v>
      </c>
      <c r="AF40" s="23" t="s">
        <v>1349</v>
      </c>
      <c r="AG40" s="23" t="s">
        <v>1349</v>
      </c>
      <c r="AH40" s="23" t="s">
        <v>2300</v>
      </c>
      <c r="AI40" s="23">
        <v>2013</v>
      </c>
      <c r="AJ40" s="23" t="s">
        <v>1345</v>
      </c>
      <c r="AK40" s="23" t="s">
        <v>2290</v>
      </c>
      <c r="AL40" s="68" t="s">
        <v>1612</v>
      </c>
      <c r="AM40" s="23" t="s">
        <v>1612</v>
      </c>
      <c r="AN40" s="23" t="s">
        <v>1352</v>
      </c>
      <c r="AO40" s="23" t="s">
        <v>1612</v>
      </c>
      <c r="AP40" s="23" t="s">
        <v>1612</v>
      </c>
      <c r="AQ40" s="71" t="s">
        <v>1352</v>
      </c>
      <c r="AR40" s="22" t="s">
        <v>1352</v>
      </c>
      <c r="AS40" s="23" t="s">
        <v>1802</v>
      </c>
      <c r="AT40" s="23" t="s">
        <v>1358</v>
      </c>
      <c r="AU40" s="23" t="s">
        <v>2249</v>
      </c>
      <c r="AV40" s="22">
        <v>1000</v>
      </c>
      <c r="AW40" s="23" t="s">
        <v>2293</v>
      </c>
      <c r="AX40" s="23" t="s">
        <v>2294</v>
      </c>
      <c r="AY40" s="23" t="s">
        <v>1349</v>
      </c>
      <c r="AZ40" s="23" t="s">
        <v>3762</v>
      </c>
      <c r="BA40" s="23" t="s">
        <v>2361</v>
      </c>
      <c r="BB40" s="23" t="s">
        <v>2647</v>
      </c>
      <c r="BC40" s="23" t="s">
        <v>2647</v>
      </c>
      <c r="BD40" s="23" t="s">
        <v>2289</v>
      </c>
      <c r="BE40" s="23" t="s">
        <v>165</v>
      </c>
      <c r="BF40" s="23"/>
      <c r="BG40" s="23"/>
      <c r="BH40" s="23">
        <v>6</v>
      </c>
      <c r="BI40" s="23">
        <v>6</v>
      </c>
      <c r="BJ40" s="23">
        <v>10</v>
      </c>
      <c r="BK40" s="23" t="s">
        <v>1360</v>
      </c>
      <c r="BL40" s="23" t="s">
        <v>1360</v>
      </c>
      <c r="BM40" s="23" t="s">
        <v>1360</v>
      </c>
      <c r="BN40" s="23" t="s">
        <v>1349</v>
      </c>
      <c r="BO40" s="23" t="s">
        <v>2767</v>
      </c>
      <c r="BP40" s="23" t="s">
        <v>2767</v>
      </c>
      <c r="BQ40" s="23" t="s">
        <v>1349</v>
      </c>
      <c r="BR40" s="23" t="s">
        <v>1349</v>
      </c>
      <c r="BS40" s="23" t="s">
        <v>2643</v>
      </c>
      <c r="BT40" s="23" t="s">
        <v>1345</v>
      </c>
      <c r="BU40" s="23" t="s">
        <v>3763</v>
      </c>
      <c r="BV40" s="23" t="s">
        <v>1349</v>
      </c>
      <c r="BW40" s="23" t="s">
        <v>2300</v>
      </c>
      <c r="BX40" s="23" t="s">
        <v>1345</v>
      </c>
      <c r="BY40" s="23" t="s">
        <v>2302</v>
      </c>
      <c r="BZ40" s="23" t="s">
        <v>2767</v>
      </c>
      <c r="CA40" s="23" t="s">
        <v>2767</v>
      </c>
      <c r="CB40" s="23" t="s">
        <v>2289</v>
      </c>
      <c r="CC40" s="23" t="s">
        <v>2289</v>
      </c>
      <c r="CD40" s="23" t="s">
        <v>2289</v>
      </c>
      <c r="CE40" s="23">
        <v>4000</v>
      </c>
      <c r="CF40" s="23">
        <v>5000</v>
      </c>
      <c r="CG40" s="23">
        <v>4500</v>
      </c>
      <c r="CH40" s="23">
        <v>30</v>
      </c>
      <c r="CI40" s="23">
        <v>60</v>
      </c>
      <c r="CJ40" s="23">
        <v>30</v>
      </c>
      <c r="CK40" s="26">
        <v>0.5</v>
      </c>
      <c r="CL40" s="27">
        <v>1</v>
      </c>
      <c r="CM40" s="27">
        <v>0.5</v>
      </c>
      <c r="CN40" s="26">
        <v>0</v>
      </c>
      <c r="CO40" s="23" t="s">
        <v>2652</v>
      </c>
      <c r="CP40" s="23" t="s">
        <v>2289</v>
      </c>
      <c r="CQ40" s="23" t="s">
        <v>2767</v>
      </c>
      <c r="CR40" s="23">
        <v>5</v>
      </c>
      <c r="CS40" s="23" t="s">
        <v>3764</v>
      </c>
      <c r="CT40" s="23" t="s">
        <v>3765</v>
      </c>
      <c r="CU40" s="23" t="s">
        <v>1345</v>
      </c>
      <c r="CV40" s="23" t="s">
        <v>2310</v>
      </c>
      <c r="CW40" s="23" t="s">
        <v>1345</v>
      </c>
      <c r="CX40" s="26">
        <v>0.05</v>
      </c>
      <c r="CY40" s="26">
        <v>0.95</v>
      </c>
      <c r="CZ40" s="23" t="s">
        <v>2311</v>
      </c>
      <c r="DA40" s="23" t="s">
        <v>3766</v>
      </c>
      <c r="DB40" s="23" t="s">
        <v>1903</v>
      </c>
      <c r="DC40" s="23" t="s">
        <v>2643</v>
      </c>
      <c r="DD40" s="22" t="s">
        <v>2792</v>
      </c>
      <c r="DE40" s="23" t="s">
        <v>3767</v>
      </c>
      <c r="DF40" s="23" t="s">
        <v>3768</v>
      </c>
      <c r="DG40" s="23" t="s">
        <v>3769</v>
      </c>
      <c r="DH40" s="23" t="s">
        <v>2794</v>
      </c>
      <c r="DI40" s="23" t="s">
        <v>1556</v>
      </c>
      <c r="DJ40" s="23" t="s">
        <v>1556</v>
      </c>
      <c r="DK40" s="23" t="s">
        <v>1556</v>
      </c>
      <c r="DL40" s="23" t="s">
        <v>3770</v>
      </c>
      <c r="DM40" s="23" t="s">
        <v>3771</v>
      </c>
      <c r="DN40" s="23" t="s">
        <v>1345</v>
      </c>
      <c r="DO40" s="23" t="s">
        <v>3772</v>
      </c>
      <c r="DP40" s="23" t="s">
        <v>1349</v>
      </c>
      <c r="DQ40" s="23" t="s">
        <v>2647</v>
      </c>
      <c r="DR40" s="23" t="s">
        <v>1349</v>
      </c>
      <c r="DS40" s="23" t="s">
        <v>1556</v>
      </c>
      <c r="DT40" s="23" t="s">
        <v>2300</v>
      </c>
      <c r="DU40" s="23" t="s">
        <v>2300</v>
      </c>
      <c r="DV40" s="23" t="s">
        <v>1345</v>
      </c>
      <c r="DW40" s="23" t="s">
        <v>2797</v>
      </c>
      <c r="DX40" s="23" t="s">
        <v>1345</v>
      </c>
      <c r="DY40" s="23" t="s">
        <v>1349</v>
      </c>
      <c r="DZ40" s="23" t="s">
        <v>3773</v>
      </c>
      <c r="EA40" s="23" t="s">
        <v>1345</v>
      </c>
      <c r="EB40" s="23" t="s">
        <v>1345</v>
      </c>
      <c r="EC40" s="23" t="s">
        <v>1345</v>
      </c>
      <c r="ED40" s="23" t="s">
        <v>2323</v>
      </c>
      <c r="EE40" s="27">
        <v>0.1</v>
      </c>
      <c r="EF40" s="23" t="s">
        <v>2324</v>
      </c>
      <c r="EG40" s="23" t="s">
        <v>1349</v>
      </c>
      <c r="EH40" s="23" t="s">
        <v>2300</v>
      </c>
      <c r="EI40" s="23" t="s">
        <v>2326</v>
      </c>
      <c r="EJ40" s="22"/>
      <c r="EK40" s="23" t="s">
        <v>3774</v>
      </c>
      <c r="EL40" s="23" t="s">
        <v>1389</v>
      </c>
      <c r="EM40" s="23">
        <v>3</v>
      </c>
      <c r="EN40" s="23" t="s">
        <v>3775</v>
      </c>
      <c r="EO40" s="23">
        <v>3</v>
      </c>
      <c r="EP40" s="23" t="s">
        <v>3776</v>
      </c>
      <c r="EQ40" s="23">
        <v>3</v>
      </c>
      <c r="ER40" s="22" t="s">
        <v>3777</v>
      </c>
      <c r="ES40" s="23">
        <v>4</v>
      </c>
      <c r="ET40" s="22" t="s">
        <v>3778</v>
      </c>
      <c r="EU40" s="23">
        <v>4</v>
      </c>
      <c r="EV40" s="22" t="s">
        <v>3779</v>
      </c>
      <c r="EW40" s="23">
        <v>3</v>
      </c>
      <c r="EX40" s="22" t="s">
        <v>3780</v>
      </c>
      <c r="EY40" s="23">
        <v>2</v>
      </c>
      <c r="EZ40" s="22" t="s">
        <v>2424</v>
      </c>
      <c r="FA40" s="22"/>
    </row>
    <row r="41" spans="1:157">
      <c r="A41" s="17">
        <v>585</v>
      </c>
      <c r="B41" s="22">
        <v>68</v>
      </c>
      <c r="C41" s="38" t="s">
        <v>1795</v>
      </c>
      <c r="D41" s="39">
        <v>43775</v>
      </c>
      <c r="E41" s="38" t="s">
        <v>510</v>
      </c>
      <c r="F41" s="38" t="s">
        <v>1728</v>
      </c>
      <c r="G41" s="38" t="s">
        <v>3856</v>
      </c>
      <c r="H41" s="38" t="s">
        <v>1075</v>
      </c>
      <c r="I41" s="38" t="s">
        <v>1071</v>
      </c>
      <c r="J41" s="23" t="s">
        <v>3856</v>
      </c>
      <c r="K41" s="38" t="s">
        <v>4313</v>
      </c>
      <c r="L41" s="42">
        <v>19</v>
      </c>
      <c r="M41" s="42" t="s">
        <v>3395</v>
      </c>
      <c r="N41" s="42" t="s">
        <v>1343</v>
      </c>
      <c r="O41" s="42" t="s">
        <v>4314</v>
      </c>
      <c r="P41" s="42" t="s">
        <v>552</v>
      </c>
      <c r="Q41" s="38">
        <v>66355271</v>
      </c>
      <c r="R41" s="51" t="s">
        <v>1345</v>
      </c>
      <c r="S41" s="38">
        <v>7</v>
      </c>
      <c r="T41" s="42" t="s">
        <v>1346</v>
      </c>
      <c r="U41" s="38">
        <v>2010</v>
      </c>
      <c r="V41" s="42" t="s">
        <v>4296</v>
      </c>
      <c r="W41" s="42" t="s">
        <v>4297</v>
      </c>
      <c r="X41" s="38" t="s">
        <v>1349</v>
      </c>
      <c r="Y41" s="38"/>
      <c r="Z41" s="38"/>
      <c r="AA41" s="38">
        <v>16</v>
      </c>
      <c r="AB41" s="38" t="s">
        <v>1345</v>
      </c>
      <c r="AC41" s="38" t="s">
        <v>1808</v>
      </c>
      <c r="AD41" s="38" t="s">
        <v>1345</v>
      </c>
      <c r="AE41" s="38" t="s">
        <v>1349</v>
      </c>
      <c r="AF41" s="38" t="s">
        <v>1349</v>
      </c>
      <c r="AG41" s="38" t="s">
        <v>1349</v>
      </c>
      <c r="AH41" s="42" t="s">
        <v>1366</v>
      </c>
      <c r="AI41" s="38">
        <v>2004</v>
      </c>
      <c r="AJ41" s="38" t="s">
        <v>1349</v>
      </c>
      <c r="AK41" s="87" t="s">
        <v>2290</v>
      </c>
      <c r="AL41" s="87" t="s">
        <v>1612</v>
      </c>
      <c r="AM41" s="23" t="s">
        <v>1612</v>
      </c>
      <c r="AN41" s="38" t="s">
        <v>1550</v>
      </c>
      <c r="AO41" s="38" t="s">
        <v>1550</v>
      </c>
      <c r="AP41" s="38" t="s">
        <v>1550</v>
      </c>
      <c r="AQ41" s="87" t="s">
        <v>1352</v>
      </c>
      <c r="AR41" s="88" t="s">
        <v>1352</v>
      </c>
      <c r="AS41" s="42" t="s">
        <v>1550</v>
      </c>
      <c r="AT41" s="42" t="s">
        <v>1804</v>
      </c>
      <c r="AU41" s="42"/>
      <c r="AV41" s="42">
        <v>1000</v>
      </c>
      <c r="AW41" s="42" t="s">
        <v>4308</v>
      </c>
      <c r="AX41" s="42" t="s">
        <v>4309</v>
      </c>
      <c r="AY41" s="38" t="s">
        <v>1349</v>
      </c>
      <c r="AZ41" s="42" t="s">
        <v>4315</v>
      </c>
      <c r="BA41" s="42" t="s">
        <v>4316</v>
      </c>
      <c r="BB41" s="42" t="s">
        <v>1358</v>
      </c>
      <c r="BC41" s="42" t="s">
        <v>1358</v>
      </c>
      <c r="BD41" s="42" t="s">
        <v>1358</v>
      </c>
      <c r="BE41" s="55" t="s">
        <v>4317</v>
      </c>
      <c r="BF41" s="42"/>
      <c r="BG41" s="42"/>
      <c r="BH41" s="42">
        <v>6</v>
      </c>
      <c r="BI41" s="42">
        <v>6</v>
      </c>
      <c r="BJ41" s="42">
        <v>8</v>
      </c>
      <c r="BK41" s="42" t="s">
        <v>4164</v>
      </c>
      <c r="BL41" s="42" t="s">
        <v>4164</v>
      </c>
      <c r="BM41" s="42" t="s">
        <v>4164</v>
      </c>
      <c r="BN41" s="38" t="s">
        <v>1349</v>
      </c>
      <c r="BO41" s="42"/>
      <c r="BP41" s="42"/>
      <c r="BQ41" s="38" t="s">
        <v>1345</v>
      </c>
      <c r="BR41" s="38" t="s">
        <v>1345</v>
      </c>
      <c r="BS41" s="42" t="s">
        <v>1358</v>
      </c>
      <c r="BT41" s="38" t="s">
        <v>1345</v>
      </c>
      <c r="BU41" s="42" t="s">
        <v>4165</v>
      </c>
      <c r="BV41" s="38" t="s">
        <v>1349</v>
      </c>
      <c r="BW41" s="42"/>
      <c r="BX41" s="38" t="s">
        <v>1345</v>
      </c>
      <c r="BY41" s="42" t="s">
        <v>1362</v>
      </c>
      <c r="BZ41" s="38" t="s">
        <v>4261</v>
      </c>
      <c r="CA41" s="38" t="s">
        <v>4318</v>
      </c>
      <c r="CB41" s="42" t="s">
        <v>1935</v>
      </c>
      <c r="CC41" s="42" t="s">
        <v>1935</v>
      </c>
      <c r="CD41" s="38" t="s">
        <v>1935</v>
      </c>
      <c r="CE41" s="42" t="s">
        <v>4319</v>
      </c>
      <c r="CF41" s="42"/>
      <c r="CG41" s="42"/>
      <c r="CH41" s="42" t="s">
        <v>4320</v>
      </c>
      <c r="CI41" s="42"/>
      <c r="CJ41" s="42"/>
      <c r="CK41" s="43">
        <v>0.33</v>
      </c>
      <c r="CL41" s="43">
        <v>0.33</v>
      </c>
      <c r="CM41" s="43">
        <v>0.67</v>
      </c>
      <c r="CN41" s="43">
        <v>0.67</v>
      </c>
      <c r="CO41" s="42" t="s">
        <v>4321</v>
      </c>
      <c r="CP41" s="42" t="s">
        <v>1366</v>
      </c>
      <c r="CQ41" s="42" t="s">
        <v>1367</v>
      </c>
      <c r="CR41" s="42"/>
      <c r="CS41" s="42"/>
      <c r="CT41" s="42" t="s">
        <v>3431</v>
      </c>
      <c r="CU41" s="38" t="s">
        <v>1349</v>
      </c>
      <c r="CV41" s="42" t="s">
        <v>1708</v>
      </c>
      <c r="CW41" s="38" t="s">
        <v>1345</v>
      </c>
      <c r="CX41" s="42" t="s">
        <v>4322</v>
      </c>
      <c r="CY41" s="42"/>
      <c r="CZ41" s="42" t="s">
        <v>3750</v>
      </c>
      <c r="DA41" s="42" t="s">
        <v>4276</v>
      </c>
      <c r="DB41" s="42" t="s">
        <v>3388</v>
      </c>
      <c r="DC41" s="55" t="s">
        <v>3571</v>
      </c>
      <c r="DD41" s="55" t="s">
        <v>4167</v>
      </c>
      <c r="DE41" s="42" t="s">
        <v>4168</v>
      </c>
      <c r="DF41" s="55" t="s">
        <v>4323</v>
      </c>
      <c r="DG41" s="42" t="s">
        <v>4170</v>
      </c>
      <c r="DH41" s="42" t="s">
        <v>1935</v>
      </c>
      <c r="DI41" s="42" t="s">
        <v>1978</v>
      </c>
      <c r="DJ41" s="42" t="s">
        <v>3384</v>
      </c>
      <c r="DK41" s="42" t="s">
        <v>3384</v>
      </c>
      <c r="DL41" s="42" t="s">
        <v>1935</v>
      </c>
      <c r="DM41" s="42" t="s">
        <v>3577</v>
      </c>
      <c r="DN41" s="51" t="s">
        <v>1349</v>
      </c>
      <c r="DO41" s="51" t="s">
        <v>1358</v>
      </c>
      <c r="DP41" s="42" t="s">
        <v>1358</v>
      </c>
      <c r="DQ41" s="38" t="s">
        <v>1349</v>
      </c>
      <c r="DR41" s="38" t="s">
        <v>1349</v>
      </c>
      <c r="DS41" s="42"/>
      <c r="DT41" s="42"/>
      <c r="DU41" s="42"/>
      <c r="DV41" s="38" t="s">
        <v>1345</v>
      </c>
      <c r="DW41" s="42" t="s">
        <v>4324</v>
      </c>
      <c r="DX41" s="38" t="s">
        <v>1345</v>
      </c>
      <c r="DY41" s="38" t="s">
        <v>1349</v>
      </c>
      <c r="DZ41" s="42" t="s">
        <v>4325</v>
      </c>
      <c r="EA41" s="38" t="s">
        <v>1345</v>
      </c>
      <c r="EB41" s="38" t="s">
        <v>1345</v>
      </c>
      <c r="EC41" s="38" t="s">
        <v>1345</v>
      </c>
      <c r="ED41" s="42" t="s">
        <v>4326</v>
      </c>
      <c r="EE41" s="43">
        <v>0.6</v>
      </c>
      <c r="EF41" s="42" t="s">
        <v>3580</v>
      </c>
      <c r="EG41" s="38" t="s">
        <v>1349</v>
      </c>
      <c r="EH41" s="42"/>
      <c r="EI41" s="42" t="s">
        <v>4327</v>
      </c>
      <c r="EJ41" s="42" t="s">
        <v>4328</v>
      </c>
      <c r="EK41" s="42" t="s">
        <v>4303</v>
      </c>
      <c r="EL41" s="38" t="s">
        <v>1389</v>
      </c>
      <c r="EM41" s="51">
        <v>4</v>
      </c>
      <c r="EN41" s="51" t="s">
        <v>4268</v>
      </c>
      <c r="EO41" s="38">
        <v>4</v>
      </c>
      <c r="EP41" s="42" t="s">
        <v>4329</v>
      </c>
      <c r="EQ41" s="38">
        <v>2</v>
      </c>
      <c r="ER41" s="42" t="s">
        <v>4176</v>
      </c>
      <c r="ES41" s="38">
        <v>5</v>
      </c>
      <c r="ET41" s="42" t="s">
        <v>4177</v>
      </c>
      <c r="EU41" s="38">
        <v>5</v>
      </c>
      <c r="EV41" s="42" t="s">
        <v>4178</v>
      </c>
      <c r="EW41" s="38">
        <v>2</v>
      </c>
      <c r="EX41" s="42" t="s">
        <v>4179</v>
      </c>
      <c r="EY41" s="38">
        <v>1</v>
      </c>
      <c r="EZ41" s="42" t="s">
        <v>4269</v>
      </c>
      <c r="FA41" s="22"/>
    </row>
    <row r="42" spans="1:157">
      <c r="A42" s="17">
        <v>586</v>
      </c>
      <c r="B42" s="22">
        <v>33</v>
      </c>
      <c r="C42" s="23" t="s">
        <v>1337</v>
      </c>
      <c r="D42" s="33">
        <v>43770</v>
      </c>
      <c r="E42" s="23" t="s">
        <v>3963</v>
      </c>
      <c r="F42" s="25" t="e">
        <v>#N/A</v>
      </c>
      <c r="G42" s="25" t="s">
        <v>3930</v>
      </c>
      <c r="H42" s="23" t="s">
        <v>3901</v>
      </c>
      <c r="I42" s="23" t="s">
        <v>3902</v>
      </c>
      <c r="J42" s="23" t="s">
        <v>68</v>
      </c>
      <c r="K42" s="23" t="s">
        <v>3977</v>
      </c>
      <c r="L42" s="32">
        <v>8</v>
      </c>
      <c r="M42" s="23" t="s">
        <v>1342</v>
      </c>
      <c r="N42" s="23" t="s">
        <v>1448</v>
      </c>
      <c r="O42" s="23" t="s">
        <v>901</v>
      </c>
      <c r="P42" s="23" t="s">
        <v>3952</v>
      </c>
      <c r="Q42" s="23">
        <v>54563807</v>
      </c>
      <c r="R42" s="23" t="s">
        <v>1383</v>
      </c>
      <c r="S42" s="23">
        <v>3</v>
      </c>
      <c r="T42" s="23" t="s">
        <v>1346</v>
      </c>
      <c r="U42" s="23">
        <v>2011</v>
      </c>
      <c r="V42" s="22" t="s">
        <v>2896</v>
      </c>
      <c r="W42" s="22" t="s">
        <v>3978</v>
      </c>
      <c r="X42" s="23" t="s">
        <v>1804</v>
      </c>
      <c r="Y42" s="23"/>
      <c r="Z42" s="23"/>
      <c r="AA42" s="23">
        <v>21</v>
      </c>
      <c r="AB42" s="23" t="s">
        <v>1342</v>
      </c>
      <c r="AC42" s="23">
        <v>1</v>
      </c>
      <c r="AD42" s="23" t="s">
        <v>1383</v>
      </c>
      <c r="AE42" s="23" t="s">
        <v>1342</v>
      </c>
      <c r="AF42" s="23" t="s">
        <v>1342</v>
      </c>
      <c r="AG42" s="23" t="s">
        <v>1342</v>
      </c>
      <c r="AH42" s="23" t="s">
        <v>1342</v>
      </c>
      <c r="AI42" s="23"/>
      <c r="AJ42" s="23"/>
      <c r="AK42" s="22" t="s">
        <v>4199</v>
      </c>
      <c r="AL42" s="87" t="s">
        <v>1612</v>
      </c>
      <c r="AM42" s="23" t="s">
        <v>1612</v>
      </c>
      <c r="AN42" s="23" t="s">
        <v>1612</v>
      </c>
      <c r="AO42" s="23" t="s">
        <v>1612</v>
      </c>
      <c r="AP42" s="23" t="s">
        <v>1612</v>
      </c>
      <c r="AQ42" s="68" t="s">
        <v>1352</v>
      </c>
      <c r="AR42" s="23" t="s">
        <v>1612</v>
      </c>
      <c r="AS42" s="42" t="s">
        <v>1550</v>
      </c>
      <c r="AT42" s="22"/>
      <c r="AU42" s="22">
        <v>15000</v>
      </c>
      <c r="AV42" s="22">
        <v>20000</v>
      </c>
      <c r="AW42" s="22" t="s">
        <v>2955</v>
      </c>
      <c r="AX42" s="22" t="s">
        <v>3979</v>
      </c>
      <c r="AY42" s="23" t="s">
        <v>1342</v>
      </c>
      <c r="AZ42" s="22" t="s">
        <v>1738</v>
      </c>
      <c r="BA42" s="22" t="s">
        <v>1737</v>
      </c>
      <c r="BB42" s="22" t="s">
        <v>1358</v>
      </c>
      <c r="BC42" s="22" t="s">
        <v>1358</v>
      </c>
      <c r="BD42" s="22" t="s">
        <v>1358</v>
      </c>
      <c r="BE42" s="22" t="s">
        <v>3977</v>
      </c>
      <c r="BF42" s="22"/>
      <c r="BG42" s="22"/>
      <c r="BH42" s="22">
        <v>2</v>
      </c>
      <c r="BI42" s="22">
        <v>4</v>
      </c>
      <c r="BJ42" s="22"/>
      <c r="BK42" s="22" t="s">
        <v>1434</v>
      </c>
      <c r="BL42" s="22" t="s">
        <v>2405</v>
      </c>
      <c r="BM42" s="22"/>
      <c r="BN42" s="23" t="s">
        <v>1342</v>
      </c>
      <c r="BO42" s="22"/>
      <c r="BP42" s="22"/>
      <c r="BQ42" s="23" t="s">
        <v>1383</v>
      </c>
      <c r="BR42" s="23" t="s">
        <v>1342</v>
      </c>
      <c r="BS42" s="27">
        <v>0</v>
      </c>
      <c r="BT42" s="23" t="s">
        <v>1383</v>
      </c>
      <c r="BU42" s="23" t="s">
        <v>3980</v>
      </c>
      <c r="BV42" s="23" t="s">
        <v>1342</v>
      </c>
      <c r="BW42" s="22"/>
      <c r="BX42" s="23" t="s">
        <v>1383</v>
      </c>
      <c r="BY42" s="23" t="s">
        <v>1362</v>
      </c>
      <c r="BZ42" s="23" t="s">
        <v>3912</v>
      </c>
      <c r="CA42" s="22" t="s">
        <v>3977</v>
      </c>
      <c r="CB42" s="22" t="s">
        <v>1364</v>
      </c>
      <c r="CC42" s="22" t="s">
        <v>1364</v>
      </c>
      <c r="CD42" s="22" t="s">
        <v>1364</v>
      </c>
      <c r="CE42" s="22">
        <v>9300</v>
      </c>
      <c r="CF42" s="22">
        <v>8200</v>
      </c>
      <c r="CG42" s="22">
        <v>10400</v>
      </c>
      <c r="CH42" s="22">
        <v>0</v>
      </c>
      <c r="CI42" s="22">
        <v>0</v>
      </c>
      <c r="CJ42" s="22">
        <v>0</v>
      </c>
      <c r="CK42" s="27">
        <v>0.5</v>
      </c>
      <c r="CL42" s="27">
        <v>0.6</v>
      </c>
      <c r="CM42" s="27">
        <v>0.5</v>
      </c>
      <c r="CN42" s="27">
        <v>0.4</v>
      </c>
      <c r="CO42" s="22"/>
      <c r="CP42" s="22"/>
      <c r="CQ42" s="22"/>
      <c r="CR42" s="22"/>
      <c r="CS42" s="22"/>
      <c r="CT42" s="22"/>
      <c r="CU42" s="23"/>
      <c r="CV42" s="22"/>
      <c r="CW42" s="23" t="s">
        <v>1383</v>
      </c>
      <c r="CX42" s="27">
        <v>0.1</v>
      </c>
      <c r="CY42" s="27">
        <v>0.8</v>
      </c>
      <c r="CZ42" s="22" t="s">
        <v>2905</v>
      </c>
      <c r="DA42" s="22" t="s">
        <v>1372</v>
      </c>
      <c r="DB42" s="22">
        <v>15</v>
      </c>
      <c r="DC42" s="22"/>
      <c r="DD42" s="22" t="s">
        <v>3916</v>
      </c>
      <c r="DE42" s="22" t="s">
        <v>3917</v>
      </c>
      <c r="DF42" s="22" t="s">
        <v>3918</v>
      </c>
      <c r="DG42" s="22"/>
      <c r="DH42" s="22" t="s">
        <v>3935</v>
      </c>
      <c r="DI42" s="22"/>
      <c r="DJ42" s="22"/>
      <c r="DK42" s="22"/>
      <c r="DL42" s="22" t="s">
        <v>3936</v>
      </c>
      <c r="DM42" s="22" t="s">
        <v>3121</v>
      </c>
      <c r="DN42" s="23" t="s">
        <v>1383</v>
      </c>
      <c r="DO42" s="22" t="s">
        <v>3102</v>
      </c>
      <c r="DP42" s="23" t="s">
        <v>1383</v>
      </c>
      <c r="DQ42" s="22" t="s">
        <v>3923</v>
      </c>
      <c r="DR42" s="23" t="s">
        <v>1342</v>
      </c>
      <c r="DS42" s="22"/>
      <c r="DT42" s="22"/>
      <c r="DU42" s="22"/>
      <c r="DV42" s="23" t="s">
        <v>1383</v>
      </c>
      <c r="DW42" s="22" t="s">
        <v>3123</v>
      </c>
      <c r="DX42" s="23" t="s">
        <v>1383</v>
      </c>
      <c r="DY42" s="23" t="s">
        <v>1342</v>
      </c>
      <c r="DZ42" s="23" t="s">
        <v>1531</v>
      </c>
      <c r="EA42" s="23" t="s">
        <v>1383</v>
      </c>
      <c r="EB42" s="23" t="s">
        <v>1383</v>
      </c>
      <c r="EC42" s="23" t="s">
        <v>1383</v>
      </c>
      <c r="ED42" s="23" t="s">
        <v>2948</v>
      </c>
      <c r="EE42" s="27">
        <v>0.4</v>
      </c>
      <c r="EF42" s="23" t="s">
        <v>2931</v>
      </c>
      <c r="EG42" s="23" t="s">
        <v>1342</v>
      </c>
      <c r="EH42" s="22"/>
      <c r="EI42" s="22"/>
      <c r="EJ42" s="22"/>
      <c r="EK42" s="22"/>
      <c r="EL42" s="23" t="s">
        <v>1389</v>
      </c>
      <c r="EM42" s="23">
        <v>3</v>
      </c>
      <c r="EN42" s="22" t="s">
        <v>2917</v>
      </c>
      <c r="EO42" s="23">
        <v>0</v>
      </c>
      <c r="EP42" s="22" t="s">
        <v>3020</v>
      </c>
      <c r="EQ42" s="23">
        <v>2</v>
      </c>
      <c r="ER42" s="22" t="s">
        <v>3129</v>
      </c>
      <c r="ES42" s="23">
        <v>3</v>
      </c>
      <c r="ET42" s="22" t="s">
        <v>3174</v>
      </c>
      <c r="EU42" s="23">
        <v>3</v>
      </c>
      <c r="EV42" s="22" t="s">
        <v>3108</v>
      </c>
      <c r="EW42" s="23">
        <v>3</v>
      </c>
      <c r="EX42" s="22" t="s">
        <v>3927</v>
      </c>
      <c r="EY42" s="23">
        <v>1</v>
      </c>
      <c r="EZ42" s="22" t="s">
        <v>3939</v>
      </c>
      <c r="FA42" s="22"/>
    </row>
    <row r="43" spans="1:157">
      <c r="A43" s="17">
        <v>587</v>
      </c>
      <c r="B43" s="22">
        <v>71</v>
      </c>
      <c r="C43" s="38" t="s">
        <v>4330</v>
      </c>
      <c r="D43" s="39">
        <v>43778</v>
      </c>
      <c r="E43" s="38" t="s">
        <v>505</v>
      </c>
      <c r="F43" s="40" t="s">
        <v>1728</v>
      </c>
      <c r="G43" s="40" t="s">
        <v>4091</v>
      </c>
      <c r="H43" s="38" t="s">
        <v>1075</v>
      </c>
      <c r="I43" s="38" t="s">
        <v>1071</v>
      </c>
      <c r="J43" s="38" t="s">
        <v>4091</v>
      </c>
      <c r="K43" s="38" t="s">
        <v>4345</v>
      </c>
      <c r="L43" s="42">
        <v>10</v>
      </c>
      <c r="M43" s="42" t="s">
        <v>3539</v>
      </c>
      <c r="N43" s="42" t="s">
        <v>1343</v>
      </c>
      <c r="O43" s="42" t="s">
        <v>616</v>
      </c>
      <c r="P43" s="42" t="s">
        <v>737</v>
      </c>
      <c r="Q43" s="38">
        <v>78697152</v>
      </c>
      <c r="R43" s="38" t="s">
        <v>1383</v>
      </c>
      <c r="S43" s="38">
        <v>7</v>
      </c>
      <c r="T43" s="42" t="s">
        <v>1346</v>
      </c>
      <c r="U43" s="38">
        <v>2011</v>
      </c>
      <c r="V43" s="42" t="s">
        <v>4296</v>
      </c>
      <c r="W43" s="42" t="s">
        <v>4297</v>
      </c>
      <c r="X43" s="38" t="s">
        <v>1349</v>
      </c>
      <c r="Y43" s="38"/>
      <c r="Z43" s="38"/>
      <c r="AA43" s="38">
        <v>16</v>
      </c>
      <c r="AB43" s="38" t="s">
        <v>1383</v>
      </c>
      <c r="AC43" s="38" t="s">
        <v>4333</v>
      </c>
      <c r="AD43" s="38" t="s">
        <v>1383</v>
      </c>
      <c r="AE43" s="38" t="s">
        <v>1349</v>
      </c>
      <c r="AF43" s="38" t="s">
        <v>1349</v>
      </c>
      <c r="AG43" s="38" t="s">
        <v>1349</v>
      </c>
      <c r="AH43" s="42" t="s">
        <v>1366</v>
      </c>
      <c r="AI43" s="38" t="s">
        <v>3384</v>
      </c>
      <c r="AJ43" s="38" t="s">
        <v>1349</v>
      </c>
      <c r="AK43" s="87" t="s">
        <v>4199</v>
      </c>
      <c r="AL43" s="87" t="s">
        <v>1612</v>
      </c>
      <c r="AM43" s="23" t="s">
        <v>1612</v>
      </c>
      <c r="AN43" s="38" t="s">
        <v>1550</v>
      </c>
      <c r="AO43" s="38" t="s">
        <v>1550</v>
      </c>
      <c r="AP43" s="38" t="s">
        <v>1550</v>
      </c>
      <c r="AQ43" s="87" t="s">
        <v>1352</v>
      </c>
      <c r="AR43" s="88" t="s">
        <v>3451</v>
      </c>
      <c r="AS43" s="42" t="s">
        <v>1550</v>
      </c>
      <c r="AT43" s="42" t="s">
        <v>1804</v>
      </c>
      <c r="AU43" s="42"/>
      <c r="AV43" s="42">
        <v>1000</v>
      </c>
      <c r="AW43" s="42" t="s">
        <v>4334</v>
      </c>
      <c r="AX43" s="42" t="s">
        <v>4309</v>
      </c>
      <c r="AY43" s="38" t="s">
        <v>1349</v>
      </c>
      <c r="AZ43" s="42" t="s">
        <v>4335</v>
      </c>
      <c r="BA43" s="42" t="s">
        <v>4346</v>
      </c>
      <c r="BB43" s="42" t="s">
        <v>1358</v>
      </c>
      <c r="BC43" s="42" t="s">
        <v>1358</v>
      </c>
      <c r="BD43" s="42" t="s">
        <v>1358</v>
      </c>
      <c r="BE43" s="42" t="s">
        <v>1810</v>
      </c>
      <c r="BF43" s="42"/>
      <c r="BG43" s="42"/>
      <c r="BH43" s="42">
        <v>15</v>
      </c>
      <c r="BI43" s="42">
        <v>15</v>
      </c>
      <c r="BJ43" s="42">
        <v>20</v>
      </c>
      <c r="BK43" s="42" t="s">
        <v>4164</v>
      </c>
      <c r="BL43" s="42" t="s">
        <v>4164</v>
      </c>
      <c r="BM43" s="42" t="s">
        <v>4164</v>
      </c>
      <c r="BN43" s="38" t="s">
        <v>1349</v>
      </c>
      <c r="BO43" s="42"/>
      <c r="BP43" s="42"/>
      <c r="BQ43" s="38" t="s">
        <v>1383</v>
      </c>
      <c r="BR43" s="38" t="s">
        <v>1383</v>
      </c>
      <c r="BS43" s="42" t="s">
        <v>1358</v>
      </c>
      <c r="BT43" s="38" t="s">
        <v>1383</v>
      </c>
      <c r="BU43" s="42" t="s">
        <v>4165</v>
      </c>
      <c r="BV43" s="38" t="s">
        <v>1349</v>
      </c>
      <c r="BW43" s="42"/>
      <c r="BX43" s="38" t="s">
        <v>1383</v>
      </c>
      <c r="BY43" s="42" t="s">
        <v>1362</v>
      </c>
      <c r="BZ43" s="38" t="s">
        <v>4261</v>
      </c>
      <c r="CA43" s="38" t="s">
        <v>4347</v>
      </c>
      <c r="CB43" s="42" t="s">
        <v>1935</v>
      </c>
      <c r="CC43" s="42" t="s">
        <v>1935</v>
      </c>
      <c r="CD43" s="42" t="s">
        <v>1935</v>
      </c>
      <c r="CE43" s="42">
        <v>30000</v>
      </c>
      <c r="CF43" s="42">
        <v>30000</v>
      </c>
      <c r="CG43" s="42">
        <v>20000</v>
      </c>
      <c r="CH43" s="42" t="s">
        <v>1935</v>
      </c>
      <c r="CI43" s="42" t="s">
        <v>1935</v>
      </c>
      <c r="CJ43" s="42" t="s">
        <v>1935</v>
      </c>
      <c r="CK43" s="43">
        <v>0.8</v>
      </c>
      <c r="CL43" s="43">
        <v>0.6</v>
      </c>
      <c r="CM43" s="43">
        <v>0.2</v>
      </c>
      <c r="CN43" s="43">
        <v>0.4</v>
      </c>
      <c r="CO43" s="42" t="s">
        <v>3451</v>
      </c>
      <c r="CP43" s="42"/>
      <c r="CQ43" s="42"/>
      <c r="CR43" s="42"/>
      <c r="CS43" s="42"/>
      <c r="CT43" s="42"/>
      <c r="CU43" s="38"/>
      <c r="CV43" s="42"/>
      <c r="CW43" s="38" t="s">
        <v>1383</v>
      </c>
      <c r="CX43" s="43">
        <v>0.1</v>
      </c>
      <c r="CY43" s="43">
        <v>0.7</v>
      </c>
      <c r="CZ43" s="42" t="s">
        <v>3750</v>
      </c>
      <c r="DA43" s="42" t="s">
        <v>4276</v>
      </c>
      <c r="DB43" s="42">
        <v>4</v>
      </c>
      <c r="DC43" s="51" t="s">
        <v>2204</v>
      </c>
      <c r="DD43" s="51" t="s">
        <v>4167</v>
      </c>
      <c r="DE43" s="51" t="s">
        <v>4168</v>
      </c>
      <c r="DF43" s="51" t="s">
        <v>4169</v>
      </c>
      <c r="DG43" s="51" t="s">
        <v>4170</v>
      </c>
      <c r="DH43" s="42" t="s">
        <v>1978</v>
      </c>
      <c r="DI43" s="42" t="s">
        <v>3384</v>
      </c>
      <c r="DJ43" s="42" t="s">
        <v>3384</v>
      </c>
      <c r="DK43" s="42" t="s">
        <v>3384</v>
      </c>
      <c r="DL43" s="51" t="s">
        <v>4172</v>
      </c>
      <c r="DM43" s="51" t="s">
        <v>3384</v>
      </c>
      <c r="DN43" s="38" t="s">
        <v>1349</v>
      </c>
      <c r="DO43" s="42" t="s">
        <v>1358</v>
      </c>
      <c r="DP43" s="38" t="s">
        <v>1358</v>
      </c>
      <c r="DQ43" s="42" t="s">
        <v>1349</v>
      </c>
      <c r="DR43" s="38" t="s">
        <v>1349</v>
      </c>
      <c r="DS43" s="42"/>
      <c r="DT43" s="42"/>
      <c r="DU43" s="42"/>
      <c r="DV43" s="38" t="s">
        <v>1383</v>
      </c>
      <c r="DW43" s="42" t="s">
        <v>4348</v>
      </c>
      <c r="DX43" s="38" t="s">
        <v>1383</v>
      </c>
      <c r="DY43" s="38" t="s">
        <v>1342</v>
      </c>
      <c r="DZ43" s="42" t="s">
        <v>4325</v>
      </c>
      <c r="EA43" s="38" t="s">
        <v>1383</v>
      </c>
      <c r="EB43" s="38" t="s">
        <v>1383</v>
      </c>
      <c r="EC43" s="38" t="s">
        <v>1383</v>
      </c>
      <c r="ED43" s="42" t="s">
        <v>4312</v>
      </c>
      <c r="EE43" s="43">
        <v>0.5</v>
      </c>
      <c r="EF43" s="42" t="s">
        <v>3580</v>
      </c>
      <c r="EG43" s="38" t="s">
        <v>1349</v>
      </c>
      <c r="EH43" s="42"/>
      <c r="EI43" s="42" t="s">
        <v>4349</v>
      </c>
      <c r="EJ43" s="42" t="s">
        <v>4267</v>
      </c>
      <c r="EK43" s="42" t="s">
        <v>4350</v>
      </c>
      <c r="EL43" s="38" t="s">
        <v>1389</v>
      </c>
      <c r="EM43" s="38">
        <v>3</v>
      </c>
      <c r="EN43" s="42" t="s">
        <v>4344</v>
      </c>
      <c r="EO43" s="38">
        <v>1</v>
      </c>
      <c r="EP43" s="42" t="s">
        <v>3451</v>
      </c>
      <c r="EQ43" s="38">
        <v>2</v>
      </c>
      <c r="ER43" s="42" t="s">
        <v>4339</v>
      </c>
      <c r="ES43" s="38">
        <v>5</v>
      </c>
      <c r="ET43" s="42" t="s">
        <v>4177</v>
      </c>
      <c r="EU43" s="38">
        <v>5</v>
      </c>
      <c r="EV43" s="42" t="s">
        <v>4178</v>
      </c>
      <c r="EW43" s="38">
        <v>2</v>
      </c>
      <c r="EX43" s="42" t="s">
        <v>4179</v>
      </c>
      <c r="EY43" s="38">
        <v>1</v>
      </c>
      <c r="EZ43" s="42" t="s">
        <v>4269</v>
      </c>
      <c r="FA43" s="22"/>
    </row>
    <row r="44" spans="1:157">
      <c r="A44" s="17">
        <v>588</v>
      </c>
      <c r="B44" s="22">
        <v>11</v>
      </c>
      <c r="C44" s="23" t="s">
        <v>2278</v>
      </c>
      <c r="D44" s="24">
        <v>43771</v>
      </c>
      <c r="E44" s="23" t="s">
        <v>3833</v>
      </c>
      <c r="F44" s="25"/>
      <c r="G44" s="25"/>
      <c r="H44" s="23" t="s">
        <v>1075</v>
      </c>
      <c r="I44" s="23" t="s">
        <v>1071</v>
      </c>
      <c r="J44" s="23" t="s">
        <v>165</v>
      </c>
      <c r="K44" s="23" t="s">
        <v>3790</v>
      </c>
      <c r="L44" s="32">
        <v>5</v>
      </c>
      <c r="M44" s="23" t="s">
        <v>3757</v>
      </c>
      <c r="N44" s="23" t="s">
        <v>1343</v>
      </c>
      <c r="O44" s="23" t="s">
        <v>3801</v>
      </c>
      <c r="P44" s="23" t="s">
        <v>3834</v>
      </c>
      <c r="Q44" s="23">
        <v>66803207</v>
      </c>
      <c r="R44" s="23" t="s">
        <v>1345</v>
      </c>
      <c r="S44" s="23">
        <v>3</v>
      </c>
      <c r="T44" s="23" t="s">
        <v>1346</v>
      </c>
      <c r="U44" s="23">
        <v>2015</v>
      </c>
      <c r="V44" s="23" t="s">
        <v>3828</v>
      </c>
      <c r="W44" s="23" t="s">
        <v>3783</v>
      </c>
      <c r="X44" s="23" t="s">
        <v>1349</v>
      </c>
      <c r="Y44" s="23" t="s">
        <v>2300</v>
      </c>
      <c r="Z44" s="23" t="s">
        <v>2300</v>
      </c>
      <c r="AA44" s="23">
        <v>12</v>
      </c>
      <c r="AB44" s="23" t="s">
        <v>1349</v>
      </c>
      <c r="AC44" s="23">
        <v>2</v>
      </c>
      <c r="AD44" s="23" t="s">
        <v>1345</v>
      </c>
      <c r="AE44" s="23" t="s">
        <v>1345</v>
      </c>
      <c r="AF44" s="23" t="s">
        <v>1349</v>
      </c>
      <c r="AG44" s="23" t="s">
        <v>1349</v>
      </c>
      <c r="AH44" s="23" t="s">
        <v>2300</v>
      </c>
      <c r="AI44" s="23">
        <v>2016</v>
      </c>
      <c r="AJ44" s="23" t="s">
        <v>1349</v>
      </c>
      <c r="AK44" s="68" t="s">
        <v>2341</v>
      </c>
      <c r="AL44" s="68" t="s">
        <v>1612</v>
      </c>
      <c r="AM44" s="23" t="s">
        <v>1612</v>
      </c>
      <c r="AN44" s="23" t="s">
        <v>1352</v>
      </c>
      <c r="AO44" s="23" t="s">
        <v>1612</v>
      </c>
      <c r="AP44" s="23" t="s">
        <v>1612</v>
      </c>
      <c r="AQ44" s="71" t="s">
        <v>1352</v>
      </c>
      <c r="AR44" s="22" t="s">
        <v>1352</v>
      </c>
      <c r="AS44" s="23" t="s">
        <v>1802</v>
      </c>
      <c r="AT44" s="23" t="s">
        <v>1358</v>
      </c>
      <c r="AU44" s="23" t="s">
        <v>2249</v>
      </c>
      <c r="AV44" s="23">
        <v>1000</v>
      </c>
      <c r="AW44" s="23" t="s">
        <v>2343</v>
      </c>
      <c r="AX44" s="23" t="s">
        <v>2294</v>
      </c>
      <c r="AY44" s="23" t="s">
        <v>1349</v>
      </c>
      <c r="AZ44" s="23" t="s">
        <v>3762</v>
      </c>
      <c r="BA44" s="23" t="s">
        <v>2361</v>
      </c>
      <c r="BB44" s="23" t="s">
        <v>2647</v>
      </c>
      <c r="BC44" s="23" t="s">
        <v>2647</v>
      </c>
      <c r="BD44" s="23" t="s">
        <v>2289</v>
      </c>
      <c r="BE44" s="23" t="s">
        <v>3790</v>
      </c>
      <c r="BF44" s="23"/>
      <c r="BG44" s="23"/>
      <c r="BH44" s="23">
        <v>5</v>
      </c>
      <c r="BI44" s="23">
        <v>5</v>
      </c>
      <c r="BJ44" s="23">
        <v>10</v>
      </c>
      <c r="BK44" s="22" t="s">
        <v>1434</v>
      </c>
      <c r="BL44" s="22" t="s">
        <v>1702</v>
      </c>
      <c r="BM44" s="22" t="s">
        <v>1702</v>
      </c>
      <c r="BN44" s="23" t="s">
        <v>1349</v>
      </c>
      <c r="BO44" s="23" t="s">
        <v>2767</v>
      </c>
      <c r="BP44" s="23" t="s">
        <v>2767</v>
      </c>
      <c r="BQ44" s="23" t="s">
        <v>1349</v>
      </c>
      <c r="BR44" s="23" t="s">
        <v>1349</v>
      </c>
      <c r="BS44" s="23" t="s">
        <v>2643</v>
      </c>
      <c r="BT44" s="23" t="s">
        <v>1349</v>
      </c>
      <c r="BU44" s="23" t="s">
        <v>3830</v>
      </c>
      <c r="BV44" s="23" t="s">
        <v>1349</v>
      </c>
      <c r="BW44" s="23" t="s">
        <v>2300</v>
      </c>
      <c r="BX44" s="23" t="s">
        <v>1345</v>
      </c>
      <c r="BY44" s="23" t="s">
        <v>2302</v>
      </c>
      <c r="BZ44" s="23" t="s">
        <v>2767</v>
      </c>
      <c r="CA44" s="23" t="s">
        <v>2767</v>
      </c>
      <c r="CB44" s="23" t="s">
        <v>2289</v>
      </c>
      <c r="CC44" s="23" t="s">
        <v>2289</v>
      </c>
      <c r="CD44" s="23" t="s">
        <v>2289</v>
      </c>
      <c r="CE44" s="23">
        <v>2000</v>
      </c>
      <c r="CF44" s="23">
        <v>3500</v>
      </c>
      <c r="CG44" s="23">
        <v>4000</v>
      </c>
      <c r="CH44" s="23">
        <v>40</v>
      </c>
      <c r="CI44" s="23">
        <v>30</v>
      </c>
      <c r="CJ44" s="23">
        <v>20</v>
      </c>
      <c r="CK44" s="26">
        <v>0.3</v>
      </c>
      <c r="CL44" s="27">
        <v>0.3</v>
      </c>
      <c r="CM44" s="27">
        <v>0.7</v>
      </c>
      <c r="CN44" s="26">
        <v>0.7</v>
      </c>
      <c r="CO44" s="23" t="s">
        <v>2652</v>
      </c>
      <c r="CP44" s="23" t="s">
        <v>2289</v>
      </c>
      <c r="CQ44" s="23" t="s">
        <v>2767</v>
      </c>
      <c r="CR44" s="23">
        <v>3</v>
      </c>
      <c r="CS44" s="23" t="s">
        <v>3764</v>
      </c>
      <c r="CT44" s="23" t="s">
        <v>3765</v>
      </c>
      <c r="CU44" s="23" t="s">
        <v>1345</v>
      </c>
      <c r="CV44" s="23" t="s">
        <v>2310</v>
      </c>
      <c r="CW44" s="23" t="s">
        <v>1345</v>
      </c>
      <c r="CX44" s="26">
        <v>0.4</v>
      </c>
      <c r="CY44" s="26">
        <v>0.6</v>
      </c>
      <c r="CZ44" s="23" t="s">
        <v>2311</v>
      </c>
      <c r="DA44" s="23" t="s">
        <v>3766</v>
      </c>
      <c r="DB44" s="23" t="s">
        <v>1903</v>
      </c>
      <c r="DC44" s="23" t="s">
        <v>2643</v>
      </c>
      <c r="DD44" s="22" t="s">
        <v>2792</v>
      </c>
      <c r="DE44" s="23" t="s">
        <v>3767</v>
      </c>
      <c r="DF44" s="23" t="s">
        <v>3768</v>
      </c>
      <c r="DG44" s="23" t="s">
        <v>3769</v>
      </c>
      <c r="DH44" s="23" t="s">
        <v>2794</v>
      </c>
      <c r="DI44" s="23" t="s">
        <v>1556</v>
      </c>
      <c r="DJ44" s="23" t="s">
        <v>1556</v>
      </c>
      <c r="DK44" s="23" t="s">
        <v>1556</v>
      </c>
      <c r="DL44" s="23" t="s">
        <v>3770</v>
      </c>
      <c r="DM44" s="23" t="s">
        <v>3771</v>
      </c>
      <c r="DN44" s="23" t="s">
        <v>1345</v>
      </c>
      <c r="DO44" s="23" t="s">
        <v>3772</v>
      </c>
      <c r="DP44" s="23" t="s">
        <v>1349</v>
      </c>
      <c r="DQ44" s="23" t="s">
        <v>2647</v>
      </c>
      <c r="DR44" s="23" t="s">
        <v>1349</v>
      </c>
      <c r="DS44" s="23" t="s">
        <v>1556</v>
      </c>
      <c r="DT44" s="23" t="s">
        <v>2300</v>
      </c>
      <c r="DU44" s="23" t="s">
        <v>2300</v>
      </c>
      <c r="DV44" s="23" t="s">
        <v>1345</v>
      </c>
      <c r="DW44" s="23" t="s">
        <v>2797</v>
      </c>
      <c r="DX44" s="23" t="s">
        <v>1345</v>
      </c>
      <c r="DY44" s="23" t="s">
        <v>1349</v>
      </c>
      <c r="DZ44" s="23" t="s">
        <v>3773</v>
      </c>
      <c r="EA44" s="23" t="s">
        <v>1345</v>
      </c>
      <c r="EB44" s="23" t="s">
        <v>1345</v>
      </c>
      <c r="EC44" s="23" t="s">
        <v>1345</v>
      </c>
      <c r="ED44" s="23" t="s">
        <v>2353</v>
      </c>
      <c r="EE44" s="27">
        <v>0.05</v>
      </c>
      <c r="EF44" s="23" t="s">
        <v>2324</v>
      </c>
      <c r="EG44" s="23" t="s">
        <v>1349</v>
      </c>
      <c r="EH44" s="23" t="s">
        <v>2300</v>
      </c>
      <c r="EI44" s="23" t="s">
        <v>2326</v>
      </c>
      <c r="EJ44" s="22"/>
      <c r="EK44" s="23" t="s">
        <v>3774</v>
      </c>
      <c r="EL44" s="23" t="s">
        <v>1389</v>
      </c>
      <c r="EM44" s="23">
        <v>2</v>
      </c>
      <c r="EN44" s="23" t="s">
        <v>3835</v>
      </c>
      <c r="EO44" s="23">
        <v>3</v>
      </c>
      <c r="EP44" s="23" t="s">
        <v>3776</v>
      </c>
      <c r="EQ44" s="23">
        <v>3</v>
      </c>
      <c r="ER44" s="22" t="s">
        <v>3777</v>
      </c>
      <c r="ES44" s="23">
        <v>4</v>
      </c>
      <c r="ET44" s="22" t="s">
        <v>3778</v>
      </c>
      <c r="EU44" s="23">
        <v>4</v>
      </c>
      <c r="EV44" s="22" t="s">
        <v>3779</v>
      </c>
      <c r="EW44" s="23">
        <v>2</v>
      </c>
      <c r="EX44" s="22" t="s">
        <v>3832</v>
      </c>
      <c r="EY44" s="23">
        <v>2</v>
      </c>
      <c r="EZ44" s="22" t="s">
        <v>2424</v>
      </c>
      <c r="FA44" s="22"/>
    </row>
    <row r="45" spans="1:157">
      <c r="A45" s="17">
        <v>589</v>
      </c>
      <c r="B45" s="22">
        <v>5</v>
      </c>
      <c r="C45" s="23" t="s">
        <v>2278</v>
      </c>
      <c r="D45" s="24">
        <v>43768</v>
      </c>
      <c r="E45" s="23" t="s">
        <v>3800</v>
      </c>
      <c r="F45" s="25"/>
      <c r="G45" s="25"/>
      <c r="H45" s="23" t="s">
        <v>1075</v>
      </c>
      <c r="I45" s="23" t="s">
        <v>1071</v>
      </c>
      <c r="J45" s="23" t="s">
        <v>165</v>
      </c>
      <c r="K45" s="23" t="s">
        <v>3790</v>
      </c>
      <c r="L45" s="32">
        <v>5</v>
      </c>
      <c r="M45" s="23" t="s">
        <v>3757</v>
      </c>
      <c r="N45" s="23" t="s">
        <v>1343</v>
      </c>
      <c r="O45" s="23" t="s">
        <v>3801</v>
      </c>
      <c r="P45" s="23" t="s">
        <v>558</v>
      </c>
      <c r="Q45" s="23">
        <v>56448639</v>
      </c>
      <c r="R45" s="23" t="s">
        <v>1345</v>
      </c>
      <c r="S45" s="23">
        <v>4</v>
      </c>
      <c r="T45" s="23" t="s">
        <v>1499</v>
      </c>
      <c r="U45" s="23">
        <v>2009</v>
      </c>
      <c r="V45" s="23" t="s">
        <v>3760</v>
      </c>
      <c r="W45" s="23" t="s">
        <v>3802</v>
      </c>
      <c r="X45" s="23" t="s">
        <v>1345</v>
      </c>
      <c r="Y45" s="23">
        <v>2017</v>
      </c>
      <c r="Z45" s="23">
        <v>2018</v>
      </c>
      <c r="AA45" s="23">
        <v>35</v>
      </c>
      <c r="AB45" s="23" t="s">
        <v>1345</v>
      </c>
      <c r="AC45" s="23">
        <v>3</v>
      </c>
      <c r="AD45" s="23" t="s">
        <v>1345</v>
      </c>
      <c r="AE45" s="23" t="s">
        <v>1345</v>
      </c>
      <c r="AF45" s="23" t="s">
        <v>1345</v>
      </c>
      <c r="AG45" s="23" t="s">
        <v>1349</v>
      </c>
      <c r="AH45" s="23" t="s">
        <v>2300</v>
      </c>
      <c r="AI45" s="23">
        <v>2014</v>
      </c>
      <c r="AJ45" s="23" t="s">
        <v>1345</v>
      </c>
      <c r="AK45" s="23" t="s">
        <v>2290</v>
      </c>
      <c r="AL45" s="68" t="s">
        <v>1612</v>
      </c>
      <c r="AM45" s="23" t="s">
        <v>1612</v>
      </c>
      <c r="AN45" s="23" t="s">
        <v>1612</v>
      </c>
      <c r="AO45" s="23" t="s">
        <v>1612</v>
      </c>
      <c r="AP45" s="23" t="s">
        <v>1612</v>
      </c>
      <c r="AQ45" s="71" t="s">
        <v>1352</v>
      </c>
      <c r="AR45" s="23" t="s">
        <v>1352</v>
      </c>
      <c r="AS45" s="23" t="s">
        <v>1802</v>
      </c>
      <c r="AT45" s="23" t="s">
        <v>1358</v>
      </c>
      <c r="AU45" s="23" t="s">
        <v>2249</v>
      </c>
      <c r="AV45" s="23">
        <v>500</v>
      </c>
      <c r="AW45" s="23" t="s">
        <v>2397</v>
      </c>
      <c r="AX45" s="23" t="s">
        <v>2398</v>
      </c>
      <c r="AY45" s="23" t="s">
        <v>1349</v>
      </c>
      <c r="AZ45" s="23" t="s">
        <v>2289</v>
      </c>
      <c r="BA45" s="23" t="s">
        <v>2361</v>
      </c>
      <c r="BB45" s="23" t="s">
        <v>2647</v>
      </c>
      <c r="BC45" s="23" t="s">
        <v>2647</v>
      </c>
      <c r="BD45" s="23" t="s">
        <v>2289</v>
      </c>
      <c r="BE45" s="23" t="s">
        <v>165</v>
      </c>
      <c r="BF45" s="23"/>
      <c r="BG45" s="23"/>
      <c r="BH45" s="23">
        <v>4</v>
      </c>
      <c r="BI45" s="23">
        <v>4</v>
      </c>
      <c r="BJ45" s="23">
        <v>16</v>
      </c>
      <c r="BK45" s="23" t="s">
        <v>1360</v>
      </c>
      <c r="BL45" s="23" t="s">
        <v>1360</v>
      </c>
      <c r="BM45" s="23" t="s">
        <v>1360</v>
      </c>
      <c r="BN45" s="23" t="s">
        <v>1349</v>
      </c>
      <c r="BO45" s="23" t="s">
        <v>2767</v>
      </c>
      <c r="BP45" s="23" t="s">
        <v>2767</v>
      </c>
      <c r="BQ45" s="23" t="s">
        <v>1349</v>
      </c>
      <c r="BR45" s="23" t="s">
        <v>1349</v>
      </c>
      <c r="BS45" s="23" t="s">
        <v>2643</v>
      </c>
      <c r="BT45" s="23" t="s">
        <v>1349</v>
      </c>
      <c r="BU45" s="23" t="s">
        <v>3803</v>
      </c>
      <c r="BV45" s="23" t="s">
        <v>1349</v>
      </c>
      <c r="BW45" s="23" t="s">
        <v>2300</v>
      </c>
      <c r="BX45" s="23" t="s">
        <v>1345</v>
      </c>
      <c r="BY45" s="23" t="s">
        <v>2302</v>
      </c>
      <c r="BZ45" s="23" t="s">
        <v>2767</v>
      </c>
      <c r="CA45" s="23" t="s">
        <v>2767</v>
      </c>
      <c r="CB45" s="23" t="s">
        <v>2289</v>
      </c>
      <c r="CC45" s="23" t="s">
        <v>2289</v>
      </c>
      <c r="CD45" s="23" t="s">
        <v>2289</v>
      </c>
      <c r="CE45" s="23">
        <v>3000</v>
      </c>
      <c r="CF45" s="23">
        <v>2500</v>
      </c>
      <c r="CG45" s="23">
        <v>4000</v>
      </c>
      <c r="CH45" s="23">
        <v>100</v>
      </c>
      <c r="CI45" s="23">
        <v>50</v>
      </c>
      <c r="CJ45" s="23">
        <v>50</v>
      </c>
      <c r="CK45" s="26">
        <v>0.4</v>
      </c>
      <c r="CL45" s="27">
        <v>1</v>
      </c>
      <c r="CM45" s="26">
        <v>0.6</v>
      </c>
      <c r="CN45" s="26">
        <v>0</v>
      </c>
      <c r="CO45" s="23" t="s">
        <v>1816</v>
      </c>
      <c r="CP45" s="23" t="s">
        <v>3804</v>
      </c>
      <c r="CQ45" s="23" t="s">
        <v>2767</v>
      </c>
      <c r="CR45" s="23">
        <v>1</v>
      </c>
      <c r="CS45" s="23" t="s">
        <v>3764</v>
      </c>
      <c r="CT45" s="23" t="s">
        <v>3765</v>
      </c>
      <c r="CU45" s="23" t="s">
        <v>1345</v>
      </c>
      <c r="CV45" s="23" t="s">
        <v>2407</v>
      </c>
      <c r="CW45" s="23" t="s">
        <v>1345</v>
      </c>
      <c r="CX45" s="26">
        <v>0.2</v>
      </c>
      <c r="CY45" s="26">
        <v>0.8</v>
      </c>
      <c r="CZ45" s="23" t="s">
        <v>2311</v>
      </c>
      <c r="DA45" s="23" t="s">
        <v>3766</v>
      </c>
      <c r="DB45" s="23" t="s">
        <v>1903</v>
      </c>
      <c r="DC45" s="23" t="s">
        <v>2643</v>
      </c>
      <c r="DD45" s="22" t="s">
        <v>2792</v>
      </c>
      <c r="DE45" s="23" t="s">
        <v>3767</v>
      </c>
      <c r="DF45" s="23" t="s">
        <v>3768</v>
      </c>
      <c r="DG45" s="23" t="s">
        <v>3769</v>
      </c>
      <c r="DH45" s="23" t="s">
        <v>2794</v>
      </c>
      <c r="DI45" s="23" t="s">
        <v>1556</v>
      </c>
      <c r="DJ45" s="23" t="s">
        <v>1556</v>
      </c>
      <c r="DK45" s="23" t="s">
        <v>1556</v>
      </c>
      <c r="DL45" s="23" t="s">
        <v>3770</v>
      </c>
      <c r="DM45" s="23" t="s">
        <v>3771</v>
      </c>
      <c r="DN45" s="23" t="s">
        <v>1345</v>
      </c>
      <c r="DO45" s="23" t="s">
        <v>3772</v>
      </c>
      <c r="DP45" s="23" t="s">
        <v>1349</v>
      </c>
      <c r="DQ45" s="23" t="s">
        <v>2647</v>
      </c>
      <c r="DR45" s="23" t="s">
        <v>1349</v>
      </c>
      <c r="DS45" s="23" t="s">
        <v>1556</v>
      </c>
      <c r="DT45" s="23" t="s">
        <v>2300</v>
      </c>
      <c r="DU45" s="23" t="s">
        <v>2300</v>
      </c>
      <c r="DV45" s="23" t="s">
        <v>1345</v>
      </c>
      <c r="DW45" s="23" t="s">
        <v>2797</v>
      </c>
      <c r="DX45" s="23" t="s">
        <v>1345</v>
      </c>
      <c r="DY45" s="23" t="s">
        <v>1349</v>
      </c>
      <c r="DZ45" s="23" t="s">
        <v>3773</v>
      </c>
      <c r="EA45" s="23" t="s">
        <v>1345</v>
      </c>
      <c r="EB45" s="23" t="s">
        <v>1345</v>
      </c>
      <c r="EC45" s="23" t="s">
        <v>1345</v>
      </c>
      <c r="ED45" s="23" t="s">
        <v>2418</v>
      </c>
      <c r="EE45" s="27">
        <v>0.1</v>
      </c>
      <c r="EF45" s="23" t="s">
        <v>2370</v>
      </c>
      <c r="EG45" s="23" t="s">
        <v>1349</v>
      </c>
      <c r="EH45" s="23" t="s">
        <v>2300</v>
      </c>
      <c r="EI45" s="23" t="s">
        <v>2326</v>
      </c>
      <c r="EJ45" s="22"/>
      <c r="EK45" s="23" t="s">
        <v>3774</v>
      </c>
      <c r="EL45" s="23" t="s">
        <v>1389</v>
      </c>
      <c r="EM45" s="23">
        <v>3</v>
      </c>
      <c r="EN45" s="23" t="s">
        <v>3805</v>
      </c>
      <c r="EO45" s="23">
        <v>3</v>
      </c>
      <c r="EP45" s="23" t="s">
        <v>3796</v>
      </c>
      <c r="EQ45" s="23"/>
      <c r="ER45" s="22" t="s">
        <v>3788</v>
      </c>
      <c r="ES45" s="23">
        <v>4</v>
      </c>
      <c r="ET45" s="22" t="s">
        <v>3778</v>
      </c>
      <c r="EU45" s="23">
        <v>4</v>
      </c>
      <c r="EV45" s="22" t="s">
        <v>3779</v>
      </c>
      <c r="EW45" s="23">
        <v>2</v>
      </c>
      <c r="EX45" s="22" t="s">
        <v>3797</v>
      </c>
      <c r="EY45" s="23">
        <v>2</v>
      </c>
      <c r="EZ45" s="22" t="s">
        <v>2424</v>
      </c>
      <c r="FA45" s="22"/>
    </row>
    <row r="46" spans="1:157">
      <c r="A46" s="17">
        <v>590</v>
      </c>
      <c r="B46" s="22">
        <v>23</v>
      </c>
      <c r="C46" s="23" t="s">
        <v>2278</v>
      </c>
      <c r="D46" s="24">
        <v>43779</v>
      </c>
      <c r="E46" s="23" t="s">
        <v>3890</v>
      </c>
      <c r="F46" s="25"/>
      <c r="G46" s="25"/>
      <c r="H46" s="23" t="s">
        <v>1075</v>
      </c>
      <c r="I46" s="23" t="s">
        <v>1071</v>
      </c>
      <c r="J46" s="23" t="s">
        <v>3851</v>
      </c>
      <c r="K46" s="23" t="s">
        <v>3878</v>
      </c>
      <c r="L46" s="32">
        <v>2</v>
      </c>
      <c r="M46" s="23" t="s">
        <v>3757</v>
      </c>
      <c r="N46" s="23" t="s">
        <v>1343</v>
      </c>
      <c r="O46" s="23" t="s">
        <v>3891</v>
      </c>
      <c r="P46" s="23" t="s">
        <v>544</v>
      </c>
      <c r="Q46" s="23">
        <v>68141061</v>
      </c>
      <c r="R46" s="23" t="s">
        <v>1345</v>
      </c>
      <c r="S46" s="23">
        <v>4</v>
      </c>
      <c r="T46" s="23" t="s">
        <v>1346</v>
      </c>
      <c r="U46" s="23">
        <v>2014</v>
      </c>
      <c r="V46" s="23" t="s">
        <v>3848</v>
      </c>
      <c r="W46" s="23" t="s">
        <v>3802</v>
      </c>
      <c r="X46" s="23" t="s">
        <v>1349</v>
      </c>
      <c r="Y46" s="23" t="s">
        <v>2300</v>
      </c>
      <c r="Z46" s="23" t="s">
        <v>2300</v>
      </c>
      <c r="AA46" s="23">
        <v>14</v>
      </c>
      <c r="AB46" s="23" t="s">
        <v>1349</v>
      </c>
      <c r="AC46" s="23">
        <v>3</v>
      </c>
      <c r="AD46" s="23" t="s">
        <v>1345</v>
      </c>
      <c r="AE46" s="23" t="s">
        <v>1349</v>
      </c>
      <c r="AF46" s="23" t="s">
        <v>1349</v>
      </c>
      <c r="AG46" s="23" t="s">
        <v>1349</v>
      </c>
      <c r="AH46" s="23" t="s">
        <v>3887</v>
      </c>
      <c r="AI46" s="23">
        <v>2017</v>
      </c>
      <c r="AJ46" s="23" t="s">
        <v>1349</v>
      </c>
      <c r="AK46" s="23" t="s">
        <v>3888</v>
      </c>
      <c r="AL46" s="68" t="s">
        <v>1612</v>
      </c>
      <c r="AM46" s="23" t="s">
        <v>1612</v>
      </c>
      <c r="AN46" s="23" t="s">
        <v>1612</v>
      </c>
      <c r="AO46" s="23" t="s">
        <v>1612</v>
      </c>
      <c r="AP46" s="23" t="s">
        <v>1612</v>
      </c>
      <c r="AQ46" s="71" t="s">
        <v>1352</v>
      </c>
      <c r="AR46" s="23" t="s">
        <v>1352</v>
      </c>
      <c r="AS46" s="23" t="s">
        <v>1802</v>
      </c>
      <c r="AT46" s="23" t="s">
        <v>1358</v>
      </c>
      <c r="AU46" s="23" t="s">
        <v>2249</v>
      </c>
      <c r="AV46" s="23">
        <v>1000</v>
      </c>
      <c r="AW46" s="23" t="s">
        <v>2397</v>
      </c>
      <c r="AX46" s="23" t="s">
        <v>2430</v>
      </c>
      <c r="AY46" s="23" t="s">
        <v>1349</v>
      </c>
      <c r="AZ46" s="23" t="s">
        <v>3810</v>
      </c>
      <c r="BA46" s="23" t="s">
        <v>2361</v>
      </c>
      <c r="BB46" s="23" t="s">
        <v>2647</v>
      </c>
      <c r="BC46" s="23" t="s">
        <v>2647</v>
      </c>
      <c r="BD46" s="23" t="s">
        <v>2289</v>
      </c>
      <c r="BE46" s="23" t="s">
        <v>3878</v>
      </c>
      <c r="BF46" s="23"/>
      <c r="BG46" s="23"/>
      <c r="BH46" s="23">
        <v>6</v>
      </c>
      <c r="BI46" s="23">
        <v>6</v>
      </c>
      <c r="BJ46" s="23">
        <v>15</v>
      </c>
      <c r="BK46" s="22" t="s">
        <v>1434</v>
      </c>
      <c r="BL46" s="22" t="s">
        <v>1702</v>
      </c>
      <c r="BM46" s="22" t="s">
        <v>1702</v>
      </c>
      <c r="BN46" s="23" t="s">
        <v>1349</v>
      </c>
      <c r="BO46" s="23" t="s">
        <v>2767</v>
      </c>
      <c r="BP46" s="23" t="s">
        <v>2767</v>
      </c>
      <c r="BQ46" s="23" t="s">
        <v>1349</v>
      </c>
      <c r="BR46" s="23" t="s">
        <v>1349</v>
      </c>
      <c r="BS46" s="23" t="s">
        <v>2643</v>
      </c>
      <c r="BT46" s="23" t="s">
        <v>1349</v>
      </c>
      <c r="BU46" s="23" t="s">
        <v>3830</v>
      </c>
      <c r="BV46" s="23" t="s">
        <v>1349</v>
      </c>
      <c r="BW46" s="23" t="s">
        <v>2300</v>
      </c>
      <c r="BX46" s="23" t="s">
        <v>1345</v>
      </c>
      <c r="BY46" s="23" t="s">
        <v>2302</v>
      </c>
      <c r="BZ46" s="23" t="s">
        <v>2767</v>
      </c>
      <c r="CA46" s="23" t="s">
        <v>2767</v>
      </c>
      <c r="CB46" s="23" t="s">
        <v>2289</v>
      </c>
      <c r="CC46" s="23" t="s">
        <v>2289</v>
      </c>
      <c r="CD46" s="23" t="s">
        <v>2289</v>
      </c>
      <c r="CE46" s="23">
        <v>500</v>
      </c>
      <c r="CF46" s="23">
        <v>1000</v>
      </c>
      <c r="CG46" s="23">
        <v>2000</v>
      </c>
      <c r="CH46" s="23">
        <v>10</v>
      </c>
      <c r="CI46" s="23">
        <v>25</v>
      </c>
      <c r="CJ46" s="23">
        <v>0</v>
      </c>
      <c r="CK46" s="27">
        <v>0.6</v>
      </c>
      <c r="CL46" s="27">
        <v>1</v>
      </c>
      <c r="CM46" s="26">
        <v>0.4</v>
      </c>
      <c r="CN46" s="26">
        <v>0</v>
      </c>
      <c r="CO46" s="23" t="s">
        <v>2652</v>
      </c>
      <c r="CP46" s="23" t="s">
        <v>2289</v>
      </c>
      <c r="CQ46" s="23" t="s">
        <v>2767</v>
      </c>
      <c r="CR46" s="23">
        <v>0.5</v>
      </c>
      <c r="CS46" s="23" t="s">
        <v>3764</v>
      </c>
      <c r="CT46" s="23" t="s">
        <v>3765</v>
      </c>
      <c r="CU46" s="23" t="s">
        <v>1345</v>
      </c>
      <c r="CV46" s="23" t="s">
        <v>2407</v>
      </c>
      <c r="CW46" s="23" t="s">
        <v>1345</v>
      </c>
      <c r="CX46" s="26">
        <v>0.3</v>
      </c>
      <c r="CY46" s="26">
        <v>0.7</v>
      </c>
      <c r="CZ46" s="23" t="s">
        <v>2311</v>
      </c>
      <c r="DA46" s="23" t="s">
        <v>3766</v>
      </c>
      <c r="DB46" s="23" t="s">
        <v>1903</v>
      </c>
      <c r="DC46" s="23" t="s">
        <v>2643</v>
      </c>
      <c r="DD46" s="22" t="s">
        <v>2792</v>
      </c>
      <c r="DE46" s="23" t="s">
        <v>2350</v>
      </c>
      <c r="DF46" s="23" t="s">
        <v>3768</v>
      </c>
      <c r="DG46" s="23" t="s">
        <v>3874</v>
      </c>
      <c r="DH46" s="23" t="s">
        <v>2794</v>
      </c>
      <c r="DI46" s="23" t="s">
        <v>1556</v>
      </c>
      <c r="DJ46" s="23" t="s">
        <v>1556</v>
      </c>
      <c r="DK46" s="23" t="s">
        <v>1556</v>
      </c>
      <c r="DL46" s="23" t="s">
        <v>3770</v>
      </c>
      <c r="DM46" s="23" t="s">
        <v>3771</v>
      </c>
      <c r="DN46" s="23" t="s">
        <v>1345</v>
      </c>
      <c r="DO46" s="23" t="s">
        <v>3875</v>
      </c>
      <c r="DP46" s="23" t="s">
        <v>1349</v>
      </c>
      <c r="DQ46" s="23" t="s">
        <v>2647</v>
      </c>
      <c r="DR46" s="23" t="s">
        <v>1349</v>
      </c>
      <c r="DS46" s="23" t="s">
        <v>1556</v>
      </c>
      <c r="DT46" s="23" t="s">
        <v>2300</v>
      </c>
      <c r="DU46" s="23" t="s">
        <v>2300</v>
      </c>
      <c r="DV46" s="23" t="s">
        <v>1345</v>
      </c>
      <c r="DW46" s="23" t="s">
        <v>2797</v>
      </c>
      <c r="DX46" s="23" t="s">
        <v>1345</v>
      </c>
      <c r="DY46" s="23" t="s">
        <v>1349</v>
      </c>
      <c r="DZ46" s="23" t="s">
        <v>3773</v>
      </c>
      <c r="EA46" s="23" t="s">
        <v>1345</v>
      </c>
      <c r="EB46" s="23" t="s">
        <v>1345</v>
      </c>
      <c r="EC46" s="23" t="s">
        <v>1345</v>
      </c>
      <c r="ED46" s="23" t="s">
        <v>2418</v>
      </c>
      <c r="EE46" s="27">
        <v>0.15</v>
      </c>
      <c r="EF46" s="23" t="s">
        <v>2370</v>
      </c>
      <c r="EG46" s="23" t="s">
        <v>1349</v>
      </c>
      <c r="EH46" s="23" t="s">
        <v>2300</v>
      </c>
      <c r="EI46" s="23" t="s">
        <v>2326</v>
      </c>
      <c r="EJ46" s="22"/>
      <c r="EK46" s="23" t="s">
        <v>3868</v>
      </c>
      <c r="EL46" s="23" t="s">
        <v>1389</v>
      </c>
      <c r="EM46" s="23">
        <v>2</v>
      </c>
      <c r="EN46" s="23" t="s">
        <v>3805</v>
      </c>
      <c r="EO46" s="23">
        <v>3</v>
      </c>
      <c r="EP46" s="23" t="s">
        <v>3796</v>
      </c>
      <c r="EQ46" s="23">
        <v>3</v>
      </c>
      <c r="ER46" s="22" t="s">
        <v>3777</v>
      </c>
      <c r="ES46" s="23">
        <v>4</v>
      </c>
      <c r="ET46" s="22" t="s">
        <v>3778</v>
      </c>
      <c r="EU46" s="23">
        <v>4</v>
      </c>
      <c r="EV46" s="22" t="s">
        <v>3779</v>
      </c>
      <c r="EW46" s="23">
        <v>3</v>
      </c>
      <c r="EX46" s="22" t="s">
        <v>3780</v>
      </c>
      <c r="EY46" s="23">
        <v>2</v>
      </c>
      <c r="EZ46" s="22" t="s">
        <v>2424</v>
      </c>
      <c r="FA46" s="22"/>
    </row>
    <row r="47" spans="1:157">
      <c r="A47" s="17">
        <v>591</v>
      </c>
      <c r="B47" s="22">
        <v>74</v>
      </c>
      <c r="C47" s="38" t="s">
        <v>4351</v>
      </c>
      <c r="D47" s="39">
        <v>43779</v>
      </c>
      <c r="E47" s="38" t="s">
        <v>4358</v>
      </c>
      <c r="F47" s="40" t="s">
        <v>1728</v>
      </c>
      <c r="G47" s="40" t="s">
        <v>4091</v>
      </c>
      <c r="H47" s="38" t="s">
        <v>1075</v>
      </c>
      <c r="I47" s="38" t="s">
        <v>1071</v>
      </c>
      <c r="J47" s="38" t="s">
        <v>4091</v>
      </c>
      <c r="K47" s="38" t="s">
        <v>4345</v>
      </c>
      <c r="L47" s="42">
        <v>10</v>
      </c>
      <c r="M47" s="42" t="s">
        <v>3539</v>
      </c>
      <c r="N47" s="42" t="s">
        <v>1343</v>
      </c>
      <c r="O47" s="42" t="s">
        <v>4359</v>
      </c>
      <c r="P47" s="42" t="s">
        <v>4360</v>
      </c>
      <c r="Q47" s="38">
        <v>74409513</v>
      </c>
      <c r="R47" s="38" t="s">
        <v>1383</v>
      </c>
      <c r="S47" s="38">
        <v>7</v>
      </c>
      <c r="T47" s="42" t="s">
        <v>1346</v>
      </c>
      <c r="U47" s="38">
        <v>2010</v>
      </c>
      <c r="V47" s="42" t="s">
        <v>4296</v>
      </c>
      <c r="W47" s="42" t="s">
        <v>4297</v>
      </c>
      <c r="X47" s="38" t="s">
        <v>1349</v>
      </c>
      <c r="Y47" s="38"/>
      <c r="Z47" s="38"/>
      <c r="AA47" s="38">
        <v>17</v>
      </c>
      <c r="AB47" s="38" t="s">
        <v>1383</v>
      </c>
      <c r="AC47" s="38" t="s">
        <v>4333</v>
      </c>
      <c r="AD47" s="38" t="s">
        <v>1383</v>
      </c>
      <c r="AE47" s="38" t="s">
        <v>1349</v>
      </c>
      <c r="AF47" s="38" t="s">
        <v>1349</v>
      </c>
      <c r="AG47" s="38" t="s">
        <v>1349</v>
      </c>
      <c r="AH47" s="42" t="s">
        <v>1366</v>
      </c>
      <c r="AI47" s="38" t="s">
        <v>3384</v>
      </c>
      <c r="AJ47" s="38" t="s">
        <v>1349</v>
      </c>
      <c r="AK47" s="87" t="s">
        <v>4199</v>
      </c>
      <c r="AL47" s="87" t="s">
        <v>1612</v>
      </c>
      <c r="AM47" s="23" t="s">
        <v>1612</v>
      </c>
      <c r="AN47" s="38" t="s">
        <v>1550</v>
      </c>
      <c r="AO47" s="38" t="s">
        <v>1550</v>
      </c>
      <c r="AP47" s="38" t="s">
        <v>1550</v>
      </c>
      <c r="AQ47" s="87" t="s">
        <v>1352</v>
      </c>
      <c r="AR47" s="88" t="s">
        <v>3451</v>
      </c>
      <c r="AS47" s="42" t="s">
        <v>1550</v>
      </c>
      <c r="AT47" s="42" t="s">
        <v>1804</v>
      </c>
      <c r="AU47" s="42"/>
      <c r="AV47" s="42">
        <v>1000</v>
      </c>
      <c r="AW47" s="42" t="s">
        <v>4334</v>
      </c>
      <c r="AX47" s="42" t="s">
        <v>4309</v>
      </c>
      <c r="AY47" s="38" t="s">
        <v>1349</v>
      </c>
      <c r="AZ47" s="42" t="s">
        <v>4335</v>
      </c>
      <c r="BA47" s="42" t="s">
        <v>4342</v>
      </c>
      <c r="BB47" s="42" t="s">
        <v>1358</v>
      </c>
      <c r="BC47" s="42" t="s">
        <v>1358</v>
      </c>
      <c r="BD47" s="42" t="s">
        <v>1358</v>
      </c>
      <c r="BE47" s="42" t="s">
        <v>1810</v>
      </c>
      <c r="BF47" s="42"/>
      <c r="BG47" s="42"/>
      <c r="BH47" s="42">
        <v>15</v>
      </c>
      <c r="BI47" s="42">
        <v>15</v>
      </c>
      <c r="BJ47" s="42">
        <v>20</v>
      </c>
      <c r="BK47" s="42" t="s">
        <v>4164</v>
      </c>
      <c r="BL47" s="42" t="s">
        <v>4164</v>
      </c>
      <c r="BM47" s="42" t="s">
        <v>4164</v>
      </c>
      <c r="BN47" s="38" t="s">
        <v>1349</v>
      </c>
      <c r="BO47" s="42"/>
      <c r="BP47" s="42"/>
      <c r="BQ47" s="38" t="s">
        <v>1383</v>
      </c>
      <c r="BR47" s="38" t="s">
        <v>1383</v>
      </c>
      <c r="BS47" s="42" t="s">
        <v>1358</v>
      </c>
      <c r="BT47" s="38" t="s">
        <v>1383</v>
      </c>
      <c r="BU47" s="42" t="s">
        <v>4165</v>
      </c>
      <c r="BV47" s="38" t="s">
        <v>1349</v>
      </c>
      <c r="BW47" s="42"/>
      <c r="BX47" s="38" t="s">
        <v>1383</v>
      </c>
      <c r="BY47" s="42" t="s">
        <v>1362</v>
      </c>
      <c r="BZ47" s="38" t="s">
        <v>4261</v>
      </c>
      <c r="CA47" s="38" t="s">
        <v>4347</v>
      </c>
      <c r="CB47" s="42" t="s">
        <v>1935</v>
      </c>
      <c r="CC47" s="42" t="s">
        <v>1935</v>
      </c>
      <c r="CD47" s="42" t="s">
        <v>1935</v>
      </c>
      <c r="CE47" s="42">
        <v>25000</v>
      </c>
      <c r="CF47" s="42">
        <v>27600</v>
      </c>
      <c r="CG47" s="42">
        <v>20000</v>
      </c>
      <c r="CH47" s="42" t="s">
        <v>1935</v>
      </c>
      <c r="CI47" s="42" t="s">
        <v>1935</v>
      </c>
      <c r="CJ47" s="42" t="s">
        <v>1935</v>
      </c>
      <c r="CK47" s="43">
        <v>0.7</v>
      </c>
      <c r="CL47" s="43">
        <v>0.8</v>
      </c>
      <c r="CM47" s="43">
        <v>0.3</v>
      </c>
      <c r="CN47" s="43">
        <v>0.2</v>
      </c>
      <c r="CO47" s="42" t="s">
        <v>3451</v>
      </c>
      <c r="CP47" s="42"/>
      <c r="CQ47" s="42"/>
      <c r="CR47" s="42"/>
      <c r="CS47" s="42"/>
      <c r="CT47" s="42"/>
      <c r="CU47" s="38"/>
      <c r="CV47" s="42"/>
      <c r="CW47" s="38" t="s">
        <v>1383</v>
      </c>
      <c r="CX47" s="42" t="s">
        <v>1904</v>
      </c>
      <c r="CY47" s="42" t="s">
        <v>1904</v>
      </c>
      <c r="CZ47" s="42" t="s">
        <v>3750</v>
      </c>
      <c r="DA47" s="42" t="s">
        <v>4276</v>
      </c>
      <c r="DB47" s="42" t="s">
        <v>3388</v>
      </c>
      <c r="DC47" s="55" t="s">
        <v>3571</v>
      </c>
      <c r="DD47" s="55" t="s">
        <v>4167</v>
      </c>
      <c r="DE47" s="55" t="s">
        <v>4291</v>
      </c>
      <c r="DF47" s="55" t="s">
        <v>4169</v>
      </c>
      <c r="DG47" s="55" t="s">
        <v>4236</v>
      </c>
      <c r="DH47" s="42" t="s">
        <v>1978</v>
      </c>
      <c r="DI47" s="42" t="s">
        <v>3384</v>
      </c>
      <c r="DJ47" s="42" t="s">
        <v>3384</v>
      </c>
      <c r="DK47" s="42" t="s">
        <v>3384</v>
      </c>
      <c r="DL47" s="51" t="s">
        <v>4172</v>
      </c>
      <c r="DM47" s="51" t="s">
        <v>3384</v>
      </c>
      <c r="DN47" s="38" t="s">
        <v>1349</v>
      </c>
      <c r="DO47" s="42" t="s">
        <v>1358</v>
      </c>
      <c r="DP47" s="38" t="s">
        <v>1358</v>
      </c>
      <c r="DQ47" s="42" t="s">
        <v>1349</v>
      </c>
      <c r="DR47" s="38" t="s">
        <v>1349</v>
      </c>
      <c r="DS47" s="42"/>
      <c r="DT47" s="42"/>
      <c r="DU47" s="42"/>
      <c r="DV47" s="38" t="s">
        <v>1383</v>
      </c>
      <c r="DW47" s="42" t="s">
        <v>4263</v>
      </c>
      <c r="DX47" s="38" t="s">
        <v>1383</v>
      </c>
      <c r="DY47" s="38" t="s">
        <v>1342</v>
      </c>
      <c r="DZ47" s="42" t="s">
        <v>4325</v>
      </c>
      <c r="EA47" s="38" t="s">
        <v>1383</v>
      </c>
      <c r="EB47" s="38" t="s">
        <v>1383</v>
      </c>
      <c r="EC47" s="38" t="s">
        <v>1383</v>
      </c>
      <c r="ED47" s="42" t="s">
        <v>4312</v>
      </c>
      <c r="EE47" s="43">
        <v>0.4</v>
      </c>
      <c r="EF47" s="42" t="s">
        <v>3580</v>
      </c>
      <c r="EG47" s="38" t="s">
        <v>1349</v>
      </c>
      <c r="EH47" s="42"/>
      <c r="EI47" s="42" t="s">
        <v>4349</v>
      </c>
      <c r="EJ47" s="42" t="s">
        <v>4267</v>
      </c>
      <c r="EK47" s="42" t="s">
        <v>4350</v>
      </c>
      <c r="EL47" s="38" t="s">
        <v>1389</v>
      </c>
      <c r="EM47" s="38">
        <v>4</v>
      </c>
      <c r="EN47" s="42" t="s">
        <v>4344</v>
      </c>
      <c r="EO47" s="38">
        <v>1</v>
      </c>
      <c r="EP47" s="42" t="s">
        <v>3451</v>
      </c>
      <c r="EQ47" s="38">
        <v>2</v>
      </c>
      <c r="ER47" s="42" t="s">
        <v>4339</v>
      </c>
      <c r="ES47" s="38">
        <v>5</v>
      </c>
      <c r="ET47" s="42" t="s">
        <v>4177</v>
      </c>
      <c r="EU47" s="38">
        <v>5</v>
      </c>
      <c r="EV47" s="42" t="s">
        <v>4178</v>
      </c>
      <c r="EW47" s="38">
        <v>2</v>
      </c>
      <c r="EX47" s="42" t="s">
        <v>4179</v>
      </c>
      <c r="EY47" s="38">
        <v>1</v>
      </c>
      <c r="EZ47" s="42" t="s">
        <v>4269</v>
      </c>
      <c r="FA47" s="22"/>
    </row>
    <row r="48" spans="1:157">
      <c r="A48" s="17">
        <v>592</v>
      </c>
      <c r="B48" s="22">
        <v>48</v>
      </c>
      <c r="C48" s="23" t="s">
        <v>1337</v>
      </c>
      <c r="D48" s="24">
        <v>43780</v>
      </c>
      <c r="E48" s="23" t="s">
        <v>4153</v>
      </c>
      <c r="F48" s="25" t="e">
        <v>#N/A</v>
      </c>
      <c r="G48" s="25" t="s">
        <v>4089</v>
      </c>
      <c r="H48" s="23" t="s">
        <v>3901</v>
      </c>
      <c r="I48" s="23" t="s">
        <v>4090</v>
      </c>
      <c r="J48" s="38" t="s">
        <v>4091</v>
      </c>
      <c r="K48" s="23" t="s">
        <v>4127</v>
      </c>
      <c r="L48" s="32">
        <v>4</v>
      </c>
      <c r="M48" s="23" t="s">
        <v>1342</v>
      </c>
      <c r="N48" s="23" t="s">
        <v>1448</v>
      </c>
      <c r="O48" s="23" t="s">
        <v>4154</v>
      </c>
      <c r="P48" s="23" t="s">
        <v>4155</v>
      </c>
      <c r="Q48" s="23">
        <v>76133333</v>
      </c>
      <c r="R48" s="23" t="s">
        <v>1383</v>
      </c>
      <c r="S48" s="23">
        <v>3</v>
      </c>
      <c r="T48" s="23" t="s">
        <v>1346</v>
      </c>
      <c r="U48" s="23">
        <v>2010</v>
      </c>
      <c r="V48" s="22" t="s">
        <v>2896</v>
      </c>
      <c r="W48" s="23" t="s">
        <v>4000</v>
      </c>
      <c r="X48" s="23" t="s">
        <v>1342</v>
      </c>
      <c r="Y48" s="23"/>
      <c r="Z48" s="23"/>
      <c r="AA48" s="23">
        <v>23</v>
      </c>
      <c r="AB48" s="23"/>
      <c r="AC48" s="23">
        <v>1</v>
      </c>
      <c r="AD48" s="23" t="s">
        <v>1383</v>
      </c>
      <c r="AE48" s="23" t="s">
        <v>1342</v>
      </c>
      <c r="AF48" s="23" t="s">
        <v>1342</v>
      </c>
      <c r="AG48" s="23" t="s">
        <v>1342</v>
      </c>
      <c r="AH48" s="23" t="s">
        <v>1342</v>
      </c>
      <c r="AI48" s="23"/>
      <c r="AJ48" s="23" t="s">
        <v>1342</v>
      </c>
      <c r="AK48" s="23" t="s">
        <v>1366</v>
      </c>
      <c r="AL48" s="68" t="s">
        <v>1612</v>
      </c>
      <c r="AM48" s="23" t="s">
        <v>1612</v>
      </c>
      <c r="AN48" s="23" t="s">
        <v>1612</v>
      </c>
      <c r="AO48" s="23" t="s">
        <v>1612</v>
      </c>
      <c r="AP48" s="23" t="s">
        <v>1612</v>
      </c>
      <c r="AQ48" s="68" t="s">
        <v>1552</v>
      </c>
      <c r="AR48" s="23" t="s">
        <v>1612</v>
      </c>
      <c r="AS48" s="42" t="s">
        <v>1550</v>
      </c>
      <c r="AT48" s="22"/>
      <c r="AU48" s="22">
        <v>12000</v>
      </c>
      <c r="AV48" s="22">
        <v>35000</v>
      </c>
      <c r="AW48" s="22" t="s">
        <v>4098</v>
      </c>
      <c r="AX48" s="22" t="s">
        <v>4156</v>
      </c>
      <c r="AY48" s="23" t="s">
        <v>1349</v>
      </c>
      <c r="AZ48" s="22"/>
      <c r="BA48" s="22"/>
      <c r="BB48" s="22" t="s">
        <v>1358</v>
      </c>
      <c r="BC48" s="22" t="s">
        <v>1358</v>
      </c>
      <c r="BD48" s="22" t="s">
        <v>1358</v>
      </c>
      <c r="BE48" s="22" t="s">
        <v>4127</v>
      </c>
      <c r="BF48" s="22"/>
      <c r="BG48" s="22"/>
      <c r="BH48" s="22">
        <v>2</v>
      </c>
      <c r="BI48" s="22">
        <v>3</v>
      </c>
      <c r="BJ48" s="22"/>
      <c r="BK48" s="22" t="s">
        <v>1702</v>
      </c>
      <c r="BL48" s="22" t="s">
        <v>1702</v>
      </c>
      <c r="BM48" s="22"/>
      <c r="BN48" s="23" t="s">
        <v>1342</v>
      </c>
      <c r="BO48" s="22"/>
      <c r="BP48" s="22"/>
      <c r="BQ48" s="23" t="s">
        <v>1383</v>
      </c>
      <c r="BR48" s="23" t="s">
        <v>1342</v>
      </c>
      <c r="BS48" s="27">
        <v>0</v>
      </c>
      <c r="BT48" s="23" t="s">
        <v>1383</v>
      </c>
      <c r="BU48" s="23" t="s">
        <v>4058</v>
      </c>
      <c r="BV48" s="23" t="s">
        <v>1342</v>
      </c>
      <c r="BW48" s="22"/>
      <c r="BX48" s="23" t="s">
        <v>1342</v>
      </c>
      <c r="BY48" s="22"/>
      <c r="BZ48" s="22"/>
      <c r="CA48" s="22"/>
      <c r="CB48" s="22" t="s">
        <v>1364</v>
      </c>
      <c r="CC48" s="22" t="s">
        <v>1364</v>
      </c>
      <c r="CD48" s="22" t="s">
        <v>1364</v>
      </c>
      <c r="CE48" s="22">
        <v>4600</v>
      </c>
      <c r="CF48" s="22">
        <v>4600</v>
      </c>
      <c r="CG48" s="22">
        <v>5300</v>
      </c>
      <c r="CH48" s="22">
        <v>0</v>
      </c>
      <c r="CI48" s="22">
        <v>0</v>
      </c>
      <c r="CJ48" s="22">
        <v>0</v>
      </c>
      <c r="CK48" s="27">
        <v>1</v>
      </c>
      <c r="CL48" s="27">
        <v>1</v>
      </c>
      <c r="CM48" s="27">
        <v>0</v>
      </c>
      <c r="CN48" s="27">
        <v>0</v>
      </c>
      <c r="CO48" s="22"/>
      <c r="CP48" s="22"/>
      <c r="CQ48" s="22"/>
      <c r="CR48" s="22"/>
      <c r="CS48" s="22"/>
      <c r="CT48" s="22"/>
      <c r="CU48" s="23"/>
      <c r="CV48" s="22"/>
      <c r="CW48" s="23" t="s">
        <v>1383</v>
      </c>
      <c r="CX48" s="27">
        <v>0.9</v>
      </c>
      <c r="CY48" s="27">
        <v>0</v>
      </c>
      <c r="CZ48" s="22" t="s">
        <v>4101</v>
      </c>
      <c r="DA48" s="22" t="s">
        <v>4084</v>
      </c>
      <c r="DB48" s="22">
        <v>20</v>
      </c>
      <c r="DC48" s="22"/>
      <c r="DD48" s="22" t="s">
        <v>4131</v>
      </c>
      <c r="DE48" s="22" t="s">
        <v>4132</v>
      </c>
      <c r="DF48" s="22" t="s">
        <v>4133</v>
      </c>
      <c r="DG48" s="22"/>
      <c r="DH48" s="22" t="s">
        <v>4072</v>
      </c>
      <c r="DI48" s="22"/>
      <c r="DJ48" s="22"/>
      <c r="DK48" s="22"/>
      <c r="DL48" s="22" t="s">
        <v>4073</v>
      </c>
      <c r="DM48" s="22"/>
      <c r="DN48" s="23" t="s">
        <v>1342</v>
      </c>
      <c r="DO48" s="22"/>
      <c r="DP48" s="23" t="s">
        <v>1383</v>
      </c>
      <c r="DQ48" s="22" t="s">
        <v>4105</v>
      </c>
      <c r="DR48" s="23" t="s">
        <v>1342</v>
      </c>
      <c r="DS48" s="22"/>
      <c r="DT48" s="22"/>
      <c r="DU48" s="22"/>
      <c r="DV48" s="23" t="s">
        <v>1383</v>
      </c>
      <c r="DW48" s="22" t="s">
        <v>3956</v>
      </c>
      <c r="DX48" s="23" t="s">
        <v>1383</v>
      </c>
      <c r="DY48" s="23" t="s">
        <v>1342</v>
      </c>
      <c r="DZ48" s="23" t="s">
        <v>3995</v>
      </c>
      <c r="EA48" s="23" t="s">
        <v>1383</v>
      </c>
      <c r="EB48" s="23" t="s">
        <v>1383</v>
      </c>
      <c r="EC48" s="23" t="s">
        <v>1383</v>
      </c>
      <c r="ED48" s="22" t="s">
        <v>3033</v>
      </c>
      <c r="EE48" s="27">
        <v>0.15</v>
      </c>
      <c r="EF48" s="23" t="s">
        <v>4078</v>
      </c>
      <c r="EG48" s="23" t="s">
        <v>1342</v>
      </c>
      <c r="EH48" s="22"/>
      <c r="EI48" s="22"/>
      <c r="EJ48" s="22"/>
      <c r="EK48" s="22"/>
      <c r="EL48" s="23" t="s">
        <v>1416</v>
      </c>
      <c r="EM48" s="23">
        <v>2</v>
      </c>
      <c r="EN48" s="22" t="s">
        <v>4152</v>
      </c>
      <c r="EO48" s="23">
        <v>1</v>
      </c>
      <c r="EP48" s="22" t="s">
        <v>4108</v>
      </c>
      <c r="EQ48" s="23">
        <v>2</v>
      </c>
      <c r="ER48" s="22" t="s">
        <v>4039</v>
      </c>
      <c r="ES48" s="23">
        <v>4</v>
      </c>
      <c r="ET48" s="22" t="s">
        <v>4144</v>
      </c>
      <c r="EU48" s="23">
        <v>4</v>
      </c>
      <c r="EV48" s="22" t="s">
        <v>4111</v>
      </c>
      <c r="EW48" s="23">
        <v>2</v>
      </c>
      <c r="EX48" s="22" t="s">
        <v>4087</v>
      </c>
      <c r="EY48" s="23">
        <v>0</v>
      </c>
      <c r="EZ48" s="22" t="s">
        <v>2974</v>
      </c>
      <c r="FA48" s="22"/>
    </row>
    <row r="49" spans="1:157">
      <c r="A49" s="17">
        <v>593</v>
      </c>
      <c r="B49" s="22">
        <v>72</v>
      </c>
      <c r="C49" s="38" t="s">
        <v>4351</v>
      </c>
      <c r="D49" s="39">
        <v>43778</v>
      </c>
      <c r="E49" s="38" t="s">
        <v>4352</v>
      </c>
      <c r="F49" s="40" t="s">
        <v>1728</v>
      </c>
      <c r="G49" s="40" t="s">
        <v>4091</v>
      </c>
      <c r="H49" s="38" t="s">
        <v>1075</v>
      </c>
      <c r="I49" s="38" t="s">
        <v>1071</v>
      </c>
      <c r="J49" s="38" t="s">
        <v>4091</v>
      </c>
      <c r="K49" s="38" t="s">
        <v>4345</v>
      </c>
      <c r="L49" s="42">
        <v>10</v>
      </c>
      <c r="M49" s="42" t="s">
        <v>3539</v>
      </c>
      <c r="N49" s="42" t="s">
        <v>1343</v>
      </c>
      <c r="O49" s="42" t="s">
        <v>537</v>
      </c>
      <c r="P49" s="42" t="s">
        <v>566</v>
      </c>
      <c r="Q49" s="38">
        <v>74437951</v>
      </c>
      <c r="R49" s="38" t="s">
        <v>1383</v>
      </c>
      <c r="S49" s="38">
        <v>7</v>
      </c>
      <c r="T49" s="42" t="s">
        <v>1346</v>
      </c>
      <c r="U49" s="38">
        <v>2010</v>
      </c>
      <c r="V49" s="42" t="s">
        <v>4296</v>
      </c>
      <c r="W49" s="42" t="s">
        <v>4297</v>
      </c>
      <c r="X49" s="38" t="s">
        <v>1349</v>
      </c>
      <c r="Y49" s="38"/>
      <c r="Z49" s="38"/>
      <c r="AA49" s="38">
        <v>15</v>
      </c>
      <c r="AB49" s="38" t="s">
        <v>1383</v>
      </c>
      <c r="AC49" s="38" t="s">
        <v>4333</v>
      </c>
      <c r="AD49" s="38" t="s">
        <v>1383</v>
      </c>
      <c r="AE49" s="38" t="s">
        <v>1349</v>
      </c>
      <c r="AF49" s="38" t="s">
        <v>1349</v>
      </c>
      <c r="AG49" s="38" t="s">
        <v>1349</v>
      </c>
      <c r="AH49" s="42" t="s">
        <v>1366</v>
      </c>
      <c r="AI49" s="38" t="s">
        <v>3384</v>
      </c>
      <c r="AJ49" s="38" t="s">
        <v>1349</v>
      </c>
      <c r="AK49" s="87" t="s">
        <v>4199</v>
      </c>
      <c r="AL49" s="87" t="s">
        <v>1612</v>
      </c>
      <c r="AM49" s="23" t="s">
        <v>1612</v>
      </c>
      <c r="AN49" s="38" t="s">
        <v>1550</v>
      </c>
      <c r="AO49" s="38" t="s">
        <v>1550</v>
      </c>
      <c r="AP49" s="38" t="s">
        <v>1550</v>
      </c>
      <c r="AQ49" s="87" t="s">
        <v>1352</v>
      </c>
      <c r="AR49" s="88" t="s">
        <v>3451</v>
      </c>
      <c r="AS49" s="42" t="s">
        <v>1550</v>
      </c>
      <c r="AT49" s="42" t="s">
        <v>1804</v>
      </c>
      <c r="AU49" s="42"/>
      <c r="AV49" s="42">
        <v>1000</v>
      </c>
      <c r="AW49" s="42" t="s">
        <v>4334</v>
      </c>
      <c r="AX49" s="42" t="s">
        <v>4309</v>
      </c>
      <c r="AY49" s="38" t="s">
        <v>1349</v>
      </c>
      <c r="AZ49" s="42" t="s">
        <v>4353</v>
      </c>
      <c r="BA49" s="42" t="s">
        <v>4342</v>
      </c>
      <c r="BB49" s="42" t="s">
        <v>1358</v>
      </c>
      <c r="BC49" s="42" t="s">
        <v>1358</v>
      </c>
      <c r="BD49" s="42" t="s">
        <v>1358</v>
      </c>
      <c r="BE49" s="42" t="s">
        <v>1810</v>
      </c>
      <c r="BF49" s="42"/>
      <c r="BG49" s="42"/>
      <c r="BH49" s="42">
        <v>15</v>
      </c>
      <c r="BI49" s="42">
        <v>15</v>
      </c>
      <c r="BJ49" s="42">
        <v>20</v>
      </c>
      <c r="BK49" s="42" t="s">
        <v>4164</v>
      </c>
      <c r="BL49" s="42" t="s">
        <v>4164</v>
      </c>
      <c r="BM49" s="42" t="s">
        <v>4164</v>
      </c>
      <c r="BN49" s="38" t="s">
        <v>1349</v>
      </c>
      <c r="BO49" s="42"/>
      <c r="BP49" s="42"/>
      <c r="BQ49" s="38" t="s">
        <v>1383</v>
      </c>
      <c r="BR49" s="38" t="s">
        <v>1383</v>
      </c>
      <c r="BS49" s="42" t="s">
        <v>1358</v>
      </c>
      <c r="BT49" s="38" t="s">
        <v>1383</v>
      </c>
      <c r="BU49" s="42" t="s">
        <v>4165</v>
      </c>
      <c r="BV49" s="38" t="s">
        <v>1349</v>
      </c>
      <c r="BW49" s="42"/>
      <c r="BX49" s="38" t="s">
        <v>1383</v>
      </c>
      <c r="BY49" s="42" t="s">
        <v>1362</v>
      </c>
      <c r="BZ49" s="38" t="s">
        <v>4261</v>
      </c>
      <c r="CA49" s="38" t="s">
        <v>4347</v>
      </c>
      <c r="CB49" s="42" t="s">
        <v>1935</v>
      </c>
      <c r="CC49" s="42" t="s">
        <v>1935</v>
      </c>
      <c r="CD49" s="42" t="s">
        <v>1935</v>
      </c>
      <c r="CE49" s="42">
        <v>28000</v>
      </c>
      <c r="CF49" s="42">
        <v>27600</v>
      </c>
      <c r="CG49" s="42">
        <v>19000</v>
      </c>
      <c r="CH49" s="42" t="s">
        <v>1935</v>
      </c>
      <c r="CI49" s="42" t="s">
        <v>1935</v>
      </c>
      <c r="CJ49" s="42" t="s">
        <v>1935</v>
      </c>
      <c r="CK49" s="43">
        <v>0.7</v>
      </c>
      <c r="CL49" s="43">
        <v>0.6</v>
      </c>
      <c r="CM49" s="43">
        <v>0.3</v>
      </c>
      <c r="CN49" s="43">
        <v>0.4</v>
      </c>
      <c r="CO49" s="42" t="s">
        <v>3451</v>
      </c>
      <c r="CP49" s="42"/>
      <c r="CQ49" s="42"/>
      <c r="CR49" s="42"/>
      <c r="CS49" s="42"/>
      <c r="CT49" s="42"/>
      <c r="CU49" s="38"/>
      <c r="CV49" s="42"/>
      <c r="CW49" s="38" t="s">
        <v>1383</v>
      </c>
      <c r="CX49" s="43">
        <v>0.05</v>
      </c>
      <c r="CY49" s="43">
        <v>0.8</v>
      </c>
      <c r="CZ49" s="42" t="s">
        <v>3750</v>
      </c>
      <c r="DA49" s="42" t="s">
        <v>4276</v>
      </c>
      <c r="DB49" s="42" t="s">
        <v>3388</v>
      </c>
      <c r="DC49" s="55" t="s">
        <v>3571</v>
      </c>
      <c r="DD49" s="55" t="s">
        <v>4167</v>
      </c>
      <c r="DE49" s="55" t="s">
        <v>4291</v>
      </c>
      <c r="DF49" s="55" t="s">
        <v>4169</v>
      </c>
      <c r="DG49" s="55" t="s">
        <v>4236</v>
      </c>
      <c r="DH49" s="42" t="s">
        <v>1978</v>
      </c>
      <c r="DI49" s="42" t="s">
        <v>3384</v>
      </c>
      <c r="DJ49" s="42" t="s">
        <v>3384</v>
      </c>
      <c r="DK49" s="42" t="s">
        <v>3384</v>
      </c>
      <c r="DL49" s="51" t="s">
        <v>4172</v>
      </c>
      <c r="DM49" s="51" t="s">
        <v>3384</v>
      </c>
      <c r="DN49" s="38" t="s">
        <v>1349</v>
      </c>
      <c r="DO49" s="42" t="s">
        <v>1358</v>
      </c>
      <c r="DP49" s="38" t="s">
        <v>1358</v>
      </c>
      <c r="DQ49" s="42" t="s">
        <v>1349</v>
      </c>
      <c r="DR49" s="38" t="s">
        <v>1349</v>
      </c>
      <c r="DS49" s="42"/>
      <c r="DT49" s="42"/>
      <c r="DU49" s="42"/>
      <c r="DV49" s="38" t="s">
        <v>1383</v>
      </c>
      <c r="DW49" s="42" t="s">
        <v>4263</v>
      </c>
      <c r="DX49" s="38" t="s">
        <v>1383</v>
      </c>
      <c r="DY49" s="38" t="s">
        <v>1342</v>
      </c>
      <c r="DZ49" s="42" t="s">
        <v>4325</v>
      </c>
      <c r="EA49" s="38" t="s">
        <v>1383</v>
      </c>
      <c r="EB49" s="38" t="s">
        <v>1383</v>
      </c>
      <c r="EC49" s="38" t="s">
        <v>1383</v>
      </c>
      <c r="ED49" s="42" t="s">
        <v>4312</v>
      </c>
      <c r="EE49" s="43">
        <v>0.5</v>
      </c>
      <c r="EF49" s="42" t="s">
        <v>3580</v>
      </c>
      <c r="EG49" s="38" t="s">
        <v>1349</v>
      </c>
      <c r="EH49" s="42"/>
      <c r="EI49" s="42" t="s">
        <v>4349</v>
      </c>
      <c r="EJ49" s="42" t="s">
        <v>4267</v>
      </c>
      <c r="EK49" s="42" t="s">
        <v>4350</v>
      </c>
      <c r="EL49" s="38" t="s">
        <v>1389</v>
      </c>
      <c r="EM49" s="38">
        <v>3</v>
      </c>
      <c r="EN49" s="42" t="s">
        <v>4354</v>
      </c>
      <c r="EO49" s="38">
        <v>1</v>
      </c>
      <c r="EP49" s="42" t="s">
        <v>3451</v>
      </c>
      <c r="EQ49" s="38">
        <v>2</v>
      </c>
      <c r="ER49" s="42" t="s">
        <v>4339</v>
      </c>
      <c r="ES49" s="38">
        <v>5</v>
      </c>
      <c r="ET49" s="42" t="s">
        <v>4177</v>
      </c>
      <c r="EU49" s="38">
        <v>5</v>
      </c>
      <c r="EV49" s="42" t="s">
        <v>4178</v>
      </c>
      <c r="EW49" s="38">
        <v>2</v>
      </c>
      <c r="EX49" s="42" t="s">
        <v>4179</v>
      </c>
      <c r="EY49" s="38">
        <v>1</v>
      </c>
      <c r="EZ49" s="42" t="s">
        <v>4269</v>
      </c>
      <c r="FA49" s="22"/>
    </row>
    <row r="50" spans="1:157">
      <c r="A50" s="17">
        <v>594</v>
      </c>
      <c r="B50" s="22">
        <v>47</v>
      </c>
      <c r="C50" s="23" t="s">
        <v>1337</v>
      </c>
      <c r="D50" s="24">
        <v>43779</v>
      </c>
      <c r="E50" s="23" t="s">
        <v>4147</v>
      </c>
      <c r="F50" s="25" t="e">
        <v>#N/A</v>
      </c>
      <c r="G50" s="25" t="s">
        <v>4089</v>
      </c>
      <c r="H50" s="23" t="s">
        <v>3901</v>
      </c>
      <c r="I50" s="23" t="s">
        <v>4090</v>
      </c>
      <c r="J50" s="38" t="s">
        <v>4091</v>
      </c>
      <c r="K50" s="23" t="s">
        <v>4148</v>
      </c>
      <c r="L50" s="32">
        <v>12</v>
      </c>
      <c r="M50" s="23" t="s">
        <v>1342</v>
      </c>
      <c r="N50" s="23" t="s">
        <v>1343</v>
      </c>
      <c r="O50" s="23" t="s">
        <v>592</v>
      </c>
      <c r="P50" s="23" t="s">
        <v>3183</v>
      </c>
      <c r="Q50" s="23">
        <v>68430525</v>
      </c>
      <c r="R50" s="23" t="s">
        <v>1383</v>
      </c>
      <c r="S50" s="23">
        <v>3</v>
      </c>
      <c r="T50" s="23" t="s">
        <v>1346</v>
      </c>
      <c r="U50" s="23">
        <v>2008</v>
      </c>
      <c r="V50" s="22" t="s">
        <v>4149</v>
      </c>
      <c r="W50" s="23" t="s">
        <v>4000</v>
      </c>
      <c r="X50" s="23" t="s">
        <v>1342</v>
      </c>
      <c r="Y50" s="23"/>
      <c r="Z50" s="23"/>
      <c r="AA50" s="23">
        <v>60</v>
      </c>
      <c r="AB50" s="23"/>
      <c r="AC50" s="23"/>
      <c r="AD50" s="23" t="s">
        <v>1383</v>
      </c>
      <c r="AE50" s="23" t="s">
        <v>1342</v>
      </c>
      <c r="AF50" s="23" t="s">
        <v>1342</v>
      </c>
      <c r="AG50" s="23" t="s">
        <v>1342</v>
      </c>
      <c r="AH50" s="23" t="s">
        <v>1342</v>
      </c>
      <c r="AI50" s="23"/>
      <c r="AJ50" s="23" t="s">
        <v>1342</v>
      </c>
      <c r="AK50" s="23" t="s">
        <v>1366</v>
      </c>
      <c r="AL50" s="68" t="s">
        <v>1612</v>
      </c>
      <c r="AM50" s="23" t="s">
        <v>1612</v>
      </c>
      <c r="AN50" s="23" t="s">
        <v>1612</v>
      </c>
      <c r="AO50" s="23" t="s">
        <v>1612</v>
      </c>
      <c r="AP50" s="23" t="s">
        <v>1612</v>
      </c>
      <c r="AQ50" s="68" t="s">
        <v>1552</v>
      </c>
      <c r="AR50" s="23" t="s">
        <v>1612</v>
      </c>
      <c r="AS50" s="42" t="s">
        <v>1550</v>
      </c>
      <c r="AT50" s="22"/>
      <c r="AU50" s="22">
        <v>12000</v>
      </c>
      <c r="AV50" s="22">
        <v>20000</v>
      </c>
      <c r="AW50" s="22" t="s">
        <v>4098</v>
      </c>
      <c r="AX50" s="22" t="s">
        <v>4150</v>
      </c>
      <c r="AY50" s="23" t="s">
        <v>1342</v>
      </c>
      <c r="AZ50" s="22"/>
      <c r="BA50" s="22"/>
      <c r="BB50" s="22" t="s">
        <v>1358</v>
      </c>
      <c r="BC50" s="22" t="s">
        <v>1358</v>
      </c>
      <c r="BD50" s="22" t="s">
        <v>1358</v>
      </c>
      <c r="BE50" s="22" t="s">
        <v>4148</v>
      </c>
      <c r="BF50" s="22"/>
      <c r="BG50" s="22"/>
      <c r="BH50" s="22">
        <v>2</v>
      </c>
      <c r="BI50" s="22">
        <v>3</v>
      </c>
      <c r="BJ50" s="22"/>
      <c r="BK50" s="22" t="s">
        <v>1702</v>
      </c>
      <c r="BL50" s="22" t="s">
        <v>1702</v>
      </c>
      <c r="BM50" s="22"/>
      <c r="BN50" s="23" t="s">
        <v>1342</v>
      </c>
      <c r="BO50" s="22"/>
      <c r="BP50" s="22"/>
      <c r="BQ50" s="23" t="s">
        <v>1383</v>
      </c>
      <c r="BR50" s="23" t="s">
        <v>1342</v>
      </c>
      <c r="BS50" s="27">
        <v>0</v>
      </c>
      <c r="BT50" s="23" t="s">
        <v>1383</v>
      </c>
      <c r="BU50" s="22" t="s">
        <v>4058</v>
      </c>
      <c r="BV50" s="23" t="s">
        <v>1342</v>
      </c>
      <c r="BW50" s="22"/>
      <c r="BX50" s="23" t="s">
        <v>1342</v>
      </c>
      <c r="BY50" s="22"/>
      <c r="BZ50" s="22"/>
      <c r="CA50" s="22"/>
      <c r="CB50" s="22" t="s">
        <v>1364</v>
      </c>
      <c r="CC50" s="22" t="s">
        <v>1364</v>
      </c>
      <c r="CD50" s="22" t="s">
        <v>1364</v>
      </c>
      <c r="CE50" s="22">
        <v>12000</v>
      </c>
      <c r="CF50" s="22">
        <v>10000</v>
      </c>
      <c r="CG50" s="22">
        <v>18000</v>
      </c>
      <c r="CH50" s="22">
        <v>0</v>
      </c>
      <c r="CI50" s="22">
        <v>0</v>
      </c>
      <c r="CJ50" s="22">
        <v>0</v>
      </c>
      <c r="CK50" s="27">
        <v>1</v>
      </c>
      <c r="CL50" s="27">
        <v>1</v>
      </c>
      <c r="CM50" s="27">
        <v>0</v>
      </c>
      <c r="CN50" s="27">
        <v>0</v>
      </c>
      <c r="CO50" s="22"/>
      <c r="CP50" s="22"/>
      <c r="CQ50" s="22"/>
      <c r="CR50" s="22"/>
      <c r="CS50" s="22"/>
      <c r="CT50" s="22"/>
      <c r="CU50" s="23"/>
      <c r="CV50" s="22"/>
      <c r="CW50" s="23" t="s">
        <v>1383</v>
      </c>
      <c r="CX50" s="27">
        <v>0.95</v>
      </c>
      <c r="CY50" s="27">
        <v>0</v>
      </c>
      <c r="CZ50" s="22" t="s">
        <v>4101</v>
      </c>
      <c r="DA50" s="22" t="s">
        <v>4077</v>
      </c>
      <c r="DB50" s="22">
        <v>25</v>
      </c>
      <c r="DC50" s="22"/>
      <c r="DD50" s="22" t="s">
        <v>4102</v>
      </c>
      <c r="DE50" s="22" t="s">
        <v>4103</v>
      </c>
      <c r="DF50" s="22" t="s">
        <v>4104</v>
      </c>
      <c r="DG50" s="22"/>
      <c r="DH50" s="22" t="s">
        <v>4072</v>
      </c>
      <c r="DI50" s="22"/>
      <c r="DJ50" s="22"/>
      <c r="DK50" s="22"/>
      <c r="DL50" s="22" t="s">
        <v>4073</v>
      </c>
      <c r="DM50" s="22"/>
      <c r="DN50" s="23" t="s">
        <v>1342</v>
      </c>
      <c r="DO50" s="22"/>
      <c r="DP50" s="23" t="s">
        <v>1383</v>
      </c>
      <c r="DQ50" s="22" t="s">
        <v>4105</v>
      </c>
      <c r="DR50" s="23" t="s">
        <v>1342</v>
      </c>
      <c r="DS50" s="22"/>
      <c r="DT50" s="22"/>
      <c r="DU50" s="22"/>
      <c r="DV50" s="23" t="s">
        <v>1383</v>
      </c>
      <c r="DW50" s="22" t="s">
        <v>4151</v>
      </c>
      <c r="DX50" s="23" t="s">
        <v>1383</v>
      </c>
      <c r="DY50" s="23" t="s">
        <v>1342</v>
      </c>
      <c r="DZ50" s="23" t="s">
        <v>4124</v>
      </c>
      <c r="EA50" s="23" t="s">
        <v>1383</v>
      </c>
      <c r="EB50" s="23" t="s">
        <v>1383</v>
      </c>
      <c r="EC50" s="23" t="s">
        <v>1383</v>
      </c>
      <c r="ED50" s="23" t="s">
        <v>2948</v>
      </c>
      <c r="EE50" s="27">
        <v>0.05</v>
      </c>
      <c r="EF50" s="23" t="s">
        <v>4078</v>
      </c>
      <c r="EG50" s="23" t="s">
        <v>1342</v>
      </c>
      <c r="EH50" s="22"/>
      <c r="EI50" s="22"/>
      <c r="EJ50" s="22"/>
      <c r="EK50" s="22"/>
      <c r="EL50" s="23" t="s">
        <v>1416</v>
      </c>
      <c r="EM50" s="23">
        <v>2</v>
      </c>
      <c r="EN50" s="22" t="s">
        <v>4152</v>
      </c>
      <c r="EO50" s="23">
        <v>1</v>
      </c>
      <c r="EP50" s="22" t="s">
        <v>4108</v>
      </c>
      <c r="EQ50" s="23">
        <v>2</v>
      </c>
      <c r="ER50" s="22" t="s">
        <v>4039</v>
      </c>
      <c r="ES50" s="23">
        <v>3</v>
      </c>
      <c r="ET50" s="22" t="s">
        <v>4110</v>
      </c>
      <c r="EU50" s="23">
        <v>4</v>
      </c>
      <c r="EV50" s="22" t="s">
        <v>4111</v>
      </c>
      <c r="EW50" s="23">
        <v>3</v>
      </c>
      <c r="EX50" s="22" t="s">
        <v>4125</v>
      </c>
      <c r="EY50" s="23">
        <v>0</v>
      </c>
      <c r="EZ50" s="22" t="s">
        <v>2974</v>
      </c>
    </row>
    <row r="51" spans="1:157">
      <c r="A51" s="17">
        <v>595</v>
      </c>
      <c r="B51" s="22">
        <v>7</v>
      </c>
      <c r="C51" s="23" t="s">
        <v>2278</v>
      </c>
      <c r="D51" s="24">
        <v>43769</v>
      </c>
      <c r="E51" s="23" t="s">
        <v>3812</v>
      </c>
      <c r="F51" s="25"/>
      <c r="G51" s="25"/>
      <c r="H51" s="23" t="s">
        <v>1075</v>
      </c>
      <c r="I51" s="23" t="s">
        <v>1071</v>
      </c>
      <c r="J51" s="23" t="s">
        <v>165</v>
      </c>
      <c r="K51" s="23" t="s">
        <v>165</v>
      </c>
      <c r="L51" s="32">
        <v>0.5</v>
      </c>
      <c r="M51" s="23" t="s">
        <v>3757</v>
      </c>
      <c r="N51" s="23" t="s">
        <v>1343</v>
      </c>
      <c r="O51" s="23" t="s">
        <v>592</v>
      </c>
      <c r="P51" s="23" t="s">
        <v>3813</v>
      </c>
      <c r="Q51" s="23">
        <v>65682055</v>
      </c>
      <c r="R51" s="23" t="s">
        <v>1345</v>
      </c>
      <c r="S51" s="23">
        <v>6</v>
      </c>
      <c r="T51" s="23" t="s">
        <v>1346</v>
      </c>
      <c r="U51" s="23">
        <v>2009</v>
      </c>
      <c r="V51" s="23" t="s">
        <v>3760</v>
      </c>
      <c r="W51" s="23" t="s">
        <v>3802</v>
      </c>
      <c r="X51" s="23" t="s">
        <v>1349</v>
      </c>
      <c r="Y51" s="23" t="s">
        <v>2300</v>
      </c>
      <c r="Z51" s="23" t="s">
        <v>2300</v>
      </c>
      <c r="AA51" s="23">
        <v>30</v>
      </c>
      <c r="AB51" s="23" t="s">
        <v>1349</v>
      </c>
      <c r="AC51" s="23">
        <v>2</v>
      </c>
      <c r="AD51" s="23" t="s">
        <v>1345</v>
      </c>
      <c r="AE51" s="23" t="s">
        <v>1345</v>
      </c>
      <c r="AF51" s="23" t="s">
        <v>1349</v>
      </c>
      <c r="AG51" s="23" t="s">
        <v>1349</v>
      </c>
      <c r="AH51" s="23" t="s">
        <v>2300</v>
      </c>
      <c r="AI51" s="23">
        <v>2014</v>
      </c>
      <c r="AJ51" s="23" t="s">
        <v>1345</v>
      </c>
      <c r="AK51" s="23" t="s">
        <v>2290</v>
      </c>
      <c r="AL51" s="68" t="s">
        <v>1612</v>
      </c>
      <c r="AM51" s="23" t="s">
        <v>1612</v>
      </c>
      <c r="AN51" s="23" t="s">
        <v>1612</v>
      </c>
      <c r="AO51" s="23" t="s">
        <v>1612</v>
      </c>
      <c r="AP51" s="23" t="s">
        <v>1612</v>
      </c>
      <c r="AQ51" s="71" t="s">
        <v>1352</v>
      </c>
      <c r="AR51" s="23" t="s">
        <v>1352</v>
      </c>
      <c r="AS51" s="23" t="s">
        <v>1802</v>
      </c>
      <c r="AT51" s="23" t="s">
        <v>1358</v>
      </c>
      <c r="AU51" s="23" t="s">
        <v>2249</v>
      </c>
      <c r="AV51" s="23">
        <v>1000</v>
      </c>
      <c r="AW51" s="23" t="s">
        <v>2377</v>
      </c>
      <c r="AX51" s="23" t="s">
        <v>2430</v>
      </c>
      <c r="AY51" s="23" t="s">
        <v>1349</v>
      </c>
      <c r="AZ51" s="23" t="s">
        <v>3794</v>
      </c>
      <c r="BA51" s="23" t="s">
        <v>2361</v>
      </c>
      <c r="BB51" s="23" t="s">
        <v>2647</v>
      </c>
      <c r="BC51" s="23" t="s">
        <v>2647</v>
      </c>
      <c r="BD51" s="23" t="s">
        <v>2297</v>
      </c>
      <c r="BE51" s="23" t="s">
        <v>165</v>
      </c>
      <c r="BF51" s="23" t="s">
        <v>3814</v>
      </c>
      <c r="BG51" s="23" t="s">
        <v>3815</v>
      </c>
      <c r="BH51" s="23">
        <v>10</v>
      </c>
      <c r="BI51" s="23">
        <v>10</v>
      </c>
      <c r="BJ51" s="23">
        <v>13</v>
      </c>
      <c r="BK51" s="23" t="s">
        <v>1360</v>
      </c>
      <c r="BL51" s="23" t="s">
        <v>1360</v>
      </c>
      <c r="BM51" s="23" t="s">
        <v>1360</v>
      </c>
      <c r="BN51" s="23" t="s">
        <v>1349</v>
      </c>
      <c r="BO51" s="23" t="s">
        <v>2767</v>
      </c>
      <c r="BP51" s="23" t="s">
        <v>2767</v>
      </c>
      <c r="BQ51" s="23" t="s">
        <v>1349</v>
      </c>
      <c r="BR51" s="23" t="s">
        <v>1349</v>
      </c>
      <c r="BS51" s="23" t="s">
        <v>2643</v>
      </c>
      <c r="BT51" s="23" t="s">
        <v>1349</v>
      </c>
      <c r="BU51" s="23" t="s">
        <v>3816</v>
      </c>
      <c r="BV51" s="23" t="s">
        <v>1349</v>
      </c>
      <c r="BW51" s="23" t="s">
        <v>2300</v>
      </c>
      <c r="BX51" s="23" t="s">
        <v>1345</v>
      </c>
      <c r="BY51" s="23" t="s">
        <v>2302</v>
      </c>
      <c r="BZ51" s="23" t="s">
        <v>2767</v>
      </c>
      <c r="CA51" s="23" t="s">
        <v>2767</v>
      </c>
      <c r="CB51" s="23" t="s">
        <v>2289</v>
      </c>
      <c r="CC51" s="23" t="s">
        <v>2289</v>
      </c>
      <c r="CD51" s="23" t="s">
        <v>2289</v>
      </c>
      <c r="CE51" s="23">
        <v>0</v>
      </c>
      <c r="CF51" s="23">
        <v>3000</v>
      </c>
      <c r="CG51" s="23">
        <v>2000</v>
      </c>
      <c r="CH51" s="23">
        <v>70</v>
      </c>
      <c r="CI51" s="23">
        <v>80</v>
      </c>
      <c r="CJ51" s="23">
        <v>20</v>
      </c>
      <c r="CK51" s="27">
        <v>0.2</v>
      </c>
      <c r="CL51" s="27">
        <v>1</v>
      </c>
      <c r="CM51" s="27">
        <v>0.8</v>
      </c>
      <c r="CN51" s="26">
        <v>0</v>
      </c>
      <c r="CO51" s="23" t="s">
        <v>2652</v>
      </c>
      <c r="CP51" s="23" t="s">
        <v>2289</v>
      </c>
      <c r="CQ51" s="23" t="s">
        <v>2767</v>
      </c>
      <c r="CR51" s="23">
        <v>1</v>
      </c>
      <c r="CS51" s="23" t="s">
        <v>3764</v>
      </c>
      <c r="CT51" s="23" t="s">
        <v>3765</v>
      </c>
      <c r="CU51" s="23" t="s">
        <v>1345</v>
      </c>
      <c r="CV51" s="23" t="s">
        <v>2407</v>
      </c>
      <c r="CW51" s="23" t="s">
        <v>1345</v>
      </c>
      <c r="CX51" s="26">
        <v>0.1</v>
      </c>
      <c r="CY51" s="26">
        <v>0.8</v>
      </c>
      <c r="CZ51" s="23" t="s">
        <v>2311</v>
      </c>
      <c r="DA51" s="23" t="s">
        <v>3766</v>
      </c>
      <c r="DB51" s="23" t="s">
        <v>1903</v>
      </c>
      <c r="DC51" s="23" t="s">
        <v>2643</v>
      </c>
      <c r="DD51" s="22" t="s">
        <v>2792</v>
      </c>
      <c r="DE51" s="23" t="s">
        <v>3767</v>
      </c>
      <c r="DF51" s="23" t="s">
        <v>3768</v>
      </c>
      <c r="DG51" s="23" t="s">
        <v>3769</v>
      </c>
      <c r="DH51" s="23" t="s">
        <v>2794</v>
      </c>
      <c r="DI51" s="23" t="s">
        <v>1556</v>
      </c>
      <c r="DJ51" s="23" t="s">
        <v>1556</v>
      </c>
      <c r="DK51" s="23" t="s">
        <v>1556</v>
      </c>
      <c r="DL51" s="23" t="s">
        <v>3770</v>
      </c>
      <c r="DM51" s="23" t="s">
        <v>3771</v>
      </c>
      <c r="DN51" s="23" t="s">
        <v>1345</v>
      </c>
      <c r="DO51" s="23" t="s">
        <v>3772</v>
      </c>
      <c r="DP51" s="23" t="s">
        <v>1349</v>
      </c>
      <c r="DQ51" s="23" t="s">
        <v>2647</v>
      </c>
      <c r="DR51" s="23" t="s">
        <v>1349</v>
      </c>
      <c r="DS51" s="23" t="s">
        <v>1556</v>
      </c>
      <c r="DT51" s="23" t="s">
        <v>2300</v>
      </c>
      <c r="DU51" s="23" t="s">
        <v>2300</v>
      </c>
      <c r="DV51" s="23" t="s">
        <v>1345</v>
      </c>
      <c r="DW51" s="23" t="s">
        <v>2797</v>
      </c>
      <c r="DX51" s="23" t="s">
        <v>1345</v>
      </c>
      <c r="DY51" s="23" t="s">
        <v>1349</v>
      </c>
      <c r="DZ51" s="23" t="s">
        <v>3773</v>
      </c>
      <c r="EA51" s="23" t="s">
        <v>1345</v>
      </c>
      <c r="EB51" s="23" t="s">
        <v>1345</v>
      </c>
      <c r="EC51" s="23" t="s">
        <v>1345</v>
      </c>
      <c r="ED51" s="23" t="s">
        <v>2438</v>
      </c>
      <c r="EE51" s="27">
        <v>0.1</v>
      </c>
      <c r="EF51" s="23" t="s">
        <v>2370</v>
      </c>
      <c r="EG51" s="23" t="s">
        <v>1349</v>
      </c>
      <c r="EH51" s="23" t="s">
        <v>2300</v>
      </c>
      <c r="EI51" s="23" t="s">
        <v>2326</v>
      </c>
      <c r="EJ51" s="22"/>
      <c r="EK51" s="23" t="s">
        <v>3774</v>
      </c>
      <c r="EL51" s="23" t="s">
        <v>1389</v>
      </c>
      <c r="EM51" s="23">
        <v>3</v>
      </c>
      <c r="EN51" s="23" t="s">
        <v>3805</v>
      </c>
      <c r="EO51" s="23">
        <v>3</v>
      </c>
      <c r="EP51" s="23" t="s">
        <v>3796</v>
      </c>
      <c r="EQ51" s="23"/>
      <c r="ER51" s="22" t="s">
        <v>3788</v>
      </c>
      <c r="ES51" s="23">
        <v>4</v>
      </c>
      <c r="ET51" s="22" t="s">
        <v>3778</v>
      </c>
      <c r="EU51" s="23">
        <v>4</v>
      </c>
      <c r="EV51" s="22" t="s">
        <v>3779</v>
      </c>
      <c r="EW51" s="23">
        <v>3</v>
      </c>
      <c r="EX51" s="22" t="s">
        <v>3780</v>
      </c>
      <c r="EY51" s="23">
        <v>2</v>
      </c>
      <c r="EZ51" s="22" t="s">
        <v>2424</v>
      </c>
    </row>
    <row r="52" spans="1:157">
      <c r="A52" s="17">
        <v>596</v>
      </c>
      <c r="B52" s="22">
        <v>15</v>
      </c>
      <c r="C52" s="23" t="s">
        <v>2278</v>
      </c>
      <c r="D52" s="24">
        <v>43774</v>
      </c>
      <c r="E52" s="23" t="s">
        <v>3845</v>
      </c>
      <c r="F52" s="25"/>
      <c r="G52" s="25"/>
      <c r="H52" s="23" t="s">
        <v>1075</v>
      </c>
      <c r="I52" s="23" t="s">
        <v>1071</v>
      </c>
      <c r="J52" s="23" t="s">
        <v>165</v>
      </c>
      <c r="K52" s="23" t="s">
        <v>3846</v>
      </c>
      <c r="L52" s="32">
        <v>5</v>
      </c>
      <c r="M52" s="23" t="s">
        <v>3757</v>
      </c>
      <c r="N52" s="23" t="s">
        <v>1343</v>
      </c>
      <c r="O52" s="23" t="s">
        <v>592</v>
      </c>
      <c r="P52" s="23" t="s">
        <v>3847</v>
      </c>
      <c r="Q52" s="23">
        <v>54622651</v>
      </c>
      <c r="R52" s="23" t="s">
        <v>1345</v>
      </c>
      <c r="S52" s="23">
        <v>3</v>
      </c>
      <c r="T52" s="23" t="s">
        <v>1346</v>
      </c>
      <c r="U52" s="23">
        <v>2014</v>
      </c>
      <c r="V52" s="23" t="s">
        <v>3848</v>
      </c>
      <c r="W52" s="23" t="s">
        <v>3802</v>
      </c>
      <c r="X52" s="23" t="s">
        <v>1349</v>
      </c>
      <c r="Y52" s="23" t="s">
        <v>2300</v>
      </c>
      <c r="Z52" s="23" t="s">
        <v>2300</v>
      </c>
      <c r="AA52" s="23">
        <v>14</v>
      </c>
      <c r="AB52" s="23" t="s">
        <v>1349</v>
      </c>
      <c r="AC52" s="23">
        <v>2</v>
      </c>
      <c r="AD52" s="23" t="s">
        <v>1345</v>
      </c>
      <c r="AE52" s="23" t="s">
        <v>1345</v>
      </c>
      <c r="AF52" s="23" t="s">
        <v>1349</v>
      </c>
      <c r="AG52" s="23" t="s">
        <v>1349</v>
      </c>
      <c r="AH52" s="23" t="s">
        <v>2300</v>
      </c>
      <c r="AI52" s="23">
        <v>2015</v>
      </c>
      <c r="AJ52" s="23" t="s">
        <v>1349</v>
      </c>
      <c r="AK52" s="23" t="s">
        <v>2290</v>
      </c>
      <c r="AL52" s="68" t="s">
        <v>1612</v>
      </c>
      <c r="AM52" s="23" t="s">
        <v>1612</v>
      </c>
      <c r="AN52" s="23" t="s">
        <v>1612</v>
      </c>
      <c r="AO52" s="23" t="s">
        <v>1612</v>
      </c>
      <c r="AP52" s="23" t="s">
        <v>1612</v>
      </c>
      <c r="AQ52" s="71" t="s">
        <v>1352</v>
      </c>
      <c r="AR52" s="23" t="s">
        <v>1352</v>
      </c>
      <c r="AS52" s="23" t="s">
        <v>1802</v>
      </c>
      <c r="AT52" s="23" t="s">
        <v>1358</v>
      </c>
      <c r="AU52" s="23" t="s">
        <v>2249</v>
      </c>
      <c r="AV52" s="23">
        <v>1000</v>
      </c>
      <c r="AW52" s="23" t="s">
        <v>2397</v>
      </c>
      <c r="AX52" s="23" t="s">
        <v>2430</v>
      </c>
      <c r="AY52" s="23" t="s">
        <v>1349</v>
      </c>
      <c r="AZ52" s="23" t="s">
        <v>3810</v>
      </c>
      <c r="BA52" s="23" t="s">
        <v>2361</v>
      </c>
      <c r="BB52" s="23" t="s">
        <v>2647</v>
      </c>
      <c r="BC52" s="23" t="s">
        <v>2647</v>
      </c>
      <c r="BD52" s="23" t="s">
        <v>2289</v>
      </c>
      <c r="BE52" s="23" t="s">
        <v>3790</v>
      </c>
      <c r="BF52" s="23"/>
      <c r="BG52" s="23"/>
      <c r="BH52" s="23">
        <v>6</v>
      </c>
      <c r="BI52" s="23">
        <v>6</v>
      </c>
      <c r="BJ52" s="23">
        <v>15</v>
      </c>
      <c r="BK52" s="22" t="s">
        <v>1434</v>
      </c>
      <c r="BL52" s="22" t="s">
        <v>1702</v>
      </c>
      <c r="BM52" s="22" t="s">
        <v>1702</v>
      </c>
      <c r="BN52" s="23" t="s">
        <v>1349</v>
      </c>
      <c r="BO52" s="23" t="s">
        <v>2767</v>
      </c>
      <c r="BP52" s="23" t="s">
        <v>2767</v>
      </c>
      <c r="BQ52" s="23" t="s">
        <v>1349</v>
      </c>
      <c r="BR52" s="23" t="s">
        <v>1349</v>
      </c>
      <c r="BS52" s="23" t="s">
        <v>2643</v>
      </c>
      <c r="BT52" s="23" t="s">
        <v>1349</v>
      </c>
      <c r="BU52" s="23" t="s">
        <v>3830</v>
      </c>
      <c r="BV52" s="23" t="s">
        <v>1349</v>
      </c>
      <c r="BW52" s="23" t="s">
        <v>2300</v>
      </c>
      <c r="BX52" s="23" t="s">
        <v>1345</v>
      </c>
      <c r="BY52" s="23" t="s">
        <v>2302</v>
      </c>
      <c r="BZ52" s="23" t="s">
        <v>2767</v>
      </c>
      <c r="CA52" s="23" t="s">
        <v>2767</v>
      </c>
      <c r="CB52" s="23" t="s">
        <v>2289</v>
      </c>
      <c r="CC52" s="23" t="s">
        <v>2289</v>
      </c>
      <c r="CD52" s="23" t="s">
        <v>2289</v>
      </c>
      <c r="CE52" s="23">
        <v>1500</v>
      </c>
      <c r="CF52" s="23">
        <v>3000</v>
      </c>
      <c r="CG52" s="23">
        <v>2000</v>
      </c>
      <c r="CH52" s="23">
        <v>10</v>
      </c>
      <c r="CI52" s="23">
        <v>25</v>
      </c>
      <c r="CJ52" s="23">
        <v>0</v>
      </c>
      <c r="CK52" s="27">
        <v>0.6</v>
      </c>
      <c r="CL52" s="27">
        <v>1</v>
      </c>
      <c r="CM52" s="26">
        <v>0.4</v>
      </c>
      <c r="CN52" s="26">
        <v>0</v>
      </c>
      <c r="CO52" s="23" t="s">
        <v>2652</v>
      </c>
      <c r="CP52" s="23" t="s">
        <v>2289</v>
      </c>
      <c r="CQ52" s="23" t="s">
        <v>2767</v>
      </c>
      <c r="CR52" s="23">
        <v>4</v>
      </c>
      <c r="CS52" s="23" t="s">
        <v>3764</v>
      </c>
      <c r="CT52" s="23" t="s">
        <v>3765</v>
      </c>
      <c r="CU52" s="23" t="s">
        <v>1345</v>
      </c>
      <c r="CV52" s="23" t="s">
        <v>2407</v>
      </c>
      <c r="CW52" s="23" t="s">
        <v>1345</v>
      </c>
      <c r="CX52" s="26">
        <v>0.2</v>
      </c>
      <c r="CY52" s="26">
        <v>0.8</v>
      </c>
      <c r="CZ52" s="23" t="s">
        <v>2311</v>
      </c>
      <c r="DA52" s="23" t="s">
        <v>3766</v>
      </c>
      <c r="DB52" s="23" t="s">
        <v>1903</v>
      </c>
      <c r="DC52" s="23" t="s">
        <v>2643</v>
      </c>
      <c r="DD52" s="22" t="s">
        <v>2792</v>
      </c>
      <c r="DE52" s="23" t="s">
        <v>3767</v>
      </c>
      <c r="DF52" s="23" t="s">
        <v>3768</v>
      </c>
      <c r="DG52" s="23" t="s">
        <v>3769</v>
      </c>
      <c r="DH52" s="23" t="s">
        <v>2794</v>
      </c>
      <c r="DI52" s="23" t="s">
        <v>1556</v>
      </c>
      <c r="DJ52" s="23" t="s">
        <v>1556</v>
      </c>
      <c r="DK52" s="23" t="s">
        <v>1556</v>
      </c>
      <c r="DL52" s="23" t="s">
        <v>3770</v>
      </c>
      <c r="DM52" s="23" t="s">
        <v>3771</v>
      </c>
      <c r="DN52" s="23" t="s">
        <v>1345</v>
      </c>
      <c r="DO52" s="23" t="s">
        <v>3772</v>
      </c>
      <c r="DP52" s="23" t="s">
        <v>1349</v>
      </c>
      <c r="DQ52" s="23" t="s">
        <v>2647</v>
      </c>
      <c r="DR52" s="23" t="s">
        <v>1349</v>
      </c>
      <c r="DS52" s="23" t="s">
        <v>1556</v>
      </c>
      <c r="DT52" s="23" t="s">
        <v>2300</v>
      </c>
      <c r="DU52" s="23" t="s">
        <v>2300</v>
      </c>
      <c r="DV52" s="23" t="s">
        <v>1345</v>
      </c>
      <c r="DW52" s="23" t="s">
        <v>2797</v>
      </c>
      <c r="DX52" s="23" t="s">
        <v>1345</v>
      </c>
      <c r="DY52" s="23" t="s">
        <v>1349</v>
      </c>
      <c r="DZ52" s="23" t="s">
        <v>3773</v>
      </c>
      <c r="EA52" s="23" t="s">
        <v>1345</v>
      </c>
      <c r="EB52" s="23" t="s">
        <v>1345</v>
      </c>
      <c r="EC52" s="23" t="s">
        <v>1345</v>
      </c>
      <c r="ED52" s="23" t="s">
        <v>2418</v>
      </c>
      <c r="EE52" s="27">
        <v>0.15</v>
      </c>
      <c r="EF52" s="23" t="s">
        <v>2370</v>
      </c>
      <c r="EG52" s="23" t="s">
        <v>1349</v>
      </c>
      <c r="EH52" s="23" t="s">
        <v>2300</v>
      </c>
      <c r="EI52" s="23" t="s">
        <v>2326</v>
      </c>
      <c r="EJ52" s="22"/>
      <c r="EK52" s="23" t="s">
        <v>3774</v>
      </c>
      <c r="EL52" s="23" t="s">
        <v>1389</v>
      </c>
      <c r="EM52" s="23">
        <v>2</v>
      </c>
      <c r="EN52" s="23" t="s">
        <v>3805</v>
      </c>
      <c r="EO52" s="23">
        <v>3</v>
      </c>
      <c r="EP52" s="23" t="s">
        <v>3796</v>
      </c>
      <c r="EQ52" s="23">
        <v>3</v>
      </c>
      <c r="ER52" s="22" t="s">
        <v>3777</v>
      </c>
      <c r="ES52" s="23">
        <v>4</v>
      </c>
      <c r="ET52" s="22" t="s">
        <v>3778</v>
      </c>
      <c r="EU52" s="23">
        <v>4</v>
      </c>
      <c r="EV52" s="22" t="s">
        <v>3779</v>
      </c>
      <c r="EW52" s="23">
        <v>2</v>
      </c>
      <c r="EX52" s="22" t="s">
        <v>3849</v>
      </c>
      <c r="EY52" s="23">
        <v>2</v>
      </c>
      <c r="EZ52" s="22" t="s">
        <v>2424</v>
      </c>
    </row>
    <row r="53" spans="1:157">
      <c r="A53" s="17">
        <v>597</v>
      </c>
      <c r="B53" s="22">
        <v>40</v>
      </c>
      <c r="C53" s="23" t="s">
        <v>1337</v>
      </c>
      <c r="D53" s="33">
        <v>43775</v>
      </c>
      <c r="E53" s="23" t="s">
        <v>3940</v>
      </c>
      <c r="F53" s="22"/>
      <c r="G53" s="25" t="s">
        <v>3981</v>
      </c>
      <c r="H53" s="23" t="s">
        <v>3901</v>
      </c>
      <c r="I53" s="22" t="s">
        <v>3902</v>
      </c>
      <c r="J53" s="23" t="s">
        <v>3982</v>
      </c>
      <c r="K53" s="23" t="s">
        <v>4060</v>
      </c>
      <c r="L53" s="32">
        <v>6</v>
      </c>
      <c r="M53" s="23" t="s">
        <v>1342</v>
      </c>
      <c r="N53" s="23" t="s">
        <v>1343</v>
      </c>
      <c r="O53" s="23" t="s">
        <v>592</v>
      </c>
      <c r="P53" s="23" t="s">
        <v>4061</v>
      </c>
      <c r="Q53" s="22">
        <v>65038364</v>
      </c>
      <c r="R53" s="22" t="s">
        <v>1383</v>
      </c>
      <c r="S53" s="23">
        <v>3</v>
      </c>
      <c r="T53" s="23" t="s">
        <v>1346</v>
      </c>
      <c r="U53" s="23">
        <v>2010</v>
      </c>
      <c r="V53" s="22" t="s">
        <v>2896</v>
      </c>
      <c r="W53" s="22" t="s">
        <v>4000</v>
      </c>
      <c r="X53" s="23" t="s">
        <v>1862</v>
      </c>
      <c r="Y53" s="22">
        <v>2018</v>
      </c>
      <c r="Z53" s="22"/>
      <c r="AA53" s="23">
        <v>19</v>
      </c>
      <c r="AB53" s="23" t="s">
        <v>1342</v>
      </c>
      <c r="AC53" s="22">
        <v>1</v>
      </c>
      <c r="AD53" s="23" t="s">
        <v>1383</v>
      </c>
      <c r="AE53" s="23" t="s">
        <v>1342</v>
      </c>
      <c r="AF53" s="23" t="s">
        <v>1342</v>
      </c>
      <c r="AG53" s="23" t="s">
        <v>1342</v>
      </c>
      <c r="AH53" s="23" t="s">
        <v>1342</v>
      </c>
      <c r="AI53" s="22"/>
      <c r="AJ53" s="23" t="s">
        <v>1342</v>
      </c>
      <c r="AK53" s="22" t="s">
        <v>4199</v>
      </c>
      <c r="AL53" s="87" t="s">
        <v>1612</v>
      </c>
      <c r="AM53" s="23" t="s">
        <v>1612</v>
      </c>
      <c r="AN53" s="23" t="s">
        <v>1612</v>
      </c>
      <c r="AO53" s="23" t="s">
        <v>1612</v>
      </c>
      <c r="AP53" s="23" t="s">
        <v>1612</v>
      </c>
      <c r="AQ53" s="68" t="s">
        <v>1352</v>
      </c>
      <c r="AR53" s="23" t="s">
        <v>1612</v>
      </c>
      <c r="AS53" s="42" t="s">
        <v>1550</v>
      </c>
      <c r="AT53" s="22"/>
      <c r="AU53" s="22">
        <v>9600</v>
      </c>
      <c r="AV53" s="22">
        <v>25000</v>
      </c>
      <c r="AW53" s="22" t="s">
        <v>2955</v>
      </c>
      <c r="AX53" s="22" t="s">
        <v>3152</v>
      </c>
      <c r="AY53" s="23" t="s">
        <v>1342</v>
      </c>
      <c r="AZ53" s="22" t="s">
        <v>4057</v>
      </c>
      <c r="BA53" s="22">
        <v>510</v>
      </c>
      <c r="BB53" s="22" t="s">
        <v>1358</v>
      </c>
      <c r="BC53" s="22" t="s">
        <v>1358</v>
      </c>
      <c r="BD53" s="22" t="s">
        <v>1358</v>
      </c>
      <c r="BE53" s="22" t="s">
        <v>4062</v>
      </c>
      <c r="BF53" s="22"/>
      <c r="BG53" s="22"/>
      <c r="BH53" s="22">
        <v>2</v>
      </c>
      <c r="BI53" s="22">
        <v>3</v>
      </c>
      <c r="BJ53" s="22">
        <v>8</v>
      </c>
      <c r="BK53" s="22" t="s">
        <v>4032</v>
      </c>
      <c r="BL53" s="22" t="s">
        <v>4033</v>
      </c>
      <c r="BM53" s="22" t="s">
        <v>2405</v>
      </c>
      <c r="BN53" s="23" t="s">
        <v>1342</v>
      </c>
      <c r="BO53" s="22"/>
      <c r="BP53" s="22"/>
      <c r="BQ53" s="23" t="s">
        <v>1383</v>
      </c>
      <c r="BR53" s="23" t="s">
        <v>1342</v>
      </c>
      <c r="BS53" s="27">
        <v>0</v>
      </c>
      <c r="BT53" s="23" t="s">
        <v>1383</v>
      </c>
      <c r="BU53" s="22" t="s">
        <v>4063</v>
      </c>
      <c r="BV53" s="23" t="s">
        <v>1342</v>
      </c>
      <c r="BW53" s="22"/>
      <c r="BX53" s="23" t="s">
        <v>1383</v>
      </c>
      <c r="BY53" s="22" t="s">
        <v>1362</v>
      </c>
      <c r="BZ53" s="23" t="s">
        <v>3075</v>
      </c>
      <c r="CA53" s="22" t="s">
        <v>4060</v>
      </c>
      <c r="CB53" s="22" t="s">
        <v>1364</v>
      </c>
      <c r="CC53" s="22" t="s">
        <v>1364</v>
      </c>
      <c r="CD53" s="22" t="s">
        <v>1364</v>
      </c>
      <c r="CE53" s="22">
        <v>6460</v>
      </c>
      <c r="CF53" s="22">
        <v>6460</v>
      </c>
      <c r="CG53" s="22">
        <v>8075</v>
      </c>
      <c r="CH53" s="22">
        <v>0</v>
      </c>
      <c r="CI53" s="22">
        <v>0</v>
      </c>
      <c r="CJ53" s="22">
        <v>0</v>
      </c>
      <c r="CK53" s="27">
        <v>1</v>
      </c>
      <c r="CL53" s="27">
        <v>1</v>
      </c>
      <c r="CM53" s="27">
        <v>0</v>
      </c>
      <c r="CN53" s="27">
        <v>0</v>
      </c>
      <c r="CO53" s="22"/>
      <c r="CP53" s="22"/>
      <c r="CQ53" s="22"/>
      <c r="CR53" s="22"/>
      <c r="CS53" s="22"/>
      <c r="CT53" s="22"/>
      <c r="CU53" s="22"/>
      <c r="CV53" s="22"/>
      <c r="CW53" s="23" t="s">
        <v>1383</v>
      </c>
      <c r="CX53" s="27">
        <v>0.1</v>
      </c>
      <c r="CY53" s="27">
        <v>0.8</v>
      </c>
      <c r="CZ53" s="22" t="s">
        <v>4016</v>
      </c>
      <c r="DA53" s="22" t="s">
        <v>1372</v>
      </c>
      <c r="DB53" s="22">
        <v>12</v>
      </c>
      <c r="DC53" s="22"/>
      <c r="DD53" s="22" t="s">
        <v>4017</v>
      </c>
      <c r="DE53" s="22" t="s">
        <v>4018</v>
      </c>
      <c r="DF53" s="22" t="s">
        <v>4019</v>
      </c>
      <c r="DG53" s="22"/>
      <c r="DH53" s="22" t="s">
        <v>4064</v>
      </c>
      <c r="DI53" s="22"/>
      <c r="DJ53" s="22"/>
      <c r="DK53" s="22"/>
      <c r="DL53" s="22" t="s">
        <v>3992</v>
      </c>
      <c r="DM53" s="22"/>
      <c r="DN53" s="23" t="s">
        <v>1342</v>
      </c>
      <c r="DO53" s="22"/>
      <c r="DP53" s="23" t="s">
        <v>1342</v>
      </c>
      <c r="DQ53" s="22"/>
      <c r="DR53" s="23" t="s">
        <v>1342</v>
      </c>
      <c r="DS53" s="22"/>
      <c r="DT53" s="22"/>
      <c r="DU53" s="22"/>
      <c r="DV53" s="23" t="s">
        <v>1383</v>
      </c>
      <c r="DW53" s="22" t="s">
        <v>3956</v>
      </c>
      <c r="DX53" s="23" t="s">
        <v>1383</v>
      </c>
      <c r="DY53" s="23" t="s">
        <v>1342</v>
      </c>
      <c r="DZ53" s="23" t="s">
        <v>4052</v>
      </c>
      <c r="EA53" s="23" t="s">
        <v>1383</v>
      </c>
      <c r="EB53" s="23" t="s">
        <v>1383</v>
      </c>
      <c r="EC53" s="23" t="s">
        <v>1383</v>
      </c>
      <c r="ED53" s="22" t="s">
        <v>2948</v>
      </c>
      <c r="EE53" s="27">
        <v>0.4</v>
      </c>
      <c r="EF53" s="23" t="s">
        <v>2931</v>
      </c>
      <c r="EG53" s="23" t="s">
        <v>1342</v>
      </c>
      <c r="EH53" s="22"/>
      <c r="EI53" s="22"/>
      <c r="EJ53" s="22"/>
      <c r="EK53" s="22"/>
      <c r="EL53" s="23" t="s">
        <v>1389</v>
      </c>
      <c r="EM53" s="23">
        <v>3</v>
      </c>
      <c r="EN53" s="22" t="s">
        <v>4065</v>
      </c>
      <c r="EO53" s="22">
        <v>0</v>
      </c>
      <c r="EP53" s="22" t="s">
        <v>3020</v>
      </c>
      <c r="EQ53" s="23">
        <v>2</v>
      </c>
      <c r="ER53" s="22" t="s">
        <v>4039</v>
      </c>
      <c r="ES53" s="22">
        <v>4</v>
      </c>
      <c r="ET53" s="22" t="s">
        <v>4066</v>
      </c>
      <c r="EU53" s="23">
        <v>3</v>
      </c>
      <c r="EV53" s="22" t="s">
        <v>3108</v>
      </c>
      <c r="EW53" s="23">
        <v>3</v>
      </c>
      <c r="EX53" s="22" t="s">
        <v>4067</v>
      </c>
      <c r="EY53" s="23">
        <v>0</v>
      </c>
      <c r="EZ53" s="22" t="s">
        <v>2974</v>
      </c>
    </row>
    <row r="54" spans="1:157">
      <c r="A54" s="17">
        <v>598</v>
      </c>
      <c r="B54" s="22">
        <v>56</v>
      </c>
      <c r="C54" s="38" t="s">
        <v>1795</v>
      </c>
      <c r="D54" s="39">
        <v>43769</v>
      </c>
      <c r="E54" s="38" t="s">
        <v>510</v>
      </c>
      <c r="F54" s="40" t="s">
        <v>1728</v>
      </c>
      <c r="G54" s="40" t="s">
        <v>3856</v>
      </c>
      <c r="H54" s="38" t="s">
        <v>4158</v>
      </c>
      <c r="I54" s="38" t="s">
        <v>1071</v>
      </c>
      <c r="J54" s="23" t="s">
        <v>3856</v>
      </c>
      <c r="K54" s="38" t="s">
        <v>4221</v>
      </c>
      <c r="L54" s="42">
        <v>3</v>
      </c>
      <c r="M54" s="42" t="s">
        <v>4222</v>
      </c>
      <c r="N54" s="42" t="s">
        <v>1343</v>
      </c>
      <c r="O54" s="42" t="s">
        <v>4196</v>
      </c>
      <c r="P54" s="42" t="s">
        <v>566</v>
      </c>
      <c r="Q54" s="38">
        <v>67021012</v>
      </c>
      <c r="R54" s="38" t="s">
        <v>1345</v>
      </c>
      <c r="S54" s="38">
        <v>7</v>
      </c>
      <c r="T54" s="42" t="s">
        <v>1346</v>
      </c>
      <c r="U54" s="38">
        <v>2009</v>
      </c>
      <c r="V54" s="42" t="s">
        <v>4224</v>
      </c>
      <c r="W54" s="42" t="s">
        <v>3729</v>
      </c>
      <c r="X54" s="38" t="s">
        <v>1349</v>
      </c>
      <c r="Y54" s="38"/>
      <c r="Z54" s="38"/>
      <c r="AA54" s="38">
        <v>9</v>
      </c>
      <c r="AB54" s="38" t="s">
        <v>1345</v>
      </c>
      <c r="AC54" s="38">
        <v>3</v>
      </c>
      <c r="AD54" s="38" t="s">
        <v>1345</v>
      </c>
      <c r="AE54" s="38" t="s">
        <v>1349</v>
      </c>
      <c r="AF54" s="38" t="s">
        <v>1349</v>
      </c>
      <c r="AG54" s="38" t="s">
        <v>1349</v>
      </c>
      <c r="AH54" s="42" t="s">
        <v>1358</v>
      </c>
      <c r="AI54" s="38" t="s">
        <v>3384</v>
      </c>
      <c r="AJ54" s="38" t="s">
        <v>1349</v>
      </c>
      <c r="AK54" s="87" t="s">
        <v>4199</v>
      </c>
      <c r="AL54" s="87" t="s">
        <v>1612</v>
      </c>
      <c r="AM54" s="23" t="s">
        <v>1612</v>
      </c>
      <c r="AN54" s="38" t="s">
        <v>1550</v>
      </c>
      <c r="AO54" s="38" t="s">
        <v>1550</v>
      </c>
      <c r="AP54" s="38" t="s">
        <v>1550</v>
      </c>
      <c r="AQ54" s="87" t="s">
        <v>1352</v>
      </c>
      <c r="AR54" s="88" t="s">
        <v>3451</v>
      </c>
      <c r="AS54" s="42" t="s">
        <v>1550</v>
      </c>
      <c r="AT54" s="42" t="s">
        <v>1804</v>
      </c>
      <c r="AU54" s="42" t="s">
        <v>2737</v>
      </c>
      <c r="AV54" s="42"/>
      <c r="AW54" s="42" t="s">
        <v>4225</v>
      </c>
      <c r="AX54" s="42" t="s">
        <v>3709</v>
      </c>
      <c r="AY54" s="38" t="s">
        <v>1349</v>
      </c>
      <c r="AZ54" s="42" t="s">
        <v>4237</v>
      </c>
      <c r="BA54" s="42" t="s">
        <v>4238</v>
      </c>
      <c r="BB54" s="42" t="s">
        <v>2062</v>
      </c>
      <c r="BC54" s="42" t="s">
        <v>1358</v>
      </c>
      <c r="BD54" s="42" t="s">
        <v>1358</v>
      </c>
      <c r="BE54" s="42" t="s">
        <v>1810</v>
      </c>
      <c r="BF54" s="42"/>
      <c r="BG54" s="42"/>
      <c r="BH54" s="42">
        <v>3</v>
      </c>
      <c r="BI54" s="42">
        <v>3</v>
      </c>
      <c r="BJ54" s="42">
        <v>10</v>
      </c>
      <c r="BK54" s="42" t="s">
        <v>4164</v>
      </c>
      <c r="BL54" s="42" t="s">
        <v>4164</v>
      </c>
      <c r="BM54" s="42" t="s">
        <v>4164</v>
      </c>
      <c r="BN54" s="38" t="s">
        <v>1349</v>
      </c>
      <c r="BO54" s="42"/>
      <c r="BP54" s="42"/>
      <c r="BQ54" s="38" t="s">
        <v>1345</v>
      </c>
      <c r="BR54" s="38" t="s">
        <v>1345</v>
      </c>
      <c r="BS54" s="42" t="s">
        <v>1358</v>
      </c>
      <c r="BT54" s="38" t="s">
        <v>1383</v>
      </c>
      <c r="BU54" s="42" t="s">
        <v>4165</v>
      </c>
      <c r="BV54" s="38" t="s">
        <v>1349</v>
      </c>
      <c r="BW54" s="42"/>
      <c r="BX54" s="38" t="s">
        <v>1345</v>
      </c>
      <c r="BY54" s="42" t="s">
        <v>1362</v>
      </c>
      <c r="BZ54" s="38" t="s">
        <v>3600</v>
      </c>
      <c r="CA54" s="38" t="s">
        <v>4228</v>
      </c>
      <c r="CB54" s="42" t="s">
        <v>1935</v>
      </c>
      <c r="CC54" s="42" t="s">
        <v>1935</v>
      </c>
      <c r="CD54" s="38" t="s">
        <v>1935</v>
      </c>
      <c r="CE54" s="42">
        <v>37800</v>
      </c>
      <c r="CF54" s="42">
        <v>37800</v>
      </c>
      <c r="CG54" s="42">
        <v>30600</v>
      </c>
      <c r="CH54" s="42" t="s">
        <v>1935</v>
      </c>
      <c r="CI54" s="42" t="s">
        <v>1935</v>
      </c>
      <c r="CJ54" s="42" t="s">
        <v>1935</v>
      </c>
      <c r="CK54" s="42" t="s">
        <v>1904</v>
      </c>
      <c r="CL54" s="43">
        <v>0.14000000000000001</v>
      </c>
      <c r="CM54" s="42" t="s">
        <v>1904</v>
      </c>
      <c r="CN54" s="43">
        <v>0.86</v>
      </c>
      <c r="CO54" s="42" t="s">
        <v>3451</v>
      </c>
      <c r="CP54" s="42"/>
      <c r="CQ54" s="42"/>
      <c r="CR54" s="42"/>
      <c r="CS54" s="42"/>
      <c r="CT54" s="42"/>
      <c r="CU54" s="38"/>
      <c r="CV54" s="42"/>
      <c r="CW54" s="38" t="s">
        <v>1345</v>
      </c>
      <c r="CX54" s="43">
        <v>0.15</v>
      </c>
      <c r="CY54" s="43">
        <v>0.8</v>
      </c>
      <c r="CZ54" s="42" t="s">
        <v>3750</v>
      </c>
      <c r="DA54" s="42" t="s">
        <v>3734</v>
      </c>
      <c r="DB54" s="42" t="s">
        <v>1808</v>
      </c>
      <c r="DC54" s="42" t="s">
        <v>1936</v>
      </c>
      <c r="DD54" s="42" t="s">
        <v>2044</v>
      </c>
      <c r="DE54" s="42" t="s">
        <v>4235</v>
      </c>
      <c r="DF54" s="42" t="s">
        <v>4169</v>
      </c>
      <c r="DG54" s="42" t="s">
        <v>4236</v>
      </c>
      <c r="DH54" s="42" t="s">
        <v>4229</v>
      </c>
      <c r="DI54" s="42" t="s">
        <v>3384</v>
      </c>
      <c r="DJ54" s="42" t="s">
        <v>4206</v>
      </c>
      <c r="DK54" s="42" t="s">
        <v>3384</v>
      </c>
      <c r="DL54" s="42" t="s">
        <v>4172</v>
      </c>
      <c r="DM54" s="42" t="s">
        <v>3384</v>
      </c>
      <c r="DN54" s="38" t="s">
        <v>1349</v>
      </c>
      <c r="DO54" s="42" t="s">
        <v>1358</v>
      </c>
      <c r="DP54" s="38" t="s">
        <v>1349</v>
      </c>
      <c r="DQ54" s="42" t="s">
        <v>1358</v>
      </c>
      <c r="DR54" s="38" t="s">
        <v>1349</v>
      </c>
      <c r="DS54" s="42"/>
      <c r="DT54" s="42"/>
      <c r="DU54" s="42"/>
      <c r="DV54" s="38" t="s">
        <v>1345</v>
      </c>
      <c r="DW54" s="42" t="s">
        <v>1945</v>
      </c>
      <c r="DX54" s="38" t="s">
        <v>1345</v>
      </c>
      <c r="DY54" s="38" t="s">
        <v>1349</v>
      </c>
      <c r="DZ54" s="42" t="s">
        <v>4191</v>
      </c>
      <c r="EA54" s="38" t="s">
        <v>1345</v>
      </c>
      <c r="EB54" s="38" t="s">
        <v>1345</v>
      </c>
      <c r="EC54" s="38" t="s">
        <v>1345</v>
      </c>
      <c r="ED54" s="42" t="s">
        <v>4207</v>
      </c>
      <c r="EE54" s="43">
        <v>0.3</v>
      </c>
      <c r="EF54" s="42" t="s">
        <v>3580</v>
      </c>
      <c r="EG54" s="38" t="s">
        <v>1349</v>
      </c>
      <c r="EH54" s="42"/>
      <c r="EI54" s="42" t="s">
        <v>4208</v>
      </c>
      <c r="EJ54" s="42" t="s">
        <v>3754</v>
      </c>
      <c r="EK54" s="38" t="s">
        <v>3613</v>
      </c>
      <c r="EL54" s="38" t="s">
        <v>1389</v>
      </c>
      <c r="EM54" s="38">
        <v>4</v>
      </c>
      <c r="EN54" s="42" t="s">
        <v>4192</v>
      </c>
      <c r="EO54" s="38">
        <v>1</v>
      </c>
      <c r="EP54" s="42" t="s">
        <v>4210</v>
      </c>
      <c r="EQ54" s="38">
        <v>2</v>
      </c>
      <c r="ER54" s="42" t="s">
        <v>4211</v>
      </c>
      <c r="ES54" s="38">
        <v>5</v>
      </c>
      <c r="ET54" s="42" t="s">
        <v>4177</v>
      </c>
      <c r="EU54" s="38">
        <v>5</v>
      </c>
      <c r="EV54" s="42" t="s">
        <v>4194</v>
      </c>
      <c r="EW54" s="38">
        <v>3</v>
      </c>
      <c r="EX54" s="42" t="s">
        <v>4230</v>
      </c>
      <c r="EY54" s="38">
        <v>3</v>
      </c>
      <c r="EZ54" s="42" t="s">
        <v>4239</v>
      </c>
    </row>
    <row r="55" spans="1:157">
      <c r="A55" s="17">
        <v>599</v>
      </c>
      <c r="B55" s="22">
        <v>57</v>
      </c>
      <c r="C55" s="38" t="s">
        <v>1795</v>
      </c>
      <c r="D55" s="39">
        <v>43770</v>
      </c>
      <c r="E55" s="38" t="s">
        <v>4240</v>
      </c>
      <c r="F55" s="40" t="s">
        <v>1728</v>
      </c>
      <c r="G55" s="40" t="s">
        <v>3856</v>
      </c>
      <c r="H55" s="38" t="s">
        <v>4158</v>
      </c>
      <c r="I55" s="38" t="s">
        <v>1071</v>
      </c>
      <c r="J55" s="23" t="s">
        <v>3856</v>
      </c>
      <c r="K55" s="38" t="s">
        <v>4221</v>
      </c>
      <c r="L55" s="42">
        <v>3</v>
      </c>
      <c r="M55" s="42" t="s">
        <v>4222</v>
      </c>
      <c r="N55" s="42" t="s">
        <v>1343</v>
      </c>
      <c r="O55" s="42" t="s">
        <v>4196</v>
      </c>
      <c r="P55" s="42" t="s">
        <v>877</v>
      </c>
      <c r="Q55" s="38">
        <v>56964118</v>
      </c>
      <c r="R55" s="38" t="s">
        <v>1345</v>
      </c>
      <c r="S55" s="38">
        <v>7</v>
      </c>
      <c r="T55" s="42" t="s">
        <v>1346</v>
      </c>
      <c r="U55" s="38">
        <v>2009</v>
      </c>
      <c r="V55" s="42" t="s">
        <v>4224</v>
      </c>
      <c r="W55" s="42" t="s">
        <v>4241</v>
      </c>
      <c r="X55" s="38" t="s">
        <v>1349</v>
      </c>
      <c r="Y55" s="38"/>
      <c r="Z55" s="38"/>
      <c r="AA55" s="38">
        <v>7</v>
      </c>
      <c r="AB55" s="38" t="s">
        <v>1345</v>
      </c>
      <c r="AC55" s="38">
        <v>1</v>
      </c>
      <c r="AD55" s="38" t="s">
        <v>1345</v>
      </c>
      <c r="AE55" s="38" t="s">
        <v>1345</v>
      </c>
      <c r="AF55" s="38" t="s">
        <v>1349</v>
      </c>
      <c r="AG55" s="38" t="s">
        <v>1349</v>
      </c>
      <c r="AH55" s="42" t="s">
        <v>1358</v>
      </c>
      <c r="AI55" s="38">
        <v>2009</v>
      </c>
      <c r="AJ55" s="38" t="s">
        <v>1349</v>
      </c>
      <c r="AK55" s="87" t="s">
        <v>7116</v>
      </c>
      <c r="AL55" s="87" t="s">
        <v>1612</v>
      </c>
      <c r="AM55" s="23" t="s">
        <v>1612</v>
      </c>
      <c r="AN55" s="38" t="s">
        <v>1550</v>
      </c>
      <c r="AO55" s="38" t="s">
        <v>1550</v>
      </c>
      <c r="AP55" s="38" t="s">
        <v>1550</v>
      </c>
      <c r="AQ55" s="87" t="s">
        <v>1352</v>
      </c>
      <c r="AR55" s="88" t="s">
        <v>1612</v>
      </c>
      <c r="AS55" s="42" t="s">
        <v>1550</v>
      </c>
      <c r="AT55" s="42" t="s">
        <v>1804</v>
      </c>
      <c r="AU55" s="42"/>
      <c r="AV55" s="42">
        <v>1000</v>
      </c>
      <c r="AW55" s="42" t="s">
        <v>4242</v>
      </c>
      <c r="AX55" s="42" t="s">
        <v>4243</v>
      </c>
      <c r="AY55" s="38" t="s">
        <v>1349</v>
      </c>
      <c r="AZ55" s="42" t="s">
        <v>4244</v>
      </c>
      <c r="BA55" s="42" t="s">
        <v>4238</v>
      </c>
      <c r="BB55" s="42" t="s">
        <v>2062</v>
      </c>
      <c r="BC55" s="42" t="s">
        <v>1358</v>
      </c>
      <c r="BD55" s="42" t="s">
        <v>1358</v>
      </c>
      <c r="BE55" s="42" t="s">
        <v>1810</v>
      </c>
      <c r="BF55" s="42"/>
      <c r="BG55" s="42"/>
      <c r="BH55" s="42">
        <v>3</v>
      </c>
      <c r="BI55" s="42">
        <v>3</v>
      </c>
      <c r="BJ55" s="42">
        <v>10</v>
      </c>
      <c r="BK55" s="42" t="s">
        <v>4164</v>
      </c>
      <c r="BL55" s="42" t="s">
        <v>4164</v>
      </c>
      <c r="BM55" s="42" t="s">
        <v>4164</v>
      </c>
      <c r="BN55" s="38" t="s">
        <v>1349</v>
      </c>
      <c r="BO55" s="42"/>
      <c r="BP55" s="42"/>
      <c r="BQ55" s="38" t="s">
        <v>1345</v>
      </c>
      <c r="BR55" s="38" t="s">
        <v>1345</v>
      </c>
      <c r="BS55" s="42" t="s">
        <v>1358</v>
      </c>
      <c r="BT55" s="38" t="s">
        <v>1383</v>
      </c>
      <c r="BU55" s="42" t="s">
        <v>4165</v>
      </c>
      <c r="BV55" s="38" t="s">
        <v>1349</v>
      </c>
      <c r="BW55" s="42"/>
      <c r="BX55" s="38" t="s">
        <v>1345</v>
      </c>
      <c r="BY55" s="42" t="s">
        <v>1362</v>
      </c>
      <c r="BZ55" s="38" t="s">
        <v>3600</v>
      </c>
      <c r="CA55" s="38" t="s">
        <v>4228</v>
      </c>
      <c r="CB55" s="42" t="s">
        <v>1935</v>
      </c>
      <c r="CC55" s="42" t="s">
        <v>1935</v>
      </c>
      <c r="CD55" s="38" t="s">
        <v>1935</v>
      </c>
      <c r="CE55" s="42" t="s">
        <v>4245</v>
      </c>
      <c r="CF55" s="42"/>
      <c r="CG55" s="42"/>
      <c r="CH55" s="42">
        <v>9800</v>
      </c>
      <c r="CI55" s="42">
        <v>8960</v>
      </c>
      <c r="CJ55" s="42">
        <v>8400</v>
      </c>
      <c r="CK55" s="42" t="s">
        <v>1904</v>
      </c>
      <c r="CL55" s="43">
        <v>0.15</v>
      </c>
      <c r="CM55" s="42" t="s">
        <v>1904</v>
      </c>
      <c r="CN55" s="43">
        <v>0.85</v>
      </c>
      <c r="CO55" s="42" t="s">
        <v>3713</v>
      </c>
      <c r="CP55" s="42" t="s">
        <v>1366</v>
      </c>
      <c r="CQ55" s="42" t="s">
        <v>1367</v>
      </c>
      <c r="CR55" s="42">
        <v>10</v>
      </c>
      <c r="CS55" s="42" t="s">
        <v>4246</v>
      </c>
      <c r="CT55" s="42" t="s">
        <v>4189</v>
      </c>
      <c r="CU55" s="38"/>
      <c r="CV55" s="42" t="s">
        <v>4247</v>
      </c>
      <c r="CW55" s="38" t="s">
        <v>1345</v>
      </c>
      <c r="CX55" s="42" t="s">
        <v>1904</v>
      </c>
      <c r="CY55" s="42" t="s">
        <v>1904</v>
      </c>
      <c r="CZ55" s="42" t="s">
        <v>3750</v>
      </c>
      <c r="DA55" s="42" t="s">
        <v>3734</v>
      </c>
      <c r="DB55" s="42" t="s">
        <v>1808</v>
      </c>
      <c r="DC55" s="42" t="s">
        <v>1936</v>
      </c>
      <c r="DD55" s="42" t="s">
        <v>2044</v>
      </c>
      <c r="DE55" s="42" t="s">
        <v>4235</v>
      </c>
      <c r="DF55" s="42" t="s">
        <v>4169</v>
      </c>
      <c r="DG55" s="42" t="s">
        <v>4236</v>
      </c>
      <c r="DH55" s="42" t="s">
        <v>4229</v>
      </c>
      <c r="DI55" s="42" t="s">
        <v>1940</v>
      </c>
      <c r="DJ55" s="42" t="s">
        <v>4206</v>
      </c>
      <c r="DK55" s="42" t="s">
        <v>3384</v>
      </c>
      <c r="DL55" s="42" t="s">
        <v>4172</v>
      </c>
      <c r="DM55" s="42" t="s">
        <v>3577</v>
      </c>
      <c r="DN55" s="38" t="s">
        <v>1349</v>
      </c>
      <c r="DO55" s="42" t="s">
        <v>1358</v>
      </c>
      <c r="DP55" s="38" t="s">
        <v>1349</v>
      </c>
      <c r="DQ55" s="42" t="s">
        <v>1358</v>
      </c>
      <c r="DR55" s="38" t="s">
        <v>1349</v>
      </c>
      <c r="DS55" s="42"/>
      <c r="DT55" s="42"/>
      <c r="DU55" s="42"/>
      <c r="DV55" s="38" t="s">
        <v>1345</v>
      </c>
      <c r="DW55" s="42" t="s">
        <v>1945</v>
      </c>
      <c r="DX55" s="38" t="s">
        <v>1345</v>
      </c>
      <c r="DY55" s="38" t="s">
        <v>1349</v>
      </c>
      <c r="DZ55" s="42" t="s">
        <v>4248</v>
      </c>
      <c r="EA55" s="38" t="s">
        <v>1345</v>
      </c>
      <c r="EB55" s="38" t="s">
        <v>1345</v>
      </c>
      <c r="EC55" s="38" t="s">
        <v>1345</v>
      </c>
      <c r="ED55" s="42" t="s">
        <v>4207</v>
      </c>
      <c r="EE55" s="43">
        <v>0.3</v>
      </c>
      <c r="EF55" s="42" t="s">
        <v>3580</v>
      </c>
      <c r="EG55" s="38" t="s">
        <v>1349</v>
      </c>
      <c r="EH55" s="42"/>
      <c r="EI55" s="42" t="s">
        <v>4208</v>
      </c>
      <c r="EJ55" s="42" t="s">
        <v>3754</v>
      </c>
      <c r="EK55" s="38" t="s">
        <v>3613</v>
      </c>
      <c r="EL55" s="38" t="s">
        <v>1389</v>
      </c>
      <c r="EM55" s="38">
        <v>4</v>
      </c>
      <c r="EN55" s="42" t="s">
        <v>4192</v>
      </c>
      <c r="EO55" s="38">
        <v>3</v>
      </c>
      <c r="EP55" s="42" t="s">
        <v>4249</v>
      </c>
      <c r="EQ55" s="38">
        <v>2</v>
      </c>
      <c r="ER55" s="42" t="s">
        <v>4211</v>
      </c>
      <c r="ES55" s="38">
        <v>5</v>
      </c>
      <c r="ET55" s="42" t="s">
        <v>4177</v>
      </c>
      <c r="EU55" s="38">
        <v>5</v>
      </c>
      <c r="EV55" s="42" t="s">
        <v>4194</v>
      </c>
      <c r="EW55" s="38">
        <v>3</v>
      </c>
      <c r="EX55" s="42" t="s">
        <v>4230</v>
      </c>
      <c r="EY55" s="38">
        <v>2</v>
      </c>
      <c r="EZ55" s="42" t="s">
        <v>4231</v>
      </c>
    </row>
    <row r="56" spans="1:157">
      <c r="A56" s="17">
        <v>600</v>
      </c>
      <c r="B56" s="22">
        <v>51</v>
      </c>
      <c r="C56" s="38" t="s">
        <v>1795</v>
      </c>
      <c r="D56" s="39">
        <v>43768</v>
      </c>
      <c r="E56" s="38" t="s">
        <v>4195</v>
      </c>
      <c r="F56" s="40" t="s">
        <v>1728</v>
      </c>
      <c r="G56" s="40" t="s">
        <v>165</v>
      </c>
      <c r="H56" s="38" t="s">
        <v>4158</v>
      </c>
      <c r="I56" s="38" t="s">
        <v>1071</v>
      </c>
      <c r="J56" s="23" t="s">
        <v>165</v>
      </c>
      <c r="K56" s="38" t="s">
        <v>3790</v>
      </c>
      <c r="L56" s="42">
        <v>7</v>
      </c>
      <c r="M56" s="42" t="s">
        <v>2027</v>
      </c>
      <c r="N56" s="42" t="s">
        <v>1343</v>
      </c>
      <c r="O56" s="42" t="s">
        <v>4196</v>
      </c>
      <c r="P56" s="42" t="s">
        <v>4197</v>
      </c>
      <c r="Q56" s="38">
        <v>65690107</v>
      </c>
      <c r="R56" s="38" t="s">
        <v>1349</v>
      </c>
      <c r="S56" s="38"/>
      <c r="T56" s="42" t="s">
        <v>4198</v>
      </c>
      <c r="U56" s="38"/>
      <c r="V56" s="42" t="s">
        <v>3743</v>
      </c>
      <c r="W56" s="42" t="s">
        <v>3708</v>
      </c>
      <c r="X56" s="38" t="s">
        <v>1349</v>
      </c>
      <c r="Y56" s="38"/>
      <c r="Z56" s="38"/>
      <c r="AA56" s="38">
        <v>10</v>
      </c>
      <c r="AB56" s="38" t="s">
        <v>1349</v>
      </c>
      <c r="AC56" s="38">
        <v>0</v>
      </c>
      <c r="AD56" s="38" t="s">
        <v>1345</v>
      </c>
      <c r="AE56" s="38" t="s">
        <v>1349</v>
      </c>
      <c r="AF56" s="38" t="s">
        <v>1349</v>
      </c>
      <c r="AG56" s="38" t="s">
        <v>1349</v>
      </c>
      <c r="AH56" s="42" t="s">
        <v>1358</v>
      </c>
      <c r="AI56" s="38" t="s">
        <v>3384</v>
      </c>
      <c r="AJ56" s="38" t="s">
        <v>1349</v>
      </c>
      <c r="AK56" s="87" t="s">
        <v>4199</v>
      </c>
      <c r="AL56" s="87" t="s">
        <v>1612</v>
      </c>
      <c r="AM56" s="23" t="s">
        <v>1612</v>
      </c>
      <c r="AN56" s="38" t="s">
        <v>1550</v>
      </c>
      <c r="AO56" s="38" t="s">
        <v>1550</v>
      </c>
      <c r="AP56" s="38" t="s">
        <v>1550</v>
      </c>
      <c r="AQ56" s="87" t="s">
        <v>1352</v>
      </c>
      <c r="AR56" s="88" t="s">
        <v>3451</v>
      </c>
      <c r="AS56" s="42" t="s">
        <v>1550</v>
      </c>
      <c r="AT56" s="42" t="s">
        <v>1804</v>
      </c>
      <c r="AU56" s="42" t="s">
        <v>4200</v>
      </c>
      <c r="AV56" s="42"/>
      <c r="AW56" s="42"/>
      <c r="AX56" s="42" t="s">
        <v>3709</v>
      </c>
      <c r="AY56" s="38" t="s">
        <v>1349</v>
      </c>
      <c r="AZ56" s="42" t="s">
        <v>4201</v>
      </c>
      <c r="BA56" s="42" t="s">
        <v>4202</v>
      </c>
      <c r="BB56" s="42" t="s">
        <v>1358</v>
      </c>
      <c r="BC56" s="42" t="s">
        <v>1358</v>
      </c>
      <c r="BD56" s="42" t="s">
        <v>1358</v>
      </c>
      <c r="BE56" s="42" t="s">
        <v>1810</v>
      </c>
      <c r="BF56" s="42"/>
      <c r="BG56" s="42"/>
      <c r="BH56" s="42">
        <v>5</v>
      </c>
      <c r="BI56" s="42">
        <v>10</v>
      </c>
      <c r="BJ56" s="42">
        <v>15</v>
      </c>
      <c r="BK56" s="42" t="s">
        <v>4164</v>
      </c>
      <c r="BL56" s="42" t="s">
        <v>4164</v>
      </c>
      <c r="BM56" s="42" t="s">
        <v>4164</v>
      </c>
      <c r="BN56" s="38" t="s">
        <v>1349</v>
      </c>
      <c r="BO56" s="42"/>
      <c r="BP56" s="42"/>
      <c r="BQ56" s="38" t="s">
        <v>1345</v>
      </c>
      <c r="BR56" s="38" t="s">
        <v>1345</v>
      </c>
      <c r="BS56" s="42" t="s">
        <v>1358</v>
      </c>
      <c r="BT56" s="38" t="s">
        <v>1383</v>
      </c>
      <c r="BU56" s="42" t="s">
        <v>4165</v>
      </c>
      <c r="BV56" s="38" t="s">
        <v>1349</v>
      </c>
      <c r="BW56" s="42"/>
      <c r="BX56" s="38" t="s">
        <v>1345</v>
      </c>
      <c r="BY56" s="42" t="s">
        <v>1362</v>
      </c>
      <c r="BZ56" s="38" t="s">
        <v>3600</v>
      </c>
      <c r="CA56" s="38" t="s">
        <v>4203</v>
      </c>
      <c r="CB56" s="42" t="s">
        <v>1935</v>
      </c>
      <c r="CC56" s="42" t="s">
        <v>1935</v>
      </c>
      <c r="CD56" s="38" t="s">
        <v>1935</v>
      </c>
      <c r="CE56" s="42">
        <v>24000</v>
      </c>
      <c r="CF56" s="42">
        <v>36000</v>
      </c>
      <c r="CG56" s="42">
        <v>8000</v>
      </c>
      <c r="CH56" s="42" t="s">
        <v>1935</v>
      </c>
      <c r="CI56" s="42" t="s">
        <v>1935</v>
      </c>
      <c r="CJ56" s="42" t="s">
        <v>1935</v>
      </c>
      <c r="CK56" s="42" t="s">
        <v>1904</v>
      </c>
      <c r="CL56" s="43">
        <v>0.1</v>
      </c>
      <c r="CM56" s="42" t="s">
        <v>1904</v>
      </c>
      <c r="CN56" s="43">
        <v>0.9</v>
      </c>
      <c r="CO56" s="42" t="s">
        <v>3451</v>
      </c>
      <c r="CP56" s="42"/>
      <c r="CQ56" s="42"/>
      <c r="CR56" s="42"/>
      <c r="CS56" s="42"/>
      <c r="CT56" s="42"/>
      <c r="CU56" s="38"/>
      <c r="CV56" s="42"/>
      <c r="CW56" s="38" t="s">
        <v>1345</v>
      </c>
      <c r="CX56" s="42" t="s">
        <v>1904</v>
      </c>
      <c r="CY56" s="42" t="s">
        <v>1904</v>
      </c>
      <c r="CZ56" s="42" t="s">
        <v>3750</v>
      </c>
      <c r="DA56" s="42" t="s">
        <v>3734</v>
      </c>
      <c r="DB56" s="42" t="s">
        <v>1808</v>
      </c>
      <c r="DC56" s="42" t="s">
        <v>3571</v>
      </c>
      <c r="DD56" s="42" t="s">
        <v>4167</v>
      </c>
      <c r="DE56" s="42" t="s">
        <v>4168</v>
      </c>
      <c r="DF56" s="42" t="s">
        <v>4204</v>
      </c>
      <c r="DG56" s="42" t="s">
        <v>4205</v>
      </c>
      <c r="DH56" s="42" t="s">
        <v>4171</v>
      </c>
      <c r="DI56" s="42" t="s">
        <v>3384</v>
      </c>
      <c r="DJ56" s="42" t="s">
        <v>4206</v>
      </c>
      <c r="DK56" s="42" t="s">
        <v>3384</v>
      </c>
      <c r="DL56" s="42" t="s">
        <v>4172</v>
      </c>
      <c r="DM56" s="42" t="s">
        <v>3384</v>
      </c>
      <c r="DN56" s="38" t="s">
        <v>1349</v>
      </c>
      <c r="DO56" s="42" t="s">
        <v>1358</v>
      </c>
      <c r="DP56" s="38" t="s">
        <v>1349</v>
      </c>
      <c r="DQ56" s="42" t="s">
        <v>1358</v>
      </c>
      <c r="DR56" s="38" t="s">
        <v>1349</v>
      </c>
      <c r="DS56" s="42"/>
      <c r="DT56" s="42"/>
      <c r="DU56" s="42"/>
      <c r="DV56" s="38" t="s">
        <v>1345</v>
      </c>
      <c r="DW56" s="42" t="s">
        <v>1945</v>
      </c>
      <c r="DX56" s="38" t="s">
        <v>1345</v>
      </c>
      <c r="DY56" s="38" t="s">
        <v>1349</v>
      </c>
      <c r="DZ56" s="42" t="s">
        <v>4191</v>
      </c>
      <c r="EA56" s="38" t="s">
        <v>1345</v>
      </c>
      <c r="EB56" s="38" t="s">
        <v>1345</v>
      </c>
      <c r="EC56" s="38" t="s">
        <v>1345</v>
      </c>
      <c r="ED56" s="42" t="s">
        <v>4207</v>
      </c>
      <c r="EE56" s="43">
        <v>0.1</v>
      </c>
      <c r="EF56" s="42" t="s">
        <v>3580</v>
      </c>
      <c r="EG56" s="38" t="s">
        <v>1349</v>
      </c>
      <c r="EH56" s="42"/>
      <c r="EI56" s="42" t="s">
        <v>4208</v>
      </c>
      <c r="EJ56" s="42" t="s">
        <v>3754</v>
      </c>
      <c r="EK56" s="38" t="s">
        <v>3613</v>
      </c>
      <c r="EL56" s="38" t="s">
        <v>1389</v>
      </c>
      <c r="EM56" s="38">
        <v>1</v>
      </c>
      <c r="EN56" s="42" t="s">
        <v>4209</v>
      </c>
      <c r="EO56" s="38">
        <v>1</v>
      </c>
      <c r="EP56" s="42" t="s">
        <v>4210</v>
      </c>
      <c r="EQ56" s="38">
        <v>2</v>
      </c>
      <c r="ER56" s="42" t="s">
        <v>4211</v>
      </c>
      <c r="ES56" s="38">
        <v>5</v>
      </c>
      <c r="ET56" s="42" t="s">
        <v>4177</v>
      </c>
      <c r="EU56" s="38">
        <v>5</v>
      </c>
      <c r="EV56" s="42" t="s">
        <v>4194</v>
      </c>
      <c r="EW56" s="38">
        <v>2</v>
      </c>
      <c r="EX56" s="42" t="s">
        <v>4179</v>
      </c>
      <c r="EY56" s="38">
        <v>1</v>
      </c>
      <c r="EZ56" s="42" t="s">
        <v>4212</v>
      </c>
    </row>
    <row r="57" spans="1:157">
      <c r="A57" s="17">
        <v>601</v>
      </c>
      <c r="B57" s="22">
        <v>73</v>
      </c>
      <c r="C57" s="38" t="s">
        <v>4351</v>
      </c>
      <c r="D57" s="39">
        <v>43779</v>
      </c>
      <c r="E57" s="38" t="s">
        <v>4355</v>
      </c>
      <c r="F57" s="40" t="s">
        <v>1728</v>
      </c>
      <c r="G57" s="40" t="s">
        <v>4091</v>
      </c>
      <c r="H57" s="38" t="s">
        <v>1075</v>
      </c>
      <c r="I57" s="38" t="s">
        <v>1071</v>
      </c>
      <c r="J57" s="38" t="s">
        <v>4091</v>
      </c>
      <c r="K57" s="38" t="s">
        <v>4345</v>
      </c>
      <c r="L57" s="42">
        <v>10</v>
      </c>
      <c r="M57" s="42" t="s">
        <v>3539</v>
      </c>
      <c r="N57" s="42" t="s">
        <v>1343</v>
      </c>
      <c r="O57" s="42" t="s">
        <v>531</v>
      </c>
      <c r="P57" s="42" t="s">
        <v>4356</v>
      </c>
      <c r="Q57" s="38">
        <v>70299596</v>
      </c>
      <c r="R57" s="38" t="s">
        <v>1383</v>
      </c>
      <c r="S57" s="38">
        <v>7</v>
      </c>
      <c r="T57" s="42" t="s">
        <v>1346</v>
      </c>
      <c r="U57" s="38">
        <v>2010</v>
      </c>
      <c r="V57" s="42" t="s">
        <v>4296</v>
      </c>
      <c r="W57" s="42" t="s">
        <v>4297</v>
      </c>
      <c r="X57" s="38" t="s">
        <v>1349</v>
      </c>
      <c r="Y57" s="38"/>
      <c r="Z57" s="38"/>
      <c r="AA57" s="38">
        <v>12</v>
      </c>
      <c r="AB57" s="38" t="s">
        <v>1383</v>
      </c>
      <c r="AC57" s="38" t="s">
        <v>4333</v>
      </c>
      <c r="AD57" s="38" t="s">
        <v>1383</v>
      </c>
      <c r="AE57" s="38" t="s">
        <v>1349</v>
      </c>
      <c r="AF57" s="38" t="s">
        <v>1349</v>
      </c>
      <c r="AG57" s="38" t="s">
        <v>1349</v>
      </c>
      <c r="AH57" s="42" t="s">
        <v>1366</v>
      </c>
      <c r="AI57" s="38" t="s">
        <v>3384</v>
      </c>
      <c r="AJ57" s="38" t="s">
        <v>1349</v>
      </c>
      <c r="AK57" s="87" t="s">
        <v>4199</v>
      </c>
      <c r="AL57" s="87" t="s">
        <v>1612</v>
      </c>
      <c r="AM57" s="23" t="s">
        <v>1612</v>
      </c>
      <c r="AN57" s="38" t="s">
        <v>1550</v>
      </c>
      <c r="AO57" s="38" t="s">
        <v>1550</v>
      </c>
      <c r="AP57" s="38" t="s">
        <v>1550</v>
      </c>
      <c r="AQ57" s="87" t="s">
        <v>1352</v>
      </c>
      <c r="AR57" s="88" t="s">
        <v>3451</v>
      </c>
      <c r="AS57" s="42" t="s">
        <v>1550</v>
      </c>
      <c r="AT57" s="42" t="s">
        <v>1804</v>
      </c>
      <c r="AU57" s="42"/>
      <c r="AV57" s="42">
        <v>1000</v>
      </c>
      <c r="AW57" s="42" t="s">
        <v>4334</v>
      </c>
      <c r="AX57" s="42" t="s">
        <v>4309</v>
      </c>
      <c r="AY57" s="38" t="s">
        <v>1349</v>
      </c>
      <c r="AZ57" s="42" t="s">
        <v>4357</v>
      </c>
      <c r="BA57" s="42" t="s">
        <v>4346</v>
      </c>
      <c r="BB57" s="42" t="s">
        <v>1358</v>
      </c>
      <c r="BC57" s="42" t="s">
        <v>1358</v>
      </c>
      <c r="BD57" s="42" t="s">
        <v>1358</v>
      </c>
      <c r="BE57" s="42" t="s">
        <v>1810</v>
      </c>
      <c r="BF57" s="42"/>
      <c r="BG57" s="42"/>
      <c r="BH57" s="42">
        <v>15</v>
      </c>
      <c r="BI57" s="42">
        <v>15</v>
      </c>
      <c r="BJ57" s="42">
        <v>20</v>
      </c>
      <c r="BK57" s="42" t="s">
        <v>4164</v>
      </c>
      <c r="BL57" s="42" t="s">
        <v>4164</v>
      </c>
      <c r="BM57" s="42" t="s">
        <v>4164</v>
      </c>
      <c r="BN57" s="38" t="s">
        <v>1349</v>
      </c>
      <c r="BO57" s="42"/>
      <c r="BP57" s="42"/>
      <c r="BQ57" s="38" t="s">
        <v>1383</v>
      </c>
      <c r="BR57" s="38" t="s">
        <v>1383</v>
      </c>
      <c r="BS57" s="42" t="s">
        <v>1358</v>
      </c>
      <c r="BT57" s="38" t="s">
        <v>1383</v>
      </c>
      <c r="BU57" s="42" t="s">
        <v>4165</v>
      </c>
      <c r="BV57" s="38" t="s">
        <v>1349</v>
      </c>
      <c r="BW57" s="42"/>
      <c r="BX57" s="38" t="s">
        <v>1383</v>
      </c>
      <c r="BY57" s="42" t="s">
        <v>1362</v>
      </c>
      <c r="BZ57" s="38" t="s">
        <v>4261</v>
      </c>
      <c r="CA57" s="38" t="s">
        <v>4347</v>
      </c>
      <c r="CB57" s="42" t="s">
        <v>1935</v>
      </c>
      <c r="CC57" s="42" t="s">
        <v>1935</v>
      </c>
      <c r="CD57" s="42" t="s">
        <v>1935</v>
      </c>
      <c r="CE57" s="42">
        <v>20000</v>
      </c>
      <c r="CF57" s="42">
        <v>30000</v>
      </c>
      <c r="CG57" s="42">
        <v>20000</v>
      </c>
      <c r="CH57" s="42" t="s">
        <v>1935</v>
      </c>
      <c r="CI57" s="42" t="s">
        <v>1935</v>
      </c>
      <c r="CJ57" s="42" t="s">
        <v>1935</v>
      </c>
      <c r="CK57" s="43">
        <v>0.6</v>
      </c>
      <c r="CL57" s="43">
        <v>0.6</v>
      </c>
      <c r="CM57" s="43">
        <v>0.4</v>
      </c>
      <c r="CN57" s="43">
        <v>0.4</v>
      </c>
      <c r="CO57" s="42" t="s">
        <v>3451</v>
      </c>
      <c r="CP57" s="42"/>
      <c r="CQ57" s="42"/>
      <c r="CR57" s="42"/>
      <c r="CS57" s="42"/>
      <c r="CT57" s="42"/>
      <c r="CU57" s="38"/>
      <c r="CV57" s="42"/>
      <c r="CW57" s="38" t="s">
        <v>1383</v>
      </c>
      <c r="CX57" s="42" t="s">
        <v>1904</v>
      </c>
      <c r="CY57" s="42" t="s">
        <v>1904</v>
      </c>
      <c r="CZ57" s="42" t="s">
        <v>3750</v>
      </c>
      <c r="DA57" s="42" t="s">
        <v>4276</v>
      </c>
      <c r="DB57" s="42" t="s">
        <v>3388</v>
      </c>
      <c r="DC57" s="55" t="s">
        <v>3571</v>
      </c>
      <c r="DD57" s="55" t="s">
        <v>4167</v>
      </c>
      <c r="DE57" s="55" t="s">
        <v>4291</v>
      </c>
      <c r="DF57" s="55" t="s">
        <v>4169</v>
      </c>
      <c r="DG57" s="55" t="s">
        <v>4236</v>
      </c>
      <c r="DH57" s="42" t="s">
        <v>1978</v>
      </c>
      <c r="DI57" s="42" t="s">
        <v>3384</v>
      </c>
      <c r="DJ57" s="42" t="s">
        <v>3384</v>
      </c>
      <c r="DK57" s="42" t="s">
        <v>3384</v>
      </c>
      <c r="DL57" s="51" t="s">
        <v>4172</v>
      </c>
      <c r="DM57" s="51" t="s">
        <v>3384</v>
      </c>
      <c r="DN57" s="38" t="s">
        <v>1349</v>
      </c>
      <c r="DO57" s="42" t="s">
        <v>1358</v>
      </c>
      <c r="DP57" s="38" t="s">
        <v>1358</v>
      </c>
      <c r="DQ57" s="42" t="s">
        <v>1349</v>
      </c>
      <c r="DR57" s="38" t="s">
        <v>1349</v>
      </c>
      <c r="DS57" s="42"/>
      <c r="DT57" s="42"/>
      <c r="DU57" s="42"/>
      <c r="DV57" s="38" t="s">
        <v>1383</v>
      </c>
      <c r="DW57" s="42" t="s">
        <v>4263</v>
      </c>
      <c r="DX57" s="38" t="s">
        <v>1383</v>
      </c>
      <c r="DY57" s="38" t="s">
        <v>1342</v>
      </c>
      <c r="DZ57" s="42" t="s">
        <v>4325</v>
      </c>
      <c r="EA57" s="38" t="s">
        <v>1383</v>
      </c>
      <c r="EB57" s="38" t="s">
        <v>1383</v>
      </c>
      <c r="EC57" s="38" t="s">
        <v>1383</v>
      </c>
      <c r="ED57" s="42" t="s">
        <v>4312</v>
      </c>
      <c r="EE57" s="43">
        <v>0.2</v>
      </c>
      <c r="EF57" s="42" t="s">
        <v>3580</v>
      </c>
      <c r="EG57" s="38" t="s">
        <v>1349</v>
      </c>
      <c r="EH57" s="42"/>
      <c r="EI57" s="42" t="s">
        <v>4349</v>
      </c>
      <c r="EJ57" s="42" t="s">
        <v>4267</v>
      </c>
      <c r="EK57" s="42" t="s">
        <v>4350</v>
      </c>
      <c r="EL57" s="38" t="s">
        <v>1389</v>
      </c>
      <c r="EM57" s="38">
        <v>4</v>
      </c>
      <c r="EN57" s="42" t="s">
        <v>4344</v>
      </c>
      <c r="EO57" s="38">
        <v>1</v>
      </c>
      <c r="EP57" s="42" t="s">
        <v>3451</v>
      </c>
      <c r="EQ57" s="38">
        <v>2</v>
      </c>
      <c r="ER57" s="42" t="s">
        <v>4339</v>
      </c>
      <c r="ES57" s="38">
        <v>5</v>
      </c>
      <c r="ET57" s="42" t="s">
        <v>4177</v>
      </c>
      <c r="EU57" s="38">
        <v>5</v>
      </c>
      <c r="EV57" s="42" t="s">
        <v>4178</v>
      </c>
      <c r="EW57" s="38">
        <v>2</v>
      </c>
      <c r="EX57" s="42" t="s">
        <v>4179</v>
      </c>
      <c r="EY57" s="38">
        <v>1</v>
      </c>
      <c r="EZ57" s="42" t="s">
        <v>4269</v>
      </c>
    </row>
    <row r="58" spans="1:157">
      <c r="A58" s="17">
        <v>602</v>
      </c>
      <c r="B58" s="22">
        <v>43</v>
      </c>
      <c r="C58" s="23" t="s">
        <v>1337</v>
      </c>
      <c r="D58" s="24">
        <v>43777</v>
      </c>
      <c r="E58" s="23" t="s">
        <v>4080</v>
      </c>
      <c r="F58" s="25"/>
      <c r="G58" s="25" t="s">
        <v>3981</v>
      </c>
      <c r="H58" s="23" t="s">
        <v>3901</v>
      </c>
      <c r="I58" s="23" t="s">
        <v>3902</v>
      </c>
      <c r="J58" s="23" t="s">
        <v>3982</v>
      </c>
      <c r="K58" s="23" t="s">
        <v>4081</v>
      </c>
      <c r="L58" s="32">
        <v>7</v>
      </c>
      <c r="M58" s="23" t="s">
        <v>1342</v>
      </c>
      <c r="N58" s="23" t="s">
        <v>1343</v>
      </c>
      <c r="O58" s="22" t="s">
        <v>4082</v>
      </c>
      <c r="P58" s="22" t="s">
        <v>4083</v>
      </c>
      <c r="Q58" s="23">
        <v>79364985</v>
      </c>
      <c r="R58" s="23" t="s">
        <v>1383</v>
      </c>
      <c r="S58" s="23">
        <v>3</v>
      </c>
      <c r="T58" s="23" t="s">
        <v>1346</v>
      </c>
      <c r="U58" s="23">
        <v>2010</v>
      </c>
      <c r="V58" s="22" t="s">
        <v>2896</v>
      </c>
      <c r="W58" s="22" t="s">
        <v>4000</v>
      </c>
      <c r="X58" s="23" t="s">
        <v>1862</v>
      </c>
      <c r="Y58" s="23">
        <v>2018</v>
      </c>
      <c r="Z58" s="23"/>
      <c r="AA58" s="23">
        <v>17</v>
      </c>
      <c r="AB58" s="23"/>
      <c r="AC58" s="23">
        <v>1</v>
      </c>
      <c r="AD58" s="23" t="s">
        <v>1383</v>
      </c>
      <c r="AE58" s="23" t="s">
        <v>1342</v>
      </c>
      <c r="AF58" s="23" t="s">
        <v>1342</v>
      </c>
      <c r="AG58" s="23" t="s">
        <v>1342</v>
      </c>
      <c r="AH58" s="23" t="s">
        <v>1342</v>
      </c>
      <c r="AI58" s="23"/>
      <c r="AJ58" s="23" t="s">
        <v>1342</v>
      </c>
      <c r="AK58" s="22" t="s">
        <v>4199</v>
      </c>
      <c r="AL58" s="87" t="s">
        <v>1612</v>
      </c>
      <c r="AM58" s="23" t="s">
        <v>1612</v>
      </c>
      <c r="AN58" s="23" t="s">
        <v>1612</v>
      </c>
      <c r="AO58" s="23" t="s">
        <v>1612</v>
      </c>
      <c r="AP58" s="23" t="s">
        <v>1612</v>
      </c>
      <c r="AQ58" s="68" t="s">
        <v>1352</v>
      </c>
      <c r="AR58" s="23" t="s">
        <v>1612</v>
      </c>
      <c r="AS58" s="42" t="s">
        <v>1550</v>
      </c>
      <c r="AT58" s="22"/>
      <c r="AU58" s="22">
        <v>9600</v>
      </c>
      <c r="AV58" s="22">
        <v>30000</v>
      </c>
      <c r="AW58" s="22" t="s">
        <v>2955</v>
      </c>
      <c r="AX58" s="22" t="s">
        <v>4002</v>
      </c>
      <c r="AY58" s="23" t="s">
        <v>1349</v>
      </c>
      <c r="AZ58" s="22" t="s">
        <v>3985</v>
      </c>
      <c r="BA58" s="22" t="s">
        <v>4003</v>
      </c>
      <c r="BB58" s="22" t="s">
        <v>1358</v>
      </c>
      <c r="BC58" s="22" t="s">
        <v>1358</v>
      </c>
      <c r="BD58" s="22" t="s">
        <v>1358</v>
      </c>
      <c r="BE58" s="22" t="s">
        <v>4081</v>
      </c>
      <c r="BF58" s="22"/>
      <c r="BG58" s="22"/>
      <c r="BH58" s="22">
        <v>2</v>
      </c>
      <c r="BI58" s="22">
        <v>4</v>
      </c>
      <c r="BJ58" s="22"/>
      <c r="BK58" s="22" t="s">
        <v>1702</v>
      </c>
      <c r="BL58" s="22" t="s">
        <v>1702</v>
      </c>
      <c r="BM58" s="22"/>
      <c r="BN58" s="23" t="s">
        <v>1342</v>
      </c>
      <c r="BO58" s="22"/>
      <c r="BP58" s="22"/>
      <c r="BQ58" s="23" t="s">
        <v>1383</v>
      </c>
      <c r="BR58" s="23" t="s">
        <v>1342</v>
      </c>
      <c r="BS58" s="27">
        <v>0</v>
      </c>
      <c r="BT58" s="23" t="s">
        <v>1383</v>
      </c>
      <c r="BU58" s="22" t="s">
        <v>4058</v>
      </c>
      <c r="BV58" s="23" t="s">
        <v>1342</v>
      </c>
      <c r="BW58" s="22"/>
      <c r="BX58" s="23" t="s">
        <v>1383</v>
      </c>
      <c r="BY58" s="22" t="s">
        <v>1362</v>
      </c>
      <c r="BZ58" s="22" t="s">
        <v>3075</v>
      </c>
      <c r="CA58" s="22" t="s">
        <v>4081</v>
      </c>
      <c r="CB58" s="22" t="s">
        <v>1364</v>
      </c>
      <c r="CC58" s="22" t="s">
        <v>1364</v>
      </c>
      <c r="CD58" s="22" t="s">
        <v>1364</v>
      </c>
      <c r="CE58" s="22">
        <v>4335</v>
      </c>
      <c r="CF58" s="22">
        <v>4335</v>
      </c>
      <c r="CG58" s="22">
        <v>5780</v>
      </c>
      <c r="CH58" s="22">
        <v>0</v>
      </c>
      <c r="CI58" s="22">
        <v>0</v>
      </c>
      <c r="CJ58" s="22">
        <v>0</v>
      </c>
      <c r="CK58" s="27">
        <v>0.6</v>
      </c>
      <c r="CL58" s="27">
        <v>0.6</v>
      </c>
      <c r="CM58" s="27">
        <v>0.4</v>
      </c>
      <c r="CN58" s="27">
        <v>0.4</v>
      </c>
      <c r="CO58" s="22"/>
      <c r="CP58" s="22"/>
      <c r="CQ58" s="22"/>
      <c r="CR58" s="22"/>
      <c r="CS58" s="22"/>
      <c r="CT58" s="22"/>
      <c r="CU58" s="23"/>
      <c r="CV58" s="22"/>
      <c r="CW58" s="23" t="s">
        <v>1383</v>
      </c>
      <c r="CX58" s="27">
        <v>0.1</v>
      </c>
      <c r="CY58" s="27">
        <v>0.8</v>
      </c>
      <c r="CZ58" s="22" t="s">
        <v>4047</v>
      </c>
      <c r="DA58" s="22" t="s">
        <v>4084</v>
      </c>
      <c r="DB58" s="22">
        <v>10</v>
      </c>
      <c r="DC58" s="22"/>
      <c r="DD58" s="22" t="s">
        <v>4017</v>
      </c>
      <c r="DE58" s="22" t="s">
        <v>4018</v>
      </c>
      <c r="DF58" s="22" t="s">
        <v>4019</v>
      </c>
      <c r="DG58" s="22"/>
      <c r="DH58" s="22" t="s">
        <v>4072</v>
      </c>
      <c r="DI58" s="22"/>
      <c r="DJ58" s="22"/>
      <c r="DK58" s="22"/>
      <c r="DL58" s="22" t="s">
        <v>4073</v>
      </c>
      <c r="DM58" s="22"/>
      <c r="DN58" s="23" t="s">
        <v>1383</v>
      </c>
      <c r="DO58" s="22" t="s">
        <v>3102</v>
      </c>
      <c r="DP58" s="23" t="s">
        <v>1383</v>
      </c>
      <c r="DQ58" s="22" t="s">
        <v>4006</v>
      </c>
      <c r="DR58" s="23" t="s">
        <v>1342</v>
      </c>
      <c r="DS58" s="22"/>
      <c r="DT58" s="22"/>
      <c r="DU58" s="22"/>
      <c r="DV58" s="23" t="s">
        <v>1383</v>
      </c>
      <c r="DW58" s="22" t="s">
        <v>2947</v>
      </c>
      <c r="DX58" s="23" t="s">
        <v>1383</v>
      </c>
      <c r="DY58" s="23" t="s">
        <v>1342</v>
      </c>
      <c r="DZ58" s="22" t="s">
        <v>4052</v>
      </c>
      <c r="EA58" s="23" t="s">
        <v>1383</v>
      </c>
      <c r="EB58" s="23" t="s">
        <v>1383</v>
      </c>
      <c r="EC58" s="23" t="s">
        <v>1383</v>
      </c>
      <c r="ED58" s="22" t="s">
        <v>4007</v>
      </c>
      <c r="EE58" s="27">
        <v>0.4</v>
      </c>
      <c r="EF58" s="23" t="s">
        <v>4078</v>
      </c>
      <c r="EG58" s="23" t="s">
        <v>1342</v>
      </c>
      <c r="EH58" s="22"/>
      <c r="EI58" s="22"/>
      <c r="EJ58" s="22"/>
      <c r="EK58" s="22"/>
      <c r="EL58" s="23" t="s">
        <v>1389</v>
      </c>
      <c r="EM58" s="23">
        <v>2</v>
      </c>
      <c r="EN58" s="22" t="s">
        <v>4008</v>
      </c>
      <c r="EO58" s="23">
        <v>0</v>
      </c>
      <c r="EP58" s="22" t="s">
        <v>3020</v>
      </c>
      <c r="EQ58" s="23">
        <v>2</v>
      </c>
      <c r="ER58" s="22" t="s">
        <v>4085</v>
      </c>
      <c r="ES58" s="23">
        <v>4</v>
      </c>
      <c r="ET58" s="22" t="s">
        <v>4086</v>
      </c>
      <c r="EU58" s="23">
        <v>3</v>
      </c>
      <c r="EV58" s="22" t="s">
        <v>3108</v>
      </c>
      <c r="EW58" s="23">
        <v>2</v>
      </c>
      <c r="EX58" s="22" t="s">
        <v>4087</v>
      </c>
      <c r="EY58" s="23">
        <v>0</v>
      </c>
      <c r="EZ58" s="22" t="s">
        <v>2974</v>
      </c>
    </row>
    <row r="59" spans="1:157">
      <c r="A59" s="17">
        <v>603</v>
      </c>
      <c r="B59" s="22">
        <v>17</v>
      </c>
      <c r="C59" s="23" t="s">
        <v>2278</v>
      </c>
      <c r="D59" s="24">
        <v>43775</v>
      </c>
      <c r="E59" s="23" t="s">
        <v>3855</v>
      </c>
      <c r="F59" s="25"/>
      <c r="G59" s="25"/>
      <c r="H59" s="23" t="s">
        <v>1075</v>
      </c>
      <c r="I59" s="23" t="s">
        <v>1071</v>
      </c>
      <c r="J59" s="23" t="s">
        <v>3856</v>
      </c>
      <c r="K59" s="23" t="s">
        <v>3857</v>
      </c>
      <c r="L59" s="32">
        <v>20</v>
      </c>
      <c r="M59" s="23" t="s">
        <v>3858</v>
      </c>
      <c r="N59" s="23" t="s">
        <v>1343</v>
      </c>
      <c r="O59" s="23" t="s">
        <v>767</v>
      </c>
      <c r="P59" s="23" t="s">
        <v>3859</v>
      </c>
      <c r="Q59" s="23" t="s">
        <v>3860</v>
      </c>
      <c r="R59" s="23" t="s">
        <v>1345</v>
      </c>
      <c r="S59" s="23">
        <v>3</v>
      </c>
      <c r="T59" s="23" t="s">
        <v>1346</v>
      </c>
      <c r="U59" s="23">
        <v>2012</v>
      </c>
      <c r="V59" s="23" t="s">
        <v>3760</v>
      </c>
      <c r="W59" s="23" t="s">
        <v>3793</v>
      </c>
      <c r="X59" s="23" t="s">
        <v>1349</v>
      </c>
      <c r="Y59" s="23" t="s">
        <v>2300</v>
      </c>
      <c r="Z59" s="23" t="s">
        <v>2300</v>
      </c>
      <c r="AA59" s="23">
        <v>22</v>
      </c>
      <c r="AB59" s="23" t="s">
        <v>1345</v>
      </c>
      <c r="AC59" s="23">
        <v>2</v>
      </c>
      <c r="AD59" s="23" t="s">
        <v>1345</v>
      </c>
      <c r="AE59" s="23" t="s">
        <v>1345</v>
      </c>
      <c r="AF59" s="23" t="s">
        <v>1349</v>
      </c>
      <c r="AG59" s="23" t="s">
        <v>1349</v>
      </c>
      <c r="AH59" s="23" t="s">
        <v>2300</v>
      </c>
      <c r="AI59" s="23">
        <v>2013</v>
      </c>
      <c r="AJ59" s="23" t="s">
        <v>1349</v>
      </c>
      <c r="AK59" s="23" t="s">
        <v>2290</v>
      </c>
      <c r="AL59" s="68" t="s">
        <v>1612</v>
      </c>
      <c r="AM59" s="23" t="s">
        <v>1612</v>
      </c>
      <c r="AN59" s="23" t="s">
        <v>1612</v>
      </c>
      <c r="AO59" s="23" t="s">
        <v>1612</v>
      </c>
      <c r="AP59" s="23" t="s">
        <v>1612</v>
      </c>
      <c r="AQ59" s="71" t="s">
        <v>1352</v>
      </c>
      <c r="AR59" s="23" t="s">
        <v>1352</v>
      </c>
      <c r="AS59" s="23" t="s">
        <v>1802</v>
      </c>
      <c r="AT59" s="23" t="s">
        <v>1358</v>
      </c>
      <c r="AU59" s="23" t="s">
        <v>2249</v>
      </c>
      <c r="AV59" s="23">
        <v>1000</v>
      </c>
      <c r="AW59" s="23" t="s">
        <v>2397</v>
      </c>
      <c r="AX59" s="23" t="s">
        <v>2430</v>
      </c>
      <c r="AY59" s="23" t="s">
        <v>1349</v>
      </c>
      <c r="AZ59" s="23" t="s">
        <v>3762</v>
      </c>
      <c r="BA59" s="23" t="s">
        <v>2361</v>
      </c>
      <c r="BB59" s="23" t="s">
        <v>2647</v>
      </c>
      <c r="BC59" s="23" t="s">
        <v>2647</v>
      </c>
      <c r="BD59" s="23" t="s">
        <v>2289</v>
      </c>
      <c r="BE59" s="23" t="s">
        <v>3857</v>
      </c>
      <c r="BF59" s="23"/>
      <c r="BG59" s="23"/>
      <c r="BH59" s="23">
        <v>7</v>
      </c>
      <c r="BI59" s="23">
        <v>7</v>
      </c>
      <c r="BJ59" s="23">
        <v>15</v>
      </c>
      <c r="BK59" s="22" t="s">
        <v>1434</v>
      </c>
      <c r="BL59" s="22" t="s">
        <v>1702</v>
      </c>
      <c r="BM59" s="22" t="s">
        <v>1702</v>
      </c>
      <c r="BN59" s="23" t="s">
        <v>1349</v>
      </c>
      <c r="BO59" s="23" t="s">
        <v>2767</v>
      </c>
      <c r="BP59" s="23" t="s">
        <v>2767</v>
      </c>
      <c r="BQ59" s="23" t="s">
        <v>1349</v>
      </c>
      <c r="BR59" s="23" t="s">
        <v>1349</v>
      </c>
      <c r="BS59" s="23" t="s">
        <v>2643</v>
      </c>
      <c r="BT59" s="23" t="s">
        <v>1349</v>
      </c>
      <c r="BU59" s="23" t="s">
        <v>3830</v>
      </c>
      <c r="BV59" s="23" t="s">
        <v>1349</v>
      </c>
      <c r="BW59" s="23" t="s">
        <v>2300</v>
      </c>
      <c r="BX59" s="23" t="s">
        <v>1345</v>
      </c>
      <c r="BY59" s="23" t="s">
        <v>2302</v>
      </c>
      <c r="BZ59" s="23" t="s">
        <v>2767</v>
      </c>
      <c r="CA59" s="23" t="s">
        <v>2767</v>
      </c>
      <c r="CB59" s="23" t="s">
        <v>2289</v>
      </c>
      <c r="CC59" s="23" t="s">
        <v>2289</v>
      </c>
      <c r="CD59" s="23" t="s">
        <v>2289</v>
      </c>
      <c r="CE59" s="23">
        <v>1500</v>
      </c>
      <c r="CF59" s="23">
        <v>1000</v>
      </c>
      <c r="CG59" s="23">
        <v>1500</v>
      </c>
      <c r="CH59" s="23">
        <v>30</v>
      </c>
      <c r="CI59" s="23">
        <v>20</v>
      </c>
      <c r="CJ59" s="23">
        <v>0</v>
      </c>
      <c r="CK59" s="27">
        <v>0.6</v>
      </c>
      <c r="CL59" s="27">
        <v>0.2</v>
      </c>
      <c r="CM59" s="27">
        <v>0.4</v>
      </c>
      <c r="CN59" s="26">
        <v>0.8</v>
      </c>
      <c r="CO59" s="23" t="s">
        <v>2652</v>
      </c>
      <c r="CP59" s="23" t="s">
        <v>2289</v>
      </c>
      <c r="CQ59" s="23" t="s">
        <v>2767</v>
      </c>
      <c r="CR59" s="23">
        <v>0.8</v>
      </c>
      <c r="CS59" s="23" t="s">
        <v>3764</v>
      </c>
      <c r="CT59" s="23" t="s">
        <v>3765</v>
      </c>
      <c r="CU59" s="23" t="s">
        <v>1345</v>
      </c>
      <c r="CV59" s="23" t="s">
        <v>2407</v>
      </c>
      <c r="CW59" s="23" t="s">
        <v>1345</v>
      </c>
      <c r="CX59" s="26">
        <v>0.1</v>
      </c>
      <c r="CY59" s="26">
        <v>0.9</v>
      </c>
      <c r="CZ59" s="23" t="s">
        <v>2311</v>
      </c>
      <c r="DA59" s="23" t="s">
        <v>3766</v>
      </c>
      <c r="DB59" s="23" t="s">
        <v>1903</v>
      </c>
      <c r="DC59" s="23" t="s">
        <v>2643</v>
      </c>
      <c r="DD59" s="22" t="s">
        <v>2792</v>
      </c>
      <c r="DE59" s="23" t="s">
        <v>3767</v>
      </c>
      <c r="DF59" s="23" t="s">
        <v>3768</v>
      </c>
      <c r="DG59" s="23" t="s">
        <v>3769</v>
      </c>
      <c r="DH59" s="23" t="s">
        <v>2794</v>
      </c>
      <c r="DI59" s="23" t="s">
        <v>1556</v>
      </c>
      <c r="DJ59" s="23" t="s">
        <v>1556</v>
      </c>
      <c r="DK59" s="23" t="s">
        <v>1556</v>
      </c>
      <c r="DL59" s="23" t="s">
        <v>3770</v>
      </c>
      <c r="DM59" s="23" t="s">
        <v>3771</v>
      </c>
      <c r="DN59" s="23" t="s">
        <v>1345</v>
      </c>
      <c r="DO59" s="23" t="s">
        <v>3772</v>
      </c>
      <c r="DP59" s="23" t="s">
        <v>1349</v>
      </c>
      <c r="DQ59" s="23" t="s">
        <v>2647</v>
      </c>
      <c r="DR59" s="23" t="s">
        <v>1349</v>
      </c>
      <c r="DS59" s="23" t="s">
        <v>1556</v>
      </c>
      <c r="DT59" s="23" t="s">
        <v>2300</v>
      </c>
      <c r="DU59" s="23" t="s">
        <v>2300</v>
      </c>
      <c r="DV59" s="23" t="s">
        <v>1345</v>
      </c>
      <c r="DW59" s="23" t="s">
        <v>2797</v>
      </c>
      <c r="DX59" s="23" t="s">
        <v>1345</v>
      </c>
      <c r="DY59" s="23" t="s">
        <v>1349</v>
      </c>
      <c r="DZ59" s="23" t="s">
        <v>3773</v>
      </c>
      <c r="EA59" s="23" t="s">
        <v>1345</v>
      </c>
      <c r="EB59" s="23" t="s">
        <v>1345</v>
      </c>
      <c r="EC59" s="23" t="s">
        <v>1345</v>
      </c>
      <c r="ED59" s="23" t="s">
        <v>2353</v>
      </c>
      <c r="EE59" s="27">
        <v>0.05</v>
      </c>
      <c r="EF59" s="23" t="s">
        <v>2370</v>
      </c>
      <c r="EG59" s="23" t="s">
        <v>1349</v>
      </c>
      <c r="EH59" s="23" t="s">
        <v>2300</v>
      </c>
      <c r="EI59" s="23" t="s">
        <v>2326</v>
      </c>
      <c r="EJ59" s="22"/>
      <c r="EK59" s="23" t="s">
        <v>3774</v>
      </c>
      <c r="EL59" s="23" t="s">
        <v>1389</v>
      </c>
      <c r="EM59" s="23">
        <v>3</v>
      </c>
      <c r="EN59" s="23" t="s">
        <v>3861</v>
      </c>
      <c r="EO59" s="23">
        <v>3</v>
      </c>
      <c r="EP59" s="23" t="s">
        <v>3796</v>
      </c>
      <c r="EQ59" s="23">
        <v>3</v>
      </c>
      <c r="ER59" s="22" t="s">
        <v>3777</v>
      </c>
      <c r="ES59" s="23">
        <v>4</v>
      </c>
      <c r="ET59" s="22" t="s">
        <v>3778</v>
      </c>
      <c r="EU59" s="23">
        <v>4</v>
      </c>
      <c r="EV59" s="22" t="s">
        <v>3779</v>
      </c>
      <c r="EW59" s="23">
        <v>2</v>
      </c>
      <c r="EX59" s="22" t="s">
        <v>3862</v>
      </c>
      <c r="EY59" s="23">
        <v>2</v>
      </c>
      <c r="EZ59" s="22" t="s">
        <v>2424</v>
      </c>
    </row>
    <row r="60" spans="1:157">
      <c r="A60" s="17">
        <v>604</v>
      </c>
      <c r="B60" s="22">
        <v>65</v>
      </c>
      <c r="C60" s="38" t="s">
        <v>1795</v>
      </c>
      <c r="D60" s="39">
        <v>43774</v>
      </c>
      <c r="E60" s="38" t="s">
        <v>4157</v>
      </c>
      <c r="F60" s="38" t="s">
        <v>1728</v>
      </c>
      <c r="G60" s="38" t="s">
        <v>3856</v>
      </c>
      <c r="H60" s="38" t="s">
        <v>1075</v>
      </c>
      <c r="I60" s="38" t="s">
        <v>1071</v>
      </c>
      <c r="J60" s="23" t="s">
        <v>3856</v>
      </c>
      <c r="K60" s="38" t="s">
        <v>4294</v>
      </c>
      <c r="L60" s="42">
        <v>20</v>
      </c>
      <c r="M60" s="42" t="s">
        <v>3395</v>
      </c>
      <c r="N60" s="42" t="s">
        <v>1343</v>
      </c>
      <c r="O60" s="42" t="s">
        <v>670</v>
      </c>
      <c r="P60" s="42" t="s">
        <v>4295</v>
      </c>
      <c r="Q60" s="38">
        <v>77276052</v>
      </c>
      <c r="R60" s="51" t="s">
        <v>1345</v>
      </c>
      <c r="S60" s="38">
        <v>7</v>
      </c>
      <c r="T60" s="42" t="s">
        <v>1346</v>
      </c>
      <c r="U60" s="38">
        <v>2010</v>
      </c>
      <c r="V60" s="42" t="s">
        <v>4296</v>
      </c>
      <c r="W60" s="42" t="s">
        <v>4297</v>
      </c>
      <c r="X60" s="38" t="s">
        <v>1349</v>
      </c>
      <c r="Y60" s="38"/>
      <c r="Z60" s="38"/>
      <c r="AA60" s="38">
        <v>15</v>
      </c>
      <c r="AB60" s="38" t="s">
        <v>1345</v>
      </c>
      <c r="AC60" s="38">
        <v>0</v>
      </c>
      <c r="AD60" s="38" t="s">
        <v>1345</v>
      </c>
      <c r="AE60" s="38" t="s">
        <v>1349</v>
      </c>
      <c r="AF60" s="38" t="s">
        <v>1349</v>
      </c>
      <c r="AG60" s="38" t="s">
        <v>1349</v>
      </c>
      <c r="AH60" s="42" t="s">
        <v>1366</v>
      </c>
      <c r="AI60" s="38" t="s">
        <v>3384</v>
      </c>
      <c r="AJ60" s="38" t="s">
        <v>1349</v>
      </c>
      <c r="AK60" s="87" t="s">
        <v>4199</v>
      </c>
      <c r="AL60" s="87" t="s">
        <v>1612</v>
      </c>
      <c r="AM60" s="23" t="s">
        <v>1612</v>
      </c>
      <c r="AN60" s="38" t="s">
        <v>1550</v>
      </c>
      <c r="AO60" s="38" t="s">
        <v>1550</v>
      </c>
      <c r="AP60" s="38" t="s">
        <v>1550</v>
      </c>
      <c r="AQ60" s="87" t="s">
        <v>1352</v>
      </c>
      <c r="AR60" s="88" t="s">
        <v>3451</v>
      </c>
      <c r="AS60" s="42" t="s">
        <v>1550</v>
      </c>
      <c r="AT60" s="42" t="s">
        <v>1804</v>
      </c>
      <c r="AU60" s="42"/>
      <c r="AV60" s="42">
        <v>1000</v>
      </c>
      <c r="AW60" s="42" t="s">
        <v>4256</v>
      </c>
      <c r="AX60" s="42" t="s">
        <v>4257</v>
      </c>
      <c r="AY60" s="38" t="s">
        <v>1349</v>
      </c>
      <c r="AZ60" s="42" t="s">
        <v>4298</v>
      </c>
      <c r="BA60" s="42" t="s">
        <v>4299</v>
      </c>
      <c r="BB60" s="42" t="s">
        <v>2062</v>
      </c>
      <c r="BC60" s="42" t="s">
        <v>1358</v>
      </c>
      <c r="BD60" s="42" t="s">
        <v>1358</v>
      </c>
      <c r="BE60" s="55" t="s">
        <v>4294</v>
      </c>
      <c r="BF60" s="42"/>
      <c r="BG60" s="42"/>
      <c r="BH60" s="42">
        <v>5</v>
      </c>
      <c r="BI60" s="42">
        <v>7</v>
      </c>
      <c r="BJ60" s="42">
        <v>7</v>
      </c>
      <c r="BK60" s="42" t="s">
        <v>4164</v>
      </c>
      <c r="BL60" s="42" t="s">
        <v>4164</v>
      </c>
      <c r="BM60" s="42" t="s">
        <v>4164</v>
      </c>
      <c r="BN60" s="38" t="s">
        <v>1349</v>
      </c>
      <c r="BO60" s="42"/>
      <c r="BP60" s="42"/>
      <c r="BQ60" s="38" t="s">
        <v>1345</v>
      </c>
      <c r="BR60" s="38" t="s">
        <v>1345</v>
      </c>
      <c r="BS60" s="42" t="s">
        <v>1358</v>
      </c>
      <c r="BT60" s="38" t="s">
        <v>1345</v>
      </c>
      <c r="BU60" s="42" t="s">
        <v>4165</v>
      </c>
      <c r="BV60" s="38" t="s">
        <v>1349</v>
      </c>
      <c r="BW60" s="42"/>
      <c r="BX60" s="38" t="s">
        <v>1345</v>
      </c>
      <c r="BY60" s="42" t="s">
        <v>1362</v>
      </c>
      <c r="BZ60" s="38" t="s">
        <v>4261</v>
      </c>
      <c r="CA60" s="38" t="s">
        <v>4300</v>
      </c>
      <c r="CB60" s="42" t="s">
        <v>1935</v>
      </c>
      <c r="CC60" s="42" t="s">
        <v>1935</v>
      </c>
      <c r="CD60" s="38" t="s">
        <v>1935</v>
      </c>
      <c r="CE60" s="42">
        <v>36000</v>
      </c>
      <c r="CF60" s="42">
        <v>350</v>
      </c>
      <c r="CG60" s="42">
        <v>25000</v>
      </c>
      <c r="CH60" s="42" t="s">
        <v>1935</v>
      </c>
      <c r="CI60" s="42" t="s">
        <v>1935</v>
      </c>
      <c r="CJ60" s="42" t="s">
        <v>1935</v>
      </c>
      <c r="CK60" s="43">
        <v>0.2</v>
      </c>
      <c r="CL60" s="43">
        <v>0.2</v>
      </c>
      <c r="CM60" s="43">
        <v>0.8</v>
      </c>
      <c r="CN60" s="43">
        <v>0.8</v>
      </c>
      <c r="CO60" s="42" t="s">
        <v>3451</v>
      </c>
      <c r="CP60" s="42"/>
      <c r="CQ60" s="42"/>
      <c r="CR60" s="42"/>
      <c r="CS60" s="42"/>
      <c r="CT60" s="42"/>
      <c r="CU60" s="38"/>
      <c r="CV60" s="42"/>
      <c r="CW60" s="38" t="s">
        <v>1345</v>
      </c>
      <c r="CX60" s="42" t="s">
        <v>4301</v>
      </c>
      <c r="CY60" s="42" t="s">
        <v>4301</v>
      </c>
      <c r="CZ60" s="42" t="s">
        <v>3750</v>
      </c>
      <c r="DA60" s="42" t="s">
        <v>4276</v>
      </c>
      <c r="DB60" s="42" t="s">
        <v>1808</v>
      </c>
      <c r="DC60" s="55" t="s">
        <v>3571</v>
      </c>
      <c r="DD60" s="55" t="s">
        <v>4167</v>
      </c>
      <c r="DE60" s="55" t="s">
        <v>4291</v>
      </c>
      <c r="DF60" s="55" t="s">
        <v>4169</v>
      </c>
      <c r="DG60" s="55" t="s">
        <v>4292</v>
      </c>
      <c r="DH60" s="42" t="s">
        <v>4171</v>
      </c>
      <c r="DI60" s="42" t="s">
        <v>3384</v>
      </c>
      <c r="DJ60" s="42" t="s">
        <v>3384</v>
      </c>
      <c r="DK60" s="42" t="s">
        <v>3384</v>
      </c>
      <c r="DL60" s="51" t="s">
        <v>4172</v>
      </c>
      <c r="DM60" s="51" t="s">
        <v>3384</v>
      </c>
      <c r="DN60" s="51" t="s">
        <v>1349</v>
      </c>
      <c r="DO60" s="51" t="s">
        <v>1358</v>
      </c>
      <c r="DP60" s="42" t="s">
        <v>1358</v>
      </c>
      <c r="DQ60" s="38" t="s">
        <v>1349</v>
      </c>
      <c r="DR60" s="38" t="s">
        <v>1349</v>
      </c>
      <c r="DS60" s="42"/>
      <c r="DT60" s="42"/>
      <c r="DU60" s="42"/>
      <c r="DV60" s="38" t="s">
        <v>1345</v>
      </c>
      <c r="DW60" s="42" t="s">
        <v>4263</v>
      </c>
      <c r="DX60" s="38" t="s">
        <v>1345</v>
      </c>
      <c r="DY60" s="38" t="s">
        <v>1349</v>
      </c>
      <c r="DZ60" s="42" t="s">
        <v>4264</v>
      </c>
      <c r="EA60" s="38" t="s">
        <v>1345</v>
      </c>
      <c r="EB60" s="38" t="s">
        <v>1345</v>
      </c>
      <c r="EC60" s="38" t="s">
        <v>1345</v>
      </c>
      <c r="ED60" s="42" t="s">
        <v>4265</v>
      </c>
      <c r="EE60" s="43">
        <v>0.15</v>
      </c>
      <c r="EF60" s="42" t="s">
        <v>3580</v>
      </c>
      <c r="EG60" s="38" t="s">
        <v>1349</v>
      </c>
      <c r="EH60" s="42"/>
      <c r="EI60" s="42" t="s">
        <v>4302</v>
      </c>
      <c r="EJ60" s="42" t="s">
        <v>4267</v>
      </c>
      <c r="EK60" s="42" t="s">
        <v>4303</v>
      </c>
      <c r="EL60" s="38" t="s">
        <v>1389</v>
      </c>
      <c r="EM60" s="38">
        <v>3</v>
      </c>
      <c r="EN60" s="42" t="s">
        <v>4293</v>
      </c>
      <c r="EO60" s="38">
        <v>1</v>
      </c>
      <c r="EP60" s="42" t="s">
        <v>3451</v>
      </c>
      <c r="EQ60" s="38">
        <v>2</v>
      </c>
      <c r="ER60" s="42" t="s">
        <v>4176</v>
      </c>
      <c r="ES60" s="38">
        <v>5</v>
      </c>
      <c r="ET60" s="42" t="s">
        <v>4177</v>
      </c>
      <c r="EU60" s="38">
        <v>5</v>
      </c>
      <c r="EV60" s="42" t="s">
        <v>4178</v>
      </c>
      <c r="EW60" s="38">
        <v>2</v>
      </c>
      <c r="EX60" s="42" t="s">
        <v>4179</v>
      </c>
      <c r="EY60" s="38">
        <v>3</v>
      </c>
      <c r="EZ60" s="42" t="s">
        <v>2062</v>
      </c>
    </row>
    <row r="61" spans="1:157" s="54" customFormat="1">
      <c r="A61" s="17">
        <v>605</v>
      </c>
      <c r="B61" s="22">
        <v>25</v>
      </c>
      <c r="C61" s="23" t="s">
        <v>2278</v>
      </c>
      <c r="D61" s="24">
        <v>43780</v>
      </c>
      <c r="E61" s="23" t="s">
        <v>3895</v>
      </c>
      <c r="F61" s="25"/>
      <c r="G61" s="25"/>
      <c r="H61" s="23" t="s">
        <v>1075</v>
      </c>
      <c r="I61" s="23" t="s">
        <v>1071</v>
      </c>
      <c r="J61" s="23" t="s">
        <v>3851</v>
      </c>
      <c r="K61" s="23" t="s">
        <v>3851</v>
      </c>
      <c r="L61" s="32">
        <v>0.4</v>
      </c>
      <c r="M61" s="23" t="s">
        <v>3757</v>
      </c>
      <c r="N61" s="23" t="s">
        <v>1343</v>
      </c>
      <c r="O61" s="23" t="s">
        <v>767</v>
      </c>
      <c r="P61" s="23" t="s">
        <v>3896</v>
      </c>
      <c r="Q61" s="23">
        <v>78275783</v>
      </c>
      <c r="R61" s="23" t="s">
        <v>1345</v>
      </c>
      <c r="S61" s="23">
        <v>3</v>
      </c>
      <c r="T61" s="23" t="s">
        <v>3897</v>
      </c>
      <c r="U61" s="23">
        <v>2016</v>
      </c>
      <c r="V61" s="23" t="s">
        <v>3760</v>
      </c>
      <c r="W61" s="23" t="s">
        <v>3793</v>
      </c>
      <c r="X61" s="23" t="s">
        <v>1349</v>
      </c>
      <c r="Y61" s="23" t="s">
        <v>2300</v>
      </c>
      <c r="Z61" s="23" t="s">
        <v>2300</v>
      </c>
      <c r="AA61" s="23">
        <v>15</v>
      </c>
      <c r="AB61" s="23" t="s">
        <v>1349</v>
      </c>
      <c r="AC61" s="23">
        <v>2</v>
      </c>
      <c r="AD61" s="23" t="s">
        <v>1345</v>
      </c>
      <c r="AE61" s="23" t="s">
        <v>1349</v>
      </c>
      <c r="AF61" s="23" t="s">
        <v>1349</v>
      </c>
      <c r="AG61" s="23" t="s">
        <v>1349</v>
      </c>
      <c r="AH61" s="23" t="s">
        <v>2300</v>
      </c>
      <c r="AI61" s="23">
        <v>2018</v>
      </c>
      <c r="AJ61" s="23" t="s">
        <v>1349</v>
      </c>
      <c r="AK61" s="23" t="s">
        <v>2752</v>
      </c>
      <c r="AL61" s="68" t="s">
        <v>1612</v>
      </c>
      <c r="AM61" s="23" t="s">
        <v>1612</v>
      </c>
      <c r="AN61" s="23" t="s">
        <v>1612</v>
      </c>
      <c r="AO61" s="23" t="s">
        <v>1612</v>
      </c>
      <c r="AP61" s="23" t="s">
        <v>1612</v>
      </c>
      <c r="AQ61" s="71" t="s">
        <v>1352</v>
      </c>
      <c r="AR61" s="23" t="s">
        <v>3451</v>
      </c>
      <c r="AS61" s="23" t="s">
        <v>1802</v>
      </c>
      <c r="AT61" s="23" t="s">
        <v>1358</v>
      </c>
      <c r="AU61" s="23" t="s">
        <v>2249</v>
      </c>
      <c r="AV61" s="23">
        <v>1000</v>
      </c>
      <c r="AW61" s="23" t="s">
        <v>3889</v>
      </c>
      <c r="AX61" s="23" t="s">
        <v>2430</v>
      </c>
      <c r="AY61" s="23" t="s">
        <v>1349</v>
      </c>
      <c r="AZ61" s="23" t="s">
        <v>2643</v>
      </c>
      <c r="BA61" s="23" t="s">
        <v>2361</v>
      </c>
      <c r="BB61" s="23" t="s">
        <v>2647</v>
      </c>
      <c r="BC61" s="23" t="s">
        <v>2647</v>
      </c>
      <c r="BD61" s="23" t="s">
        <v>2289</v>
      </c>
      <c r="BE61" s="23" t="s">
        <v>3878</v>
      </c>
      <c r="BF61" s="23"/>
      <c r="BG61" s="23"/>
      <c r="BH61" s="23">
        <v>7</v>
      </c>
      <c r="BI61" s="23">
        <v>7</v>
      </c>
      <c r="BJ61" s="23">
        <v>15</v>
      </c>
      <c r="BK61" s="22" t="s">
        <v>1434</v>
      </c>
      <c r="BL61" s="22" t="s">
        <v>1702</v>
      </c>
      <c r="BM61" s="22" t="s">
        <v>1702</v>
      </c>
      <c r="BN61" s="23" t="s">
        <v>1349</v>
      </c>
      <c r="BO61" s="23" t="s">
        <v>2767</v>
      </c>
      <c r="BP61" s="23" t="s">
        <v>2767</v>
      </c>
      <c r="BQ61" s="23" t="s">
        <v>1349</v>
      </c>
      <c r="BR61" s="23" t="s">
        <v>1349</v>
      </c>
      <c r="BS61" s="23" t="s">
        <v>2643</v>
      </c>
      <c r="BT61" s="23" t="s">
        <v>1349</v>
      </c>
      <c r="BU61" s="23" t="s">
        <v>3830</v>
      </c>
      <c r="BV61" s="23" t="s">
        <v>1349</v>
      </c>
      <c r="BW61" s="23" t="s">
        <v>2300</v>
      </c>
      <c r="BX61" s="23" t="s">
        <v>1345</v>
      </c>
      <c r="BY61" s="23" t="s">
        <v>2302</v>
      </c>
      <c r="BZ61" s="23" t="s">
        <v>2767</v>
      </c>
      <c r="CA61" s="23" t="s">
        <v>2767</v>
      </c>
      <c r="CB61" s="23" t="s">
        <v>2289</v>
      </c>
      <c r="CC61" s="23" t="s">
        <v>2289</v>
      </c>
      <c r="CD61" s="23" t="s">
        <v>2289</v>
      </c>
      <c r="CE61" s="23">
        <v>0</v>
      </c>
      <c r="CF61" s="23">
        <v>800</v>
      </c>
      <c r="CG61" s="23">
        <v>1500</v>
      </c>
      <c r="CH61" s="23">
        <v>0</v>
      </c>
      <c r="CI61" s="23">
        <v>0</v>
      </c>
      <c r="CJ61" s="23">
        <v>0</v>
      </c>
      <c r="CK61" s="27">
        <v>0.6</v>
      </c>
      <c r="CL61" s="27">
        <v>0.2</v>
      </c>
      <c r="CM61" s="27">
        <v>0.4</v>
      </c>
      <c r="CN61" s="26">
        <v>0.8</v>
      </c>
      <c r="CO61" s="23" t="s">
        <v>2652</v>
      </c>
      <c r="CP61" s="23" t="s">
        <v>2289</v>
      </c>
      <c r="CQ61" s="23" t="s">
        <v>2767</v>
      </c>
      <c r="CR61" s="23">
        <v>0.8</v>
      </c>
      <c r="CS61" s="23" t="s">
        <v>3764</v>
      </c>
      <c r="CT61" s="23" t="s">
        <v>3765</v>
      </c>
      <c r="CU61" s="23" t="s">
        <v>1345</v>
      </c>
      <c r="CV61" s="23" t="s">
        <v>2407</v>
      </c>
      <c r="CW61" s="23" t="s">
        <v>1345</v>
      </c>
      <c r="CX61" s="26">
        <v>0.2</v>
      </c>
      <c r="CY61" s="26">
        <v>0.8</v>
      </c>
      <c r="CZ61" s="23" t="s">
        <v>2311</v>
      </c>
      <c r="DA61" s="23" t="s">
        <v>3766</v>
      </c>
      <c r="DB61" s="23" t="s">
        <v>1903</v>
      </c>
      <c r="DC61" s="23" t="s">
        <v>2643</v>
      </c>
      <c r="DD61" s="22" t="s">
        <v>2792</v>
      </c>
      <c r="DE61" s="23" t="s">
        <v>2350</v>
      </c>
      <c r="DF61" s="23" t="s">
        <v>3768</v>
      </c>
      <c r="DG61" s="23" t="s">
        <v>3874</v>
      </c>
      <c r="DH61" s="23" t="s">
        <v>2794</v>
      </c>
      <c r="DI61" s="23" t="s">
        <v>1556</v>
      </c>
      <c r="DJ61" s="23" t="s">
        <v>1556</v>
      </c>
      <c r="DK61" s="23" t="s">
        <v>1556</v>
      </c>
      <c r="DL61" s="23" t="s">
        <v>3770</v>
      </c>
      <c r="DM61" s="23" t="s">
        <v>3771</v>
      </c>
      <c r="DN61" s="23" t="s">
        <v>1345</v>
      </c>
      <c r="DO61" s="23" t="s">
        <v>3875</v>
      </c>
      <c r="DP61" s="23" t="s">
        <v>1349</v>
      </c>
      <c r="DQ61" s="23" t="s">
        <v>2647</v>
      </c>
      <c r="DR61" s="23" t="s">
        <v>1349</v>
      </c>
      <c r="DS61" s="23" t="s">
        <v>1556</v>
      </c>
      <c r="DT61" s="23" t="s">
        <v>2300</v>
      </c>
      <c r="DU61" s="23" t="s">
        <v>2300</v>
      </c>
      <c r="DV61" s="23" t="s">
        <v>1345</v>
      </c>
      <c r="DW61" s="23" t="s">
        <v>2797</v>
      </c>
      <c r="DX61" s="23" t="s">
        <v>1345</v>
      </c>
      <c r="DY61" s="23" t="s">
        <v>1349</v>
      </c>
      <c r="DZ61" s="23" t="s">
        <v>3773</v>
      </c>
      <c r="EA61" s="23" t="s">
        <v>1345</v>
      </c>
      <c r="EB61" s="23" t="s">
        <v>1345</v>
      </c>
      <c r="EC61" s="23" t="s">
        <v>1345</v>
      </c>
      <c r="ED61" s="23" t="s">
        <v>2353</v>
      </c>
      <c r="EE61" s="27">
        <v>0.05</v>
      </c>
      <c r="EF61" s="23" t="s">
        <v>2370</v>
      </c>
      <c r="EG61" s="23" t="s">
        <v>1349</v>
      </c>
      <c r="EH61" s="23" t="s">
        <v>2300</v>
      </c>
      <c r="EI61" s="23" t="s">
        <v>2326</v>
      </c>
      <c r="EJ61" s="22"/>
      <c r="EK61" s="23" t="s">
        <v>3868</v>
      </c>
      <c r="EL61" s="23" t="s">
        <v>1389</v>
      </c>
      <c r="EM61" s="23">
        <v>4</v>
      </c>
      <c r="EN61" s="23" t="s">
        <v>3898</v>
      </c>
      <c r="EO61" s="23">
        <v>3</v>
      </c>
      <c r="EP61" s="23" t="s">
        <v>3796</v>
      </c>
      <c r="EQ61" s="23">
        <v>3</v>
      </c>
      <c r="ER61" s="22" t="s">
        <v>3777</v>
      </c>
      <c r="ES61" s="23">
        <v>4</v>
      </c>
      <c r="ET61" s="22" t="s">
        <v>3778</v>
      </c>
      <c r="EU61" s="23">
        <v>4</v>
      </c>
      <c r="EV61" s="22" t="s">
        <v>3779</v>
      </c>
      <c r="EW61" s="23">
        <v>3</v>
      </c>
      <c r="EX61" s="22" t="s">
        <v>3899</v>
      </c>
      <c r="EY61" s="23">
        <v>2</v>
      </c>
      <c r="EZ61" s="22" t="s">
        <v>2424</v>
      </c>
    </row>
    <row r="62" spans="1:157" s="54" customFormat="1">
      <c r="A62" s="17">
        <v>606</v>
      </c>
      <c r="B62" s="22">
        <v>63</v>
      </c>
      <c r="C62" s="51" t="s">
        <v>1795</v>
      </c>
      <c r="D62" s="52">
        <v>43772</v>
      </c>
      <c r="E62" s="51" t="s">
        <v>4240</v>
      </c>
      <c r="F62" s="51" t="s">
        <v>1728</v>
      </c>
      <c r="G62" s="51" t="s">
        <v>3856</v>
      </c>
      <c r="H62" s="51" t="s">
        <v>1075</v>
      </c>
      <c r="I62" s="51" t="s">
        <v>1071</v>
      </c>
      <c r="J62" s="23" t="s">
        <v>3856</v>
      </c>
      <c r="K62" s="51" t="s">
        <v>4182</v>
      </c>
      <c r="L62" s="51">
        <v>10</v>
      </c>
      <c r="M62" s="51" t="s">
        <v>3360</v>
      </c>
      <c r="N62" s="51" t="s">
        <v>1343</v>
      </c>
      <c r="O62" s="51" t="s">
        <v>4282</v>
      </c>
      <c r="P62" s="51" t="s">
        <v>4283</v>
      </c>
      <c r="Q62" s="51">
        <v>75352161</v>
      </c>
      <c r="R62" s="51" t="s">
        <v>1345</v>
      </c>
      <c r="S62" s="51">
        <v>7</v>
      </c>
      <c r="T62" s="51" t="s">
        <v>1346</v>
      </c>
      <c r="U62" s="51">
        <v>2010</v>
      </c>
      <c r="V62" s="51" t="s">
        <v>4272</v>
      </c>
      <c r="W62" s="51" t="s">
        <v>4273</v>
      </c>
      <c r="X62" s="51" t="s">
        <v>1349</v>
      </c>
      <c r="Y62" s="51"/>
      <c r="Z62" s="51"/>
      <c r="AA62" s="51">
        <v>20</v>
      </c>
      <c r="AB62" s="51" t="s">
        <v>1345</v>
      </c>
      <c r="AC62" s="51">
        <v>0</v>
      </c>
      <c r="AD62" s="51" t="s">
        <v>1345</v>
      </c>
      <c r="AE62" s="51" t="s">
        <v>1349</v>
      </c>
      <c r="AF62" s="51" t="s">
        <v>1349</v>
      </c>
      <c r="AG62" s="51" t="s">
        <v>1349</v>
      </c>
      <c r="AH62" s="51" t="s">
        <v>1366</v>
      </c>
      <c r="AI62" s="51" t="s">
        <v>3384</v>
      </c>
      <c r="AJ62" s="51" t="s">
        <v>1349</v>
      </c>
      <c r="AK62" s="89" t="s">
        <v>4199</v>
      </c>
      <c r="AL62" s="87" t="s">
        <v>1612</v>
      </c>
      <c r="AM62" s="23" t="s">
        <v>1612</v>
      </c>
      <c r="AN62" s="51" t="s">
        <v>1550</v>
      </c>
      <c r="AO62" s="51" t="s">
        <v>1550</v>
      </c>
      <c r="AP62" s="51" t="s">
        <v>1550</v>
      </c>
      <c r="AQ62" s="89" t="s">
        <v>1352</v>
      </c>
      <c r="AR62" s="90" t="s">
        <v>3451</v>
      </c>
      <c r="AS62" s="51" t="s">
        <v>1550</v>
      </c>
      <c r="AT62" s="51" t="s">
        <v>1804</v>
      </c>
      <c r="AU62" s="51"/>
      <c r="AV62" s="42">
        <v>1000</v>
      </c>
      <c r="AW62" s="51" t="s">
        <v>4256</v>
      </c>
      <c r="AX62" s="51" t="s">
        <v>4257</v>
      </c>
      <c r="AY62" s="51" t="s">
        <v>1349</v>
      </c>
      <c r="AZ62" s="51" t="s">
        <v>4284</v>
      </c>
      <c r="BA62" s="51" t="s">
        <v>4285</v>
      </c>
      <c r="BB62" s="51" t="s">
        <v>1358</v>
      </c>
      <c r="BC62" s="51" t="s">
        <v>1358</v>
      </c>
      <c r="BD62" s="51" t="s">
        <v>1358</v>
      </c>
      <c r="BE62" s="51" t="s">
        <v>4260</v>
      </c>
      <c r="BF62" s="51"/>
      <c r="BG62" s="51"/>
      <c r="BH62" s="51">
        <v>1</v>
      </c>
      <c r="BI62" s="51">
        <v>1.5</v>
      </c>
      <c r="BJ62" s="51">
        <v>2</v>
      </c>
      <c r="BK62" s="51" t="s">
        <v>4164</v>
      </c>
      <c r="BL62" s="51" t="s">
        <v>4164</v>
      </c>
      <c r="BM62" s="51" t="s">
        <v>4164</v>
      </c>
      <c r="BN62" s="51" t="s">
        <v>1349</v>
      </c>
      <c r="BO62" s="51"/>
      <c r="BP62" s="51"/>
      <c r="BQ62" s="51" t="s">
        <v>1345</v>
      </c>
      <c r="BR62" s="51" t="s">
        <v>1345</v>
      </c>
      <c r="BS62" s="51" t="s">
        <v>1358</v>
      </c>
      <c r="BT62" s="51" t="s">
        <v>1345</v>
      </c>
      <c r="BU62" s="51" t="s">
        <v>4165</v>
      </c>
      <c r="BV62" s="51" t="s">
        <v>1349</v>
      </c>
      <c r="BW62" s="51"/>
      <c r="BX62" s="51" t="s">
        <v>1345</v>
      </c>
      <c r="BY62" s="51" t="s">
        <v>1362</v>
      </c>
      <c r="BZ62" s="51" t="s">
        <v>4261</v>
      </c>
      <c r="CA62" s="51" t="s">
        <v>4182</v>
      </c>
      <c r="CB62" s="51" t="s">
        <v>1935</v>
      </c>
      <c r="CC62" s="51" t="s">
        <v>1935</v>
      </c>
      <c r="CD62" s="51" t="s">
        <v>1935</v>
      </c>
      <c r="CE62" s="51" t="s">
        <v>1904</v>
      </c>
      <c r="CF62" s="51">
        <v>40800</v>
      </c>
      <c r="CG62" s="51">
        <v>38000</v>
      </c>
      <c r="CH62" s="51" t="s">
        <v>1935</v>
      </c>
      <c r="CI62" s="51" t="s">
        <v>1935</v>
      </c>
      <c r="CJ62" s="51" t="s">
        <v>1935</v>
      </c>
      <c r="CK62" s="53">
        <v>0.15</v>
      </c>
      <c r="CL62" s="53">
        <v>0.15</v>
      </c>
      <c r="CM62" s="53">
        <v>0.85</v>
      </c>
      <c r="CN62" s="53">
        <v>0.85</v>
      </c>
      <c r="CO62" s="51" t="s">
        <v>3451</v>
      </c>
      <c r="CP62" s="51"/>
      <c r="CQ62" s="51"/>
      <c r="CR62" s="51"/>
      <c r="CS62" s="51"/>
      <c r="CT62" s="51"/>
      <c r="CU62" s="51"/>
      <c r="CV62" s="51"/>
      <c r="CW62" s="51" t="s">
        <v>1345</v>
      </c>
      <c r="CX62" s="51" t="s">
        <v>1808</v>
      </c>
      <c r="CY62" s="51" t="s">
        <v>1808</v>
      </c>
      <c r="CZ62" s="51" t="s">
        <v>3750</v>
      </c>
      <c r="DA62" s="51" t="s">
        <v>4276</v>
      </c>
      <c r="DB62" s="51" t="s">
        <v>1808</v>
      </c>
      <c r="DC62" s="51" t="s">
        <v>2204</v>
      </c>
      <c r="DD62" s="51" t="s">
        <v>4167</v>
      </c>
      <c r="DE62" s="51" t="s">
        <v>4168</v>
      </c>
      <c r="DF62" s="51" t="s">
        <v>4169</v>
      </c>
      <c r="DG62" s="51" t="s">
        <v>4170</v>
      </c>
      <c r="DH62" s="51" t="s">
        <v>4171</v>
      </c>
      <c r="DI62" s="51" t="s">
        <v>1978</v>
      </c>
      <c r="DJ62" s="51" t="s">
        <v>1978</v>
      </c>
      <c r="DK62" s="51" t="s">
        <v>3384</v>
      </c>
      <c r="DL62" s="51" t="s">
        <v>4172</v>
      </c>
      <c r="DM62" s="51" t="s">
        <v>3384</v>
      </c>
      <c r="DN62" s="51" t="s">
        <v>1349</v>
      </c>
      <c r="DO62" s="51" t="s">
        <v>1358</v>
      </c>
      <c r="DP62" s="51" t="s">
        <v>1358</v>
      </c>
      <c r="DQ62" s="51" t="s">
        <v>1349</v>
      </c>
      <c r="DR62" s="51" t="s">
        <v>1349</v>
      </c>
      <c r="DS62" s="51"/>
      <c r="DT62" s="51"/>
      <c r="DU62" s="51"/>
      <c r="DV62" s="51" t="s">
        <v>1345</v>
      </c>
      <c r="DW62" s="51" t="s">
        <v>4263</v>
      </c>
      <c r="DX62" s="51" t="s">
        <v>1345</v>
      </c>
      <c r="DY62" s="51" t="s">
        <v>1349</v>
      </c>
      <c r="DZ62" s="51" t="s">
        <v>4264</v>
      </c>
      <c r="EA62" s="51" t="s">
        <v>1345</v>
      </c>
      <c r="EB62" s="51" t="s">
        <v>1345</v>
      </c>
      <c r="EC62" s="51" t="s">
        <v>1345</v>
      </c>
      <c r="ED62" s="51" t="s">
        <v>4265</v>
      </c>
      <c r="EE62" s="53">
        <v>0.3</v>
      </c>
      <c r="EF62" s="51" t="s">
        <v>3580</v>
      </c>
      <c r="EG62" s="51" t="s">
        <v>1349</v>
      </c>
      <c r="EH62" s="51"/>
      <c r="EI62" s="51" t="s">
        <v>4281</v>
      </c>
      <c r="EJ62" s="51" t="s">
        <v>4267</v>
      </c>
      <c r="EK62" s="51" t="s">
        <v>3613</v>
      </c>
      <c r="EL62" s="51" t="s">
        <v>1389</v>
      </c>
      <c r="EM62" s="51">
        <v>4</v>
      </c>
      <c r="EN62" s="51" t="s">
        <v>4268</v>
      </c>
      <c r="EO62" s="51">
        <v>1</v>
      </c>
      <c r="EP62" s="51" t="s">
        <v>3451</v>
      </c>
      <c r="EQ62" s="51">
        <v>2</v>
      </c>
      <c r="ER62" s="51" t="s">
        <v>4176</v>
      </c>
      <c r="ES62" s="51">
        <v>5</v>
      </c>
      <c r="ET62" s="51" t="s">
        <v>4177</v>
      </c>
      <c r="EU62" s="51">
        <v>5</v>
      </c>
      <c r="EV62" s="51" t="s">
        <v>4178</v>
      </c>
      <c r="EW62" s="51">
        <v>2</v>
      </c>
      <c r="EX62" s="51" t="s">
        <v>4179</v>
      </c>
      <c r="EY62" s="51">
        <v>1</v>
      </c>
      <c r="EZ62" s="51" t="s">
        <v>4269</v>
      </c>
    </row>
    <row r="63" spans="1:157" s="54" customFormat="1">
      <c r="A63" s="17">
        <v>607</v>
      </c>
      <c r="B63" s="22">
        <v>30</v>
      </c>
      <c r="C63" s="23" t="s">
        <v>1337</v>
      </c>
      <c r="D63" s="33">
        <v>43769</v>
      </c>
      <c r="E63" s="23" t="s">
        <v>3929</v>
      </c>
      <c r="F63" s="25" t="e">
        <v>#N/A</v>
      </c>
      <c r="G63" s="25" t="s">
        <v>3930</v>
      </c>
      <c r="H63" s="23" t="s">
        <v>3901</v>
      </c>
      <c r="I63" s="23" t="s">
        <v>3902</v>
      </c>
      <c r="J63" s="23" t="s">
        <v>68</v>
      </c>
      <c r="K63" s="23" t="s">
        <v>3957</v>
      </c>
      <c r="L63" s="32">
        <v>5</v>
      </c>
      <c r="M63" s="23" t="s">
        <v>1342</v>
      </c>
      <c r="N63" s="23" t="s">
        <v>1448</v>
      </c>
      <c r="O63" s="23" t="s">
        <v>3879</v>
      </c>
      <c r="P63" s="23" t="s">
        <v>3958</v>
      </c>
      <c r="Q63" s="23">
        <v>75483576</v>
      </c>
      <c r="R63" s="23" t="s">
        <v>1383</v>
      </c>
      <c r="S63" s="23">
        <v>3</v>
      </c>
      <c r="T63" s="23" t="s">
        <v>1346</v>
      </c>
      <c r="U63" s="23">
        <v>2012</v>
      </c>
      <c r="V63" s="22" t="s">
        <v>2896</v>
      </c>
      <c r="W63" s="22" t="s">
        <v>1348</v>
      </c>
      <c r="X63" s="23" t="s">
        <v>1804</v>
      </c>
      <c r="Y63" s="23"/>
      <c r="Z63" s="23"/>
      <c r="AA63" s="23">
        <v>20</v>
      </c>
      <c r="AB63" s="23" t="s">
        <v>1342</v>
      </c>
      <c r="AC63" s="22">
        <v>1</v>
      </c>
      <c r="AD63" s="23" t="s">
        <v>1383</v>
      </c>
      <c r="AE63" s="23" t="s">
        <v>1383</v>
      </c>
      <c r="AF63" s="23" t="s">
        <v>1342</v>
      </c>
      <c r="AG63" s="23" t="s">
        <v>1342</v>
      </c>
      <c r="AH63" s="23" t="s">
        <v>1342</v>
      </c>
      <c r="AI63" s="23">
        <v>2016</v>
      </c>
      <c r="AJ63" s="23" t="s">
        <v>1342</v>
      </c>
      <c r="AK63" s="22" t="s">
        <v>7116</v>
      </c>
      <c r="AL63" s="68" t="s">
        <v>1352</v>
      </c>
      <c r="AM63" s="23" t="s">
        <v>1352</v>
      </c>
      <c r="AN63" s="23" t="s">
        <v>1352</v>
      </c>
      <c r="AO63" s="23" t="s">
        <v>1352</v>
      </c>
      <c r="AP63" s="23" t="s">
        <v>1352</v>
      </c>
      <c r="AQ63" s="68" t="s">
        <v>1352</v>
      </c>
      <c r="AR63" s="23" t="s">
        <v>1352</v>
      </c>
      <c r="AS63" s="22" t="s">
        <v>3906</v>
      </c>
      <c r="AT63" s="22" t="s">
        <v>3907</v>
      </c>
      <c r="AU63" s="22">
        <v>12000</v>
      </c>
      <c r="AV63" s="22">
        <v>40000</v>
      </c>
      <c r="AW63" s="22" t="s">
        <v>3908</v>
      </c>
      <c r="AX63" s="22" t="s">
        <v>2937</v>
      </c>
      <c r="AY63" s="23" t="s">
        <v>1342</v>
      </c>
      <c r="AZ63" s="22" t="s">
        <v>1738</v>
      </c>
      <c r="BA63" s="22" t="s">
        <v>2971</v>
      </c>
      <c r="BB63" s="22" t="s">
        <v>1358</v>
      </c>
      <c r="BC63" s="22" t="s">
        <v>1358</v>
      </c>
      <c r="BD63" s="22" t="s">
        <v>1358</v>
      </c>
      <c r="BE63" s="22" t="s">
        <v>3957</v>
      </c>
      <c r="BF63" s="22"/>
      <c r="BG63" s="22"/>
      <c r="BH63" s="22">
        <v>1</v>
      </c>
      <c r="BI63" s="22">
        <v>3</v>
      </c>
      <c r="BJ63" s="22"/>
      <c r="BK63" s="22" t="s">
        <v>1434</v>
      </c>
      <c r="BL63" s="22" t="s">
        <v>2405</v>
      </c>
      <c r="BM63" s="22"/>
      <c r="BN63" s="23" t="s">
        <v>1342</v>
      </c>
      <c r="BO63" s="22"/>
      <c r="BP63" s="22"/>
      <c r="BQ63" s="23" t="s">
        <v>1383</v>
      </c>
      <c r="BR63" s="23" t="s">
        <v>1342</v>
      </c>
      <c r="BS63" s="27">
        <v>0</v>
      </c>
      <c r="BT63" s="23" t="s">
        <v>1383</v>
      </c>
      <c r="BU63" s="23" t="s">
        <v>3959</v>
      </c>
      <c r="BV63" s="23" t="s">
        <v>1342</v>
      </c>
      <c r="BW63" s="22"/>
      <c r="BX63" s="23" t="s">
        <v>1383</v>
      </c>
      <c r="BY63" s="23" t="s">
        <v>1362</v>
      </c>
      <c r="BZ63" s="23" t="s">
        <v>3912</v>
      </c>
      <c r="CA63" s="23" t="s">
        <v>3957</v>
      </c>
      <c r="CB63" s="22" t="s">
        <v>1364</v>
      </c>
      <c r="CC63" s="22" t="s">
        <v>1364</v>
      </c>
      <c r="CD63" s="22" t="s">
        <v>1364</v>
      </c>
      <c r="CE63" s="22">
        <v>6000</v>
      </c>
      <c r="CF63" s="22">
        <v>9000</v>
      </c>
      <c r="CG63" s="22">
        <v>6000</v>
      </c>
      <c r="CH63" s="22">
        <v>240</v>
      </c>
      <c r="CI63" s="22">
        <v>240</v>
      </c>
      <c r="CJ63" s="22">
        <v>190</v>
      </c>
      <c r="CK63" s="27">
        <v>0.5</v>
      </c>
      <c r="CL63" s="27">
        <v>0.5</v>
      </c>
      <c r="CM63" s="27">
        <v>0.5</v>
      </c>
      <c r="CN63" s="27">
        <v>0.5</v>
      </c>
      <c r="CO63" s="22" t="s">
        <v>1365</v>
      </c>
      <c r="CP63" s="22" t="s">
        <v>1366</v>
      </c>
      <c r="CQ63" s="22" t="s">
        <v>3914</v>
      </c>
      <c r="CR63" s="22">
        <v>0.4</v>
      </c>
      <c r="CS63" s="22" t="s">
        <v>1360</v>
      </c>
      <c r="CT63" s="22" t="s">
        <v>3915</v>
      </c>
      <c r="CU63" s="23" t="s">
        <v>1383</v>
      </c>
      <c r="CV63" s="22" t="s">
        <v>1370</v>
      </c>
      <c r="CW63" s="23" t="s">
        <v>1383</v>
      </c>
      <c r="CX63" s="27">
        <v>0.2</v>
      </c>
      <c r="CY63" s="27">
        <v>0.7</v>
      </c>
      <c r="CZ63" s="22" t="s">
        <v>2905</v>
      </c>
      <c r="DA63" s="22" t="s">
        <v>1372</v>
      </c>
      <c r="DB63" s="22">
        <v>15</v>
      </c>
      <c r="DC63" s="22"/>
      <c r="DD63" s="22" t="s">
        <v>3916</v>
      </c>
      <c r="DE63" s="22" t="s">
        <v>3917</v>
      </c>
      <c r="DF63" s="22" t="s">
        <v>3918</v>
      </c>
      <c r="DG63" s="22"/>
      <c r="DH63" s="22" t="s">
        <v>3935</v>
      </c>
      <c r="DI63" s="22" t="s">
        <v>3099</v>
      </c>
      <c r="DJ63" s="22"/>
      <c r="DK63" s="22"/>
      <c r="DL63" s="22" t="s">
        <v>3960</v>
      </c>
      <c r="DM63" s="22" t="s">
        <v>3121</v>
      </c>
      <c r="DN63" s="23" t="s">
        <v>1383</v>
      </c>
      <c r="DO63" s="22" t="s">
        <v>3102</v>
      </c>
      <c r="DP63" s="23" t="s">
        <v>1383</v>
      </c>
      <c r="DQ63" s="22" t="s">
        <v>3923</v>
      </c>
      <c r="DR63" s="23" t="s">
        <v>1342</v>
      </c>
      <c r="DS63" s="22"/>
      <c r="DT63" s="22"/>
      <c r="DU63" s="22"/>
      <c r="DV63" s="23" t="s">
        <v>1383</v>
      </c>
      <c r="DW63" s="22" t="s">
        <v>3123</v>
      </c>
      <c r="DX63" s="23" t="s">
        <v>1383</v>
      </c>
      <c r="DY63" s="23" t="s">
        <v>1342</v>
      </c>
      <c r="DZ63" s="23" t="s">
        <v>1531</v>
      </c>
      <c r="EA63" s="23" t="s">
        <v>1383</v>
      </c>
      <c r="EB63" s="23" t="s">
        <v>1342</v>
      </c>
      <c r="EC63" s="23" t="s">
        <v>1383</v>
      </c>
      <c r="ED63" s="23" t="s">
        <v>3961</v>
      </c>
      <c r="EE63" s="27">
        <v>0.3</v>
      </c>
      <c r="EF63" s="23" t="s">
        <v>2931</v>
      </c>
      <c r="EG63" s="23" t="s">
        <v>1342</v>
      </c>
      <c r="EH63" s="22"/>
      <c r="EI63" s="22"/>
      <c r="EJ63" s="22"/>
      <c r="EK63" s="22"/>
      <c r="EL63" s="23" t="s">
        <v>1389</v>
      </c>
      <c r="EM63" s="23">
        <v>3</v>
      </c>
      <c r="EN63" s="22" t="s">
        <v>2917</v>
      </c>
      <c r="EO63" s="23">
        <v>2</v>
      </c>
      <c r="EP63" s="22" t="s">
        <v>3962</v>
      </c>
      <c r="EQ63" s="23">
        <v>2</v>
      </c>
      <c r="ER63" s="22" t="s">
        <v>3129</v>
      </c>
      <c r="ES63" s="23">
        <v>3</v>
      </c>
      <c r="ET63" s="22" t="s">
        <v>3174</v>
      </c>
      <c r="EU63" s="23">
        <v>3</v>
      </c>
      <c r="EV63" s="22" t="s">
        <v>3108</v>
      </c>
      <c r="EW63" s="23">
        <v>3</v>
      </c>
      <c r="EX63" s="22" t="s">
        <v>3927</v>
      </c>
      <c r="EY63" s="23">
        <v>1</v>
      </c>
      <c r="EZ63" s="22" t="s">
        <v>3939</v>
      </c>
    </row>
    <row r="64" spans="1:157" s="54" customFormat="1">
      <c r="A64" s="17">
        <v>608</v>
      </c>
      <c r="B64" s="22">
        <v>20</v>
      </c>
      <c r="C64" s="23" t="s">
        <v>2278</v>
      </c>
      <c r="D64" s="24">
        <v>43778</v>
      </c>
      <c r="E64" s="23" t="s">
        <v>3877</v>
      </c>
      <c r="F64" s="25"/>
      <c r="G64" s="25"/>
      <c r="H64" s="23" t="s">
        <v>1075</v>
      </c>
      <c r="I64" s="23" t="s">
        <v>1071</v>
      </c>
      <c r="J64" s="23" t="s">
        <v>3851</v>
      </c>
      <c r="K64" s="23" t="s">
        <v>3878</v>
      </c>
      <c r="L64" s="32">
        <v>1</v>
      </c>
      <c r="M64" s="23" t="s">
        <v>3757</v>
      </c>
      <c r="N64" s="23" t="s">
        <v>1343</v>
      </c>
      <c r="O64" s="23" t="s">
        <v>3879</v>
      </c>
      <c r="P64" s="23" t="s">
        <v>3880</v>
      </c>
      <c r="Q64" s="23">
        <v>79441492</v>
      </c>
      <c r="R64" s="23" t="s">
        <v>1345</v>
      </c>
      <c r="S64" s="23">
        <v>3</v>
      </c>
      <c r="T64" s="23" t="s">
        <v>1346</v>
      </c>
      <c r="U64" s="23">
        <v>2014</v>
      </c>
      <c r="V64" s="23" t="s">
        <v>3828</v>
      </c>
      <c r="W64" s="23" t="s">
        <v>3793</v>
      </c>
      <c r="X64" s="23" t="s">
        <v>1349</v>
      </c>
      <c r="Y64" s="23" t="s">
        <v>2300</v>
      </c>
      <c r="Z64" s="23" t="s">
        <v>2300</v>
      </c>
      <c r="AA64" s="23">
        <v>15</v>
      </c>
      <c r="AB64" s="23" t="s">
        <v>1349</v>
      </c>
      <c r="AC64" s="23">
        <v>3</v>
      </c>
      <c r="AD64" s="23" t="s">
        <v>1345</v>
      </c>
      <c r="AE64" s="23" t="s">
        <v>1345</v>
      </c>
      <c r="AF64" s="23" t="s">
        <v>1349</v>
      </c>
      <c r="AG64" s="23" t="s">
        <v>1349</v>
      </c>
      <c r="AH64" s="23" t="s">
        <v>2870</v>
      </c>
      <c r="AI64" s="23">
        <v>2016</v>
      </c>
      <c r="AJ64" s="23" t="s">
        <v>1349</v>
      </c>
      <c r="AK64" s="68" t="s">
        <v>2341</v>
      </c>
      <c r="AL64" s="68" t="s">
        <v>1612</v>
      </c>
      <c r="AM64" s="23" t="s">
        <v>1612</v>
      </c>
      <c r="AN64" s="23" t="s">
        <v>1612</v>
      </c>
      <c r="AO64" s="23" t="s">
        <v>1612</v>
      </c>
      <c r="AP64" s="23" t="s">
        <v>1612</v>
      </c>
      <c r="AQ64" s="87" t="s">
        <v>1352</v>
      </c>
      <c r="AR64" s="23" t="s">
        <v>1352</v>
      </c>
      <c r="AS64" s="23" t="s">
        <v>1802</v>
      </c>
      <c r="AT64" s="23" t="s">
        <v>1358</v>
      </c>
      <c r="AU64" s="23" t="s">
        <v>2249</v>
      </c>
      <c r="AV64" s="23">
        <v>1000</v>
      </c>
      <c r="AW64" s="23" t="s">
        <v>2343</v>
      </c>
      <c r="AX64" s="23" t="s">
        <v>2294</v>
      </c>
      <c r="AY64" s="23" t="s">
        <v>1349</v>
      </c>
      <c r="AZ64" s="23" t="s">
        <v>3762</v>
      </c>
      <c r="BA64" s="23" t="s">
        <v>2361</v>
      </c>
      <c r="BB64" s="23" t="s">
        <v>2647</v>
      </c>
      <c r="BC64" s="23" t="s">
        <v>2647</v>
      </c>
      <c r="BD64" s="23" t="s">
        <v>2289</v>
      </c>
      <c r="BE64" s="23" t="s">
        <v>165</v>
      </c>
      <c r="BF64" s="23" t="s">
        <v>3878</v>
      </c>
      <c r="BG64" s="23"/>
      <c r="BH64" s="23">
        <v>5</v>
      </c>
      <c r="BI64" s="23">
        <v>5</v>
      </c>
      <c r="BJ64" s="23">
        <v>18</v>
      </c>
      <c r="BK64" s="22" t="s">
        <v>1434</v>
      </c>
      <c r="BL64" s="22" t="s">
        <v>1702</v>
      </c>
      <c r="BM64" s="22" t="s">
        <v>1702</v>
      </c>
      <c r="BN64" s="23" t="s">
        <v>1349</v>
      </c>
      <c r="BO64" s="23" t="s">
        <v>2767</v>
      </c>
      <c r="BP64" s="23" t="s">
        <v>2767</v>
      </c>
      <c r="BQ64" s="23" t="s">
        <v>1349</v>
      </c>
      <c r="BR64" s="23" t="s">
        <v>1349</v>
      </c>
      <c r="BS64" s="23" t="s">
        <v>2643</v>
      </c>
      <c r="BT64" s="23" t="s">
        <v>1349</v>
      </c>
      <c r="BU64" s="23" t="s">
        <v>3830</v>
      </c>
      <c r="BV64" s="23" t="s">
        <v>1349</v>
      </c>
      <c r="BW64" s="23" t="s">
        <v>2300</v>
      </c>
      <c r="BX64" s="23" t="s">
        <v>1345</v>
      </c>
      <c r="BY64" s="23" t="s">
        <v>2302</v>
      </c>
      <c r="BZ64" s="23" t="s">
        <v>2767</v>
      </c>
      <c r="CA64" s="23" t="s">
        <v>2767</v>
      </c>
      <c r="CB64" s="23" t="s">
        <v>2289</v>
      </c>
      <c r="CC64" s="23" t="s">
        <v>2289</v>
      </c>
      <c r="CD64" s="23" t="s">
        <v>2289</v>
      </c>
      <c r="CE64" s="23">
        <v>800</v>
      </c>
      <c r="CF64" s="23">
        <v>1000</v>
      </c>
      <c r="CG64" s="23">
        <v>1000</v>
      </c>
      <c r="CH64" s="23">
        <v>0</v>
      </c>
      <c r="CI64" s="23">
        <v>0</v>
      </c>
      <c r="CJ64" s="23">
        <v>0</v>
      </c>
      <c r="CK64" s="28">
        <v>0.3</v>
      </c>
      <c r="CL64" s="27">
        <v>0.4</v>
      </c>
      <c r="CM64" s="28">
        <v>0.7</v>
      </c>
      <c r="CN64" s="26">
        <v>0.6</v>
      </c>
      <c r="CO64" s="23" t="s">
        <v>2652</v>
      </c>
      <c r="CP64" s="23" t="s">
        <v>2289</v>
      </c>
      <c r="CQ64" s="23" t="s">
        <v>2767</v>
      </c>
      <c r="CR64" s="23">
        <v>1</v>
      </c>
      <c r="CS64" s="23" t="s">
        <v>3764</v>
      </c>
      <c r="CT64" s="23" t="s">
        <v>3765</v>
      </c>
      <c r="CU64" s="23" t="s">
        <v>1345</v>
      </c>
      <c r="CV64" s="23" t="s">
        <v>2310</v>
      </c>
      <c r="CW64" s="23" t="s">
        <v>1345</v>
      </c>
      <c r="CX64" s="26">
        <v>0.5</v>
      </c>
      <c r="CY64" s="26">
        <v>0.5</v>
      </c>
      <c r="CZ64" s="23" t="s">
        <v>2311</v>
      </c>
      <c r="DA64" s="23" t="s">
        <v>3766</v>
      </c>
      <c r="DB64" s="23" t="s">
        <v>1903</v>
      </c>
      <c r="DC64" s="23" t="s">
        <v>2643</v>
      </c>
      <c r="DD64" s="22" t="s">
        <v>2792</v>
      </c>
      <c r="DE64" s="23" t="s">
        <v>2350</v>
      </c>
      <c r="DF64" s="23" t="s">
        <v>3768</v>
      </c>
      <c r="DG64" s="23" t="s">
        <v>3874</v>
      </c>
      <c r="DH64" s="23" t="s">
        <v>2794</v>
      </c>
      <c r="DI64" s="23" t="s">
        <v>1556</v>
      </c>
      <c r="DJ64" s="23" t="s">
        <v>1556</v>
      </c>
      <c r="DK64" s="23" t="s">
        <v>1556</v>
      </c>
      <c r="DL64" s="23" t="s">
        <v>3770</v>
      </c>
      <c r="DM64" s="23" t="s">
        <v>3771</v>
      </c>
      <c r="DN64" s="23" t="s">
        <v>1345</v>
      </c>
      <c r="DO64" s="23" t="s">
        <v>3875</v>
      </c>
      <c r="DP64" s="23" t="s">
        <v>1349</v>
      </c>
      <c r="DQ64" s="23" t="s">
        <v>2647</v>
      </c>
      <c r="DR64" s="23" t="s">
        <v>1349</v>
      </c>
      <c r="DS64" s="23" t="s">
        <v>1556</v>
      </c>
      <c r="DT64" s="23" t="s">
        <v>2300</v>
      </c>
      <c r="DU64" s="23" t="s">
        <v>2300</v>
      </c>
      <c r="DV64" s="23" t="s">
        <v>1345</v>
      </c>
      <c r="DW64" s="23" t="s">
        <v>2797</v>
      </c>
      <c r="DX64" s="23" t="s">
        <v>1345</v>
      </c>
      <c r="DY64" s="23" t="s">
        <v>1349</v>
      </c>
      <c r="DZ64" s="23" t="s">
        <v>3773</v>
      </c>
      <c r="EA64" s="23" t="s">
        <v>1345</v>
      </c>
      <c r="EB64" s="23" t="s">
        <v>1345</v>
      </c>
      <c r="EC64" s="23" t="s">
        <v>1345</v>
      </c>
      <c r="ED64" s="23" t="s">
        <v>2353</v>
      </c>
      <c r="EE64" s="27">
        <v>0.1</v>
      </c>
      <c r="EF64" s="23" t="s">
        <v>2370</v>
      </c>
      <c r="EG64" s="23" t="s">
        <v>1349</v>
      </c>
      <c r="EH64" s="23" t="s">
        <v>2300</v>
      </c>
      <c r="EI64" s="23" t="s">
        <v>2326</v>
      </c>
      <c r="EJ64" s="22"/>
      <c r="EK64" s="23" t="s">
        <v>3868</v>
      </c>
      <c r="EL64" s="23" t="s">
        <v>1389</v>
      </c>
      <c r="EM64" s="23">
        <v>4</v>
      </c>
      <c r="EN64" s="23" t="s">
        <v>3881</v>
      </c>
      <c r="EO64" s="23">
        <v>3</v>
      </c>
      <c r="EP64" s="23" t="s">
        <v>3796</v>
      </c>
      <c r="EQ64" s="23">
        <v>3</v>
      </c>
      <c r="ER64" s="22" t="s">
        <v>3777</v>
      </c>
      <c r="ES64" s="23">
        <v>4</v>
      </c>
      <c r="ET64" s="22" t="s">
        <v>3778</v>
      </c>
      <c r="EU64" s="23">
        <v>4</v>
      </c>
      <c r="EV64" s="22" t="s">
        <v>3779</v>
      </c>
      <c r="EW64" s="23">
        <v>3</v>
      </c>
      <c r="EX64" s="22" t="s">
        <v>3780</v>
      </c>
      <c r="EY64" s="23">
        <v>2</v>
      </c>
      <c r="EZ64" s="22" t="s">
        <v>2424</v>
      </c>
    </row>
    <row r="65" spans="1:157">
      <c r="A65" s="17">
        <v>609</v>
      </c>
      <c r="B65" s="22">
        <v>31</v>
      </c>
      <c r="C65" s="23" t="s">
        <v>1337</v>
      </c>
      <c r="D65" s="33">
        <v>43769</v>
      </c>
      <c r="E65" s="23" t="s">
        <v>3963</v>
      </c>
      <c r="F65" s="25" t="e">
        <v>#N/A</v>
      </c>
      <c r="G65" s="25" t="s">
        <v>3930</v>
      </c>
      <c r="H65" s="23" t="s">
        <v>3901</v>
      </c>
      <c r="I65" s="23" t="s">
        <v>3902</v>
      </c>
      <c r="J65" s="23" t="s">
        <v>68</v>
      </c>
      <c r="K65" s="23" t="s">
        <v>3964</v>
      </c>
      <c r="L65" s="32">
        <v>6</v>
      </c>
      <c r="M65" s="23" t="s">
        <v>1342</v>
      </c>
      <c r="N65" s="23" t="s">
        <v>1448</v>
      </c>
      <c r="O65" s="23" t="s">
        <v>3965</v>
      </c>
      <c r="P65" s="23" t="s">
        <v>3966</v>
      </c>
      <c r="Q65" s="23">
        <v>76368203</v>
      </c>
      <c r="R65" s="23" t="s">
        <v>1383</v>
      </c>
      <c r="S65" s="23">
        <v>3</v>
      </c>
      <c r="T65" s="23" t="s">
        <v>1346</v>
      </c>
      <c r="U65" s="23">
        <v>2013</v>
      </c>
      <c r="V65" s="22" t="s">
        <v>3967</v>
      </c>
      <c r="W65" s="22" t="s">
        <v>3049</v>
      </c>
      <c r="X65" s="23" t="s">
        <v>1804</v>
      </c>
      <c r="Y65" s="23"/>
      <c r="Z65" s="23"/>
      <c r="AA65" s="23">
        <v>25</v>
      </c>
      <c r="AB65" s="23" t="s">
        <v>1383</v>
      </c>
      <c r="AC65" s="23">
        <v>1</v>
      </c>
      <c r="AD65" s="23" t="s">
        <v>1383</v>
      </c>
      <c r="AE65" s="23" t="s">
        <v>1342</v>
      </c>
      <c r="AF65" s="23" t="s">
        <v>1342</v>
      </c>
      <c r="AG65" s="23" t="s">
        <v>1342</v>
      </c>
      <c r="AH65" s="23" t="s">
        <v>1342</v>
      </c>
      <c r="AI65" s="23"/>
      <c r="AJ65" s="23"/>
      <c r="AK65" s="22" t="s">
        <v>4199</v>
      </c>
      <c r="AL65" s="87" t="s">
        <v>1612</v>
      </c>
      <c r="AM65" s="23" t="s">
        <v>1612</v>
      </c>
      <c r="AN65" s="23" t="s">
        <v>1612</v>
      </c>
      <c r="AO65" s="23" t="s">
        <v>1612</v>
      </c>
      <c r="AP65" s="23" t="s">
        <v>1612</v>
      </c>
      <c r="AQ65" s="68" t="s">
        <v>1352</v>
      </c>
      <c r="AR65" s="23" t="s">
        <v>1612</v>
      </c>
      <c r="AS65" s="42" t="s">
        <v>1550</v>
      </c>
      <c r="AT65" s="22"/>
      <c r="AU65" s="22">
        <v>9600</v>
      </c>
      <c r="AV65" s="22">
        <v>35000</v>
      </c>
      <c r="AW65" s="22" t="s">
        <v>2955</v>
      </c>
      <c r="AX65" s="22" t="s">
        <v>3968</v>
      </c>
      <c r="AY65" s="23" t="s">
        <v>1342</v>
      </c>
      <c r="AZ65" s="22" t="s">
        <v>1738</v>
      </c>
      <c r="BA65" s="22" t="s">
        <v>2971</v>
      </c>
      <c r="BB65" s="22" t="s">
        <v>1358</v>
      </c>
      <c r="BC65" s="22" t="s">
        <v>1358</v>
      </c>
      <c r="BD65" s="22" t="s">
        <v>1358</v>
      </c>
      <c r="BE65" s="22" t="s">
        <v>3969</v>
      </c>
      <c r="BF65" s="22"/>
      <c r="BG65" s="22"/>
      <c r="BH65" s="22">
        <v>2</v>
      </c>
      <c r="BI65" s="22">
        <v>4</v>
      </c>
      <c r="BJ65" s="22"/>
      <c r="BK65" s="22" t="s">
        <v>1434</v>
      </c>
      <c r="BL65" s="22" t="s">
        <v>2405</v>
      </c>
      <c r="BM65" s="22"/>
      <c r="BN65" s="23" t="s">
        <v>1342</v>
      </c>
      <c r="BO65" s="22"/>
      <c r="BP65" s="22"/>
      <c r="BQ65" s="23" t="s">
        <v>1383</v>
      </c>
      <c r="BR65" s="23" t="s">
        <v>1342</v>
      </c>
      <c r="BS65" s="27">
        <v>0</v>
      </c>
      <c r="BT65" s="23" t="s">
        <v>1383</v>
      </c>
      <c r="BU65" s="23" t="s">
        <v>3959</v>
      </c>
      <c r="BV65" s="23" t="s">
        <v>1342</v>
      </c>
      <c r="BW65" s="22"/>
      <c r="BX65" s="23" t="s">
        <v>1383</v>
      </c>
      <c r="BY65" s="23" t="s">
        <v>1362</v>
      </c>
      <c r="BZ65" s="23" t="s">
        <v>3912</v>
      </c>
      <c r="CA65" s="23" t="s">
        <v>3970</v>
      </c>
      <c r="CB65" s="22" t="s">
        <v>1364</v>
      </c>
      <c r="CC65" s="22" t="s">
        <v>1364</v>
      </c>
      <c r="CD65" s="22" t="s">
        <v>1364</v>
      </c>
      <c r="CE65" s="22">
        <v>12000</v>
      </c>
      <c r="CF65" s="22">
        <v>15000</v>
      </c>
      <c r="CG65" s="22">
        <v>10000</v>
      </c>
      <c r="CH65" s="22">
        <v>0</v>
      </c>
      <c r="CI65" s="22">
        <v>0</v>
      </c>
      <c r="CJ65" s="22">
        <v>0</v>
      </c>
      <c r="CK65" s="27">
        <v>0.6</v>
      </c>
      <c r="CL65" s="27">
        <v>0.4</v>
      </c>
      <c r="CM65" s="27">
        <v>0.5</v>
      </c>
      <c r="CN65" s="27">
        <v>0.6</v>
      </c>
      <c r="CO65" s="22"/>
      <c r="CP65" s="22"/>
      <c r="CQ65" s="22"/>
      <c r="CR65" s="22"/>
      <c r="CS65" s="22"/>
      <c r="CT65" s="22"/>
      <c r="CU65" s="23"/>
      <c r="CV65" s="22"/>
      <c r="CW65" s="23" t="s">
        <v>1383</v>
      </c>
      <c r="CX65" s="27">
        <v>0.1</v>
      </c>
      <c r="CY65" s="27">
        <v>0.8</v>
      </c>
      <c r="CZ65" s="22" t="s">
        <v>2905</v>
      </c>
      <c r="DA65" s="22" t="s">
        <v>1372</v>
      </c>
      <c r="DB65" s="22">
        <v>10</v>
      </c>
      <c r="DC65" s="22"/>
      <c r="DD65" s="22" t="s">
        <v>3916</v>
      </c>
      <c r="DE65" s="22" t="s">
        <v>3917</v>
      </c>
      <c r="DF65" s="22" t="s">
        <v>3918</v>
      </c>
      <c r="DG65" s="22"/>
      <c r="DH65" s="22" t="s">
        <v>3935</v>
      </c>
      <c r="DI65" s="22"/>
      <c r="DJ65" s="22"/>
      <c r="DK65" s="22"/>
      <c r="DL65" s="22" t="s">
        <v>3971</v>
      </c>
      <c r="DM65" s="22"/>
      <c r="DN65" s="23" t="s">
        <v>1383</v>
      </c>
      <c r="DO65" s="22" t="s">
        <v>3102</v>
      </c>
      <c r="DP65" s="23" t="s">
        <v>1383</v>
      </c>
      <c r="DQ65" s="22" t="s">
        <v>3923</v>
      </c>
      <c r="DR65" s="23" t="s">
        <v>1342</v>
      </c>
      <c r="DS65" s="22"/>
      <c r="DT65" s="22"/>
      <c r="DU65" s="22"/>
      <c r="DV65" s="23" t="s">
        <v>1383</v>
      </c>
      <c r="DW65" s="22" t="s">
        <v>3123</v>
      </c>
      <c r="DX65" s="23" t="s">
        <v>1383</v>
      </c>
      <c r="DY65" s="23" t="s">
        <v>1342</v>
      </c>
      <c r="DZ65" s="22" t="s">
        <v>3972</v>
      </c>
      <c r="EA65" s="23" t="s">
        <v>1383</v>
      </c>
      <c r="EB65" s="23" t="s">
        <v>1342</v>
      </c>
      <c r="EC65" s="23" t="s">
        <v>1383</v>
      </c>
      <c r="ED65" s="22" t="s">
        <v>2948</v>
      </c>
      <c r="EE65" s="27">
        <v>0.4</v>
      </c>
      <c r="EF65" s="23" t="s">
        <v>2931</v>
      </c>
      <c r="EG65" s="23" t="s">
        <v>1342</v>
      </c>
      <c r="EH65" s="22"/>
      <c r="EI65" s="22"/>
      <c r="EJ65" s="22"/>
      <c r="EK65" s="22"/>
      <c r="EL65" s="23" t="s">
        <v>1389</v>
      </c>
      <c r="EM65" s="23">
        <v>3</v>
      </c>
      <c r="EN65" s="22" t="s">
        <v>3925</v>
      </c>
      <c r="EO65" s="23">
        <v>0</v>
      </c>
      <c r="EP65" s="22" t="s">
        <v>3020</v>
      </c>
      <c r="EQ65" s="23">
        <v>2</v>
      </c>
      <c r="ER65" s="22" t="s">
        <v>3129</v>
      </c>
      <c r="ES65" s="23">
        <v>3</v>
      </c>
      <c r="ET65" s="22" t="s">
        <v>3174</v>
      </c>
      <c r="EU65" s="23">
        <v>3</v>
      </c>
      <c r="EV65" s="22" t="s">
        <v>3108</v>
      </c>
      <c r="EW65" s="23">
        <v>3</v>
      </c>
      <c r="EX65" s="22" t="s">
        <v>3927</v>
      </c>
      <c r="EY65" s="23">
        <v>1</v>
      </c>
      <c r="EZ65" s="22" t="s">
        <v>3939</v>
      </c>
    </row>
    <row r="66" spans="1:157">
      <c r="A66" s="17">
        <v>610</v>
      </c>
      <c r="B66" s="22">
        <v>69</v>
      </c>
      <c r="C66" s="38" t="s">
        <v>4330</v>
      </c>
      <c r="D66" s="39">
        <v>43777</v>
      </c>
      <c r="E66" s="38" t="s">
        <v>4331</v>
      </c>
      <c r="F66" s="40" t="s">
        <v>1728</v>
      </c>
      <c r="G66" s="40" t="s">
        <v>4091</v>
      </c>
      <c r="H66" s="38" t="s">
        <v>1075</v>
      </c>
      <c r="I66" s="38" t="s">
        <v>1071</v>
      </c>
      <c r="J66" s="38" t="s">
        <v>4091</v>
      </c>
      <c r="K66" s="38" t="s">
        <v>4332</v>
      </c>
      <c r="L66" s="42">
        <v>20</v>
      </c>
      <c r="M66" s="42" t="s">
        <v>3395</v>
      </c>
      <c r="N66" s="42" t="s">
        <v>1343</v>
      </c>
      <c r="O66" s="42" t="s">
        <v>4288</v>
      </c>
      <c r="P66" s="42" t="s">
        <v>948</v>
      </c>
      <c r="Q66" s="38">
        <v>79870717</v>
      </c>
      <c r="R66" s="38" t="s">
        <v>1383</v>
      </c>
      <c r="S66" s="38">
        <v>7</v>
      </c>
      <c r="T66" s="42" t="s">
        <v>1346</v>
      </c>
      <c r="U66" s="38">
        <v>2010</v>
      </c>
      <c r="V66" s="42" t="s">
        <v>4296</v>
      </c>
      <c r="W66" s="42" t="s">
        <v>4297</v>
      </c>
      <c r="X66" s="38" t="s">
        <v>1349</v>
      </c>
      <c r="Y66" s="38"/>
      <c r="Z66" s="38"/>
      <c r="AA66" s="38">
        <v>12</v>
      </c>
      <c r="AB66" s="38" t="s">
        <v>1383</v>
      </c>
      <c r="AC66" s="38" t="s">
        <v>4333</v>
      </c>
      <c r="AD66" s="38" t="s">
        <v>1383</v>
      </c>
      <c r="AE66" s="38" t="s">
        <v>1349</v>
      </c>
      <c r="AF66" s="38" t="s">
        <v>1349</v>
      </c>
      <c r="AG66" s="38" t="s">
        <v>1349</v>
      </c>
      <c r="AH66" s="42" t="s">
        <v>1366</v>
      </c>
      <c r="AI66" s="38" t="s">
        <v>3384</v>
      </c>
      <c r="AJ66" s="38" t="s">
        <v>1349</v>
      </c>
      <c r="AK66" s="87" t="s">
        <v>4199</v>
      </c>
      <c r="AL66" s="87" t="s">
        <v>1612</v>
      </c>
      <c r="AM66" s="23" t="s">
        <v>1612</v>
      </c>
      <c r="AN66" s="38" t="s">
        <v>1550</v>
      </c>
      <c r="AO66" s="38" t="s">
        <v>1550</v>
      </c>
      <c r="AP66" s="38" t="s">
        <v>1550</v>
      </c>
      <c r="AQ66" s="87" t="s">
        <v>1352</v>
      </c>
      <c r="AR66" s="88" t="s">
        <v>3451</v>
      </c>
      <c r="AS66" s="42" t="s">
        <v>1550</v>
      </c>
      <c r="AT66" s="42" t="s">
        <v>1804</v>
      </c>
      <c r="AU66" s="42"/>
      <c r="AV66" s="42">
        <v>1000</v>
      </c>
      <c r="AW66" s="42" t="s">
        <v>4334</v>
      </c>
      <c r="AX66" s="42" t="s">
        <v>4309</v>
      </c>
      <c r="AY66" s="38" t="s">
        <v>1349</v>
      </c>
      <c r="AZ66" s="42" t="s">
        <v>4335</v>
      </c>
      <c r="BA66" s="42" t="s">
        <v>4336</v>
      </c>
      <c r="BB66" s="42" t="s">
        <v>1358</v>
      </c>
      <c r="BC66" s="42" t="s">
        <v>1358</v>
      </c>
      <c r="BD66" s="42" t="s">
        <v>1358</v>
      </c>
      <c r="BE66" s="42" t="s">
        <v>1810</v>
      </c>
      <c r="BF66" s="42"/>
      <c r="BG66" s="42"/>
      <c r="BH66" s="42">
        <v>10</v>
      </c>
      <c r="BI66" s="42">
        <v>8</v>
      </c>
      <c r="BJ66" s="42">
        <v>10</v>
      </c>
      <c r="BK66" s="42" t="s">
        <v>4164</v>
      </c>
      <c r="BL66" s="42" t="s">
        <v>4164</v>
      </c>
      <c r="BM66" s="42" t="s">
        <v>4164</v>
      </c>
      <c r="BN66" s="38" t="s">
        <v>1349</v>
      </c>
      <c r="BO66" s="42"/>
      <c r="BP66" s="42"/>
      <c r="BQ66" s="38" t="s">
        <v>1383</v>
      </c>
      <c r="BR66" s="38" t="s">
        <v>1383</v>
      </c>
      <c r="BS66" s="42" t="s">
        <v>1358</v>
      </c>
      <c r="BT66" s="38" t="s">
        <v>1383</v>
      </c>
      <c r="BU66" s="42" t="s">
        <v>4165</v>
      </c>
      <c r="BV66" s="38" t="s">
        <v>1349</v>
      </c>
      <c r="BW66" s="42"/>
      <c r="BX66" s="38" t="s">
        <v>1383</v>
      </c>
      <c r="BY66" s="42" t="s">
        <v>1362</v>
      </c>
      <c r="BZ66" s="38" t="s">
        <v>4261</v>
      </c>
      <c r="CA66" s="38" t="s">
        <v>4337</v>
      </c>
      <c r="CB66" s="42" t="s">
        <v>1935</v>
      </c>
      <c r="CC66" s="42" t="s">
        <v>1935</v>
      </c>
      <c r="CD66" s="42" t="s">
        <v>1935</v>
      </c>
      <c r="CE66" s="42" t="s">
        <v>1904</v>
      </c>
      <c r="CF66" s="42">
        <v>24000</v>
      </c>
      <c r="CG66" s="42">
        <v>15000</v>
      </c>
      <c r="CH66" s="42" t="s">
        <v>1935</v>
      </c>
      <c r="CI66" s="42" t="s">
        <v>1935</v>
      </c>
      <c r="CJ66" s="42" t="s">
        <v>1935</v>
      </c>
      <c r="CK66" s="43">
        <v>0.6</v>
      </c>
      <c r="CL66" s="43">
        <v>0.6</v>
      </c>
      <c r="CM66" s="43">
        <v>0.4</v>
      </c>
      <c r="CN66" s="43">
        <v>0.4</v>
      </c>
      <c r="CO66" s="42" t="s">
        <v>3451</v>
      </c>
      <c r="CP66" s="42"/>
      <c r="CQ66" s="42"/>
      <c r="CR66" s="42"/>
      <c r="CS66" s="42"/>
      <c r="CT66" s="42"/>
      <c r="CU66" s="38"/>
      <c r="CV66" s="42"/>
      <c r="CW66" s="38" t="s">
        <v>1383</v>
      </c>
      <c r="CX66" s="42" t="s">
        <v>1904</v>
      </c>
      <c r="CY66" s="42" t="s">
        <v>1904</v>
      </c>
      <c r="CZ66" s="42" t="s">
        <v>3750</v>
      </c>
      <c r="DA66" s="42" t="s">
        <v>4276</v>
      </c>
      <c r="DB66" s="42" t="s">
        <v>3388</v>
      </c>
      <c r="DC66" s="55" t="s">
        <v>3571</v>
      </c>
      <c r="DD66" s="55" t="s">
        <v>4167</v>
      </c>
      <c r="DE66" s="42" t="s">
        <v>4168</v>
      </c>
      <c r="DF66" s="55" t="s">
        <v>4323</v>
      </c>
      <c r="DG66" s="42" t="s">
        <v>4170</v>
      </c>
      <c r="DH66" s="42" t="s">
        <v>1978</v>
      </c>
      <c r="DI66" s="42" t="s">
        <v>3384</v>
      </c>
      <c r="DJ66" s="42" t="s">
        <v>3384</v>
      </c>
      <c r="DK66" s="42" t="s">
        <v>3384</v>
      </c>
      <c r="DL66" s="51" t="s">
        <v>4172</v>
      </c>
      <c r="DM66" s="51" t="s">
        <v>3384</v>
      </c>
      <c r="DN66" s="38" t="s">
        <v>1349</v>
      </c>
      <c r="DO66" s="42" t="s">
        <v>1358</v>
      </c>
      <c r="DP66" s="38" t="s">
        <v>1358</v>
      </c>
      <c r="DQ66" s="42" t="s">
        <v>1349</v>
      </c>
      <c r="DR66" s="38" t="s">
        <v>1349</v>
      </c>
      <c r="DS66" s="42"/>
      <c r="DT66" s="42"/>
      <c r="DU66" s="42"/>
      <c r="DV66" s="38" t="s">
        <v>1383</v>
      </c>
      <c r="DW66" s="42" t="s">
        <v>4263</v>
      </c>
      <c r="DX66" s="38" t="s">
        <v>1383</v>
      </c>
      <c r="DY66" s="38" t="s">
        <v>1349</v>
      </c>
      <c r="DZ66" s="42" t="s">
        <v>4325</v>
      </c>
      <c r="EA66" s="38" t="s">
        <v>1383</v>
      </c>
      <c r="EB66" s="38" t="s">
        <v>1383</v>
      </c>
      <c r="EC66" s="38" t="s">
        <v>1383</v>
      </c>
      <c r="ED66" s="42" t="s">
        <v>4326</v>
      </c>
      <c r="EE66" s="43">
        <v>0.4</v>
      </c>
      <c r="EF66" s="42" t="s">
        <v>3580</v>
      </c>
      <c r="EG66" s="38" t="s">
        <v>1349</v>
      </c>
      <c r="EH66" s="42"/>
      <c r="EI66" s="42" t="s">
        <v>4338</v>
      </c>
      <c r="EJ66" s="42" t="s">
        <v>4328</v>
      </c>
      <c r="EK66" s="42" t="s">
        <v>4303</v>
      </c>
      <c r="EL66" s="38" t="s">
        <v>1389</v>
      </c>
      <c r="EM66" s="38">
        <v>3</v>
      </c>
      <c r="EN66" s="42" t="s">
        <v>4293</v>
      </c>
      <c r="EO66" s="38">
        <v>1</v>
      </c>
      <c r="EP66" s="42" t="s">
        <v>3451</v>
      </c>
      <c r="EQ66" s="38">
        <v>2</v>
      </c>
      <c r="ER66" s="42" t="s">
        <v>4339</v>
      </c>
      <c r="ES66" s="38">
        <v>5</v>
      </c>
      <c r="ET66" s="42" t="s">
        <v>4177</v>
      </c>
      <c r="EU66" s="38">
        <v>5</v>
      </c>
      <c r="EV66" s="42" t="s">
        <v>4178</v>
      </c>
      <c r="EW66" s="38">
        <v>2</v>
      </c>
      <c r="EX66" s="42" t="s">
        <v>4179</v>
      </c>
      <c r="EY66" s="38">
        <v>1</v>
      </c>
      <c r="EZ66" s="42" t="s">
        <v>4269</v>
      </c>
    </row>
    <row r="67" spans="1:157">
      <c r="A67" s="17">
        <v>611</v>
      </c>
      <c r="B67" s="22">
        <v>70</v>
      </c>
      <c r="C67" s="38" t="s">
        <v>4330</v>
      </c>
      <c r="D67" s="39">
        <v>43777</v>
      </c>
      <c r="E67" s="38" t="s">
        <v>490</v>
      </c>
      <c r="F67" s="40" t="s">
        <v>1728</v>
      </c>
      <c r="G67" s="40" t="s">
        <v>4091</v>
      </c>
      <c r="H67" s="38" t="s">
        <v>1075</v>
      </c>
      <c r="I67" s="38" t="s">
        <v>1071</v>
      </c>
      <c r="J67" s="38" t="s">
        <v>4091</v>
      </c>
      <c r="K67" s="38" t="s">
        <v>4340</v>
      </c>
      <c r="L67" s="42">
        <v>15</v>
      </c>
      <c r="M67" s="42" t="s">
        <v>3539</v>
      </c>
      <c r="N67" s="42" t="s">
        <v>1343</v>
      </c>
      <c r="O67" s="42" t="s">
        <v>4288</v>
      </c>
      <c r="P67" s="42" t="s">
        <v>971</v>
      </c>
      <c r="Q67" s="38">
        <v>79104111</v>
      </c>
      <c r="R67" s="38" t="s">
        <v>1383</v>
      </c>
      <c r="S67" s="38">
        <v>7</v>
      </c>
      <c r="T67" s="42" t="s">
        <v>1346</v>
      </c>
      <c r="U67" s="38">
        <v>2010</v>
      </c>
      <c r="V67" s="42" t="s">
        <v>4296</v>
      </c>
      <c r="W67" s="42" t="s">
        <v>4297</v>
      </c>
      <c r="X67" s="38" t="s">
        <v>1349</v>
      </c>
      <c r="Y67" s="38"/>
      <c r="Z67" s="38"/>
      <c r="AA67" s="38">
        <v>15</v>
      </c>
      <c r="AB67" s="38" t="s">
        <v>1383</v>
      </c>
      <c r="AC67" s="38" t="s">
        <v>4333</v>
      </c>
      <c r="AD67" s="38" t="s">
        <v>1383</v>
      </c>
      <c r="AE67" s="38" t="s">
        <v>1349</v>
      </c>
      <c r="AF67" s="38" t="s">
        <v>1349</v>
      </c>
      <c r="AG67" s="38" t="s">
        <v>1349</v>
      </c>
      <c r="AH67" s="42" t="s">
        <v>1366</v>
      </c>
      <c r="AI67" s="38" t="s">
        <v>3384</v>
      </c>
      <c r="AJ67" s="38" t="s">
        <v>1349</v>
      </c>
      <c r="AK67" s="87" t="s">
        <v>4199</v>
      </c>
      <c r="AL67" s="87" t="s">
        <v>1612</v>
      </c>
      <c r="AM67" s="23" t="s">
        <v>1612</v>
      </c>
      <c r="AN67" s="38" t="s">
        <v>1550</v>
      </c>
      <c r="AO67" s="38" t="s">
        <v>1550</v>
      </c>
      <c r="AP67" s="38" t="s">
        <v>1550</v>
      </c>
      <c r="AQ67" s="87" t="s">
        <v>1352</v>
      </c>
      <c r="AR67" s="88" t="s">
        <v>3451</v>
      </c>
      <c r="AS67" s="42" t="s">
        <v>1550</v>
      </c>
      <c r="AT67" s="42" t="s">
        <v>1804</v>
      </c>
      <c r="AU67" s="42"/>
      <c r="AV67" s="42">
        <v>1000</v>
      </c>
      <c r="AW67" s="42" t="s">
        <v>4334</v>
      </c>
      <c r="AX67" s="42" t="s">
        <v>4309</v>
      </c>
      <c r="AY67" s="38" t="s">
        <v>1349</v>
      </c>
      <c r="AZ67" s="42" t="s">
        <v>4341</v>
      </c>
      <c r="BA67" s="42" t="s">
        <v>4342</v>
      </c>
      <c r="BB67" s="42" t="s">
        <v>1358</v>
      </c>
      <c r="BC67" s="42" t="s">
        <v>1358</v>
      </c>
      <c r="BD67" s="42" t="s">
        <v>1358</v>
      </c>
      <c r="BE67" s="42" t="s">
        <v>1810</v>
      </c>
      <c r="BF67" s="42"/>
      <c r="BG67" s="42"/>
      <c r="BH67" s="42">
        <v>8</v>
      </c>
      <c r="BI67" s="42">
        <v>5</v>
      </c>
      <c r="BJ67" s="42">
        <v>10</v>
      </c>
      <c r="BK67" s="42" t="s">
        <v>4164</v>
      </c>
      <c r="BL67" s="42" t="s">
        <v>4164</v>
      </c>
      <c r="BM67" s="42" t="s">
        <v>4164</v>
      </c>
      <c r="BN67" s="38" t="s">
        <v>1349</v>
      </c>
      <c r="BO67" s="42"/>
      <c r="BP67" s="42"/>
      <c r="BQ67" s="38" t="s">
        <v>1383</v>
      </c>
      <c r="BR67" s="38" t="s">
        <v>1383</v>
      </c>
      <c r="BS67" s="42" t="s">
        <v>1358</v>
      </c>
      <c r="BT67" s="38" t="s">
        <v>1383</v>
      </c>
      <c r="BU67" s="42" t="s">
        <v>4165</v>
      </c>
      <c r="BV67" s="38" t="s">
        <v>1349</v>
      </c>
      <c r="BW67" s="42"/>
      <c r="BX67" s="38" t="s">
        <v>1383</v>
      </c>
      <c r="BY67" s="42" t="s">
        <v>1362</v>
      </c>
      <c r="BZ67" s="38" t="s">
        <v>4261</v>
      </c>
      <c r="CA67" s="38" t="s">
        <v>4343</v>
      </c>
      <c r="CB67" s="42" t="s">
        <v>1935</v>
      </c>
      <c r="CC67" s="42" t="s">
        <v>1935</v>
      </c>
      <c r="CD67" s="42" t="s">
        <v>1935</v>
      </c>
      <c r="CE67" s="42">
        <v>21000</v>
      </c>
      <c r="CF67" s="42">
        <v>30000</v>
      </c>
      <c r="CG67" s="42">
        <v>20000</v>
      </c>
      <c r="CH67" s="42" t="s">
        <v>1935</v>
      </c>
      <c r="CI67" s="42" t="s">
        <v>1935</v>
      </c>
      <c r="CJ67" s="42" t="s">
        <v>1935</v>
      </c>
      <c r="CK67" s="43">
        <v>0.4</v>
      </c>
      <c r="CL67" s="43">
        <v>0.6</v>
      </c>
      <c r="CM67" s="43">
        <v>0.6</v>
      </c>
      <c r="CN67" s="43">
        <v>0.4</v>
      </c>
      <c r="CO67" s="42" t="s">
        <v>3451</v>
      </c>
      <c r="CP67" s="42"/>
      <c r="CQ67" s="42"/>
      <c r="CR67" s="42"/>
      <c r="CS67" s="42"/>
      <c r="CT67" s="42"/>
      <c r="CU67" s="38"/>
      <c r="CV67" s="42"/>
      <c r="CW67" s="38" t="s">
        <v>1383</v>
      </c>
      <c r="CX67" s="42" t="s">
        <v>1904</v>
      </c>
      <c r="CY67" s="42" t="s">
        <v>1904</v>
      </c>
      <c r="CZ67" s="42" t="s">
        <v>3750</v>
      </c>
      <c r="DA67" s="42" t="s">
        <v>4276</v>
      </c>
      <c r="DB67" s="42" t="s">
        <v>3388</v>
      </c>
      <c r="DC67" s="55" t="s">
        <v>3571</v>
      </c>
      <c r="DD67" s="55" t="s">
        <v>4167</v>
      </c>
      <c r="DE67" s="55" t="s">
        <v>4291</v>
      </c>
      <c r="DF67" s="55" t="s">
        <v>4169</v>
      </c>
      <c r="DG67" s="55" t="s">
        <v>4236</v>
      </c>
      <c r="DH67" s="42" t="s">
        <v>1978</v>
      </c>
      <c r="DI67" s="42" t="s">
        <v>3384</v>
      </c>
      <c r="DJ67" s="42" t="s">
        <v>3384</v>
      </c>
      <c r="DK67" s="42" t="s">
        <v>3384</v>
      </c>
      <c r="DL67" s="51" t="s">
        <v>4172</v>
      </c>
      <c r="DM67" s="51" t="s">
        <v>3384</v>
      </c>
      <c r="DN67" s="38" t="s">
        <v>1349</v>
      </c>
      <c r="DO67" s="42" t="s">
        <v>1358</v>
      </c>
      <c r="DP67" s="38" t="s">
        <v>1358</v>
      </c>
      <c r="DQ67" s="42" t="s">
        <v>1349</v>
      </c>
      <c r="DR67" s="38" t="s">
        <v>1349</v>
      </c>
      <c r="DS67" s="42"/>
      <c r="DT67" s="42"/>
      <c r="DU67" s="42"/>
      <c r="DV67" s="38" t="s">
        <v>1383</v>
      </c>
      <c r="DW67" s="42" t="s">
        <v>4263</v>
      </c>
      <c r="DX67" s="38" t="s">
        <v>1383</v>
      </c>
      <c r="DY67" s="38" t="s">
        <v>1342</v>
      </c>
      <c r="DZ67" s="42" t="s">
        <v>4325</v>
      </c>
      <c r="EA67" s="38" t="s">
        <v>1383</v>
      </c>
      <c r="EB67" s="38" t="s">
        <v>1383</v>
      </c>
      <c r="EC67" s="38" t="s">
        <v>1383</v>
      </c>
      <c r="ED67" s="42" t="s">
        <v>4312</v>
      </c>
      <c r="EE67" s="43">
        <v>0.5</v>
      </c>
      <c r="EF67" s="42" t="s">
        <v>3580</v>
      </c>
      <c r="EG67" s="38" t="s">
        <v>1349</v>
      </c>
      <c r="EH67" s="42"/>
      <c r="EI67" s="42" t="s">
        <v>4327</v>
      </c>
      <c r="EJ67" s="42" t="s">
        <v>4267</v>
      </c>
      <c r="EK67" s="42" t="s">
        <v>4303</v>
      </c>
      <c r="EL67" s="38" t="s">
        <v>1389</v>
      </c>
      <c r="EM67" s="38">
        <v>3</v>
      </c>
      <c r="EN67" s="42" t="s">
        <v>4344</v>
      </c>
      <c r="EO67" s="38">
        <v>1</v>
      </c>
      <c r="EP67" s="42" t="s">
        <v>3451</v>
      </c>
      <c r="EQ67" s="38">
        <v>2</v>
      </c>
      <c r="ER67" s="42" t="s">
        <v>4339</v>
      </c>
      <c r="ES67" s="38">
        <v>5</v>
      </c>
      <c r="ET67" s="42" t="s">
        <v>4177</v>
      </c>
      <c r="EU67" s="38">
        <v>5</v>
      </c>
      <c r="EV67" s="42" t="s">
        <v>4178</v>
      </c>
      <c r="EW67" s="38">
        <v>2</v>
      </c>
      <c r="EX67" s="42" t="s">
        <v>4179</v>
      </c>
      <c r="EY67" s="38">
        <v>1</v>
      </c>
      <c r="EZ67" s="42" t="s">
        <v>4269</v>
      </c>
      <c r="FA67" s="54"/>
    </row>
    <row r="68" spans="1:157">
      <c r="A68" s="17">
        <v>612</v>
      </c>
      <c r="B68" s="22">
        <v>64</v>
      </c>
      <c r="C68" s="38" t="s">
        <v>1795</v>
      </c>
      <c r="D68" s="39">
        <v>43772</v>
      </c>
      <c r="E68" s="38" t="s">
        <v>4286</v>
      </c>
      <c r="F68" s="38" t="s">
        <v>1728</v>
      </c>
      <c r="G68" s="38" t="s">
        <v>3856</v>
      </c>
      <c r="H68" s="38" t="s">
        <v>1075</v>
      </c>
      <c r="I68" s="38" t="s">
        <v>1071</v>
      </c>
      <c r="J68" s="23" t="s">
        <v>3856</v>
      </c>
      <c r="K68" s="38" t="s">
        <v>4287</v>
      </c>
      <c r="L68" s="42">
        <v>22</v>
      </c>
      <c r="M68" s="42" t="s">
        <v>3395</v>
      </c>
      <c r="N68" s="42" t="s">
        <v>1343</v>
      </c>
      <c r="O68" s="42" t="s">
        <v>4288</v>
      </c>
      <c r="P68" s="42" t="s">
        <v>785</v>
      </c>
      <c r="Q68" s="38">
        <v>76134020</v>
      </c>
      <c r="R68" s="51" t="s">
        <v>1345</v>
      </c>
      <c r="S68" s="38">
        <v>7</v>
      </c>
      <c r="T68" s="42" t="s">
        <v>1346</v>
      </c>
      <c r="U68" s="38">
        <v>2010</v>
      </c>
      <c r="V68" s="42" t="s">
        <v>4272</v>
      </c>
      <c r="W68" s="42" t="s">
        <v>4273</v>
      </c>
      <c r="X68" s="38" t="s">
        <v>1349</v>
      </c>
      <c r="Y68" s="38"/>
      <c r="Z68" s="38"/>
      <c r="AA68" s="38">
        <v>10</v>
      </c>
      <c r="AB68" s="38" t="s">
        <v>1345</v>
      </c>
      <c r="AC68" s="38">
        <v>0</v>
      </c>
      <c r="AD68" s="38" t="s">
        <v>1345</v>
      </c>
      <c r="AE68" s="38" t="s">
        <v>1349</v>
      </c>
      <c r="AF68" s="38" t="s">
        <v>1349</v>
      </c>
      <c r="AG68" s="38" t="s">
        <v>1349</v>
      </c>
      <c r="AH68" s="42" t="s">
        <v>1366</v>
      </c>
      <c r="AI68" s="38" t="s">
        <v>3384</v>
      </c>
      <c r="AJ68" s="38" t="s">
        <v>1349</v>
      </c>
      <c r="AK68" s="87" t="s">
        <v>4199</v>
      </c>
      <c r="AL68" s="87" t="s">
        <v>1612</v>
      </c>
      <c r="AM68" s="23" t="s">
        <v>1612</v>
      </c>
      <c r="AN68" s="38" t="s">
        <v>1550</v>
      </c>
      <c r="AO68" s="38" t="s">
        <v>1550</v>
      </c>
      <c r="AP68" s="38" t="s">
        <v>1550</v>
      </c>
      <c r="AQ68" s="87" t="s">
        <v>1352</v>
      </c>
      <c r="AR68" s="88" t="s">
        <v>3451</v>
      </c>
      <c r="AS68" s="42" t="s">
        <v>1550</v>
      </c>
      <c r="AT68" s="42" t="s">
        <v>1804</v>
      </c>
      <c r="AU68" s="42"/>
      <c r="AV68" s="42">
        <v>1000</v>
      </c>
      <c r="AW68" s="42" t="s">
        <v>4256</v>
      </c>
      <c r="AX68" s="42" t="s">
        <v>4257</v>
      </c>
      <c r="AY68" s="38" t="s">
        <v>1349</v>
      </c>
      <c r="AZ68" s="55" t="s">
        <v>4258</v>
      </c>
      <c r="BA68" s="55" t="s">
        <v>4289</v>
      </c>
      <c r="BB68" s="42" t="s">
        <v>1358</v>
      </c>
      <c r="BC68" s="42" t="s">
        <v>1358</v>
      </c>
      <c r="BD68" s="42" t="s">
        <v>1358</v>
      </c>
      <c r="BE68" s="55" t="s">
        <v>4287</v>
      </c>
      <c r="BF68" s="42"/>
      <c r="BG68" s="42"/>
      <c r="BH68" s="55">
        <v>6</v>
      </c>
      <c r="BI68" s="55">
        <v>8</v>
      </c>
      <c r="BJ68" s="55">
        <v>8</v>
      </c>
      <c r="BK68" s="42" t="s">
        <v>4164</v>
      </c>
      <c r="BL68" s="42" t="s">
        <v>4164</v>
      </c>
      <c r="BM68" s="42" t="s">
        <v>4164</v>
      </c>
      <c r="BN68" s="38" t="s">
        <v>1349</v>
      </c>
      <c r="BO68" s="42"/>
      <c r="BP68" s="42"/>
      <c r="BQ68" s="38" t="s">
        <v>1345</v>
      </c>
      <c r="BR68" s="38" t="s">
        <v>1345</v>
      </c>
      <c r="BS68" s="42" t="s">
        <v>1358</v>
      </c>
      <c r="BT68" s="38" t="s">
        <v>1345</v>
      </c>
      <c r="BU68" s="42" t="s">
        <v>4165</v>
      </c>
      <c r="BV68" s="38" t="s">
        <v>1349</v>
      </c>
      <c r="BW68" s="42"/>
      <c r="BX68" s="38" t="s">
        <v>1345</v>
      </c>
      <c r="BY68" s="42" t="s">
        <v>1362</v>
      </c>
      <c r="BZ68" s="38" t="s">
        <v>4261</v>
      </c>
      <c r="CA68" s="38" t="s">
        <v>4290</v>
      </c>
      <c r="CB68" s="42" t="s">
        <v>1935</v>
      </c>
      <c r="CC68" s="42" t="s">
        <v>1935</v>
      </c>
      <c r="CD68" s="38" t="s">
        <v>1935</v>
      </c>
      <c r="CE68" s="55">
        <v>6000</v>
      </c>
      <c r="CF68" s="55">
        <v>21600</v>
      </c>
      <c r="CG68" s="55">
        <v>0</v>
      </c>
      <c r="CH68" s="42" t="s">
        <v>1935</v>
      </c>
      <c r="CI68" s="42" t="s">
        <v>1935</v>
      </c>
      <c r="CJ68" s="42" t="s">
        <v>1935</v>
      </c>
      <c r="CK68" s="93">
        <v>0.17</v>
      </c>
      <c r="CL68" s="93">
        <v>0.25</v>
      </c>
      <c r="CM68" s="93">
        <v>0.83</v>
      </c>
      <c r="CN68" s="93">
        <v>0.75</v>
      </c>
      <c r="CO68" s="42" t="s">
        <v>3451</v>
      </c>
      <c r="CP68" s="42"/>
      <c r="CQ68" s="42"/>
      <c r="CR68" s="42"/>
      <c r="CS68" s="42"/>
      <c r="CT68" s="42"/>
      <c r="CU68" s="38"/>
      <c r="CV68" s="42"/>
      <c r="CW68" s="38" t="s">
        <v>1345</v>
      </c>
      <c r="CX68" s="42" t="s">
        <v>1808</v>
      </c>
      <c r="CY68" s="42" t="s">
        <v>1808</v>
      </c>
      <c r="CZ68" s="42" t="s">
        <v>3750</v>
      </c>
      <c r="DA68" s="42" t="s">
        <v>4276</v>
      </c>
      <c r="DB68" s="42">
        <v>4</v>
      </c>
      <c r="DC68" s="55" t="s">
        <v>3571</v>
      </c>
      <c r="DD68" s="55" t="s">
        <v>4167</v>
      </c>
      <c r="DE68" s="55" t="s">
        <v>4291</v>
      </c>
      <c r="DF68" s="55" t="s">
        <v>4169</v>
      </c>
      <c r="DG68" s="55" t="s">
        <v>4292</v>
      </c>
      <c r="DH68" s="42" t="s">
        <v>4171</v>
      </c>
      <c r="DI68" s="42" t="s">
        <v>1978</v>
      </c>
      <c r="DJ68" s="42" t="s">
        <v>1978</v>
      </c>
      <c r="DK68" s="42" t="s">
        <v>3384</v>
      </c>
      <c r="DL68" s="51" t="s">
        <v>4172</v>
      </c>
      <c r="DM68" s="51" t="s">
        <v>3384</v>
      </c>
      <c r="DN68" s="51" t="s">
        <v>1349</v>
      </c>
      <c r="DO68" s="51" t="s">
        <v>1358</v>
      </c>
      <c r="DP68" s="42" t="s">
        <v>1358</v>
      </c>
      <c r="DQ68" s="38" t="s">
        <v>1349</v>
      </c>
      <c r="DR68" s="38" t="s">
        <v>1349</v>
      </c>
      <c r="DS68" s="42"/>
      <c r="DT68" s="42"/>
      <c r="DU68" s="42"/>
      <c r="DV68" s="38" t="s">
        <v>1345</v>
      </c>
      <c r="DW68" s="42" t="s">
        <v>4263</v>
      </c>
      <c r="DX68" s="38" t="s">
        <v>1345</v>
      </c>
      <c r="DY68" s="38" t="s">
        <v>1349</v>
      </c>
      <c r="DZ68" s="42" t="s">
        <v>4264</v>
      </c>
      <c r="EA68" s="38" t="s">
        <v>1345</v>
      </c>
      <c r="EB68" s="38" t="s">
        <v>1345</v>
      </c>
      <c r="EC68" s="38" t="s">
        <v>1345</v>
      </c>
      <c r="ED68" s="42" t="s">
        <v>4265</v>
      </c>
      <c r="EE68" s="43">
        <v>0.1</v>
      </c>
      <c r="EF68" s="42" t="s">
        <v>3580</v>
      </c>
      <c r="EG68" s="38" t="s">
        <v>1349</v>
      </c>
      <c r="EH68" s="42"/>
      <c r="EI68" s="42" t="s">
        <v>4281</v>
      </c>
      <c r="EJ68" s="42" t="s">
        <v>4267</v>
      </c>
      <c r="EK68" s="38" t="s">
        <v>3613</v>
      </c>
      <c r="EL68" s="38" t="s">
        <v>1389</v>
      </c>
      <c r="EM68" s="38">
        <v>3</v>
      </c>
      <c r="EN68" s="42" t="s">
        <v>4293</v>
      </c>
      <c r="EO68" s="38">
        <v>1</v>
      </c>
      <c r="EP68" s="42" t="s">
        <v>3451</v>
      </c>
      <c r="EQ68" s="38">
        <v>2</v>
      </c>
      <c r="ER68" s="42" t="s">
        <v>4176</v>
      </c>
      <c r="ES68" s="38">
        <v>5</v>
      </c>
      <c r="ET68" s="42" t="s">
        <v>4177</v>
      </c>
      <c r="EU68" s="38">
        <v>5</v>
      </c>
      <c r="EV68" s="42" t="s">
        <v>4178</v>
      </c>
      <c r="EW68" s="38">
        <v>2</v>
      </c>
      <c r="EX68" s="42" t="s">
        <v>4179</v>
      </c>
      <c r="EY68" s="38">
        <v>1</v>
      </c>
      <c r="EZ68" s="42" t="s">
        <v>4269</v>
      </c>
    </row>
    <row r="69" spans="1:157">
      <c r="A69" s="17">
        <v>613</v>
      </c>
      <c r="B69" s="22">
        <v>66</v>
      </c>
      <c r="C69" s="38" t="s">
        <v>1795</v>
      </c>
      <c r="D69" s="39">
        <v>43774</v>
      </c>
      <c r="E69" s="38" t="s">
        <v>510</v>
      </c>
      <c r="F69" s="38" t="s">
        <v>1728</v>
      </c>
      <c r="G69" s="38" t="s">
        <v>3856</v>
      </c>
      <c r="H69" s="38" t="s">
        <v>1075</v>
      </c>
      <c r="I69" s="38" t="s">
        <v>1071</v>
      </c>
      <c r="J69" s="23" t="s">
        <v>3856</v>
      </c>
      <c r="K69" s="38" t="s">
        <v>4304</v>
      </c>
      <c r="L69" s="42">
        <v>20</v>
      </c>
      <c r="M69" s="42" t="s">
        <v>3395</v>
      </c>
      <c r="N69" s="42" t="s">
        <v>1343</v>
      </c>
      <c r="O69" s="42" t="s">
        <v>4288</v>
      </c>
      <c r="P69" s="42" t="s">
        <v>4305</v>
      </c>
      <c r="Q69" s="38">
        <v>65917979</v>
      </c>
      <c r="R69" s="51" t="s">
        <v>1345</v>
      </c>
      <c r="S69" s="38">
        <v>7</v>
      </c>
      <c r="T69" s="42" t="s">
        <v>1346</v>
      </c>
      <c r="U69" s="38">
        <v>2010</v>
      </c>
      <c r="V69" s="42" t="s">
        <v>4296</v>
      </c>
      <c r="W69" s="42" t="s">
        <v>4297</v>
      </c>
      <c r="X69" s="38" t="s">
        <v>1349</v>
      </c>
      <c r="Y69" s="38"/>
      <c r="Z69" s="38"/>
      <c r="AA69" s="38">
        <v>10</v>
      </c>
      <c r="AB69" s="38" t="s">
        <v>1345</v>
      </c>
      <c r="AC69" s="38">
        <v>0</v>
      </c>
      <c r="AD69" s="38" t="s">
        <v>1345</v>
      </c>
      <c r="AE69" s="38" t="s">
        <v>1349</v>
      </c>
      <c r="AF69" s="38" t="s">
        <v>1349</v>
      </c>
      <c r="AG69" s="38" t="s">
        <v>1349</v>
      </c>
      <c r="AH69" s="42" t="s">
        <v>1366</v>
      </c>
      <c r="AI69" s="38" t="s">
        <v>3384</v>
      </c>
      <c r="AJ69" s="38" t="s">
        <v>1349</v>
      </c>
      <c r="AK69" s="87" t="s">
        <v>4199</v>
      </c>
      <c r="AL69" s="87" t="s">
        <v>1612</v>
      </c>
      <c r="AM69" s="23" t="s">
        <v>1612</v>
      </c>
      <c r="AN69" s="38" t="s">
        <v>1550</v>
      </c>
      <c r="AO69" s="38" t="s">
        <v>1550</v>
      </c>
      <c r="AP69" s="38" t="s">
        <v>1550</v>
      </c>
      <c r="AQ69" s="87" t="s">
        <v>1352</v>
      </c>
      <c r="AR69" s="88" t="s">
        <v>3451</v>
      </c>
      <c r="AS69" s="42" t="s">
        <v>1550</v>
      </c>
      <c r="AT69" s="42" t="s">
        <v>1804</v>
      </c>
      <c r="AU69" s="42"/>
      <c r="AV69" s="42">
        <v>1000</v>
      </c>
      <c r="AW69" s="42" t="s">
        <v>4256</v>
      </c>
      <c r="AX69" s="42" t="s">
        <v>4257</v>
      </c>
      <c r="AY69" s="38" t="s">
        <v>1349</v>
      </c>
      <c r="AZ69" s="42" t="s">
        <v>4298</v>
      </c>
      <c r="BA69" s="42" t="s">
        <v>4306</v>
      </c>
      <c r="BB69" s="42" t="s">
        <v>1358</v>
      </c>
      <c r="BC69" s="42" t="s">
        <v>1358</v>
      </c>
      <c r="BD69" s="42" t="s">
        <v>1358</v>
      </c>
      <c r="BE69" s="55" t="s">
        <v>4304</v>
      </c>
      <c r="BF69" s="42"/>
      <c r="BG69" s="42"/>
      <c r="BH69" s="42">
        <v>7</v>
      </c>
      <c r="BI69" s="42">
        <v>7</v>
      </c>
      <c r="BJ69" s="42">
        <v>9</v>
      </c>
      <c r="BK69" s="42" t="s">
        <v>4164</v>
      </c>
      <c r="BL69" s="42" t="s">
        <v>4164</v>
      </c>
      <c r="BM69" s="42" t="s">
        <v>4164</v>
      </c>
      <c r="BN69" s="38" t="s">
        <v>1349</v>
      </c>
      <c r="BO69" s="42"/>
      <c r="BP69" s="42"/>
      <c r="BQ69" s="38" t="s">
        <v>1345</v>
      </c>
      <c r="BR69" s="38" t="s">
        <v>1345</v>
      </c>
      <c r="BS69" s="42" t="s">
        <v>1358</v>
      </c>
      <c r="BT69" s="38" t="s">
        <v>1345</v>
      </c>
      <c r="BU69" s="42" t="s">
        <v>4165</v>
      </c>
      <c r="BV69" s="38" t="s">
        <v>1349</v>
      </c>
      <c r="BW69" s="42"/>
      <c r="BX69" s="38" t="s">
        <v>1345</v>
      </c>
      <c r="BY69" s="42" t="s">
        <v>1362</v>
      </c>
      <c r="BZ69" s="38" t="s">
        <v>4261</v>
      </c>
      <c r="CA69" s="38" t="s">
        <v>4300</v>
      </c>
      <c r="CB69" s="42" t="s">
        <v>1935</v>
      </c>
      <c r="CC69" s="42" t="s">
        <v>1935</v>
      </c>
      <c r="CD69" s="38" t="s">
        <v>1935</v>
      </c>
      <c r="CE69" s="42" t="s">
        <v>1904</v>
      </c>
      <c r="CF69" s="42">
        <v>36000</v>
      </c>
      <c r="CG69" s="42" t="s">
        <v>1904</v>
      </c>
      <c r="CH69" s="42" t="s">
        <v>1935</v>
      </c>
      <c r="CI69" s="42" t="s">
        <v>1935</v>
      </c>
      <c r="CJ69" s="42" t="s">
        <v>1935</v>
      </c>
      <c r="CK69" s="43">
        <v>0.4</v>
      </c>
      <c r="CL69" s="43">
        <v>0.4</v>
      </c>
      <c r="CM69" s="43">
        <v>0.6</v>
      </c>
      <c r="CN69" s="43">
        <v>0.6</v>
      </c>
      <c r="CO69" s="42" t="s">
        <v>3451</v>
      </c>
      <c r="CP69" s="42"/>
      <c r="CQ69" s="42"/>
      <c r="CR69" s="42"/>
      <c r="CS69" s="42"/>
      <c r="CT69" s="42"/>
      <c r="CU69" s="38"/>
      <c r="CV69" s="42"/>
      <c r="CW69" s="38" t="s">
        <v>1345</v>
      </c>
      <c r="CX69" s="42" t="s">
        <v>4301</v>
      </c>
      <c r="CY69" s="42"/>
      <c r="CZ69" s="42" t="s">
        <v>3750</v>
      </c>
      <c r="DA69" s="42" t="s">
        <v>4276</v>
      </c>
      <c r="DB69" s="42" t="s">
        <v>1489</v>
      </c>
      <c r="DC69" s="55" t="s">
        <v>3571</v>
      </c>
      <c r="DD69" s="55" t="s">
        <v>4167</v>
      </c>
      <c r="DE69" s="55" t="s">
        <v>4291</v>
      </c>
      <c r="DF69" s="55" t="s">
        <v>4169</v>
      </c>
      <c r="DG69" s="55" t="s">
        <v>4292</v>
      </c>
      <c r="DH69" s="42" t="s">
        <v>1978</v>
      </c>
      <c r="DI69" s="42" t="s">
        <v>3384</v>
      </c>
      <c r="DJ69" s="42" t="s">
        <v>3384</v>
      </c>
      <c r="DK69" s="42" t="s">
        <v>3384</v>
      </c>
      <c r="DL69" s="51" t="s">
        <v>4172</v>
      </c>
      <c r="DM69" s="51" t="s">
        <v>3384</v>
      </c>
      <c r="DN69" s="51" t="s">
        <v>1349</v>
      </c>
      <c r="DO69" s="51" t="s">
        <v>1358</v>
      </c>
      <c r="DP69" s="42" t="s">
        <v>1358</v>
      </c>
      <c r="DQ69" s="38" t="s">
        <v>1349</v>
      </c>
      <c r="DR69" s="38" t="s">
        <v>1349</v>
      </c>
      <c r="DS69" s="42"/>
      <c r="DT69" s="42"/>
      <c r="DU69" s="42"/>
      <c r="DV69" s="38" t="s">
        <v>1345</v>
      </c>
      <c r="DW69" s="42" t="s">
        <v>4263</v>
      </c>
      <c r="DX69" s="38" t="s">
        <v>1345</v>
      </c>
      <c r="DY69" s="38" t="s">
        <v>1349</v>
      </c>
      <c r="DZ69" s="42" t="s">
        <v>4264</v>
      </c>
      <c r="EA69" s="38" t="s">
        <v>1345</v>
      </c>
      <c r="EB69" s="38" t="s">
        <v>1345</v>
      </c>
      <c r="EC69" s="38" t="s">
        <v>1345</v>
      </c>
      <c r="ED69" s="42" t="s">
        <v>4265</v>
      </c>
      <c r="EE69" s="43">
        <v>0.1</v>
      </c>
      <c r="EF69" s="42" t="s">
        <v>3580</v>
      </c>
      <c r="EG69" s="38" t="s">
        <v>1349</v>
      </c>
      <c r="EH69" s="42"/>
      <c r="EI69" s="42" t="s">
        <v>4302</v>
      </c>
      <c r="EJ69" s="42" t="s">
        <v>4267</v>
      </c>
      <c r="EK69" s="42" t="s">
        <v>4303</v>
      </c>
      <c r="EL69" s="38" t="s">
        <v>1389</v>
      </c>
      <c r="EM69" s="51">
        <v>4</v>
      </c>
      <c r="EN69" s="51" t="s">
        <v>4268</v>
      </c>
      <c r="EO69" s="51">
        <v>1</v>
      </c>
      <c r="EP69" s="51" t="s">
        <v>3451</v>
      </c>
      <c r="EQ69" s="51">
        <v>2</v>
      </c>
      <c r="ER69" s="51" t="s">
        <v>4176</v>
      </c>
      <c r="ES69" s="51">
        <v>5</v>
      </c>
      <c r="ET69" s="51" t="s">
        <v>4177</v>
      </c>
      <c r="EU69" s="51">
        <v>5</v>
      </c>
      <c r="EV69" s="51" t="s">
        <v>4178</v>
      </c>
      <c r="EW69" s="51">
        <v>2</v>
      </c>
      <c r="EX69" s="51" t="s">
        <v>4179</v>
      </c>
      <c r="EY69" s="51">
        <v>1</v>
      </c>
      <c r="EZ69" s="51" t="s">
        <v>4269</v>
      </c>
    </row>
    <row r="70" spans="1:157">
      <c r="A70" s="17">
        <v>614</v>
      </c>
      <c r="B70" s="22">
        <v>21</v>
      </c>
      <c r="C70" s="23" t="s">
        <v>2278</v>
      </c>
      <c r="D70" s="24">
        <v>43778</v>
      </c>
      <c r="E70" s="23" t="s">
        <v>3882</v>
      </c>
      <c r="F70" s="25"/>
      <c r="G70" s="25"/>
      <c r="H70" s="23" t="s">
        <v>1075</v>
      </c>
      <c r="I70" s="23" t="s">
        <v>1071</v>
      </c>
      <c r="J70" s="23" t="s">
        <v>3851</v>
      </c>
      <c r="K70" s="23" t="s">
        <v>3878</v>
      </c>
      <c r="L70" s="32">
        <v>1</v>
      </c>
      <c r="M70" s="23" t="s">
        <v>3757</v>
      </c>
      <c r="N70" s="23" t="s">
        <v>1343</v>
      </c>
      <c r="O70" s="23" t="s">
        <v>3883</v>
      </c>
      <c r="P70" s="23" t="s">
        <v>3884</v>
      </c>
      <c r="Q70" s="23">
        <v>79755458</v>
      </c>
      <c r="R70" s="23" t="s">
        <v>1345</v>
      </c>
      <c r="S70" s="23">
        <v>4</v>
      </c>
      <c r="T70" s="23" t="s">
        <v>1346</v>
      </c>
      <c r="U70" s="23">
        <v>2016</v>
      </c>
      <c r="V70" s="23" t="s">
        <v>3760</v>
      </c>
      <c r="W70" s="23" t="s">
        <v>3793</v>
      </c>
      <c r="X70" s="23" t="s">
        <v>1349</v>
      </c>
      <c r="Y70" s="23" t="s">
        <v>2300</v>
      </c>
      <c r="Z70" s="23" t="s">
        <v>2300</v>
      </c>
      <c r="AA70" s="23">
        <v>22</v>
      </c>
      <c r="AB70" s="23" t="s">
        <v>1349</v>
      </c>
      <c r="AC70" s="23">
        <v>3</v>
      </c>
      <c r="AD70" s="23" t="s">
        <v>1345</v>
      </c>
      <c r="AE70" s="23" t="s">
        <v>1345</v>
      </c>
      <c r="AF70" s="23" t="s">
        <v>1349</v>
      </c>
      <c r="AG70" s="23" t="s">
        <v>1349</v>
      </c>
      <c r="AH70" s="23" t="s">
        <v>2870</v>
      </c>
      <c r="AI70" s="23">
        <v>2018</v>
      </c>
      <c r="AJ70" s="23" t="s">
        <v>1349</v>
      </c>
      <c r="AK70" s="23" t="s">
        <v>2290</v>
      </c>
      <c r="AL70" s="68" t="s">
        <v>1612</v>
      </c>
      <c r="AM70" s="23" t="s">
        <v>1612</v>
      </c>
      <c r="AN70" s="23" t="s">
        <v>1612</v>
      </c>
      <c r="AO70" s="23" t="s">
        <v>1612</v>
      </c>
      <c r="AP70" s="23" t="s">
        <v>1612</v>
      </c>
      <c r="AQ70" s="71" t="s">
        <v>1352</v>
      </c>
      <c r="AR70" s="23" t="s">
        <v>1352</v>
      </c>
      <c r="AS70" s="23" t="s">
        <v>1802</v>
      </c>
      <c r="AT70" s="23" t="s">
        <v>1358</v>
      </c>
      <c r="AU70" s="23" t="s">
        <v>2249</v>
      </c>
      <c r="AV70" s="23">
        <v>1000</v>
      </c>
      <c r="AW70" s="23" t="s">
        <v>2377</v>
      </c>
      <c r="AX70" s="23" t="s">
        <v>2378</v>
      </c>
      <c r="AY70" s="23" t="s">
        <v>1349</v>
      </c>
      <c r="AZ70" s="23" t="s">
        <v>3810</v>
      </c>
      <c r="BA70" s="23" t="s">
        <v>2361</v>
      </c>
      <c r="BB70" s="23" t="s">
        <v>2647</v>
      </c>
      <c r="BC70" s="23" t="s">
        <v>2647</v>
      </c>
      <c r="BD70" s="23" t="s">
        <v>2289</v>
      </c>
      <c r="BE70" s="23" t="s">
        <v>3790</v>
      </c>
      <c r="BF70" s="23" t="s">
        <v>3878</v>
      </c>
      <c r="BG70" s="23"/>
      <c r="BH70" s="23">
        <v>4</v>
      </c>
      <c r="BI70" s="23">
        <v>4</v>
      </c>
      <c r="BJ70" s="23">
        <v>16</v>
      </c>
      <c r="BK70" s="22" t="s">
        <v>1434</v>
      </c>
      <c r="BL70" s="22" t="s">
        <v>1702</v>
      </c>
      <c r="BM70" s="22" t="s">
        <v>1702</v>
      </c>
      <c r="BN70" s="23" t="s">
        <v>1349</v>
      </c>
      <c r="BO70" s="23" t="s">
        <v>2767</v>
      </c>
      <c r="BP70" s="23" t="s">
        <v>2767</v>
      </c>
      <c r="BQ70" s="23" t="s">
        <v>1349</v>
      </c>
      <c r="BR70" s="23" t="s">
        <v>1349</v>
      </c>
      <c r="BS70" s="23" t="s">
        <v>2643</v>
      </c>
      <c r="BT70" s="23" t="s">
        <v>1349</v>
      </c>
      <c r="BU70" s="23" t="s">
        <v>3830</v>
      </c>
      <c r="BV70" s="23" t="s">
        <v>1349</v>
      </c>
      <c r="BW70" s="23" t="s">
        <v>2300</v>
      </c>
      <c r="BX70" s="23" t="s">
        <v>1345</v>
      </c>
      <c r="BY70" s="23" t="s">
        <v>2302</v>
      </c>
      <c r="BZ70" s="23" t="s">
        <v>2767</v>
      </c>
      <c r="CA70" s="23" t="s">
        <v>2767</v>
      </c>
      <c r="CB70" s="23" t="s">
        <v>2289</v>
      </c>
      <c r="CC70" s="23" t="s">
        <v>2289</v>
      </c>
      <c r="CD70" s="23" t="s">
        <v>2289</v>
      </c>
      <c r="CE70" s="23">
        <v>800</v>
      </c>
      <c r="CF70" s="23">
        <v>1200</v>
      </c>
      <c r="CG70" s="23">
        <v>2400</v>
      </c>
      <c r="CH70" s="23">
        <v>20</v>
      </c>
      <c r="CI70" s="23">
        <v>30</v>
      </c>
      <c r="CJ70" s="23">
        <v>30</v>
      </c>
      <c r="CK70" s="26">
        <v>0.4</v>
      </c>
      <c r="CL70" s="27">
        <v>0.2</v>
      </c>
      <c r="CM70" s="26">
        <v>0.6</v>
      </c>
      <c r="CN70" s="26">
        <v>0.8</v>
      </c>
      <c r="CO70" s="23" t="s">
        <v>2652</v>
      </c>
      <c r="CP70" s="23" t="s">
        <v>2289</v>
      </c>
      <c r="CQ70" s="23" t="s">
        <v>2767</v>
      </c>
      <c r="CR70" s="23">
        <v>1</v>
      </c>
      <c r="CS70" s="23" t="s">
        <v>3764</v>
      </c>
      <c r="CT70" s="23" t="s">
        <v>3765</v>
      </c>
      <c r="CU70" s="23" t="s">
        <v>1345</v>
      </c>
      <c r="CV70" s="23" t="s">
        <v>2386</v>
      </c>
      <c r="CW70" s="23" t="s">
        <v>1345</v>
      </c>
      <c r="CX70" s="26">
        <v>0.4</v>
      </c>
      <c r="CY70" s="26">
        <v>0.6</v>
      </c>
      <c r="CZ70" s="23" t="s">
        <v>2311</v>
      </c>
      <c r="DA70" s="23" t="s">
        <v>3766</v>
      </c>
      <c r="DB70" s="23" t="s">
        <v>1903</v>
      </c>
      <c r="DC70" s="23" t="s">
        <v>2643</v>
      </c>
      <c r="DD70" s="22" t="s">
        <v>2792</v>
      </c>
      <c r="DE70" s="23" t="s">
        <v>2350</v>
      </c>
      <c r="DF70" s="23" t="s">
        <v>3768</v>
      </c>
      <c r="DG70" s="23" t="s">
        <v>3874</v>
      </c>
      <c r="DH70" s="23" t="s">
        <v>2794</v>
      </c>
      <c r="DI70" s="23" t="s">
        <v>1556</v>
      </c>
      <c r="DJ70" s="23" t="s">
        <v>1556</v>
      </c>
      <c r="DK70" s="23" t="s">
        <v>1556</v>
      </c>
      <c r="DL70" s="23" t="s">
        <v>3770</v>
      </c>
      <c r="DM70" s="23" t="s">
        <v>3771</v>
      </c>
      <c r="DN70" s="23" t="s">
        <v>1345</v>
      </c>
      <c r="DO70" s="23" t="s">
        <v>3875</v>
      </c>
      <c r="DP70" s="23" t="s">
        <v>1349</v>
      </c>
      <c r="DQ70" s="23" t="s">
        <v>2647</v>
      </c>
      <c r="DR70" s="23" t="s">
        <v>1349</v>
      </c>
      <c r="DS70" s="23" t="s">
        <v>1556</v>
      </c>
      <c r="DT70" s="23" t="s">
        <v>2300</v>
      </c>
      <c r="DU70" s="23" t="s">
        <v>2300</v>
      </c>
      <c r="DV70" s="23" t="s">
        <v>1345</v>
      </c>
      <c r="DW70" s="23" t="s">
        <v>2797</v>
      </c>
      <c r="DX70" s="23" t="s">
        <v>1345</v>
      </c>
      <c r="DY70" s="23" t="s">
        <v>1349</v>
      </c>
      <c r="DZ70" s="23" t="s">
        <v>3773</v>
      </c>
      <c r="EA70" s="23" t="s">
        <v>1345</v>
      </c>
      <c r="EB70" s="23" t="s">
        <v>1345</v>
      </c>
      <c r="EC70" s="23" t="s">
        <v>1345</v>
      </c>
      <c r="ED70" s="23" t="s">
        <v>2418</v>
      </c>
      <c r="EE70" s="27">
        <v>0.1</v>
      </c>
      <c r="EF70" s="23" t="s">
        <v>2370</v>
      </c>
      <c r="EG70" s="23" t="s">
        <v>1349</v>
      </c>
      <c r="EH70" s="23" t="s">
        <v>2300</v>
      </c>
      <c r="EI70" s="23" t="s">
        <v>2326</v>
      </c>
      <c r="EJ70" s="22"/>
      <c r="EK70" s="23" t="s">
        <v>3868</v>
      </c>
      <c r="EL70" s="23" t="s">
        <v>1389</v>
      </c>
      <c r="EM70" s="23">
        <v>2</v>
      </c>
      <c r="EN70" s="23" t="s">
        <v>3885</v>
      </c>
      <c r="EO70" s="23">
        <v>3</v>
      </c>
      <c r="EP70" s="23" t="s">
        <v>3796</v>
      </c>
      <c r="EQ70" s="23">
        <v>3</v>
      </c>
      <c r="ER70" s="22" t="s">
        <v>3777</v>
      </c>
      <c r="ES70" s="23">
        <v>4</v>
      </c>
      <c r="ET70" s="22" t="s">
        <v>3778</v>
      </c>
      <c r="EU70" s="23">
        <v>4</v>
      </c>
      <c r="EV70" s="22" t="s">
        <v>3779</v>
      </c>
      <c r="EW70" s="23">
        <v>4</v>
      </c>
      <c r="EX70" s="22" t="s">
        <v>3780</v>
      </c>
      <c r="EY70" s="23">
        <v>2</v>
      </c>
      <c r="EZ70" s="22" t="s">
        <v>2424</v>
      </c>
    </row>
    <row r="71" spans="1:157">
      <c r="A71" s="17">
        <v>615</v>
      </c>
      <c r="B71" s="22">
        <v>50</v>
      </c>
      <c r="C71" s="38" t="s">
        <v>1795</v>
      </c>
      <c r="D71" s="39">
        <v>43767</v>
      </c>
      <c r="E71" s="38" t="s">
        <v>4181</v>
      </c>
      <c r="F71" s="40" t="s">
        <v>1728</v>
      </c>
      <c r="G71" s="40" t="s">
        <v>3856</v>
      </c>
      <c r="H71" s="38" t="s">
        <v>4158</v>
      </c>
      <c r="I71" s="38" t="s">
        <v>1071</v>
      </c>
      <c r="J71" s="23" t="s">
        <v>3856</v>
      </c>
      <c r="K71" s="38" t="s">
        <v>4182</v>
      </c>
      <c r="L71" s="42">
        <v>10</v>
      </c>
      <c r="M71" s="42" t="s">
        <v>3360</v>
      </c>
      <c r="N71" s="42" t="s">
        <v>1343</v>
      </c>
      <c r="O71" s="42" t="s">
        <v>4183</v>
      </c>
      <c r="P71" s="42" t="s">
        <v>4184</v>
      </c>
      <c r="Q71" s="38">
        <v>67875534</v>
      </c>
      <c r="R71" s="38" t="s">
        <v>1345</v>
      </c>
      <c r="S71" s="38">
        <v>7</v>
      </c>
      <c r="T71" s="42" t="s">
        <v>1346</v>
      </c>
      <c r="U71" s="38">
        <v>2010</v>
      </c>
      <c r="V71" s="42" t="s">
        <v>4162</v>
      </c>
      <c r="W71" s="42" t="s">
        <v>3708</v>
      </c>
      <c r="X71" s="38" t="s">
        <v>1349</v>
      </c>
      <c r="Y71" s="38"/>
      <c r="Z71" s="38"/>
      <c r="AA71" s="38">
        <v>16</v>
      </c>
      <c r="AB71" s="38" t="s">
        <v>1345</v>
      </c>
      <c r="AC71" s="38">
        <v>4</v>
      </c>
      <c r="AD71" s="38" t="s">
        <v>1345</v>
      </c>
      <c r="AE71" s="38" t="s">
        <v>1345</v>
      </c>
      <c r="AF71" s="38" t="s">
        <v>1345</v>
      </c>
      <c r="AG71" s="38" t="s">
        <v>1345</v>
      </c>
      <c r="AH71" s="42" t="s">
        <v>1358</v>
      </c>
      <c r="AI71" s="38">
        <v>2010</v>
      </c>
      <c r="AJ71" s="38" t="s">
        <v>1349</v>
      </c>
      <c r="AK71" s="87" t="s">
        <v>4199</v>
      </c>
      <c r="AL71" s="87" t="s">
        <v>1612</v>
      </c>
      <c r="AM71" s="23" t="s">
        <v>1612</v>
      </c>
      <c r="AN71" s="38" t="s">
        <v>1550</v>
      </c>
      <c r="AO71" s="38" t="s">
        <v>1550</v>
      </c>
      <c r="AP71" s="38" t="s">
        <v>1550</v>
      </c>
      <c r="AQ71" s="87" t="s">
        <v>1352</v>
      </c>
      <c r="AR71" s="88" t="s">
        <v>1550</v>
      </c>
      <c r="AS71" s="42" t="s">
        <v>1550</v>
      </c>
      <c r="AT71" s="42" t="s">
        <v>1804</v>
      </c>
      <c r="AU71" s="42" t="s">
        <v>4185</v>
      </c>
      <c r="AV71" s="42">
        <v>1000</v>
      </c>
      <c r="AW71" s="38" t="s">
        <v>3659</v>
      </c>
      <c r="AX71" s="42" t="s">
        <v>3709</v>
      </c>
      <c r="AY71" s="38" t="s">
        <v>1349</v>
      </c>
      <c r="AZ71" s="42" t="s">
        <v>4186</v>
      </c>
      <c r="BA71" s="42" t="s">
        <v>4187</v>
      </c>
      <c r="BB71" s="42" t="s">
        <v>1358</v>
      </c>
      <c r="BC71" s="42" t="s">
        <v>1358</v>
      </c>
      <c r="BD71" s="42" t="s">
        <v>1358</v>
      </c>
      <c r="BE71" s="42" t="s">
        <v>1810</v>
      </c>
      <c r="BF71" s="42"/>
      <c r="BG71" s="42"/>
      <c r="BH71" s="42">
        <v>1</v>
      </c>
      <c r="BI71" s="42">
        <v>1.5</v>
      </c>
      <c r="BJ71" s="42">
        <v>2</v>
      </c>
      <c r="BK71" s="42" t="s">
        <v>4164</v>
      </c>
      <c r="BL71" s="42" t="s">
        <v>4164</v>
      </c>
      <c r="BM71" s="42" t="s">
        <v>4164</v>
      </c>
      <c r="BN71" s="38" t="s">
        <v>1349</v>
      </c>
      <c r="BO71" s="42"/>
      <c r="BP71" s="42"/>
      <c r="BQ71" s="38" t="s">
        <v>1345</v>
      </c>
      <c r="BR71" s="38" t="s">
        <v>1345</v>
      </c>
      <c r="BS71" s="42" t="s">
        <v>1358</v>
      </c>
      <c r="BT71" s="38" t="s">
        <v>1383</v>
      </c>
      <c r="BU71" s="42" t="s">
        <v>4165</v>
      </c>
      <c r="BV71" s="38" t="s">
        <v>1349</v>
      </c>
      <c r="BW71" s="42"/>
      <c r="BX71" s="38" t="s">
        <v>1345</v>
      </c>
      <c r="BY71" s="42" t="s">
        <v>1362</v>
      </c>
      <c r="BZ71" s="38" t="s">
        <v>3600</v>
      </c>
      <c r="CA71" s="38" t="s">
        <v>4188</v>
      </c>
      <c r="CB71" s="42" t="s">
        <v>1935</v>
      </c>
      <c r="CC71" s="42" t="s">
        <v>1935</v>
      </c>
      <c r="CD71" s="38" t="s">
        <v>1935</v>
      </c>
      <c r="CE71" s="42">
        <v>48000</v>
      </c>
      <c r="CF71" s="42">
        <v>46080</v>
      </c>
      <c r="CG71" s="42">
        <v>40000</v>
      </c>
      <c r="CH71" s="42" t="s">
        <v>1935</v>
      </c>
      <c r="CI71" s="42" t="s">
        <v>1935</v>
      </c>
      <c r="CJ71" s="42" t="s">
        <v>1935</v>
      </c>
      <c r="CK71" s="43">
        <v>0.2</v>
      </c>
      <c r="CL71" s="43">
        <v>0.17</v>
      </c>
      <c r="CM71" s="43">
        <v>0.8</v>
      </c>
      <c r="CN71" s="43">
        <v>0.83</v>
      </c>
      <c r="CO71" s="42" t="s">
        <v>3713</v>
      </c>
      <c r="CP71" s="42" t="s">
        <v>1366</v>
      </c>
      <c r="CQ71" s="42" t="s">
        <v>1367</v>
      </c>
      <c r="CR71" s="42" t="s">
        <v>1904</v>
      </c>
      <c r="CS71" s="42" t="s">
        <v>3483</v>
      </c>
      <c r="CT71" s="42" t="s">
        <v>4189</v>
      </c>
      <c r="CU71" s="38" t="s">
        <v>1349</v>
      </c>
      <c r="CV71" s="42" t="s">
        <v>4190</v>
      </c>
      <c r="CW71" s="38" t="s">
        <v>1383</v>
      </c>
      <c r="CX71" s="43">
        <v>0.1</v>
      </c>
      <c r="CY71" s="43">
        <v>0.85</v>
      </c>
      <c r="CZ71" s="42" t="s">
        <v>3750</v>
      </c>
      <c r="DA71" s="42" t="s">
        <v>3734</v>
      </c>
      <c r="DB71" s="42" t="s">
        <v>1808</v>
      </c>
      <c r="DC71" s="42" t="s">
        <v>2204</v>
      </c>
      <c r="DD71" s="42" t="s">
        <v>4167</v>
      </c>
      <c r="DE71" s="42" t="s">
        <v>4168</v>
      </c>
      <c r="DF71" s="42" t="s">
        <v>4169</v>
      </c>
      <c r="DG71" s="42" t="s">
        <v>4170</v>
      </c>
      <c r="DH71" s="42" t="s">
        <v>4171</v>
      </c>
      <c r="DI71" s="42" t="s">
        <v>1978</v>
      </c>
      <c r="DJ71" s="42" t="s">
        <v>1978</v>
      </c>
      <c r="DK71" s="42" t="s">
        <v>3384</v>
      </c>
      <c r="DL71" s="42" t="s">
        <v>4172</v>
      </c>
      <c r="DM71" s="42" t="s">
        <v>3577</v>
      </c>
      <c r="DN71" s="38" t="s">
        <v>1349</v>
      </c>
      <c r="DO71" s="42" t="s">
        <v>1358</v>
      </c>
      <c r="DP71" s="38" t="s">
        <v>1349</v>
      </c>
      <c r="DQ71" s="42" t="s">
        <v>1358</v>
      </c>
      <c r="DR71" s="38" t="s">
        <v>1349</v>
      </c>
      <c r="DS71" s="42"/>
      <c r="DT71" s="42"/>
      <c r="DU71" s="42"/>
      <c r="DV71" s="38" t="s">
        <v>1345</v>
      </c>
      <c r="DW71" s="42" t="s">
        <v>4173</v>
      </c>
      <c r="DX71" s="38" t="s">
        <v>1345</v>
      </c>
      <c r="DY71" s="38" t="s">
        <v>1349</v>
      </c>
      <c r="DZ71" s="42" t="s">
        <v>4191</v>
      </c>
      <c r="EA71" s="38" t="s">
        <v>1345</v>
      </c>
      <c r="EB71" s="38" t="s">
        <v>1345</v>
      </c>
      <c r="EC71" s="38" t="s">
        <v>1345</v>
      </c>
      <c r="ED71" s="42" t="s">
        <v>4174</v>
      </c>
      <c r="EE71" s="43">
        <v>0.3</v>
      </c>
      <c r="EF71" s="42" t="s">
        <v>3580</v>
      </c>
      <c r="EG71" s="38" t="s">
        <v>1349</v>
      </c>
      <c r="EH71" s="42"/>
      <c r="EI71" s="42" t="s">
        <v>3738</v>
      </c>
      <c r="EJ71" s="42" t="s">
        <v>3754</v>
      </c>
      <c r="EK71" s="38" t="s">
        <v>3613</v>
      </c>
      <c r="EL71" s="38" t="s">
        <v>1389</v>
      </c>
      <c r="EM71" s="38">
        <v>4</v>
      </c>
      <c r="EN71" s="42" t="s">
        <v>4192</v>
      </c>
      <c r="EO71" s="38">
        <v>4</v>
      </c>
      <c r="EP71" s="42" t="s">
        <v>4193</v>
      </c>
      <c r="EQ71" s="38">
        <v>2</v>
      </c>
      <c r="ER71" s="42" t="s">
        <v>4176</v>
      </c>
      <c r="ES71" s="38">
        <v>5</v>
      </c>
      <c r="ET71" s="42" t="s">
        <v>4177</v>
      </c>
      <c r="EU71" s="38">
        <v>5</v>
      </c>
      <c r="EV71" s="42" t="s">
        <v>4194</v>
      </c>
      <c r="EW71" s="38">
        <v>2</v>
      </c>
      <c r="EX71" s="42" t="s">
        <v>4179</v>
      </c>
      <c r="EY71" s="38">
        <v>3</v>
      </c>
      <c r="EZ71" s="42" t="s">
        <v>2062</v>
      </c>
    </row>
    <row r="72" spans="1:157">
      <c r="A72" s="17">
        <v>616</v>
      </c>
      <c r="B72" s="22">
        <v>38</v>
      </c>
      <c r="C72" s="23" t="s">
        <v>1337</v>
      </c>
      <c r="D72" s="33">
        <v>43774</v>
      </c>
      <c r="E72" s="23" t="s">
        <v>4041</v>
      </c>
      <c r="F72" s="22"/>
      <c r="G72" s="25" t="s">
        <v>3981</v>
      </c>
      <c r="H72" s="23" t="s">
        <v>3901</v>
      </c>
      <c r="I72" s="22" t="s">
        <v>3902</v>
      </c>
      <c r="J72" s="23" t="s">
        <v>3982</v>
      </c>
      <c r="K72" s="23" t="s">
        <v>4042</v>
      </c>
      <c r="L72" s="32">
        <v>0.15</v>
      </c>
      <c r="M72" s="23" t="s">
        <v>1342</v>
      </c>
      <c r="N72" s="23" t="s">
        <v>1448</v>
      </c>
      <c r="O72" s="23" t="s">
        <v>4043</v>
      </c>
      <c r="P72" s="23" t="s">
        <v>3932</v>
      </c>
      <c r="Q72" s="22">
        <v>77193429</v>
      </c>
      <c r="R72" s="23" t="s">
        <v>1383</v>
      </c>
      <c r="S72" s="23">
        <v>3</v>
      </c>
      <c r="T72" s="23" t="s">
        <v>1346</v>
      </c>
      <c r="U72" s="23">
        <v>2012</v>
      </c>
      <c r="V72" s="22" t="s">
        <v>2896</v>
      </c>
      <c r="W72" s="22" t="s">
        <v>1348</v>
      </c>
      <c r="X72" s="23" t="s">
        <v>1862</v>
      </c>
      <c r="Y72" s="22">
        <v>2018</v>
      </c>
      <c r="Z72" s="22"/>
      <c r="AA72" s="23">
        <v>12</v>
      </c>
      <c r="AB72" s="23" t="s">
        <v>1862</v>
      </c>
      <c r="AC72" s="22">
        <v>0</v>
      </c>
      <c r="AD72" s="23" t="s">
        <v>1383</v>
      </c>
      <c r="AE72" s="23" t="s">
        <v>1383</v>
      </c>
      <c r="AF72" s="23" t="s">
        <v>1383</v>
      </c>
      <c r="AG72" s="23" t="s">
        <v>1342</v>
      </c>
      <c r="AH72" s="23" t="s">
        <v>1342</v>
      </c>
      <c r="AI72" s="22">
        <v>2015</v>
      </c>
      <c r="AJ72" s="23" t="s">
        <v>1349</v>
      </c>
      <c r="AK72" s="22" t="s">
        <v>7116</v>
      </c>
      <c r="AL72" s="68" t="s">
        <v>1352</v>
      </c>
      <c r="AM72" s="23" t="s">
        <v>1612</v>
      </c>
      <c r="AN72" s="23" t="s">
        <v>1612</v>
      </c>
      <c r="AO72" s="23" t="s">
        <v>1612</v>
      </c>
      <c r="AP72" s="23" t="s">
        <v>1612</v>
      </c>
      <c r="AQ72" s="68" t="s">
        <v>1352</v>
      </c>
      <c r="AR72" s="23" t="s">
        <v>1352</v>
      </c>
      <c r="AS72" s="22" t="s">
        <v>3906</v>
      </c>
      <c r="AT72" s="22" t="s">
        <v>4044</v>
      </c>
      <c r="AU72" s="22">
        <v>12000</v>
      </c>
      <c r="AV72" s="22">
        <v>40000</v>
      </c>
      <c r="AW72" s="22" t="s">
        <v>4001</v>
      </c>
      <c r="AX72" s="22" t="s">
        <v>2989</v>
      </c>
      <c r="AY72" s="23" t="s">
        <v>1342</v>
      </c>
      <c r="AZ72" s="22" t="s">
        <v>3985</v>
      </c>
      <c r="BA72" s="22" t="s">
        <v>4012</v>
      </c>
      <c r="BB72" s="22" t="s">
        <v>1358</v>
      </c>
      <c r="BC72" s="22" t="s">
        <v>1358</v>
      </c>
      <c r="BD72" s="22" t="s">
        <v>1358</v>
      </c>
      <c r="BE72" s="22" t="s">
        <v>4045</v>
      </c>
      <c r="BF72" s="22"/>
      <c r="BG72" s="22"/>
      <c r="BH72" s="22">
        <v>4</v>
      </c>
      <c r="BI72" s="22">
        <v>5</v>
      </c>
      <c r="BJ72" s="22">
        <v>7</v>
      </c>
      <c r="BK72" s="22" t="s">
        <v>4033</v>
      </c>
      <c r="BL72" s="22" t="s">
        <v>4033</v>
      </c>
      <c r="BM72" s="22" t="s">
        <v>4033</v>
      </c>
      <c r="BN72" s="23" t="s">
        <v>1342</v>
      </c>
      <c r="BO72" s="22"/>
      <c r="BP72" s="22"/>
      <c r="BQ72" s="22"/>
      <c r="BR72" s="22"/>
      <c r="BS72" s="22"/>
      <c r="BT72" s="23" t="s">
        <v>1383</v>
      </c>
      <c r="BU72" s="23" t="s">
        <v>4034</v>
      </c>
      <c r="BV72" s="22" t="s">
        <v>1342</v>
      </c>
      <c r="BW72" s="22"/>
      <c r="BX72" s="23" t="s">
        <v>1383</v>
      </c>
      <c r="BY72" s="23" t="s">
        <v>1362</v>
      </c>
      <c r="BZ72" s="22" t="s">
        <v>3075</v>
      </c>
      <c r="CA72" s="23" t="s">
        <v>4046</v>
      </c>
      <c r="CB72" s="22" t="s">
        <v>1364</v>
      </c>
      <c r="CC72" s="22" t="s">
        <v>1364</v>
      </c>
      <c r="CD72" s="22" t="s">
        <v>1364</v>
      </c>
      <c r="CE72" s="22">
        <v>61200</v>
      </c>
      <c r="CF72" s="22">
        <v>8160</v>
      </c>
      <c r="CG72" s="22">
        <v>8500</v>
      </c>
      <c r="CH72" s="22">
        <v>60</v>
      </c>
      <c r="CI72" s="22">
        <v>90</v>
      </c>
      <c r="CJ72" s="22">
        <v>80</v>
      </c>
      <c r="CK72" s="27">
        <v>0.5</v>
      </c>
      <c r="CL72" s="27">
        <v>0.5</v>
      </c>
      <c r="CM72" s="27">
        <v>0.5</v>
      </c>
      <c r="CN72" s="27">
        <v>0.5</v>
      </c>
      <c r="CO72" s="22" t="s">
        <v>1365</v>
      </c>
      <c r="CP72" s="22" t="s">
        <v>1366</v>
      </c>
      <c r="CQ72" s="22" t="s">
        <v>4015</v>
      </c>
      <c r="CR72" s="22">
        <v>3</v>
      </c>
      <c r="CS72" s="22" t="s">
        <v>2405</v>
      </c>
      <c r="CT72" s="22" t="s">
        <v>3915</v>
      </c>
      <c r="CU72" s="22" t="s">
        <v>1383</v>
      </c>
      <c r="CV72" s="22" t="s">
        <v>3097</v>
      </c>
      <c r="CW72" s="23" t="s">
        <v>1383</v>
      </c>
      <c r="CX72" s="27">
        <v>0.2</v>
      </c>
      <c r="CY72" s="27">
        <v>0.7</v>
      </c>
      <c r="CZ72" s="22" t="s">
        <v>4047</v>
      </c>
      <c r="DA72" s="22" t="s">
        <v>3168</v>
      </c>
      <c r="DB72" s="22">
        <v>15</v>
      </c>
      <c r="DC72" s="22"/>
      <c r="DD72" s="22" t="s">
        <v>4017</v>
      </c>
      <c r="DE72" s="22" t="s">
        <v>4035</v>
      </c>
      <c r="DF72" s="22" t="s">
        <v>4048</v>
      </c>
      <c r="DG72" s="22"/>
      <c r="DH72" s="22" t="s">
        <v>4049</v>
      </c>
      <c r="DI72" s="22" t="s">
        <v>3099</v>
      </c>
      <c r="DJ72" s="22" t="s">
        <v>4050</v>
      </c>
      <c r="DK72" s="22"/>
      <c r="DL72" s="22" t="s">
        <v>4051</v>
      </c>
      <c r="DM72" s="22" t="s">
        <v>3121</v>
      </c>
      <c r="DN72" s="23" t="s">
        <v>1383</v>
      </c>
      <c r="DO72" s="22" t="s">
        <v>3102</v>
      </c>
      <c r="DP72" s="23" t="s">
        <v>1383</v>
      </c>
      <c r="DQ72" s="22" t="s">
        <v>4006</v>
      </c>
      <c r="DR72" s="23" t="s">
        <v>1342</v>
      </c>
      <c r="DS72" s="22"/>
      <c r="DT72" s="22"/>
      <c r="DU72" s="22"/>
      <c r="DV72" s="23" t="s">
        <v>1383</v>
      </c>
      <c r="DW72" s="22" t="s">
        <v>3994</v>
      </c>
      <c r="DX72" s="23" t="s">
        <v>1383</v>
      </c>
      <c r="DY72" s="23" t="s">
        <v>1342</v>
      </c>
      <c r="DZ72" s="22" t="s">
        <v>4052</v>
      </c>
      <c r="EA72" s="23" t="s">
        <v>1383</v>
      </c>
      <c r="EB72" s="23" t="s">
        <v>1383</v>
      </c>
      <c r="EC72" s="23" t="s">
        <v>1383</v>
      </c>
      <c r="ED72" s="22" t="s">
        <v>2948</v>
      </c>
      <c r="EE72" s="27">
        <v>0.4</v>
      </c>
      <c r="EF72" s="23" t="s">
        <v>2931</v>
      </c>
      <c r="EG72" s="23" t="s">
        <v>1383</v>
      </c>
      <c r="EH72" s="27">
        <v>1</v>
      </c>
      <c r="EI72" s="22" t="s">
        <v>4053</v>
      </c>
      <c r="EJ72" s="22" t="s">
        <v>4038</v>
      </c>
      <c r="EK72" s="22"/>
      <c r="EL72" s="23" t="s">
        <v>1389</v>
      </c>
      <c r="EM72" s="23">
        <v>2</v>
      </c>
      <c r="EN72" s="22" t="s">
        <v>4008</v>
      </c>
      <c r="EO72" s="23">
        <v>1</v>
      </c>
      <c r="EP72" s="22" t="s">
        <v>4023</v>
      </c>
      <c r="EQ72" s="23">
        <v>2</v>
      </c>
      <c r="ER72" s="22" t="s">
        <v>3064</v>
      </c>
      <c r="ES72" s="22">
        <v>4</v>
      </c>
      <c r="ET72" s="22" t="s">
        <v>4040</v>
      </c>
      <c r="EU72" s="23">
        <v>4</v>
      </c>
      <c r="EV72" s="22" t="s">
        <v>4024</v>
      </c>
      <c r="EW72" s="23">
        <v>5</v>
      </c>
      <c r="EX72" s="22" t="s">
        <v>4025</v>
      </c>
      <c r="EY72" s="23">
        <v>0</v>
      </c>
      <c r="EZ72" s="22" t="s">
        <v>2974</v>
      </c>
    </row>
    <row r="73" spans="1:157">
      <c r="A73" s="17">
        <v>617</v>
      </c>
      <c r="B73" s="22">
        <v>46</v>
      </c>
      <c r="C73" s="23" t="s">
        <v>1337</v>
      </c>
      <c r="D73" s="24">
        <v>43779</v>
      </c>
      <c r="E73" s="23" t="s">
        <v>4126</v>
      </c>
      <c r="F73" s="25" t="e">
        <v>#N/A</v>
      </c>
      <c r="G73" s="25" t="s">
        <v>4089</v>
      </c>
      <c r="H73" s="23" t="s">
        <v>3901</v>
      </c>
      <c r="I73" s="23" t="s">
        <v>4090</v>
      </c>
      <c r="J73" s="38" t="s">
        <v>4091</v>
      </c>
      <c r="K73" s="23" t="s">
        <v>4127</v>
      </c>
      <c r="L73" s="32">
        <v>3.5</v>
      </c>
      <c r="M73" s="23" t="s">
        <v>1342</v>
      </c>
      <c r="N73" s="23" t="s">
        <v>1448</v>
      </c>
      <c r="O73" s="23" t="s">
        <v>3973</v>
      </c>
      <c r="P73" s="23" t="s">
        <v>4128</v>
      </c>
      <c r="Q73" s="23">
        <v>77562325</v>
      </c>
      <c r="R73" s="23" t="s">
        <v>1383</v>
      </c>
      <c r="S73" s="23">
        <v>6</v>
      </c>
      <c r="T73" s="23" t="s">
        <v>1346</v>
      </c>
      <c r="U73" s="23">
        <v>2006</v>
      </c>
      <c r="V73" s="22" t="s">
        <v>2896</v>
      </c>
      <c r="W73" s="22" t="s">
        <v>1348</v>
      </c>
      <c r="X73" s="23" t="s">
        <v>1342</v>
      </c>
      <c r="Y73" s="23"/>
      <c r="Z73" s="23"/>
      <c r="AA73" s="23">
        <v>37</v>
      </c>
      <c r="AB73" s="23"/>
      <c r="AC73" s="23">
        <v>1</v>
      </c>
      <c r="AD73" s="23" t="s">
        <v>1383</v>
      </c>
      <c r="AE73" s="23" t="s">
        <v>1383</v>
      </c>
      <c r="AF73" s="23" t="s">
        <v>1342</v>
      </c>
      <c r="AG73" s="23" t="s">
        <v>1342</v>
      </c>
      <c r="AH73" s="23" t="s">
        <v>4097</v>
      </c>
      <c r="AI73" s="23"/>
      <c r="AJ73" s="23"/>
      <c r="AK73" s="68" t="s">
        <v>7118</v>
      </c>
      <c r="AL73" s="68" t="s">
        <v>1612</v>
      </c>
      <c r="AM73" s="23" t="s">
        <v>1612</v>
      </c>
      <c r="AN73" s="23" t="s">
        <v>1612</v>
      </c>
      <c r="AO73" s="23" t="s">
        <v>1612</v>
      </c>
      <c r="AP73" s="23" t="s">
        <v>1612</v>
      </c>
      <c r="AQ73" s="68" t="s">
        <v>1552</v>
      </c>
      <c r="AR73" s="23" t="s">
        <v>1352</v>
      </c>
      <c r="AS73" s="42" t="s">
        <v>1550</v>
      </c>
      <c r="AT73" s="22"/>
      <c r="AU73" s="22">
        <v>9600</v>
      </c>
      <c r="AV73" s="22">
        <v>15000</v>
      </c>
      <c r="AW73" s="22" t="s">
        <v>4098</v>
      </c>
      <c r="AX73" s="22" t="s">
        <v>4129</v>
      </c>
      <c r="AY73" s="23" t="s">
        <v>1738</v>
      </c>
      <c r="AZ73" s="22"/>
      <c r="BA73" s="22"/>
      <c r="BB73" s="22" t="s">
        <v>1358</v>
      </c>
      <c r="BC73" s="22" t="s">
        <v>1358</v>
      </c>
      <c r="BD73" s="22" t="s">
        <v>1358</v>
      </c>
      <c r="BE73" s="22" t="s">
        <v>4127</v>
      </c>
      <c r="BF73" s="22"/>
      <c r="BG73" s="22"/>
      <c r="BH73" s="22">
        <v>1</v>
      </c>
      <c r="BI73" s="22">
        <v>2</v>
      </c>
      <c r="BJ73" s="22"/>
      <c r="BK73" s="22" t="s">
        <v>1702</v>
      </c>
      <c r="BL73" s="22" t="s">
        <v>1702</v>
      </c>
      <c r="BM73" s="22"/>
      <c r="BN73" s="23" t="s">
        <v>1342</v>
      </c>
      <c r="BO73" s="22"/>
      <c r="BP73" s="22"/>
      <c r="BQ73" s="23" t="s">
        <v>1383</v>
      </c>
      <c r="BR73" s="23" t="s">
        <v>1342</v>
      </c>
      <c r="BS73" s="27">
        <v>0</v>
      </c>
      <c r="BT73" s="23" t="s">
        <v>1383</v>
      </c>
      <c r="BU73" s="23" t="s">
        <v>4130</v>
      </c>
      <c r="BV73" s="23" t="s">
        <v>1342</v>
      </c>
      <c r="BW73" s="22"/>
      <c r="BX73" s="23" t="s">
        <v>1342</v>
      </c>
      <c r="BY73" s="22"/>
      <c r="BZ73" s="22"/>
      <c r="CA73" s="22"/>
      <c r="CB73" s="22" t="s">
        <v>1364</v>
      </c>
      <c r="CC73" s="22" t="s">
        <v>1364</v>
      </c>
      <c r="CD73" s="22" t="s">
        <v>1364</v>
      </c>
      <c r="CE73" s="22">
        <v>6100</v>
      </c>
      <c r="CF73" s="22">
        <v>7400</v>
      </c>
      <c r="CG73" s="22">
        <v>8600</v>
      </c>
      <c r="CH73" s="22">
        <v>0</v>
      </c>
      <c r="CI73" s="22">
        <v>111</v>
      </c>
      <c r="CJ73" s="22">
        <v>0</v>
      </c>
      <c r="CK73" s="27">
        <v>1</v>
      </c>
      <c r="CL73" s="27">
        <v>1</v>
      </c>
      <c r="CM73" s="27">
        <v>0</v>
      </c>
      <c r="CN73" s="27">
        <v>0</v>
      </c>
      <c r="CO73" s="22" t="s">
        <v>1365</v>
      </c>
      <c r="CP73" s="22" t="s">
        <v>1366</v>
      </c>
      <c r="CQ73" s="22" t="s">
        <v>4015</v>
      </c>
      <c r="CR73" s="22">
        <v>5</v>
      </c>
      <c r="CS73" s="22" t="s">
        <v>2405</v>
      </c>
      <c r="CT73" s="22" t="s">
        <v>1407</v>
      </c>
      <c r="CU73" s="23" t="s">
        <v>1383</v>
      </c>
      <c r="CV73" s="22" t="s">
        <v>1370</v>
      </c>
      <c r="CW73" s="23" t="s">
        <v>1383</v>
      </c>
      <c r="CX73" s="27">
        <v>0.9</v>
      </c>
      <c r="CY73" s="27">
        <v>0</v>
      </c>
      <c r="CZ73" s="22" t="s">
        <v>4101</v>
      </c>
      <c r="DA73" s="22" t="s">
        <v>4077</v>
      </c>
      <c r="DB73" s="22">
        <v>15</v>
      </c>
      <c r="DC73" s="22"/>
      <c r="DD73" s="22" t="s">
        <v>4131</v>
      </c>
      <c r="DE73" s="22" t="s">
        <v>4132</v>
      </c>
      <c r="DF73" s="22" t="s">
        <v>4133</v>
      </c>
      <c r="DG73" s="22"/>
      <c r="DH73" s="22" t="s">
        <v>4134</v>
      </c>
      <c r="DI73" s="22" t="s">
        <v>4135</v>
      </c>
      <c r="DJ73" s="22"/>
      <c r="DK73" s="22"/>
      <c r="DL73" s="22" t="s">
        <v>4136</v>
      </c>
      <c r="DM73" s="22" t="s">
        <v>4137</v>
      </c>
      <c r="DN73" s="23" t="s">
        <v>1862</v>
      </c>
      <c r="DO73" s="22" t="s">
        <v>1411</v>
      </c>
      <c r="DP73" s="23" t="s">
        <v>1383</v>
      </c>
      <c r="DQ73" s="22" t="s">
        <v>4138</v>
      </c>
      <c r="DR73" s="23" t="s">
        <v>1342</v>
      </c>
      <c r="DS73" s="22"/>
      <c r="DT73" s="22"/>
      <c r="DU73" s="22"/>
      <c r="DV73" s="23" t="s">
        <v>1862</v>
      </c>
      <c r="DW73" s="22" t="s">
        <v>2947</v>
      </c>
      <c r="DX73" s="23" t="s">
        <v>1383</v>
      </c>
      <c r="DY73" s="23" t="s">
        <v>1342</v>
      </c>
      <c r="DZ73" s="23" t="s">
        <v>4052</v>
      </c>
      <c r="EA73" s="23" t="s">
        <v>1383</v>
      </c>
      <c r="EB73" s="23" t="s">
        <v>1383</v>
      </c>
      <c r="EC73" s="23" t="s">
        <v>1383</v>
      </c>
      <c r="ED73" s="23" t="s">
        <v>4139</v>
      </c>
      <c r="EE73" s="27">
        <v>0.5</v>
      </c>
      <c r="EF73" s="23" t="s">
        <v>4078</v>
      </c>
      <c r="EG73" s="23" t="s">
        <v>1862</v>
      </c>
      <c r="EH73" s="27">
        <v>0.5</v>
      </c>
      <c r="EI73" s="23" t="s">
        <v>4140</v>
      </c>
      <c r="EJ73" s="23" t="s">
        <v>4141</v>
      </c>
      <c r="EK73" s="23" t="s">
        <v>1411</v>
      </c>
      <c r="EL73" s="23" t="s">
        <v>1389</v>
      </c>
      <c r="EM73" s="23">
        <v>3</v>
      </c>
      <c r="EN73" s="22" t="s">
        <v>4142</v>
      </c>
      <c r="EO73" s="23">
        <v>2</v>
      </c>
      <c r="EP73" s="22" t="s">
        <v>4143</v>
      </c>
      <c r="EQ73" s="23">
        <v>2</v>
      </c>
      <c r="ER73" s="22" t="s">
        <v>4039</v>
      </c>
      <c r="ES73" s="23">
        <v>4</v>
      </c>
      <c r="ET73" s="22" t="s">
        <v>4144</v>
      </c>
      <c r="EU73" s="23">
        <v>3</v>
      </c>
      <c r="EV73" s="22" t="s">
        <v>4145</v>
      </c>
      <c r="EW73" s="23">
        <v>2</v>
      </c>
      <c r="EX73" s="22" t="s">
        <v>4146</v>
      </c>
      <c r="EY73" s="23">
        <v>0</v>
      </c>
      <c r="EZ73" s="22" t="s">
        <v>2974</v>
      </c>
    </row>
    <row r="74" spans="1:157">
      <c r="A74" s="17">
        <v>618</v>
      </c>
      <c r="B74" s="22">
        <v>61</v>
      </c>
      <c r="C74" s="51" t="s">
        <v>1795</v>
      </c>
      <c r="D74" s="52">
        <v>43771</v>
      </c>
      <c r="E74" s="51" t="s">
        <v>4270</v>
      </c>
      <c r="F74" s="51" t="s">
        <v>1728</v>
      </c>
      <c r="G74" s="51" t="s">
        <v>3856</v>
      </c>
      <c r="H74" s="51" t="s">
        <v>1075</v>
      </c>
      <c r="I74" s="51" t="s">
        <v>1071</v>
      </c>
      <c r="J74" s="23" t="s">
        <v>3856</v>
      </c>
      <c r="K74" s="51" t="s">
        <v>4182</v>
      </c>
      <c r="L74" s="51">
        <v>10</v>
      </c>
      <c r="M74" s="51" t="s">
        <v>3360</v>
      </c>
      <c r="N74" s="51" t="s">
        <v>1343</v>
      </c>
      <c r="O74" s="51" t="s">
        <v>575</v>
      </c>
      <c r="P74" s="51" t="s">
        <v>4271</v>
      </c>
      <c r="Q74" s="51">
        <v>76170630</v>
      </c>
      <c r="R74" s="51" t="s">
        <v>1345</v>
      </c>
      <c r="S74" s="51">
        <v>7</v>
      </c>
      <c r="T74" s="51" t="s">
        <v>1346</v>
      </c>
      <c r="U74" s="51">
        <v>2010</v>
      </c>
      <c r="V74" s="51" t="s">
        <v>4272</v>
      </c>
      <c r="W74" s="51" t="s">
        <v>4273</v>
      </c>
      <c r="X74" s="51" t="s">
        <v>1349</v>
      </c>
      <c r="Y74" s="51"/>
      <c r="Z74" s="51"/>
      <c r="AA74" s="51">
        <v>16</v>
      </c>
      <c r="AB74" s="51" t="s">
        <v>1345</v>
      </c>
      <c r="AC74" s="51">
        <v>1</v>
      </c>
      <c r="AD74" s="51" t="s">
        <v>1345</v>
      </c>
      <c r="AE74" s="51" t="s">
        <v>1349</v>
      </c>
      <c r="AF74" s="51" t="s">
        <v>1349</v>
      </c>
      <c r="AG74" s="51" t="s">
        <v>1349</v>
      </c>
      <c r="AH74" s="51" t="s">
        <v>1366</v>
      </c>
      <c r="AI74" s="51" t="s">
        <v>3384</v>
      </c>
      <c r="AJ74" s="51" t="s">
        <v>1349</v>
      </c>
      <c r="AK74" s="89" t="s">
        <v>4199</v>
      </c>
      <c r="AL74" s="87" t="s">
        <v>1612</v>
      </c>
      <c r="AM74" s="23" t="s">
        <v>1612</v>
      </c>
      <c r="AN74" s="51" t="s">
        <v>1550</v>
      </c>
      <c r="AO74" s="51" t="s">
        <v>1550</v>
      </c>
      <c r="AP74" s="51" t="s">
        <v>1550</v>
      </c>
      <c r="AQ74" s="89" t="s">
        <v>1352</v>
      </c>
      <c r="AR74" s="90" t="s">
        <v>3451</v>
      </c>
      <c r="AS74" s="51" t="s">
        <v>1550</v>
      </c>
      <c r="AT74" s="51" t="s">
        <v>1804</v>
      </c>
      <c r="AU74" s="51"/>
      <c r="AV74" s="42">
        <v>1000</v>
      </c>
      <c r="AW74" s="51" t="s">
        <v>4256</v>
      </c>
      <c r="AX74" s="51" t="s">
        <v>4257</v>
      </c>
      <c r="AY74" s="51" t="s">
        <v>1349</v>
      </c>
      <c r="AZ74" s="51" t="s">
        <v>4274</v>
      </c>
      <c r="BA74" s="51" t="s">
        <v>4275</v>
      </c>
      <c r="BB74" s="51" t="s">
        <v>1358</v>
      </c>
      <c r="BC74" s="51" t="s">
        <v>1358</v>
      </c>
      <c r="BD74" s="51" t="s">
        <v>1358</v>
      </c>
      <c r="BE74" s="51" t="s">
        <v>4260</v>
      </c>
      <c r="BF74" s="51"/>
      <c r="BG74" s="51"/>
      <c r="BH74" s="51">
        <v>1</v>
      </c>
      <c r="BI74" s="51">
        <v>1.5</v>
      </c>
      <c r="BJ74" s="51">
        <v>2</v>
      </c>
      <c r="BK74" s="51" t="s">
        <v>4164</v>
      </c>
      <c r="BL74" s="51" t="s">
        <v>4164</v>
      </c>
      <c r="BM74" s="51" t="s">
        <v>4164</v>
      </c>
      <c r="BN74" s="51" t="s">
        <v>1349</v>
      </c>
      <c r="BO74" s="51"/>
      <c r="BP74" s="51"/>
      <c r="BQ74" s="51" t="s">
        <v>1345</v>
      </c>
      <c r="BR74" s="51" t="s">
        <v>1345</v>
      </c>
      <c r="BS74" s="51" t="s">
        <v>1358</v>
      </c>
      <c r="BT74" s="51" t="s">
        <v>1345</v>
      </c>
      <c r="BU74" s="51" t="s">
        <v>4165</v>
      </c>
      <c r="BV74" s="51" t="s">
        <v>1349</v>
      </c>
      <c r="BW74" s="51"/>
      <c r="BX74" s="51" t="s">
        <v>1345</v>
      </c>
      <c r="BY74" s="51" t="s">
        <v>1362</v>
      </c>
      <c r="BZ74" s="51" t="s">
        <v>4261</v>
      </c>
      <c r="CA74" s="51" t="s">
        <v>4182</v>
      </c>
      <c r="CB74" s="51" t="s">
        <v>1935</v>
      </c>
      <c r="CC74" s="51" t="s">
        <v>1935</v>
      </c>
      <c r="CD74" s="51" t="s">
        <v>1935</v>
      </c>
      <c r="CE74" s="51">
        <v>48000</v>
      </c>
      <c r="CF74" s="51">
        <v>38400</v>
      </c>
      <c r="CG74" s="51">
        <v>35000</v>
      </c>
      <c r="CH74" s="51" t="s">
        <v>1935</v>
      </c>
      <c r="CI74" s="51" t="s">
        <v>1935</v>
      </c>
      <c r="CJ74" s="51" t="s">
        <v>1935</v>
      </c>
      <c r="CK74" s="53">
        <v>0.25</v>
      </c>
      <c r="CL74" s="53">
        <v>0.1</v>
      </c>
      <c r="CM74" s="53">
        <v>0.75</v>
      </c>
      <c r="CN74" s="53">
        <v>0.9</v>
      </c>
      <c r="CO74" s="51" t="s">
        <v>3451</v>
      </c>
      <c r="CP74" s="51"/>
      <c r="CQ74" s="51"/>
      <c r="CR74" s="51"/>
      <c r="CS74" s="51"/>
      <c r="CT74" s="51"/>
      <c r="CU74" s="51"/>
      <c r="CV74" s="51"/>
      <c r="CW74" s="51" t="s">
        <v>1345</v>
      </c>
      <c r="CX74" s="51" t="s">
        <v>4262</v>
      </c>
      <c r="CY74" s="51"/>
      <c r="CZ74" s="51" t="s">
        <v>3750</v>
      </c>
      <c r="DA74" s="51" t="s">
        <v>4276</v>
      </c>
      <c r="DB74" s="51" t="s">
        <v>1808</v>
      </c>
      <c r="DC74" s="51" t="s">
        <v>2204</v>
      </c>
      <c r="DD74" s="51" t="s">
        <v>4167</v>
      </c>
      <c r="DE74" s="51" t="s">
        <v>4168</v>
      </c>
      <c r="DF74" s="51" t="s">
        <v>4169</v>
      </c>
      <c r="DG74" s="51" t="s">
        <v>4170</v>
      </c>
      <c r="DH74" s="51" t="s">
        <v>4171</v>
      </c>
      <c r="DI74" s="51" t="s">
        <v>1978</v>
      </c>
      <c r="DJ74" s="51" t="s">
        <v>1978</v>
      </c>
      <c r="DK74" s="51" t="s">
        <v>3384</v>
      </c>
      <c r="DL74" s="51" t="s">
        <v>4172</v>
      </c>
      <c r="DM74" s="51" t="s">
        <v>3384</v>
      </c>
      <c r="DN74" s="51" t="s">
        <v>1349</v>
      </c>
      <c r="DO74" s="51" t="s">
        <v>1358</v>
      </c>
      <c r="DP74" s="51" t="s">
        <v>1358</v>
      </c>
      <c r="DQ74" s="51" t="s">
        <v>1349</v>
      </c>
      <c r="DR74" s="51" t="s">
        <v>1349</v>
      </c>
      <c r="DS74" s="51"/>
      <c r="DT74" s="51"/>
      <c r="DU74" s="51"/>
      <c r="DV74" s="51" t="s">
        <v>1345</v>
      </c>
      <c r="DW74" s="51" t="s">
        <v>4263</v>
      </c>
      <c r="DX74" s="51" t="s">
        <v>1345</v>
      </c>
      <c r="DY74" s="51" t="s">
        <v>1349</v>
      </c>
      <c r="DZ74" s="51" t="s">
        <v>4264</v>
      </c>
      <c r="EA74" s="51" t="s">
        <v>1345</v>
      </c>
      <c r="EB74" s="51" t="s">
        <v>1345</v>
      </c>
      <c r="EC74" s="51" t="s">
        <v>1345</v>
      </c>
      <c r="ED74" s="51" t="s">
        <v>4265</v>
      </c>
      <c r="EE74" s="53">
        <v>0.3</v>
      </c>
      <c r="EF74" s="51" t="s">
        <v>3580</v>
      </c>
      <c r="EG74" s="51" t="s">
        <v>1349</v>
      </c>
      <c r="EH74" s="51"/>
      <c r="EI74" s="51" t="s">
        <v>4277</v>
      </c>
      <c r="EJ74" s="51" t="s">
        <v>4267</v>
      </c>
      <c r="EK74" s="51" t="s">
        <v>3613</v>
      </c>
      <c r="EL74" s="51" t="s">
        <v>1389</v>
      </c>
      <c r="EM74" s="51">
        <v>4</v>
      </c>
      <c r="EN74" s="51" t="s">
        <v>4268</v>
      </c>
      <c r="EO74" s="51">
        <v>1</v>
      </c>
      <c r="EP74" s="51" t="s">
        <v>3451</v>
      </c>
      <c r="EQ74" s="51">
        <v>2</v>
      </c>
      <c r="ER74" s="51" t="s">
        <v>4176</v>
      </c>
      <c r="ES74" s="51">
        <v>5</v>
      </c>
      <c r="ET74" s="51" t="s">
        <v>4177</v>
      </c>
      <c r="EU74" s="51">
        <v>5</v>
      </c>
      <c r="EV74" s="51" t="s">
        <v>4178</v>
      </c>
      <c r="EW74" s="51">
        <v>2</v>
      </c>
      <c r="EX74" s="51" t="s">
        <v>4179</v>
      </c>
      <c r="EY74" s="51">
        <v>1</v>
      </c>
      <c r="EZ74" s="51" t="s">
        <v>4269</v>
      </c>
    </row>
    <row r="75" spans="1:157">
      <c r="A75" s="17">
        <v>619</v>
      </c>
      <c r="B75" s="22">
        <v>58</v>
      </c>
      <c r="C75" s="38" t="s">
        <v>1795</v>
      </c>
      <c r="D75" s="39">
        <v>43770</v>
      </c>
      <c r="E75" s="38" t="s">
        <v>4250</v>
      </c>
      <c r="F75" s="40" t="s">
        <v>1728</v>
      </c>
      <c r="G75" s="40" t="s">
        <v>3856</v>
      </c>
      <c r="H75" s="38" t="s">
        <v>4158</v>
      </c>
      <c r="I75" s="38" t="s">
        <v>1071</v>
      </c>
      <c r="J75" s="23" t="s">
        <v>3856</v>
      </c>
      <c r="K75" s="38" t="s">
        <v>4221</v>
      </c>
      <c r="L75" s="42">
        <v>3</v>
      </c>
      <c r="M75" s="42" t="s">
        <v>4222</v>
      </c>
      <c r="N75" s="42" t="s">
        <v>1343</v>
      </c>
      <c r="O75" s="42" t="s">
        <v>575</v>
      </c>
      <c r="P75" s="42" t="s">
        <v>534</v>
      </c>
      <c r="Q75" s="38">
        <v>75736095</v>
      </c>
      <c r="R75" s="38" t="s">
        <v>1345</v>
      </c>
      <c r="S75" s="38">
        <v>7</v>
      </c>
      <c r="T75" s="42" t="s">
        <v>1346</v>
      </c>
      <c r="U75" s="38">
        <v>2009</v>
      </c>
      <c r="V75" s="42" t="s">
        <v>4224</v>
      </c>
      <c r="W75" s="42" t="s">
        <v>4241</v>
      </c>
      <c r="X75" s="38" t="s">
        <v>1349</v>
      </c>
      <c r="Y75" s="38"/>
      <c r="Z75" s="38"/>
      <c r="AA75" s="38">
        <v>12</v>
      </c>
      <c r="AB75" s="38" t="s">
        <v>1345</v>
      </c>
      <c r="AC75" s="38">
        <v>2</v>
      </c>
      <c r="AD75" s="38" t="s">
        <v>1345</v>
      </c>
      <c r="AE75" s="38" t="s">
        <v>1349</v>
      </c>
      <c r="AF75" s="38" t="s">
        <v>1349</v>
      </c>
      <c r="AG75" s="38" t="s">
        <v>1349</v>
      </c>
      <c r="AH75" s="42" t="s">
        <v>1358</v>
      </c>
      <c r="AI75" s="38" t="s">
        <v>3384</v>
      </c>
      <c r="AJ75" s="38" t="s">
        <v>1349</v>
      </c>
      <c r="AK75" s="87" t="s">
        <v>4199</v>
      </c>
      <c r="AL75" s="87" t="s">
        <v>1612</v>
      </c>
      <c r="AM75" s="23" t="s">
        <v>1612</v>
      </c>
      <c r="AN75" s="38" t="s">
        <v>1550</v>
      </c>
      <c r="AO75" s="38" t="s">
        <v>1550</v>
      </c>
      <c r="AP75" s="38" t="s">
        <v>1550</v>
      </c>
      <c r="AQ75" s="87" t="s">
        <v>1352</v>
      </c>
      <c r="AR75" s="88" t="s">
        <v>3451</v>
      </c>
      <c r="AS75" s="42" t="s">
        <v>1550</v>
      </c>
      <c r="AT75" s="42" t="s">
        <v>1804</v>
      </c>
      <c r="AU75" s="42"/>
      <c r="AV75" s="42">
        <v>1000</v>
      </c>
      <c r="AW75" s="42" t="s">
        <v>4242</v>
      </c>
      <c r="AX75" s="42" t="s">
        <v>4243</v>
      </c>
      <c r="AY75" s="38" t="s">
        <v>1349</v>
      </c>
      <c r="AZ75" s="42" t="s">
        <v>4226</v>
      </c>
      <c r="BA75" s="42" t="s">
        <v>4234</v>
      </c>
      <c r="BB75" s="42" t="s">
        <v>2062</v>
      </c>
      <c r="BC75" s="42" t="s">
        <v>1358</v>
      </c>
      <c r="BD75" s="42" t="s">
        <v>1358</v>
      </c>
      <c r="BE75" s="42" t="s">
        <v>1810</v>
      </c>
      <c r="BF75" s="42"/>
      <c r="BG75" s="42"/>
      <c r="BH75" s="42">
        <v>3</v>
      </c>
      <c r="BI75" s="42">
        <v>3</v>
      </c>
      <c r="BJ75" s="42">
        <v>10</v>
      </c>
      <c r="BK75" s="42" t="s">
        <v>4164</v>
      </c>
      <c r="BL75" s="42" t="s">
        <v>4164</v>
      </c>
      <c r="BM75" s="42" t="s">
        <v>4164</v>
      </c>
      <c r="BN75" s="38" t="s">
        <v>1349</v>
      </c>
      <c r="BO75" s="42"/>
      <c r="BP75" s="42"/>
      <c r="BQ75" s="38" t="s">
        <v>1345</v>
      </c>
      <c r="BR75" s="38" t="s">
        <v>1345</v>
      </c>
      <c r="BS75" s="42" t="s">
        <v>1358</v>
      </c>
      <c r="BT75" s="38" t="s">
        <v>1383</v>
      </c>
      <c r="BU75" s="42" t="s">
        <v>4165</v>
      </c>
      <c r="BV75" s="38" t="s">
        <v>1349</v>
      </c>
      <c r="BW75" s="42"/>
      <c r="BX75" s="38" t="s">
        <v>1345</v>
      </c>
      <c r="BY75" s="42" t="s">
        <v>1362</v>
      </c>
      <c r="BZ75" s="38" t="s">
        <v>3600</v>
      </c>
      <c r="CA75" s="38" t="s">
        <v>4228</v>
      </c>
      <c r="CB75" s="42" t="s">
        <v>1935</v>
      </c>
      <c r="CC75" s="42" t="s">
        <v>1935</v>
      </c>
      <c r="CD75" s="38" t="s">
        <v>1935</v>
      </c>
      <c r="CE75" s="42">
        <v>50400</v>
      </c>
      <c r="CF75" s="42">
        <v>46080</v>
      </c>
      <c r="CG75" s="42">
        <v>39600</v>
      </c>
      <c r="CH75" s="42" t="s">
        <v>1935</v>
      </c>
      <c r="CI75" s="42" t="s">
        <v>1935</v>
      </c>
      <c r="CJ75" s="42" t="s">
        <v>1935</v>
      </c>
      <c r="CK75" s="42" t="s">
        <v>1904</v>
      </c>
      <c r="CL75" s="43">
        <v>0.15</v>
      </c>
      <c r="CM75" s="42" t="s">
        <v>1904</v>
      </c>
      <c r="CN75" s="43">
        <v>0.85</v>
      </c>
      <c r="CO75" s="42" t="s">
        <v>3451</v>
      </c>
      <c r="CP75" s="42"/>
      <c r="CQ75" s="42"/>
      <c r="CR75" s="42"/>
      <c r="CS75" s="42"/>
      <c r="CT75" s="42"/>
      <c r="CU75" s="38"/>
      <c r="CV75" s="42"/>
      <c r="CW75" s="38" t="s">
        <v>1345</v>
      </c>
      <c r="CX75" s="42" t="s">
        <v>1904</v>
      </c>
      <c r="CY75" s="42" t="s">
        <v>1904</v>
      </c>
      <c r="CZ75" s="42" t="s">
        <v>3750</v>
      </c>
      <c r="DA75" s="42" t="s">
        <v>3734</v>
      </c>
      <c r="DB75" s="42" t="s">
        <v>1808</v>
      </c>
      <c r="DC75" s="42" t="s">
        <v>1936</v>
      </c>
      <c r="DD75" s="42" t="s">
        <v>2044</v>
      </c>
      <c r="DE75" s="42" t="s">
        <v>4235</v>
      </c>
      <c r="DF75" s="42" t="s">
        <v>4169</v>
      </c>
      <c r="DG75" s="42" t="s">
        <v>4236</v>
      </c>
      <c r="DH75" s="42" t="s">
        <v>4229</v>
      </c>
      <c r="DI75" s="42" t="s">
        <v>1940</v>
      </c>
      <c r="DJ75" s="42" t="s">
        <v>4206</v>
      </c>
      <c r="DK75" s="42" t="s">
        <v>3384</v>
      </c>
      <c r="DL75" s="42" t="s">
        <v>4172</v>
      </c>
      <c r="DM75" s="42" t="s">
        <v>3384</v>
      </c>
      <c r="DN75" s="38" t="s">
        <v>1349</v>
      </c>
      <c r="DO75" s="42" t="s">
        <v>1358</v>
      </c>
      <c r="DP75" s="38" t="s">
        <v>1349</v>
      </c>
      <c r="DQ75" s="42" t="s">
        <v>1358</v>
      </c>
      <c r="DR75" s="38" t="s">
        <v>1349</v>
      </c>
      <c r="DS75" s="42"/>
      <c r="DT75" s="42"/>
      <c r="DU75" s="42"/>
      <c r="DV75" s="38" t="s">
        <v>1345</v>
      </c>
      <c r="DW75" s="42" t="s">
        <v>1945</v>
      </c>
      <c r="DX75" s="38" t="s">
        <v>1345</v>
      </c>
      <c r="DY75" s="38" t="s">
        <v>1349</v>
      </c>
      <c r="DZ75" s="42" t="s">
        <v>4248</v>
      </c>
      <c r="EA75" s="38" t="s">
        <v>1345</v>
      </c>
      <c r="EB75" s="38" t="s">
        <v>1345</v>
      </c>
      <c r="EC75" s="38" t="s">
        <v>1345</v>
      </c>
      <c r="ED75" s="42" t="s">
        <v>4207</v>
      </c>
      <c r="EE75" s="43">
        <v>0.3</v>
      </c>
      <c r="EF75" s="42" t="s">
        <v>3580</v>
      </c>
      <c r="EG75" s="38" t="s">
        <v>1349</v>
      </c>
      <c r="EH75" s="42"/>
      <c r="EI75" s="42" t="s">
        <v>4208</v>
      </c>
      <c r="EJ75" s="42" t="s">
        <v>3754</v>
      </c>
      <c r="EK75" s="38" t="s">
        <v>3613</v>
      </c>
      <c r="EL75" s="38" t="s">
        <v>1389</v>
      </c>
      <c r="EM75" s="38">
        <v>4</v>
      </c>
      <c r="EN75" s="42" t="s">
        <v>4192</v>
      </c>
      <c r="EO75" s="38">
        <v>1</v>
      </c>
      <c r="EP75" s="42" t="s">
        <v>4210</v>
      </c>
      <c r="EQ75" s="38">
        <v>2</v>
      </c>
      <c r="ER75" s="42" t="s">
        <v>4211</v>
      </c>
      <c r="ES75" s="38">
        <v>5</v>
      </c>
      <c r="ET75" s="42" t="s">
        <v>4177</v>
      </c>
      <c r="EU75" s="38">
        <v>5</v>
      </c>
      <c r="EV75" s="42" t="s">
        <v>4194</v>
      </c>
      <c r="EW75" s="38">
        <v>3</v>
      </c>
      <c r="EX75" s="42" t="s">
        <v>4230</v>
      </c>
      <c r="EY75" s="38">
        <v>2</v>
      </c>
      <c r="EZ75" s="42" t="s">
        <v>4231</v>
      </c>
    </row>
    <row r="76" spans="1:157">
      <c r="A76" s="17">
        <v>620</v>
      </c>
      <c r="B76" s="22">
        <v>32</v>
      </c>
      <c r="C76" s="23" t="s">
        <v>1337</v>
      </c>
      <c r="D76" s="33">
        <v>43770</v>
      </c>
      <c r="E76" s="23" t="s">
        <v>3950</v>
      </c>
      <c r="F76" s="25" t="e">
        <v>#N/A</v>
      </c>
      <c r="G76" s="25" t="s">
        <v>3930</v>
      </c>
      <c r="H76" s="23" t="s">
        <v>3901</v>
      </c>
      <c r="I76" s="23" t="s">
        <v>3902</v>
      </c>
      <c r="J76" s="23" t="s">
        <v>68</v>
      </c>
      <c r="K76" s="23" t="s">
        <v>3964</v>
      </c>
      <c r="L76" s="32">
        <v>6</v>
      </c>
      <c r="M76" s="23" t="s">
        <v>1342</v>
      </c>
      <c r="N76" s="23" t="s">
        <v>1448</v>
      </c>
      <c r="O76" s="23" t="s">
        <v>3973</v>
      </c>
      <c r="P76" s="23" t="s">
        <v>3974</v>
      </c>
      <c r="Q76" s="23">
        <v>65879333</v>
      </c>
      <c r="R76" s="23" t="s">
        <v>1383</v>
      </c>
      <c r="S76" s="23">
        <v>3</v>
      </c>
      <c r="T76" s="23" t="s">
        <v>1346</v>
      </c>
      <c r="U76" s="23">
        <v>2015</v>
      </c>
      <c r="V76" s="22" t="s">
        <v>2896</v>
      </c>
      <c r="W76" s="23" t="s">
        <v>3975</v>
      </c>
      <c r="X76" s="23" t="s">
        <v>1804</v>
      </c>
      <c r="Y76" s="23"/>
      <c r="Z76" s="23"/>
      <c r="AA76" s="23">
        <v>15</v>
      </c>
      <c r="AB76" s="23" t="s">
        <v>1342</v>
      </c>
      <c r="AC76" s="23">
        <v>1</v>
      </c>
      <c r="AD76" s="23" t="s">
        <v>1383</v>
      </c>
      <c r="AE76" s="23" t="s">
        <v>1342</v>
      </c>
      <c r="AF76" s="23" t="s">
        <v>1342</v>
      </c>
      <c r="AG76" s="23" t="s">
        <v>1342</v>
      </c>
      <c r="AH76" s="23" t="s">
        <v>1342</v>
      </c>
      <c r="AI76" s="23"/>
      <c r="AJ76" s="23"/>
      <c r="AK76" s="22" t="s">
        <v>4199</v>
      </c>
      <c r="AL76" s="87" t="s">
        <v>1612</v>
      </c>
      <c r="AM76" s="23" t="s">
        <v>1612</v>
      </c>
      <c r="AN76" s="23" t="s">
        <v>1612</v>
      </c>
      <c r="AO76" s="23" t="s">
        <v>1612</v>
      </c>
      <c r="AP76" s="23" t="s">
        <v>1612</v>
      </c>
      <c r="AQ76" s="68" t="s">
        <v>1352</v>
      </c>
      <c r="AR76" s="23" t="s">
        <v>1612</v>
      </c>
      <c r="AS76" s="42" t="s">
        <v>1550</v>
      </c>
      <c r="AT76" s="22"/>
      <c r="AU76" s="22">
        <v>12000</v>
      </c>
      <c r="AV76" s="22">
        <v>30000</v>
      </c>
      <c r="AW76" s="22" t="s">
        <v>2955</v>
      </c>
      <c r="AX76" s="22" t="s">
        <v>2899</v>
      </c>
      <c r="AY76" s="23" t="s">
        <v>1342</v>
      </c>
      <c r="AZ76" s="22" t="s">
        <v>1385</v>
      </c>
      <c r="BA76" s="22" t="s">
        <v>2971</v>
      </c>
      <c r="BB76" s="22" t="s">
        <v>1358</v>
      </c>
      <c r="BC76" s="22" t="s">
        <v>1358</v>
      </c>
      <c r="BD76" s="22" t="s">
        <v>1358</v>
      </c>
      <c r="BE76" s="22" t="s">
        <v>3969</v>
      </c>
      <c r="BF76" s="22"/>
      <c r="BG76" s="22"/>
      <c r="BH76" s="22">
        <v>2</v>
      </c>
      <c r="BI76" s="22">
        <v>4</v>
      </c>
      <c r="BJ76" s="22"/>
      <c r="BK76" s="22" t="s">
        <v>1434</v>
      </c>
      <c r="BL76" s="22" t="s">
        <v>2405</v>
      </c>
      <c r="BM76" s="22"/>
      <c r="BN76" s="23" t="s">
        <v>1342</v>
      </c>
      <c r="BO76" s="22"/>
      <c r="BP76" s="22"/>
      <c r="BQ76" s="23" t="s">
        <v>1383</v>
      </c>
      <c r="BR76" s="23" t="s">
        <v>1342</v>
      </c>
      <c r="BS76" s="27">
        <v>0</v>
      </c>
      <c r="BT76" s="23" t="s">
        <v>1342</v>
      </c>
      <c r="BU76" s="23" t="s">
        <v>3976</v>
      </c>
      <c r="BV76" s="23" t="s">
        <v>1342</v>
      </c>
      <c r="BW76" s="22"/>
      <c r="BX76" s="23" t="s">
        <v>1383</v>
      </c>
      <c r="BY76" s="23" t="s">
        <v>1362</v>
      </c>
      <c r="BZ76" s="23" t="s">
        <v>3912</v>
      </c>
      <c r="CA76" s="23" t="s">
        <v>3970</v>
      </c>
      <c r="CB76" s="22" t="s">
        <v>1364</v>
      </c>
      <c r="CC76" s="22" t="s">
        <v>1364</v>
      </c>
      <c r="CD76" s="22" t="s">
        <v>1364</v>
      </c>
      <c r="CE76" s="22">
        <v>7000</v>
      </c>
      <c r="CF76" s="22">
        <v>8000</v>
      </c>
      <c r="CG76" s="22">
        <v>10000</v>
      </c>
      <c r="CH76" s="22">
        <v>0</v>
      </c>
      <c r="CI76" s="22">
        <v>0</v>
      </c>
      <c r="CJ76" s="22">
        <v>0</v>
      </c>
      <c r="CK76" s="27">
        <v>0.5</v>
      </c>
      <c r="CL76" s="27">
        <v>0.5</v>
      </c>
      <c r="CM76" s="27">
        <v>0.5</v>
      </c>
      <c r="CN76" s="27">
        <v>0.5</v>
      </c>
      <c r="CO76" s="22"/>
      <c r="CP76" s="22"/>
      <c r="CQ76" s="22"/>
      <c r="CR76" s="22"/>
      <c r="CS76" s="22"/>
      <c r="CT76" s="22"/>
      <c r="CU76" s="23"/>
      <c r="CV76" s="22"/>
      <c r="CW76" s="23" t="s">
        <v>1383</v>
      </c>
      <c r="CX76" s="27">
        <v>0.1</v>
      </c>
      <c r="CY76" s="27">
        <v>0.8</v>
      </c>
      <c r="CZ76" s="22" t="s">
        <v>2905</v>
      </c>
      <c r="DA76" s="22" t="s">
        <v>1372</v>
      </c>
      <c r="DB76" s="22">
        <v>8</v>
      </c>
      <c r="DC76" s="22"/>
      <c r="DD76" s="22" t="s">
        <v>3916</v>
      </c>
      <c r="DE76" s="22" t="s">
        <v>3917</v>
      </c>
      <c r="DF76" s="22" t="s">
        <v>3918</v>
      </c>
      <c r="DG76" s="22"/>
      <c r="DH76" s="22" t="s">
        <v>3935</v>
      </c>
      <c r="DI76" s="22"/>
      <c r="DJ76" s="22"/>
      <c r="DK76" s="22"/>
      <c r="DL76" s="22" t="s">
        <v>3921</v>
      </c>
      <c r="DM76" s="22"/>
      <c r="DN76" s="23" t="s">
        <v>1342</v>
      </c>
      <c r="DO76" s="22"/>
      <c r="DP76" s="23" t="s">
        <v>1383</v>
      </c>
      <c r="DQ76" s="22" t="s">
        <v>3923</v>
      </c>
      <c r="DR76" s="23" t="s">
        <v>1342</v>
      </c>
      <c r="DS76" s="22"/>
      <c r="DT76" s="22"/>
      <c r="DU76" s="22"/>
      <c r="DV76" s="23" t="s">
        <v>1383</v>
      </c>
      <c r="DW76" s="22" t="s">
        <v>1413</v>
      </c>
      <c r="DX76" s="23" t="s">
        <v>1383</v>
      </c>
      <c r="DY76" s="23" t="s">
        <v>1342</v>
      </c>
      <c r="DZ76" s="23" t="s">
        <v>1531</v>
      </c>
      <c r="EA76" s="23" t="s">
        <v>1383</v>
      </c>
      <c r="EB76" s="23" t="s">
        <v>1383</v>
      </c>
      <c r="EC76" s="23" t="s">
        <v>1383</v>
      </c>
      <c r="ED76" s="23" t="s">
        <v>2948</v>
      </c>
      <c r="EE76" s="27">
        <v>0.5</v>
      </c>
      <c r="EF76" s="23" t="s">
        <v>2931</v>
      </c>
      <c r="EG76" s="23" t="s">
        <v>1342</v>
      </c>
      <c r="EH76" s="22"/>
      <c r="EI76" s="22"/>
      <c r="EJ76" s="22"/>
      <c r="EK76" s="22"/>
      <c r="EL76" s="23" t="s">
        <v>1389</v>
      </c>
      <c r="EM76" s="23">
        <v>3</v>
      </c>
      <c r="EN76" s="22" t="s">
        <v>2917</v>
      </c>
      <c r="EO76" s="23">
        <v>0</v>
      </c>
      <c r="EP76" s="22" t="s">
        <v>3020</v>
      </c>
      <c r="EQ76" s="23">
        <v>2</v>
      </c>
      <c r="ER76" s="22" t="s">
        <v>3129</v>
      </c>
      <c r="ES76" s="23">
        <v>3</v>
      </c>
      <c r="ET76" s="22" t="s">
        <v>3174</v>
      </c>
      <c r="EU76" s="23">
        <v>3</v>
      </c>
      <c r="EV76" s="22" t="s">
        <v>3108</v>
      </c>
      <c r="EW76" s="23">
        <v>3</v>
      </c>
      <c r="EX76" s="22" t="s">
        <v>3927</v>
      </c>
      <c r="EY76" s="23">
        <v>1</v>
      </c>
      <c r="EZ76" s="22" t="s">
        <v>3939</v>
      </c>
      <c r="FA76" s="22"/>
    </row>
    <row r="77" spans="1:157">
      <c r="CK77" s="20"/>
      <c r="CL77" s="20"/>
      <c r="CY77" s="20">
        <f>AVERAGE(CY2:CY52)</f>
        <v>0.70526315789473693</v>
      </c>
    </row>
    <row r="78" spans="1:157">
      <c r="CX78" s="20"/>
      <c r="EE78" s="20"/>
      <c r="EH78" s="20"/>
      <c r="EM78" s="17">
        <f>AVERAGE(EM1:EM76)</f>
        <v>2.9466666666666668</v>
      </c>
      <c r="EO78" s="17">
        <f>AVERAGE(EO2:EO76)</f>
        <v>1.7066666666666668</v>
      </c>
      <c r="EQ78" s="17">
        <f>AVERAGE(EQ2:EQ76)</f>
        <v>2.3913043478260869</v>
      </c>
      <c r="ES78" s="17">
        <f>AVERAGE(ES2:ES76)</f>
        <v>4.1466666666666665</v>
      </c>
      <c r="EU78" s="17">
        <f>AVERAGE(EU2:EU76)</f>
        <v>4.1216216216216219</v>
      </c>
      <c r="EW78" s="17">
        <f>AVERAGE(EW2:EW76)</f>
        <v>2.6266666666666665</v>
      </c>
      <c r="EY78" s="17">
        <f>AVERAGE(EY2:EY76)</f>
        <v>1.3333333333333333</v>
      </c>
    </row>
  </sheetData>
  <dataValidations count="4">
    <dataValidation type="decimal" operator="greaterThan" allowBlank="1" showDropDown="1" showInputMessage="1" prompt="Enter a number greater than 1" sqref="AA50:AA60" xr:uid="{9BD2B021-16FD-475F-B5FB-A092E264F721}">
      <formula1>1</formula1>
    </dataValidation>
    <dataValidation type="decimal" operator="greaterThanOrEqual" allowBlank="1" showDropDown="1" showInputMessage="1" prompt="Enter a number greater than or equal to 0" sqref="AC50:AC60 S50:S60" xr:uid="{BCDE9EE5-2641-4B52-8B10-97BFE254D99E}">
      <formula1>0</formula1>
    </dataValidation>
    <dataValidation type="custom" allowBlank="1" showDropDown="1" showInputMessage="1" prompt="Select a valid date YYYY-MM-DD" sqref="D50:D60" xr:uid="{56AC1DB2-C7DA-40B9-8174-BC98EEF19565}">
      <formula1>OR(NOT(ISERROR(DATEVALUE(D50))), AND(ISNUMBER(D50), LEFT(CELL("format", D50))="D"))</formula1>
    </dataValidation>
    <dataValidation type="decimal" operator="greaterThan" allowBlank="1" showDropDown="1" showInputMessage="1" prompt="Telephone Number (8 digits)" sqref="Q50:Q60" xr:uid="{798BF7B0-560F-45F6-853F-2618E3BE640E}">
      <formula1>9999999</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3">
        <x14:dataValidation type="list" allowBlank="1" showInputMessage="1" prompt="Yes or No" xr:uid="{6137841B-B440-478C-9582-611BE06735BE}">
          <x14:formula1>
            <xm:f>'D:\Jean-Marc''s files\Jean-Marc 17 June 10\Karité\Serious Shea\Stage 2\Saisie de resultats\Saisies Manga\[OJ et DT données Manga 1.xlsx]Internal-logic'!#REF!</xm:f>
          </x14:formula1>
          <xm:sqref>DX50:DY60 DV50:DV60 DN50:DN60 EB50:EC60 BV50:BV60 BQ50:BR60 DP50:DP60 BN50:BN60 AB50:AB60 AY50:AY60 CW50:CW60 CU50:CU60 DR50:DR60 BX50:BX60 AJ50:AJ60 BT50:BT60 EG50:EG60</xm:sqref>
        </x14:dataValidation>
        <x14:dataValidation type="list" allowBlank="1" showInputMessage="1" prompt="A number between 1 and 5" xr:uid="{A40FCADD-341F-48CE-81F5-E5C406FA7F6E}">
          <x14:formula1>
            <xm:f>'D:\Jean-Marc''s files\Jean-Marc 17 June 10\Karité\Serious Shea\Stage 2\Saisie de resultats\Saisies Manga\[OJ et DT données Manga 1.xlsx]Internal-logic'!#REF!</xm:f>
          </x14:formula1>
          <xm:sqref>EW50:EW60 EY50:EY60 EQ50:EQ60 EO50:EO60 EM50:EM60 ES50:ES60 EU50:EU60</xm:sqref>
        </x14:dataValidation>
        <x14:dataValidation type="list" allowBlank="1" xr:uid="{3190BB81-B557-4888-AED7-D59331F0BE4A}">
          <x14:formula1>
            <xm:f>'D:\Jean-Marc''s files\Jean-Marc 17 June 10\Karité\Serious Shea\Stage 2\Saisie de resultats\Saisies Manga\[OJ et DT données Manga 1.xlsx]Internal-logic'!#REF!</xm:f>
          </x14:formula1>
          <xm:sqref>R50:R60 AD50:AG60</xm:sqref>
        </x14:dataValidation>
        <x14:dataValidation type="list" allowBlank="1" showInputMessage="1" prompt="Select surveyors:  Abdoulaye et Oswald (AZ-OK) / Lamine et Yves (LB-YY) / Thiérry et Jérémie (TD-JO)" xr:uid="{A4454B7D-EFBA-4549-9DB2-7D92A44173B0}">
          <x14:formula1>
            <xm:f>'D:\Jean-Marc''s files\Jean-Marc 17 June 10\Karité\Serious Shea\Stage 2\Saisie de resultats\Saisies Manga\[OJ et DT données Manga 1.xlsx]Internal-logic'!#REF!</xm:f>
          </x14:formula1>
          <xm:sqref>C50:C60</xm:sqref>
        </x14:dataValidation>
        <x14:dataValidation type="list" allowBlank="1" showInputMessage="1" prompt="Select commune" xr:uid="{9C6DA86F-5BFD-492A-830A-95CD9DCF880A}">
          <x14:formula1>
            <xm:f>'D:\Jean-Marc''s files\Jean-Marc 17 June 10\Karité\Serious Shea\Stage 2\Saisie de resultats\Saisies Manga\[OJ et DT données Manga 1.xlsx]Internal-logic'!#REF!</xm:f>
          </x14:formula1>
          <xm:sqref>J50:J67</xm:sqref>
        </x14:dataValidation>
        <x14:dataValidation type="list" allowBlank="1" showInputMessage="1" prompt="Select a known group name or type in new" xr:uid="{F0321EF8-F7C6-4A4E-A3D7-6879C9B1A273}">
          <x14:formula1>
            <xm:f>'D:\Jean-Marc''s files\Jean-Marc 17 June 10\Karité\Serious Shea\Stage 2\Saisie de resultats\Saisies Manga\[OJ et DT données Manga 1.xlsx]Internal-logic'!#REF!</xm:f>
          </x14:formula1>
          <xm:sqref>E50:E60</xm:sqref>
        </x14:dataValidation>
        <x14:dataValidation type="list" allowBlank="1" showInputMessage="1" prompt="Select village" xr:uid="{5FBEEFD6-78AE-40D2-8587-FB0FF9F83CC3}">
          <x14:formula1>
            <xm:f>'D:\Jean-Marc''s files\Jean-Marc 17 June 10\Karité\Serious Shea\Stage 2\Saisie de resultats\Saisies Manga\[OJ et DT données Manga 1.xlsx]Internal-logic'!#REF!</xm:f>
          </x14:formula1>
          <xm:sqref>K50:K60</xm:sqref>
        </x14:dataValidation>
        <x14:dataValidation type="list" allowBlank="1" showInputMessage="1" prompt="Select region" xr:uid="{723EA88E-5E04-4A3F-8503-8902BFDCABB9}">
          <x14:formula1>
            <xm:f>'D:\Jean-Marc''s files\Jean-Marc 17 June 10\Karité\Serious Shea\Stage 2\Saisie de resultats\Saisies Manga\[OJ et DT données Manga 1.xlsx]Internal-logic'!#REF!</xm:f>
          </x14:formula1>
          <xm:sqref>H50:H60</xm:sqref>
        </x14:dataValidation>
        <x14:dataValidation type="list" allowBlank="1" showInputMessage="1" prompt="Enter a year (YYYY)" xr:uid="{A8812511-6D84-4AC9-B1A5-B13FFFF4CDAD}">
          <x14:formula1>
            <xm:f>'D:\Jean-Marc''s files\Jean-Marc 17 June 10\Karité\Serious Shea\Stage 2\Saisie de resultats\Saisies Manga\[OJ et DT données Manga 1.xlsx]Internal-logic'!#REF!</xm:f>
          </x14:formula1>
          <xm:sqref>Y50:Z60 U50:U60 AI50:AI60</xm:sqref>
        </x14:dataValidation>
        <x14:dataValidation type="list" allowBlank="1" showInputMessage="1" prompt="Yes  or NO" xr:uid="{9C749D98-DCE6-437A-AA9D-6B9E24809C99}">
          <x14:formula1>
            <xm:f>'D:\Jean-Marc''s files\Jean-Marc 17 June 10\Karité\Serious Shea\Stage 2\Saisie de resultats\Saisies Manga\[OJ et DT données Manga 1.xlsx]Internal-logic'!#REF!</xm:f>
          </x14:formula1>
          <xm:sqref>EA50:EA60</xm:sqref>
        </x14:dataValidation>
        <x14:dataValidation type="list" allowBlank="1" showInputMessage="1" prompt="A, B or C" xr:uid="{675D007A-FDFF-4346-9899-8417BF30F0ED}">
          <x14:formula1>
            <xm:f>'D:\Jean-Marc''s files\Jean-Marc 17 June 10\Karité\Serious Shea\Stage 2\Saisie de resultats\Saisies Manga\[OJ et DT données Manga 1.xlsx]Internal-logic'!#REF!</xm:f>
          </x14:formula1>
          <xm:sqref>EL50:EL60</xm:sqref>
        </x14:dataValidation>
        <x14:dataValidation type="list" allowBlank="1" showInputMessage="1" prompt="Select province" xr:uid="{65E0C4A2-C9CA-4171-9E6F-8760C39A5334}">
          <x14:formula1>
            <xm:f>'D:\Jean-Marc''s files\Jean-Marc 17 June 10\Karité\Serious Shea\Stage 2\Saisie de resultats\Saisies Manga\[OJ et DT données Manga 1.xlsx]Internal-logic'!#REF!</xm:f>
          </x14:formula1>
          <xm:sqref>I50:I60</xm:sqref>
        </x14:dataValidation>
        <x14:dataValidation type="list" allowBlank="1" showInputMessage="1" prompt="Select Yes or No" xr:uid="{83C657E1-DC68-4D93-BEEB-26F5306350C9}">
          <x14:formula1>
            <xm:f>'D:\Jean-Marc''s files\Jean-Marc 17 June 10\Karité\Serious Shea\Stage 2\Saisie de resultats\Saisies Manga\[OJ et DT données Manga 1.xlsx]Internal-logic'!#REF!</xm:f>
          </x14:formula1>
          <xm:sqref>X50:X60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Cover</vt:lpstr>
      <vt:lpstr>Summary</vt:lpstr>
      <vt:lpstr>Serious Shea Partner Database</vt:lpstr>
      <vt:lpstr>Introduction</vt:lpstr>
      <vt:lpstr>Group ID</vt:lpstr>
      <vt:lpstr>Ecodata</vt:lpstr>
      <vt:lpstr>Technoserve Groups</vt:lpstr>
      <vt:lpstr>Technoserve Unions</vt:lpstr>
      <vt:lpstr>Sensonomic 1 (Sanguie)</vt:lpstr>
      <vt:lpstr>Sensonomic 2, Sud-Ouest</vt:lpstr>
      <vt:lpstr>Sensonomic 3, Centre-Sud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Alastair Woods</cp:lastModifiedBy>
  <dcterms:modified xsi:type="dcterms:W3CDTF">2020-11-13T06:49:19Z</dcterms:modified>
</cp:coreProperties>
</file>