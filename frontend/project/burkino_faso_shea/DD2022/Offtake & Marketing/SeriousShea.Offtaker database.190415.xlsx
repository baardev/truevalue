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mc:AlternateContent xmlns:mc="http://schemas.openxmlformats.org/markup-compatibility/2006">
    <mc:Choice Requires="x15">
      <x15ac:absPath xmlns:x15ac="http://schemas.microsoft.com/office/spreadsheetml/2010/11/ac" url="C:\Users\David Lyon\Dropbox (Irbaris)\ImpactAgri – External – SeriousShea_Marketing and Sales\"/>
    </mc:Choice>
  </mc:AlternateContent>
  <xr:revisionPtr revIDLastSave="0" documentId="13_ncr:1_{6B440E40-1678-41BA-BBC4-299E959757B2}" xr6:coauthVersionLast="41" xr6:coauthVersionMax="43" xr10:uidLastSave="{00000000-0000-0000-0000-000000000000}"/>
  <bookViews>
    <workbookView xWindow="-28920" yWindow="-3240" windowWidth="29040" windowHeight="15840" activeTab="2" xr2:uid="{00000000-000D-0000-FFFF-FFFF00000000}"/>
  </bookViews>
  <sheets>
    <sheet name="Cover" sheetId="1" r:id="rId1"/>
    <sheet name="Sheet1" sheetId="5" r:id="rId2"/>
    <sheet name="Revenue Data" sheetId="2" r:id="rId3"/>
    <sheet name="Processing" sheetId="4" r:id="rId4"/>
    <sheet name="Quality Standards" sheetId="3" r:id="rId5"/>
  </sheets>
  <definedNames>
    <definedName name="_xlnm.Print_Area" localSheetId="2">'Revenue Data'!$A$1:$AP$37</definedName>
    <definedName name="_xlnm.Print_Titles" localSheetId="2">'Revenue Data'!$A:$C,'Revenue Data'!$1:$5</definedName>
  </definedNames>
  <calcPr calcId="191028"/>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3" i="2" l="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alcChain>
</file>

<file path=xl/sharedStrings.xml><?xml version="1.0" encoding="utf-8"?>
<sst xmlns="http://schemas.openxmlformats.org/spreadsheetml/2006/main" count="907" uniqueCount="664">
  <si>
    <t>File:</t>
  </si>
  <si>
    <t>Serious Shea - Financial Assumptions</t>
  </si>
  <si>
    <t>Description:</t>
  </si>
  <si>
    <t xml:space="preserve">This document provides details on the financial assumptions underpinning the Serious Shea agribusiness in Burkina Faso. 
</t>
  </si>
  <si>
    <t>Date:</t>
  </si>
  <si>
    <t>4th January 2019</t>
  </si>
  <si>
    <t>Version:</t>
  </si>
  <si>
    <t>Contact:</t>
  </si>
  <si>
    <t>David Lyon</t>
  </si>
  <si>
    <r>
      <rPr>
        <u/>
        <sz val="11"/>
        <color indexed="11"/>
        <rFont val="Calibri"/>
        <family val="2"/>
      </rPr>
      <t>david.lyon@irbaris.com</t>
    </r>
  </si>
  <si>
    <t>Sam Mureau</t>
  </si>
  <si>
    <r>
      <rPr>
        <u/>
        <sz val="11"/>
        <color indexed="11"/>
        <rFont val="Calibri"/>
        <family val="2"/>
      </rPr>
      <t>sam@justrealingredients.com</t>
    </r>
  </si>
  <si>
    <t>Yes</t>
  </si>
  <si>
    <t>No</t>
  </si>
  <si>
    <t>Tab colours:</t>
  </si>
  <si>
    <t>Revenue Data</t>
  </si>
  <si>
    <t>Processing Centre Data</t>
  </si>
  <si>
    <t>Scenario 1: Steady as she goes</t>
  </si>
  <si>
    <t>Steady global growth with no dramatic changes.  Slow transition to cleantech in both the energy and transport sectors means oil &amp; gas industry largely unchanged.  Continuation of increasing moly use in buildings</t>
  </si>
  <si>
    <t>Scenario 2: Too much isn't a good thing</t>
  </si>
  <si>
    <t>Rapid transition to cleantech solutions in power and transport reduce moly demand in key sectors at same time as demand for copper increases secondary moly supply</t>
  </si>
  <si>
    <t>Scenario 3: Young tigers</t>
  </si>
  <si>
    <t>Big regional differences in market development with key Asian economies ‘leapfrogging’ cleantech progress in Europe and the US.  Protectionism further exacerbates regional differences to detriment of US/Europe</t>
  </si>
  <si>
    <t>Scenario 4: The future will be different</t>
  </si>
  <si>
    <t>Rapid technological progress fuels accelerated GDP growth and big shifts in energy and automotive sectors, although key regional differences emerge</t>
  </si>
  <si>
    <t>Estimated</t>
  </si>
  <si>
    <t>Validated</t>
  </si>
  <si>
    <t>Date</t>
  </si>
  <si>
    <t>Units</t>
  </si>
  <si>
    <t>Contact owner</t>
  </si>
  <si>
    <t>Name of team who has contacted person</t>
  </si>
  <si>
    <t>David (Jean-Marc)</t>
  </si>
  <si>
    <t>David</t>
  </si>
  <si>
    <t>Sam</t>
  </si>
  <si>
    <t>Felicite</t>
  </si>
  <si>
    <t>Market data</t>
  </si>
  <si>
    <t>Market Data</t>
  </si>
  <si>
    <t>Action required</t>
  </si>
  <si>
    <t>None- only purchases nuts</t>
  </si>
  <si>
    <t>Research</t>
  </si>
  <si>
    <t>Ask WK for additional contacts</t>
  </si>
  <si>
    <t>WK to follow-up with letter</t>
  </si>
  <si>
    <t>DL to follow-up for letter</t>
  </si>
  <si>
    <t>WK to confirm status</t>
  </si>
  <si>
    <t>Made initial contact and completed telephone discussion</t>
  </si>
  <si>
    <t>Held initial meeting</t>
  </si>
  <si>
    <t>Held initial meeting with their client EFP Biotek at In-Cosmetic, Paris show</t>
  </si>
  <si>
    <t>Low priority</t>
  </si>
  <si>
    <t>Make initial contact and complete telephone discussion</t>
  </si>
  <si>
    <t>Follow-up initial contact to get referral to KL-based buyer</t>
  </si>
  <si>
    <t>Follow-up with Jonathan</t>
  </si>
  <si>
    <t>Follow-up initial contact with Adreian Greet</t>
  </si>
  <si>
    <t>Identify name and make initial contact</t>
  </si>
  <si>
    <t>No Action</t>
  </si>
  <si>
    <t>Follow-up with sustainability team</t>
  </si>
  <si>
    <t>Made initial contact and emailed</t>
  </si>
  <si>
    <t>N/A</t>
  </si>
  <si>
    <t>Date to complete action</t>
  </si>
  <si>
    <t>Contacted 3/8/19</t>
  </si>
  <si>
    <t>Contacted 21/3/19 </t>
  </si>
  <si>
    <t>Contacted 31/01/19 &amp; 12/4/19</t>
  </si>
  <si>
    <t>Sent follow-up letter 4/04/19 </t>
  </si>
  <si>
    <t>Sent initial letter 11/04/19 </t>
  </si>
  <si>
    <t>Sent follow-up letter 4/04/19. Received email from Ryan, not currently looking for new shea suppliers but for the future could be considered </t>
  </si>
  <si>
    <t>Emailed 21/3/19 after reading about them in Business of Fashion</t>
  </si>
  <si>
    <t>Contacted 3/15/19</t>
  </si>
  <si>
    <t>Background Information</t>
  </si>
  <si>
    <t>Name of company</t>
  </si>
  <si>
    <t>NA</t>
  </si>
  <si>
    <t>AAK</t>
  </si>
  <si>
    <t>ISF</t>
  </si>
  <si>
    <t>Mitsui</t>
  </si>
  <si>
    <t xml:space="preserve">Fuji Oil Holdings Inc/ Fuji Oil Group (Shea subsidiary in Ghana: International Oils and Fats ) </t>
  </si>
  <si>
    <t>3Fs - 3 F Industries Limited</t>
  </si>
  <si>
    <t>Lamotte Oils</t>
  </si>
  <si>
    <t>Olam</t>
  </si>
  <si>
    <t>Neals Yard</t>
  </si>
  <si>
    <t>Lush</t>
  </si>
  <si>
    <t>Dr Hauschka</t>
  </si>
  <si>
    <t>L’Occitane</t>
  </si>
  <si>
    <t>Herbal Essentials</t>
  </si>
  <si>
    <t>Shiffa</t>
  </si>
  <si>
    <t>LBrands - VSB, Bath and Body Works</t>
  </si>
  <si>
    <t>Interfat Natural Oils</t>
  </si>
  <si>
    <t>Hallstar</t>
  </si>
  <si>
    <t>Textron</t>
  </si>
  <si>
    <t xml:space="preserve">Fourchem </t>
  </si>
  <si>
    <t>Stearinerie Dubois</t>
  </si>
  <si>
    <t>Savannah Fruits Company</t>
  </si>
  <si>
    <t>Nuxe</t>
  </si>
  <si>
    <t>Aveda Corporation</t>
  </si>
  <si>
    <t>Chatto Products</t>
  </si>
  <si>
    <t>AmorePacific</t>
  </si>
  <si>
    <t>Kao</t>
  </si>
  <si>
    <t>Kosé Global</t>
  </si>
  <si>
    <t>Pola Orbis</t>
  </si>
  <si>
    <t>Inolex</t>
  </si>
  <si>
    <t>BbyE Corporation</t>
  </si>
  <si>
    <t>Aurora Cosmetics Manufacturer</t>
  </si>
  <si>
    <t>AKA Co Saudi Arabia</t>
  </si>
  <si>
    <t>Hawafel Company Saudi Arabia </t>
  </si>
  <si>
    <t>Shea Radiance</t>
  </si>
  <si>
    <t>Nestle</t>
  </si>
  <si>
    <t>Mondelez</t>
  </si>
  <si>
    <t>Mars</t>
  </si>
  <si>
    <t>Tangerine Confectionary owned now by Valeo Foods</t>
  </si>
  <si>
    <t>Kellogg’s</t>
  </si>
  <si>
    <t>Thorntons Ltd</t>
  </si>
  <si>
    <t>Ferrero Group</t>
  </si>
  <si>
    <t>Jacobs- Suchard</t>
  </si>
  <si>
    <t xml:space="preserve">Barry Callebaut </t>
  </si>
  <si>
    <t>CEMOI</t>
  </si>
  <si>
    <t xml:space="preserve">CAOBISCO - European Association of Chocolate, Biscuit &amp; Confectionary Industries </t>
  </si>
  <si>
    <t>Britannia Food Ingredients &amp; Britannia Food Distribution (Part of Olam Group)/ Olam Food Ingredients</t>
  </si>
  <si>
    <t>Unilever</t>
  </si>
  <si>
    <t>The Body Shop</t>
  </si>
  <si>
    <t>Lixir Skin</t>
  </si>
  <si>
    <t>Prismologie</t>
  </si>
  <si>
    <t>L’Oreal</t>
  </si>
  <si>
    <t>Le Groupe Rocher/Yves Rocher</t>
  </si>
  <si>
    <t>Olvea Group</t>
  </si>
  <si>
    <t>Abike, LLC</t>
  </si>
  <si>
    <t>Aroma Naturals USA</t>
  </si>
  <si>
    <t>Shea Moisture</t>
  </si>
  <si>
    <t>Salida Agriculture Ltd</t>
  </si>
  <si>
    <t>GSA - Global Shea Alliance</t>
  </si>
  <si>
    <t>Akoma</t>
  </si>
  <si>
    <t>Shea butter imported into USA Market in 2015 in tonnes </t>
  </si>
  <si>
    <t>Shea butter imported into Asia in 2015</t>
  </si>
  <si>
    <t>What product are they buying</t>
  </si>
  <si>
    <t>Shea nuts butter and oil</t>
  </si>
  <si>
    <t>Shea nuts and shea butter</t>
  </si>
  <si>
    <t>Shea nuts</t>
  </si>
  <si>
    <t>Unrefined shea; refined shea</t>
  </si>
  <si>
    <t xml:space="preserve">Considering entering shea market again in next few years </t>
  </si>
  <si>
    <t>Organic handcrafted shea butter</t>
  </si>
  <si>
    <t>Shea butter</t>
  </si>
  <si>
    <t>Organic shea butter and organic chemically refined shea butter</t>
  </si>
  <si>
    <t>Natural, clean, Shea butter</t>
  </si>
  <si>
    <t>Natural, Grade A, Shea Butter</t>
  </si>
  <si>
    <t>Refined shea butter</t>
  </si>
  <si>
    <t>Natural shea butter and refined shea butter</t>
  </si>
  <si>
    <t>Natural shea butter, organic shea butter, refined shea butter and shea butter HMP (Higher Melting Point)</t>
  </si>
  <si>
    <t>New business</t>
  </si>
  <si>
    <t>Sell artisanal shea butter, organic and non-organic to international clients. Also sell refined shea butter via European refineries. </t>
  </si>
  <si>
    <t>Natural products for beauty and personal care</t>
  </si>
  <si>
    <t>Natural and refined shea butter</t>
  </si>
  <si>
    <t>Natural products for cosmetics</t>
  </si>
  <si>
    <t>Buying in cosmetic brands that are natural based</t>
  </si>
  <si>
    <t>Buying in cosmetic brands that are using natural ingredients &amp; buying shea for their own brand Kosé</t>
  </si>
  <si>
    <t>Organic shea butter, natural shea butter and refined shea butter</t>
  </si>
  <si>
    <t>Natural Fair Trade Shea Butter from West Africa</t>
  </si>
  <si>
    <t>Natural handcrafted shea butter</t>
  </si>
  <si>
    <t xml:space="preserve">Natural handcrafted shea </t>
  </si>
  <si>
    <t>Raw, natural &amp; organic shea butter</t>
  </si>
  <si>
    <t>Natural ingredients, Shea butter</t>
  </si>
  <si>
    <t xml:space="preserve">Sell nuts, raw shea butter, de-odorised shea/"value added shea", shea oils. Working with local goverment, communities, womens associations. Working on a new chemical extraction processing plant which will start beg next year, currently doing test runs. </t>
  </si>
  <si>
    <t>Organic, raw, Fair Trade from Ghana</t>
  </si>
  <si>
    <t xml:space="preserve">Name of contact individual </t>
  </si>
  <si>
    <t>SFMarketing@wilmar.co.sg - Speciality fats;
[Note: WK may have contacts]</t>
  </si>
  <si>
    <t>Yannic Sommer</t>
  </si>
  <si>
    <r>
      <rPr>
        <u/>
        <sz val="10"/>
        <color indexed="11"/>
        <rFont val="Calibri"/>
        <family val="2"/>
      </rPr>
      <t>palm@olamnet.com</t>
    </r>
    <r>
      <rPr>
        <sz val="10"/>
        <color indexed="8"/>
        <rFont val="Calibri"/>
        <family val="2"/>
      </rPr>
      <t xml:space="preserve">.  Sourcing edible oils team source: </t>
    </r>
    <r>
      <rPr>
        <u/>
        <sz val="10"/>
        <color indexed="11"/>
        <rFont val="Calibri"/>
        <family val="2"/>
      </rPr>
      <t>https://www.olamgroup.com/products/food-staples/edible-oils.html</t>
    </r>
    <r>
      <rPr>
        <sz val="10"/>
        <color indexed="8"/>
        <rFont val="Calibri"/>
        <family val="2"/>
      </rPr>
      <t xml:space="preserve">.    </t>
    </r>
    <r>
      <rPr>
        <u/>
        <sz val="10"/>
        <color indexed="11"/>
        <rFont val="Calibri"/>
        <family val="2"/>
      </rPr>
      <t>uk@olamnet.com</t>
    </r>
    <r>
      <rPr>
        <sz val="10"/>
        <color indexed="8"/>
        <rFont val="Calibri"/>
        <family val="2"/>
      </rPr>
      <t>; [Note: WK has good contact with head in Burkina Faso]</t>
    </r>
  </si>
  <si>
    <t>JW has good contact with Lush wecare@lush.co.uk.  </t>
  </si>
  <si>
    <t>info@wala.de</t>
  </si>
  <si>
    <t>Aly Rahimtoola</t>
  </si>
  <si>
    <t xml:space="preserve">Dubai-based Emirati Dr Lamees Hamdan </t>
  </si>
  <si>
    <t>Krista Lowther (SM works on freelance basis with Krista) Contacted Greg Unis President VSB 12/4/19</t>
  </si>
  <si>
    <t>Marta Cuarero &amp; Chris Liberge</t>
  </si>
  <si>
    <t>Kristie Ford, Biochemica Product Manager</t>
  </si>
  <si>
    <t>Monika de Juan and Xavier Catalan</t>
  </si>
  <si>
    <t>Warren Bunting</t>
  </si>
  <si>
    <t>Christophe Monne</t>
  </si>
  <si>
    <t>Gladys Ayinpoka Atanga
Commercial Manager</t>
  </si>
  <si>
    <t xml:space="preserve">Walid Khalife, general manager of Nuxe Middle East. </t>
  </si>
  <si>
    <t>Chatto Wright, owner</t>
  </si>
  <si>
    <t>Dr Jürgen Klein or Ulrike Klein for Jurlique, in Australia</t>
  </si>
  <si>
    <t>Ryan Patrick</t>
  </si>
  <si>
    <t>Mohammed Soliman</t>
  </si>
  <si>
    <t>Funlayo Alabi (Co-Founder &amp; CEO). Nigerian hence link to Nigeria.</t>
  </si>
  <si>
    <t>Initial contact is Darrell.High@nestle.com (responsible for sustainable procurement of cocoa). Call scheduled for 12/1/19.
Additional name to check on shea procurement: ,+41.21.924.22.31
Benjamin.ware@nestle.com</t>
  </si>
  <si>
    <t>Initial contact is Jonathan Horrell ('jhorrell@mdlz.com') reminder email sent 8/1</t>
  </si>
  <si>
    <t>Initial contact is Adrian greet
adrian.greet@outlook.com) on 8/1 (recently Director at Mars). Has forwarded on request</t>
  </si>
  <si>
    <t>Initially: Paloma Lopez: 'Paloma.Lopez@kellogg.com' to get introduction to Sarah Smith (prev-Sustainable procurement involved in AIM-PROGRESS)</t>
  </si>
  <si>
    <r>
      <rPr>
        <u/>
        <sz val="10"/>
        <color indexed="11"/>
        <rFont val="Calibri"/>
        <family val="2"/>
      </rPr>
      <t>csr@ferrero.com</t>
    </r>
    <r>
      <rPr>
        <sz val="10"/>
        <color indexed="8"/>
        <rFont val="Calibri"/>
        <family val="2"/>
      </rPr>
      <t xml:space="preserve"> Corporate Social Responsibility office headed by VP Amb. Francesco Paolo Fulci.</t>
    </r>
  </si>
  <si>
    <r>
      <rPr>
        <u/>
        <sz val="10"/>
        <color indexed="11"/>
        <rFont val="Calibri"/>
        <family val="2"/>
      </rPr>
      <t>sourcing@barry-callebaut.com</t>
    </r>
  </si>
  <si>
    <t>Jon - do you know anyone here?</t>
  </si>
  <si>
    <t>Piyush Jain, Global VP of Love, Beauty, Planet brand.  Matt Seal, R&amp;D product magician! Molly Landman, Global Brand Director &amp; Primary Source of Sensibility.</t>
  </si>
  <si>
    <t>Mark Davis, Director of Community Fair Trade. Heather Ducharme, The Body Shop Sustainable Sourcing Manager</t>
  </si>
  <si>
    <t>COLETTE HAYDON, Dr in dermo-pharmacy</t>
  </si>
  <si>
    <t xml:space="preserve">Royals Sheikha Initisar Al Sabah and her mother Sheikha Fatima Al Sabah </t>
  </si>
  <si>
    <t>Ali Saidu - owner of business</t>
  </si>
  <si>
    <t>Contacted Prince 3/8/19. Emailed GSA for WhatsApp no 14/3/19</t>
  </si>
  <si>
    <t>ghana@akomacooperative.com 3/8/19</t>
  </si>
  <si>
    <t>Cosmetic:  135 000t.(69%), $2 226 000 (87%),                         Food: 52 000t (27%), $200 000 (8%),                                                   Perfume: 7 500t.(4%), $120 000 (5%) (niche market, potentially declining)</t>
  </si>
  <si>
    <t>Cosmetic: 435 588t (57%) $11 956 797 (81%).                Food: 186 342t (25%), $420 991 (3%).                  Perfume: 138 469t (18%), $2301 175 (16%) </t>
  </si>
  <si>
    <t>Contact details</t>
  </si>
  <si>
    <t xml:space="preserve">Include website, email address, phone </t>
  </si>
  <si>
    <r>
      <rPr>
        <u/>
        <sz val="10"/>
        <color indexed="8"/>
        <rFont val="Trebuchet MS"/>
        <family val="2"/>
      </rPr>
      <t>https://aak.com</t>
    </r>
    <r>
      <rPr>
        <sz val="10"/>
        <color indexed="8"/>
        <rFont val="Trebuchet MS"/>
        <family val="2"/>
      </rPr>
      <t xml:space="preserve">.; </t>
    </r>
    <r>
      <rPr>
        <u/>
        <sz val="10"/>
        <color indexed="8"/>
        <rFont val="Trebuchet MS"/>
        <family val="2"/>
      </rPr>
      <t>info@aak.com</t>
    </r>
    <r>
      <rPr>
        <sz val="10"/>
        <color indexed="8"/>
        <rFont val="Trebuchet MS"/>
        <family val="2"/>
      </rPr>
      <t>;  Phone: +46 40 627 83 00; Alternative: +492151 7886682, E-mail: angela.serra@aak.com</t>
    </r>
  </si>
  <si>
    <t>http://www.isfsb.com.my/
 isf@isfpk.com.my
Tel: +60-3-3176 3050</t>
  </si>
  <si>
    <r>
      <rPr>
        <u/>
        <sz val="10"/>
        <color indexed="11"/>
        <rFont val="Calibri"/>
        <family val="2"/>
      </rPr>
      <t>www.wilmar-international.com</t>
    </r>
    <r>
      <rPr>
        <sz val="10"/>
        <color indexed="8"/>
        <rFont val="Calibri"/>
        <family val="2"/>
      </rPr>
      <t xml:space="preserve"> . Tel: (65) 6216 0244; Alternative: Mr. Kwame Wiafe, maxiuwen@cn.wilmar-intl.com;  www.wilmar-international.com . Tel: (65) 6216 0244</t>
    </r>
  </si>
  <si>
    <t>www.croklaan.com Tel: +31 (0)75 629 2911  welcome@ioiloders.com; Alternative: Joost van Ginneken; BF and Ghana office: blc.eu@bunge.com</t>
  </si>
  <si>
    <r>
      <rPr>
        <u/>
        <sz val="10"/>
        <color indexed="11"/>
        <rFont val="Calibri"/>
        <family val="2"/>
      </rPr>
      <t>www.mitsui.com</t>
    </r>
    <r>
      <rPr>
        <sz val="10"/>
        <color indexed="8"/>
        <rFont val="Calibri"/>
        <family val="2"/>
      </rPr>
      <t>.  Tel: +44 (0) 207 822 0321</t>
    </r>
  </si>
  <si>
    <t>http://www.iofltd.com/; http://www.fujioilholdings.com/en/csr/sustainable/.  http://www.fujioileurope.com/EN/Products/FujiOilEurope/ChocolateConfectionery/CocoaButterAlternatives.aspx</t>
  </si>
  <si>
    <t>http://fff.co.in/ghana.php</t>
  </si>
  <si>
    <t>Yannic.Sommer@lamotte-oils.de; 
Phone: +49 421 5239-46104</t>
  </si>
  <si>
    <r>
      <rPr>
        <u/>
        <sz val="10"/>
        <color indexed="11"/>
        <rFont val="Calibri"/>
        <family val="2"/>
      </rPr>
      <t>https://www.olamgroup.com</t>
    </r>
  </si>
  <si>
    <t>nealsyardremedies.com  Tel 01747 834 600  Purchasing department. reception@nealsyardremedies.com</t>
  </si>
  <si>
    <t>https://uk.lush.com/products/soaps.  Tel: 01202 668545</t>
  </si>
  <si>
    <t>https://www.dr.hauschka.com. Tel: 0800 0556604 for UK &amp; +49 (0) 89 550 507 0 for Germany HO. Shea butter manufacturer in SW Burkina Agrifaso  Tel +226 20982333
info@agrifaso.com</t>
  </si>
  <si>
    <t>https://fr.loccitane.com </t>
  </si>
  <si>
    <t>info@herbal-essentials.com. Also London mailing address</t>
  </si>
  <si>
    <t>https://www.shiffa.com   inquiry@shiffa.com</t>
  </si>
  <si>
    <t>KLowther@lb.com.  https://www.bathandbodyworks.com  https://www.victoriassecret.com/beauty/</t>
  </si>
  <si>
    <t>chris.liberge@interfat.com www.interfat.com  +34 93 416 09 22</t>
  </si>
  <si>
    <t>kford@hallstar.com  www.hallstar.com +312 554 7440</t>
  </si>
  <si>
    <t>mdejuan@plimon.com  xcatalan@plimon.com www.plimon.com +34 93 860 45 28</t>
  </si>
  <si>
    <t>http://www.fourchem.co.za  warren@fourchem.co.za </t>
  </si>
  <si>
    <t>c.monne@duboisexpert.com www.stearinerie-dubois.com +33 1 46 10 07 36</t>
  </si>
  <si>
    <t>https://www.savannahfruits.com Tel: +233 540 103891
info@savannahfruits.com</t>
  </si>
  <si>
    <t>https://fr.nuxe.com</t>
  </si>
  <si>
    <t>www.aveda.com</t>
  </si>
  <si>
    <t>https://www.chatto.com</t>
  </si>
  <si>
    <t>https://www.amorepacific.com/kr/ko/main.html.  https://us.amorepacific.com/catalogsearch/result/?q=shea</t>
  </si>
  <si>
    <t>https://www.kao.com/jp/　 http://elinchow.blogspot.com/2014/03/review-kao-essential-nuance-airy-ultra.html. https://www.curel.com/en-ca/products/foot-therapy-cream/</t>
  </si>
  <si>
    <t>http://www.kose.co.jp/global/en/</t>
  </si>
  <si>
    <t>https://www.po-holdings.co.jp/en/aboutus/company/index.html.   https://www.jurlique.com.au/help/contact.  https://www.h2oplus.com/catalogsearch/result/?q=shea.  https://h2oplus.desk.com/customer/portal/emails/new</t>
  </si>
  <si>
    <t>rpatrick@inolex.com www.inolex.com +215 309 7348</t>
  </si>
  <si>
    <t>https://www.bxe.co.jp/en/. Mama Butter https://www.bxe.co.jp/en/</t>
  </si>
  <si>
    <t>https://www.auroracos.com/cosmetics-manufacturer/.  T. +86 021-53073873  E. Info@auroracos.com</t>
  </si>
  <si>
    <t>http://www.aka.com.sa/new/about.htm</t>
  </si>
  <si>
    <t>https://globalshea.com/resources/directory/464/Mohammed-Soliman-Saleh-Alhomaid</t>
  </si>
  <si>
    <t>,+ 1 401 309 5960</t>
  </si>
  <si>
    <r>
      <rPr>
        <u/>
        <sz val="11"/>
        <color indexed="8"/>
        <rFont val="Calibri"/>
        <family val="2"/>
      </rPr>
      <t>http://www.nestle.com/</t>
    </r>
    <r>
      <rPr>
        <sz val="11"/>
        <color indexed="8"/>
        <rFont val="Calibri"/>
        <family val="2"/>
      </rPr>
      <t xml:space="preserve">                                              Tel: +41 21 924 1111 </t>
    </r>
  </si>
  <si>
    <r>
      <rPr>
        <u/>
        <sz val="10"/>
        <color indexed="8"/>
        <rFont val="Calibri"/>
        <family val="2"/>
      </rPr>
      <t>www.mondelezinternational.com</t>
    </r>
    <r>
      <rPr>
        <sz val="10"/>
        <color indexed="8"/>
        <rFont val="Calibri"/>
        <family val="2"/>
      </rPr>
      <t xml:space="preserve">                                            </t>
    </r>
  </si>
  <si>
    <r>
      <rPr>
        <u/>
        <sz val="10"/>
        <color indexed="8"/>
        <rFont val="Calibri"/>
        <family val="2"/>
      </rPr>
      <t>https://www.mars.com/global/home</t>
    </r>
  </si>
  <si>
    <r>
      <rPr>
        <u/>
        <sz val="10"/>
        <color indexed="11"/>
        <rFont val="Calibri"/>
        <family val="2"/>
      </rPr>
      <t>www.tangerineuk.net</t>
    </r>
  </si>
  <si>
    <r>
      <rPr>
        <u/>
        <sz val="10"/>
        <color indexed="11"/>
        <rFont val="Calibri"/>
        <family val="2"/>
      </rPr>
      <t>www.thorntons.co.uk</t>
    </r>
    <r>
      <rPr>
        <sz val="10"/>
        <color indexed="8"/>
        <rFont val="Calibri"/>
        <family val="2"/>
      </rPr>
      <t>.   0345 121 1911.</t>
    </r>
  </si>
  <si>
    <r>
      <rPr>
        <u/>
        <sz val="10"/>
        <color indexed="11"/>
        <rFont val="Calibri"/>
        <family val="2"/>
      </rPr>
      <t>www.ferrero.com</t>
    </r>
  </si>
  <si>
    <r>
      <rPr>
        <u/>
        <sz val="10"/>
        <color indexed="11"/>
        <rFont val="Calibri"/>
        <family val="2"/>
      </rPr>
      <t>www.barry-callebaut.com</t>
    </r>
    <r>
      <rPr>
        <sz val="10"/>
        <color indexed="8"/>
        <rFont val="Calibri"/>
        <family val="2"/>
      </rPr>
      <t>. Tel: +41 43 204 04 04</t>
    </r>
  </si>
  <si>
    <r>
      <rPr>
        <u/>
        <sz val="10"/>
        <color indexed="11"/>
        <rFont val="Calibri"/>
        <family val="2"/>
      </rPr>
      <t>www.cemoi.fr</t>
    </r>
  </si>
  <si>
    <r>
      <rPr>
        <u/>
        <sz val="10"/>
        <color indexed="11"/>
        <rFont val="Calibri"/>
        <family val="2"/>
      </rPr>
      <t>www.caobisco.eu</t>
    </r>
    <r>
      <rPr>
        <sz val="10"/>
        <color indexed="8"/>
        <rFont val="Calibri"/>
        <family val="2"/>
      </rPr>
      <t>.  +32 2 508 10 21</t>
    </r>
  </si>
  <si>
    <t>_44 1405 767776</t>
  </si>
  <si>
    <r>
      <rPr>
        <u/>
        <sz val="10"/>
        <color indexed="11"/>
        <rFont val="Calibri"/>
        <family val="2"/>
      </rPr>
      <t>www.unilever.com</t>
    </r>
    <r>
      <rPr>
        <sz val="10"/>
        <color indexed="8"/>
        <rFont val="Calibri"/>
        <family val="2"/>
      </rPr>
      <t xml:space="preserve">.   0208 439 6000.  </t>
    </r>
    <r>
      <rPr>
        <u/>
        <sz val="10"/>
        <color indexed="11"/>
        <rFont val="Calibri"/>
        <family val="2"/>
      </rPr>
      <t>www.lovebeautyandplanet.com</t>
    </r>
    <r>
      <rPr>
        <sz val="10"/>
        <color indexed="8"/>
        <rFont val="Calibri"/>
        <family val="2"/>
      </rPr>
      <t xml:space="preserve"> (based in US)</t>
    </r>
  </si>
  <si>
    <t>https://lixirskin.co.uk</t>
  </si>
  <si>
    <t>https://prismologie.com. info@prismologie.com info@prismologie.com. </t>
  </si>
  <si>
    <t xml:space="preserve">Laurent Gilbert, In 2002, he joined L’Oréal as Director of the International Raw Materials Department. In 2011 he took the responsibility for the development of Advanced Research. Currently, Laurent is leading the team in charge of Environmental Research and Sustainable Development. </t>
  </si>
  <si>
    <r>
      <rPr>
        <u/>
        <sz val="10"/>
        <color indexed="11"/>
        <rFont val="Calibri"/>
        <family val="2"/>
      </rPr>
      <t>www.yves-rocher.fr</t>
    </r>
  </si>
  <si>
    <t>www.theabikeline.com</t>
  </si>
  <si>
    <r>
      <rPr>
        <u/>
        <sz val="11"/>
        <color indexed="11"/>
        <rFont val="Calibri"/>
        <family val="2"/>
      </rPr>
      <t>https://www.aromanaturals.com/</t>
    </r>
    <r>
      <rPr>
        <sz val="11"/>
        <color indexed="8"/>
        <rFont val="Calibri"/>
        <family val="2"/>
      </rPr>
      <t>.  Tel: 949 263 1400</t>
    </r>
  </si>
  <si>
    <t>https://www.salidagricultureltd.com/about_us.  Telephone : ​+234 (0) 909 283 3834 
EMail: admin@salidagricultureltd.com
                  +234 (0) 802 501 1187</t>
  </si>
  <si>
    <t>https://www.akomaskincare.co.uk</t>
  </si>
  <si>
    <t>Company location</t>
  </si>
  <si>
    <t>Where are you based?</t>
  </si>
  <si>
    <t>Singapore. 
Ghana Specialty Fats Industry Limited ( ADM Company (50%), Wilmar International Limited (50%), Free Zone Enclave, Plot C5-16, Tema, Greater Accra
Phone: +233 (303) 318 460</t>
  </si>
  <si>
    <t>Malysian company but also based in Netherlands. Large-scale refinery in Rotterdam and use Nioto manufacturing base for crushing of shea nuts for export in West Africa.</t>
  </si>
  <si>
    <t>H/O in Tokyo, Japan with 30 satellite offices including an office based in Accra, Ghana.</t>
  </si>
  <si>
    <t>India with operations in Singapore, the Middle-East, Vietnam and West African countries.</t>
  </si>
  <si>
    <t>Henry Lamotte Oils GmbH
Merkurstr. 47, 28197 Bremen, Germany</t>
  </si>
  <si>
    <t>Singapore, Asia. Uk is home to headquarters of  worldwide cocoa business and is a centre for sugar trading and research. Have operations in Burkina Faso. </t>
  </si>
  <si>
    <t>Peacemarch, Gillingham, Dorset, UK. </t>
  </si>
  <si>
    <t>Dorset, UK</t>
  </si>
  <si>
    <t>Germany</t>
  </si>
  <si>
    <t>Provence, France</t>
  </si>
  <si>
    <t>Dubai with London and French connections</t>
  </si>
  <si>
    <t>Dubai</t>
  </si>
  <si>
    <t>USA</t>
  </si>
  <si>
    <t>Barcelona, Spain</t>
  </si>
  <si>
    <t>Chicago, USA</t>
  </si>
  <si>
    <t>South Africa</t>
  </si>
  <si>
    <t>France</t>
  </si>
  <si>
    <t>Ghana</t>
  </si>
  <si>
    <t>South Korea </t>
  </si>
  <si>
    <t>Tokyo, Japan</t>
  </si>
  <si>
    <t>Tokyo, Japan &amp; Australia &amp; USA</t>
  </si>
  <si>
    <t>Philadelphia, USA</t>
  </si>
  <si>
    <t>Shanghai, China</t>
  </si>
  <si>
    <t>Saudi Arabia</t>
  </si>
  <si>
    <t>Switzerland</t>
  </si>
  <si>
    <t>Global headquarters in Deerfield, Illinois, USA &amp; N.American &amp; US business is headquartered in East Hanover, New Jersey, USA</t>
  </si>
  <si>
    <t>Chicago with operations in over 70 countries, including in Ghana</t>
  </si>
  <si>
    <t>West Yorkshire, UK</t>
  </si>
  <si>
    <t>Alfreton, UK.</t>
  </si>
  <si>
    <t xml:space="preserve">Has 22 manufacturing plants globally. Based in Piedmont, Italy </t>
  </si>
  <si>
    <t>Swiss confectioner and operating in over 30 countries. 59 factories worldwide. Nyonkopa Cocoa Buying Company Limited, Ghana</t>
  </si>
  <si>
    <t>Made in France. Uses 10 factories across France.</t>
  </si>
  <si>
    <t xml:space="preserve">Brussels, Belgium </t>
  </si>
  <si>
    <t>Goole, Yorkshire, UK</t>
  </si>
  <si>
    <t>Beauty &amp; personal car division in Kingston, London, UK &amp; food &amp; refreshments in Rotterdam.Sold Worldwide.</t>
  </si>
  <si>
    <t>Croydon, UK</t>
  </si>
  <si>
    <t>London</t>
  </si>
  <si>
    <t>Kuwait. Ingredients are sourced/ mixed in London and Europe by cosmetic manufacturers. Prismologie do not source any of their own ingredients.</t>
  </si>
  <si>
    <t>Aix en Provence, France, with a unit in situ, near Bobo-Dioulasso, BF.</t>
  </si>
  <si>
    <t>Washington, USA</t>
  </si>
  <si>
    <t>California, USA</t>
  </si>
  <si>
    <t>No 6 Accra Street
Wuse Zone 2,
Abuja, Nigeria</t>
  </si>
  <si>
    <t xml:space="preserve">UK &amp; Ghana. </t>
  </si>
  <si>
    <t>Target markets (e.g. cosmetics, cocoa-subsitute)</t>
  </si>
  <si>
    <t>Who are your ultimate consumers?</t>
  </si>
  <si>
    <t>CBE for Choc industry is their 2nd largest business. Chocolate and Confectionery, Bakery, Dairy, Special Nutrition, Foodservice, Personal Care</t>
  </si>
  <si>
    <t>Cocoa substitute and shea nut oil. Trading company. Customers are in Asia, including Japan through their network and sourcing in the Americas.</t>
  </si>
  <si>
    <t>Cosmetics, food oils and confectionary</t>
  </si>
  <si>
    <t>CBE, fats, stearic acid and margarine manufacturers and retailers. New cosmetics brand going to launch in 2019.</t>
  </si>
  <si>
    <t>CBE, fats and cosmetic manufacturers and retailers.</t>
  </si>
  <si>
    <t>End clients. B2C.</t>
  </si>
  <si>
    <t>B2C. There are 931 free standing shops in 49 countries.</t>
  </si>
  <si>
    <t>B2C High end cosmetic consumers. </t>
  </si>
  <si>
    <t>B2C in cosmetic retail</t>
  </si>
  <si>
    <t>Cosmetics, those in UAE wanting natural clean skincare products</t>
  </si>
  <si>
    <t>High-end cosmetic consumers. B2C </t>
  </si>
  <si>
    <t>B2C</t>
  </si>
  <si>
    <t>Cosmetic brands and retailers</t>
  </si>
  <si>
    <t>Brands and retailers</t>
  </si>
  <si>
    <t>Cosmetics</t>
  </si>
  <si>
    <t>Cosmetic and Food Brands</t>
  </si>
  <si>
    <t>B2C. The end consumer</t>
  </si>
  <si>
    <t>B2C for end consumer and B2B, selling to hairdressers, hotels</t>
  </si>
  <si>
    <t xml:space="preserve">B2C. </t>
  </si>
  <si>
    <t>Cosmetics - B2C. Brands sold via boutiques, department stores, some online </t>
  </si>
  <si>
    <t>Cosmetic Brands, Unilver, Procter &amp; Gamble, Aveda, L'Oreal</t>
  </si>
  <si>
    <t>Families, Mothers for babies, women and men (Mama Butter)</t>
  </si>
  <si>
    <t>Cosmetic Brands and retailers</t>
  </si>
  <si>
    <t>Cosmetic manufacturers, brands</t>
  </si>
  <si>
    <t>Cosmetic brands retailers, manufacturers. B2B</t>
  </si>
  <si>
    <t>shea based cocoa butter equivalents (CBEs) for confectionary market</t>
  </si>
  <si>
    <t>World’s largest chocolatier, biscuit baker &amp; candy maker &amp; the second-largest maker of gum. 15,480 M USD PA Owns Nabisco, owns brands such as oreo, milka, toblerone, terry's, Lu etc</t>
  </si>
  <si>
    <t>Chocolate, confectionary retailers</t>
  </si>
  <si>
    <t xml:space="preserve">Sell to retailers esp mass market/wholesale/volume, discount and broad reaching independents and those wanting to make their confectionary too. </t>
  </si>
  <si>
    <t>2nd largest snack food co after Pepsico,</t>
  </si>
  <si>
    <t>B2B chocolate and cocoa manufacturer. The Barry Callebaut Group serves the entire food industry, from industrial food manufacturers to artisanal and professional users of chocolate, such as chocolatiers, pastry chefs, bakers, hotels, restaurants or caterers. The two global brands catering to the specific needs of these Gourmet customers are Callebaut® and Cacao Barry®.</t>
  </si>
  <si>
    <t>Middle Eastern women looking for colour and natural clean beauty.</t>
  </si>
  <si>
    <t>With the new chemical extraction plant it will be the ingredient buyer in the food industry and secondly the cosmetic industry.</t>
  </si>
  <si>
    <t>Location of markets</t>
  </si>
  <si>
    <t>Where are your customers based?</t>
  </si>
  <si>
    <t>Global. Sales offices in more than 25 countries, sales in more than 100 countries, and more than 3,400 employees.</t>
  </si>
  <si>
    <t>Global. Bunge, NY based company brought major shares in IOI in 2017, with aim to diversify manufacturing and establishing a stronger presence in fast-growing Southeast Asia. The company estimates that its revenues from food and ingredients in that region of the world could be four times as large as they are today. https://www.fooddive.com/news/bunge-to-pay-946m-for-a-majority-share-of-malaysian-palm-oil-manufacturer/504775/</t>
  </si>
  <si>
    <t>Global</t>
  </si>
  <si>
    <t>India primarily and Global</t>
  </si>
  <si>
    <t xml:space="preserve">Global (see: www.lamotte-oils.de&lt;http://www.lamotte-oils.de&gt;) </t>
  </si>
  <si>
    <t>Global retail, food manufacturing, food service and personal care sectors</t>
  </si>
  <si>
    <t>Majority of stores are within the UK with a total of 300 stores sold across 22 countries/5 continents.</t>
  </si>
  <si>
    <t>B2C in 30 countries worldwide</t>
  </si>
  <si>
    <t>Global in own shops and concessions</t>
  </si>
  <si>
    <t>Worldwide online and selected consumers, UAE.</t>
  </si>
  <si>
    <t>Dubai &amp; US </t>
  </si>
  <si>
    <t>USA in own retail stores</t>
  </si>
  <si>
    <t>Global. Focus on Middle East and Asia</t>
  </si>
  <si>
    <t>Europe, India, Malaysia and the USA</t>
  </si>
  <si>
    <t>Global with current products</t>
  </si>
  <si>
    <t>Global </t>
  </si>
  <si>
    <t>Part of Estee Lauder Co</t>
  </si>
  <si>
    <t>USA &amp; global</t>
  </si>
  <si>
    <t>Far East</t>
  </si>
  <si>
    <t>Japan essentially &amp; 100 countries and regions around the world</t>
  </si>
  <si>
    <t>Far East, US and some European countries</t>
  </si>
  <si>
    <t>Asia, China and Taiwan are the new focus for Pola and Orbis (their own brands) &amp; 19 countries wwide for Jurlique.</t>
  </si>
  <si>
    <t>Japan, Taiwan and Korea</t>
  </si>
  <si>
    <t>North America, Western Europe and Australia</t>
  </si>
  <si>
    <t>Middle East</t>
  </si>
  <si>
    <t>USA and global</t>
  </si>
  <si>
    <t>In more than 180 countries worldwide. Snickers, Twix, M&amp;Ms</t>
  </si>
  <si>
    <t>Strong presence internationally, key markets inc Australia, Canada, Europe and Middle East.</t>
  </si>
  <si>
    <t>228 shops in UK.</t>
  </si>
  <si>
    <t>Global. Love Beauty Planet - Boots, Amazon, Walmart - cheap and mass but “sustainable”.</t>
  </si>
  <si>
    <t xml:space="preserve"> B2C. Sells in 66 countries in its own stores - 2500 stores worldwide.</t>
  </si>
  <si>
    <t xml:space="preserve">Kuwait &amp; Abu Dhabi’s Tyrano and Hong Kong’s Joyce Beauty among its stockists </t>
  </si>
  <si>
    <t>niche organic skincare brand from CA, own manuf facilities and does some whitelable production.</t>
  </si>
  <si>
    <t>Global. In Paris for GSA meeting 1st April 2019</t>
  </si>
  <si>
    <t>UK but sells global. Provides access to global market from Ghana.</t>
  </si>
  <si>
    <t xml:space="preserve">Value chain position  </t>
  </si>
  <si>
    <t>What is the focus of your activities? What product do you buy/sell? Who do you buy/sell from?</t>
  </si>
  <si>
    <t>Global leader in processing &amp; supplier of edible oils and manufacture of speciality fats, exotic fats and vegetable oils &amp; CBE - shea butter &amp; shea oils. World’s largest palm oil plantation owner. presence in over 20 countries in Asia and Africa.    Ghana Speciality Fats started production in March 2007, according to Reuters Modern Ghana, processing up to 25,000 tonnes of shea nuts a year, making it the biggest shea nut processor in the West African country. It’s not just shea nut crushing but producing speciality fats and oils for big food processing companies.</t>
  </si>
  <si>
    <t>Supplier of CBE - shea butter.
Recently changed major shareholders. Used to be owned mostly through an Asian partnership. An American company  has bought them out, 70% in a first phase and additional 30% soon. They are keeping their name and brand for continuity with their clients.        
The supply chain is mostly conventional through traders, with 15% of their supply through direct purchases from women’s groups. Reason is that traders handle all logistics, storage etc, while women need to be supported in may aspects which is demanding. They buy only nuts.</t>
  </si>
  <si>
    <t>Trading company in lifestyle/Food and healthcare industries. Secures, raw ingredients, oilseeds for edible oils, cooking oils ie shea nut oil in order to develop, manufacture and sell food products to retailers.    </t>
  </si>
  <si>
    <t>Margarine and bakery fat manufacturers. Specialty Fats &amp; Confectionery Fats, Stearic Acid &amp; R&amp;D &amp; commodity broker. 2019 going to launch their own premium shea butter cosmetic range - body, foot, hand creams to India. </t>
  </si>
  <si>
    <t>Integrated supply chain manager. Speciality Fats Processor. Supplying food and raw materials. Seed to shelf. Sources and supplies more than 45 agri commodities. Refines crude vegetable oils and markets refined, bleached and deodorised palm oil and palm olein. Their roots lie in their supply chain business, where they source crops from an estimated 4.7 million farmers. Have own plantations, concessions and farms for products such as coffee, dairy, palm oil, peanuts, rice, rubber and wood products. More than 200 processing facilities.
Considering entering shea market again in next few years </t>
  </si>
  <si>
    <t>Ethical and sustainable personal care and cosmetics is NY's business focus. NY currently have 47 personal care products with shea in. Their organic shea butter is sourced direct from womens associations in Burkina Faso. NY handcraft and blend their products in their eco-factory in Dorset, UK. </t>
  </si>
  <si>
    <t>B2C. Retail direct to end personal care &amp; cosmetics consumer. Purchase handmade shea butter direct from women of The Ojoba Women's Cooperative, Bolgatanga, Ghana and manufacture themselves into end product, soap. Lush have 1 factory in Poole, UK and 2 factories in USA, Vancouver and Toronto. </t>
  </si>
  <si>
    <t>Natural skin care is the business focus with emphasis on sustainability and gender. Purchase organic handcrafted and organically refined shea butter direct from 2,200 women in the IKEUFA women's association in Diarabakoko, Burkino Faso. Dr Hauschka established the WALA foundation program to support the women and work closely with organically certified company Agrifaso, Bobo-Dioulasso who have and a small processing unit. </t>
  </si>
  <si>
    <t>The L’Occitane Group is the largest direct purchaser of handcrafted organic and non-organic shea butter produced by 15,000 rural women in Burkina Faso. L'Occitane has been sourcing from Burkina Faso via their “Ethical Sourcing” programme which was set up 20 years ago.   </t>
  </si>
  <si>
    <t>Cosmetics direct to consumer. Buy natural Shea butter for their Illuminating Mask and Day Defense Cream.</t>
  </si>
  <si>
    <t xml:space="preserve">Shiffa formulates and sells personal care, creams and cosmetics. Their “healing balm" is their best seller in which is Shea butter. </t>
  </si>
  <si>
    <t>Mass market cosmetics. Sell body creams, hair conditioners with shea butter. Big shea butter focus. Buys from cosmetic manufacturers.</t>
  </si>
  <si>
    <t>Specialists in natural oils and derivatives. Sells its own formulations and products to brands. Buys from natural oils &amp; ingredient buyers</t>
  </si>
  <si>
    <t>Ingredients developer. Buys raw ingredients and producers formulations in own factory. Buys shea butter currently from open-market.</t>
  </si>
  <si>
    <t>Formulator </t>
  </si>
  <si>
    <t>Sources and purchases over 1000 fragrances, flavours, ingredients and raw materials for global manufacturers. Looking for a shea butter supplier.</t>
  </si>
  <si>
    <t>Manufacturer. Buys ingredients and raw materials for own formulations for Brands and retailers. Sources from across the world and looking for shea butter supplier</t>
  </si>
  <si>
    <t>Sell own handcrafted shea butter direct to clients/formulators/brands</t>
  </si>
  <si>
    <t>Brand. Buy shea butter to produce in their own factory</t>
  </si>
  <si>
    <t>Natural beauty and cosmetic products. Buy and sell natural ingredients from ingredients suppliers</t>
  </si>
  <si>
    <t>Cosmetic and personal care products. Buys shea butter from Ghana through new Yahweh Foundation for 100% shea body butter, aroma butter, cocoa-shea butter treatment cream &amp; 40 other products</t>
  </si>
  <si>
    <t>One of the biggest K beauty brands and one of Asia's most powerful empire, surpassing beauty sales of Chanel and LVMH. 30 brands spanning beauty, household, and healthcare products selling direct to consumer. Make their own formulated products with natural botanicals as their base.</t>
  </si>
  <si>
    <t xml:space="preserve">Multi-brand retailer and make their own cosmetic products which they white label and sell themselves. Use shea butter in some of their products. </t>
  </si>
  <si>
    <t>Cosmetics - out of their 9 global brands, including their Kosé brand, is Jill Stuart who uses shea in 13 of their beauty products </t>
  </si>
  <si>
    <t>Has 6 cosmetic companies, Orbis, Australian brand Jurlique, H20 Plus Group (USA brand), Decencia, Acro, Pola Inc from middle to high end tier products. Some brands are their flagship brands, others have been brought for the international markets and other new brands are under development. Jurlique also have their own spas and grow many of the plants for their ingredients on their own farm. Jurlique use shea in their body lotions</t>
  </si>
  <si>
    <t>Sell formulations and ingredients which are sourced worldwide.</t>
  </si>
  <si>
    <t>Retailer direct to consumer. 10 Beauty Brands - the power of botanicals and nature in products sold to consumer. Mama Butter w shea butter.</t>
  </si>
  <si>
    <t>Manufacturer of cosmetics with 3 of its own production plants, labs for formulating and 500 employees.</t>
  </si>
  <si>
    <t>Buys Shea butter through Global Shea Alliance and trades it onto clients through Al Amoudi Personal Care Group</t>
  </si>
  <si>
    <t>Trading natural ingredients including shea butter. Buys through Global Shea Alliance</t>
  </si>
  <si>
    <t>Own Brand Cosmetics. Buy natural shea butter from women in Oyo State Nigeria and Ghana through Global Shea Alliance</t>
  </si>
  <si>
    <r>
      <rPr>
        <sz val="10"/>
        <color indexed="8"/>
        <rFont val="Calibri"/>
        <family val="2"/>
      </rPr>
      <t xml:space="preserve">8,000 MT of shea bought per year as quoted on Confectionery </t>
    </r>
    <r>
      <rPr>
        <u/>
        <sz val="10"/>
        <color indexed="8"/>
        <rFont val="Calibri"/>
        <family val="2"/>
      </rPr>
      <t>news.com</t>
    </r>
    <r>
      <rPr>
        <sz val="10"/>
        <color indexed="8"/>
        <rFont val="Calibri"/>
        <family val="2"/>
      </rPr>
      <t>. Member of GSA.</t>
    </r>
  </si>
  <si>
    <t>Use shea oil in LU Digestive biscuits, Oreo egg (shea kernel), Terry’s chocolate ball chocolate (palm &amp; shea oil), Lu Pims cookies (shea oil)</t>
  </si>
  <si>
    <t>Buy Cocoa supply direct from women in local communities as part of Mars Chocolate Women Empowerment Plan. Purchase several key raw materials through independent small farmers in rural parts of Africa, Asia and South America.</t>
  </si>
  <si>
    <t>Have 5 factories. Manufacture and supply confectionary. Can manufacture for own label development. Strive to protect the environment and reduce carbon footprint, down to sourcing of raw materials. They ensure that the palm oil that they use is RSPO certified and will look to remove all non-hydrogenated fat where poss. Shea good alternative?  Brands inc, Allsorts, Barratts, Refreshers, Sherbet Fountain.</t>
  </si>
  <si>
    <t>Does not purchase material volumes of shea-based products</t>
  </si>
  <si>
    <t>Socially responsible in its DNA - Ferrero already strongly promote human rights respect and has zero tolerance to any forms of human rights abuses along its value chain. Owned by Italian co Ferrero since 2015 (Nutella owner). $344m usd/pa. Use palm or shea for vegetable oils and fats in 14 products across their range. Working with Greenpeace for palm oil  - need to be transparent acct to Aldo Uva, Chief Operating Officer, Ferrero Group.</t>
  </si>
  <si>
    <t>Italian mega brand. Total sales 9,757m usd/pa through its numerous products inc Nutella, Ferrero Rocher, Kinder. Buys about a third of the world’s hazelnut supply. Launched its “Palm Oil Charter” in 2013 with its suppliers. Has Ferrero Foundation &amp; Michele Ferrero Entrepreneurial Project in Africa.</t>
  </si>
  <si>
    <r>
      <rPr>
        <sz val="10"/>
        <color indexed="8"/>
        <rFont val="Calibri"/>
        <family val="2"/>
      </rPr>
      <t xml:space="preserve">Manufactures cocoa and chocolate products. Member of GSA. World’s leading supplier of high-quality chocolate and cocoa products with over 9300 employees. from sourcing and processing cocoa beans to producing the finest chocolates, including chocolate fillings, decorations and compounds. 2.0m tonnes sales vol. 44% sustainably sourced cocoa.   For its CBE’s now using RSPO since 2014. The company aims to lead the confectionery market in offering fully traceable solutions to its customers. CBEs are used in specific recipes for confectionery products. They contain a variety of oils such palm and shea and are comparable to cocoa butter in terms of physical properties. </t>
    </r>
    <r>
      <rPr>
        <u/>
        <sz val="10"/>
        <color indexed="11"/>
        <rFont val="Calibri"/>
        <family val="2"/>
      </rPr>
      <t>https://www.barry-callebaut.com/news/2014/10/barry-callebaut-group-switch-its-european-supply-cocoa-butter-equivalents-cbes-rspo</t>
    </r>
  </si>
  <si>
    <t>Very sustainable brand. Ethical cocoa brand. Transparence is essential. Made in France. List all of their partners, Athelia, AFD, REDD+. Buy 145T of cocoa feves per year. 585 M USD per year. </t>
  </si>
  <si>
    <t>An association that represents around 11,000 choc, biscuit &amp; confectionary companies in the EU with the aim of creating an innovative, modern and more sustainable chocolate, biscuit and confectionary industry. Section on Sustainable Palm oil</t>
  </si>
  <si>
    <t>BFI is one of the leading independent suppliers of speciality fats to the confectionery and snack food industries in the UK. Their product categories include Cocoa Butter, Cocoa Butter Equivalents, Filling Fats, Reduced Saturate Frying Oils and Dairy Butter Oil. BFI is an accredited ingredient supplier to the leading confectionery and food majors with an operating history of 15 years. It is recognised for its brand of R&amp;D, innovation, quality and service.</t>
  </si>
  <si>
    <t>Owns Dove soap which contains shea butter. Sustainable Living area increasingly important. Lux soap Even Glow uses shea butter. Unilever brought Sundial, parent company to “Shea Moisture”, Nov 2017. One of the largest producers of hair and skincare products for African-American women.  Unilever’s first personal care brand in 20 years launched in 2017, “Love, Beauty &amp; Planet” -  brand has hair and body products with shea in sourced from Burkina and Ghana. Vaseline Intensive with Shea Butter http://www.vaseline.co.uk/product/intensive-care/lotions-with-cocoa-butter/cocoa-radiant-lotion.html</t>
  </si>
  <si>
    <t>Brand - use shea in their Universal Emulsion.</t>
  </si>
  <si>
    <t xml:space="preserve"> Clean Beauty Middle Eastern Brand direct to consumer. Set up three years ago, 2016, the brand combines the science of colour with the healing property of stones. For example, one of their cult products is their Pink’O’Clock, a soothing hand cream that combines Rose Quartz and Arctic Rose extracts.
“The fact that Prismologie is manufactured in the UK and is a natural and ethical brand makes [consumers] love it even more</t>
  </si>
  <si>
    <t>L’Oréal, the world’s leading beauty and personal care company, has catered to all forms of beauty in the world for over 100 years and has built an unrivalled portfolio of 27 international, diverse and complementary brands.   Shea butter is used as an ingredient in almost 1,200 of L’Oréal’s skincare, personal hygiene and make-up products.  In 2012, 55% of L’Oréal’s shea butter sourcing came from this “100% solidarity” branch and 13,000 women in Burkina Faso. http://www.lorealusa.com/csr-commitments/sharing-beauty-with-all/developing-sustainably/shea-butter-sourcing-from-the-local-communities</t>
  </si>
  <si>
    <t>No1 Cosmetic company in France. Use shea in 46 products. Into sustainability. La Fondation Yves Rocher http://www.yves-rocher-fondation.org/laureate/violaine-neto-gameiro-des-fermes-de-spiruline-pour-lutter-contre-la-malnutrition/</t>
  </si>
  <si>
    <t>OLVEA GROUP, a French industrial group specialising in vegetable and fish oils and shea butter in Burkina Faso. Been supplying L'Oreal with shea butter since 2009. Source: http://www.monthly-digest-loreal.com/en/article/sourcing-durable-le-projet-pilote-de-loreal-et-dolvea-au-burkina-faso/</t>
  </si>
  <si>
    <t xml:space="preserve">Wholesaler &amp; retailer. Family bus. </t>
  </si>
  <si>
    <t>Been brought by Unilever</t>
  </si>
  <si>
    <t>At the start of the supply chain with nuts and wanting to offer raw material through to shea stearin. Salida are working on a 5 year plan with their new plant, through which they will produce a high volume of chemical extracted butter for the ingredients buyer. They intend to extract more oil out of the nuts, currently by hand women get 25% but with the chemical process and plant they will get 40% extraction of shea oil. The oil will be hexane fractionated for stearin. Phase 2 of plant will be to offer refining, bleaching, deodorising and phase 3 to offer shea olein for cosmetics industry. Aim to produce 50tons/day of chemical extraction stearin.</t>
  </si>
  <si>
    <t>Founded Akoma Cooperative Multipurpose Society in 2006 in village of Pusu-Namogo, Ghana. The cooperative was created as a sustainable venture by Akoma International (UK) Limited, a company that plays a critical commercial role in building and maintaining import and export trade between Ghana and the international markets as well as having own brand.</t>
  </si>
  <si>
    <t>Business function</t>
  </si>
  <si>
    <t>What is the business function? Intermediary processor, FMCG, manufacturer, brand? Where are you in the value chain?</t>
  </si>
  <si>
    <t>The world's-leading sourcer and manufacturer in customized and sustainable vegetable oils and fats solutions. These fats are characterized by a high technological content and are used as substitute for butter-fat and cocoa butter, transfree solutions for fillings in chocolate and confectionery products, and in the cosmetics industry</t>
  </si>
  <si>
    <t>Trading company and manufacturer.</t>
  </si>
  <si>
    <t>Development and manufacturing of oils and fats, confectionery and bakery ingredients. Supplier of intermediate food ingredients.</t>
  </si>
  <si>
    <t>Manufacturer, processor, own-brand. Fats technology specialist.</t>
  </si>
  <si>
    <t>Trading company. Sources and produces edible oils, refining, blending, bottling, distribution across supply chain. </t>
  </si>
  <si>
    <t>Manufacturer and retailer</t>
  </si>
  <si>
    <t>Manufacturer and Brand. Sell via independent natural, cosmetic, organic stores.</t>
  </si>
  <si>
    <t>Manufacturer and brand</t>
  </si>
  <si>
    <t>Produces and manufactures their own-branded cosmetic products. Sells via own stores and concessions.</t>
  </si>
  <si>
    <t>Brand selling direct to consumer.</t>
  </si>
  <si>
    <t>Formulater and Brand</t>
  </si>
  <si>
    <t>Mass market retailer. B2C. Sells own brand.</t>
  </si>
  <si>
    <t>Contract manufacturer and formulator</t>
  </si>
  <si>
    <t xml:space="preserve">Ingredients developer. </t>
  </si>
  <si>
    <t>Sources ingredients and formulates for brands and retailers</t>
  </si>
  <si>
    <t>Sourcing and supplying raw materials/ingredients. Close to the start of the value chain.</t>
  </si>
  <si>
    <t>Formulator and manufacturer</t>
  </si>
  <si>
    <t>At the start of the value chain. Collecting nuts and producing food and cosmetic quality shea butter</t>
  </si>
  <si>
    <t>Manufacturer and Cosmetic brand. B2C</t>
  </si>
  <si>
    <t>Retailer and brand</t>
  </si>
  <si>
    <t>Brand</t>
  </si>
  <si>
    <t>Retails own-Brands alongside international cosmetic brands to sell direct to consumer</t>
  </si>
  <si>
    <t xml:space="preserve">Have their own R&amp;D and processing plants for multi-brand cosmetic producer, distributer selling to boutiques, departments stores and with Pola Inc they sell door to door - pyramid sales, mail order and online. </t>
  </si>
  <si>
    <t>Sourcing and formulating</t>
  </si>
  <si>
    <t xml:space="preserve">Manufacturer of cosmetics for brands and white labels cosmetic products </t>
  </si>
  <si>
    <t>Manufacturer and importer</t>
  </si>
  <si>
    <t>T/O &lt;1M$ manufacturer and importer</t>
  </si>
  <si>
    <t>Retailer</t>
  </si>
  <si>
    <t>Brand manufactured in UK.</t>
  </si>
  <si>
    <t xml:space="preserve">Processor from nut to shea butter in BF. Employs 25 people in BF and works with 20,000 women producers. Natural shea butter then goes to their vegetable oils H/O, lab in Fecamps, France where it is prepared/RBD, then shipped to international cosmetic cos. </t>
  </si>
  <si>
    <t>Supplier and future stearin formulator</t>
  </si>
  <si>
    <t xml:space="preserve">Brand and producer of shea butter. </t>
  </si>
  <si>
    <t>Sustainability focus</t>
  </si>
  <si>
    <t>What is the sustainability focus? Environmental, gender?</t>
  </si>
  <si>
    <t>CSR. Environment and gender</t>
  </si>
  <si>
    <t>Environment and gender</t>
  </si>
  <si>
    <t>CSR. Environment</t>
  </si>
  <si>
    <t>An ethical company with an environmental focus &amp; gender.</t>
  </si>
  <si>
    <t xml:space="preserve">Ethical and gender focus offering vegetarian, vegan and cruelty free cosmetics. </t>
  </si>
  <si>
    <t>Sustainable company with environmental and gender focus.</t>
  </si>
  <si>
    <t>Women and Fair trade focus.</t>
  </si>
  <si>
    <t>Environmental and ethical.</t>
  </si>
  <si>
    <t>Environmental and gender.</t>
  </si>
  <si>
    <t>None. Volume and price.</t>
  </si>
  <si>
    <t>Organic.</t>
  </si>
  <si>
    <t>Starting to focus on social and ethical impacts.</t>
  </si>
  <si>
    <t>Not yet</t>
  </si>
  <si>
    <t>Sustainable</t>
  </si>
  <si>
    <t>Sustainable and gender</t>
  </si>
  <si>
    <t>Ethical &amp; sustainable</t>
  </si>
  <si>
    <t>Environmental and gender. Ethical label</t>
  </si>
  <si>
    <t>Eco-friendly and gender focus</t>
  </si>
  <si>
    <t>Enviornmental and ethical </t>
  </si>
  <si>
    <t>Environmental focus is really important</t>
  </si>
  <si>
    <t>Environmental</t>
  </si>
  <si>
    <t>Sustainability ie Jurlique with their own farm and importance of nature</t>
  </si>
  <si>
    <t>Environmental focus.</t>
  </si>
  <si>
    <t>Environmental and gender</t>
  </si>
  <si>
    <t>None</t>
  </si>
  <si>
    <t>Trade not Aid. Ethical. Women empowerment</t>
  </si>
  <si>
    <t>Natural ingredients, Shea butter - environment</t>
  </si>
  <si>
    <t>Partnered with AAK in Burkina Faso in 2012-2014 in trading of sustainable shea kernels.  https://aak.com/media/press-releases/2012/aak-and-loreal-sign-agreement-to-develop-the-sustainable-trade-of-shea-kernels/. Also with Olvea for tackling deforestation in 2013 with their Sharing Beauty with All programme:  http://www.monthly-digest-loreal.com/en/article/loreal-mise-sur-le-sourcing-durable-pour-atteindre-son-nouvel-objectif-carbon-balanced-en-2020/</t>
  </si>
  <si>
    <t>Environment, climate smart agriculture, sustainability and women empowerment.</t>
  </si>
  <si>
    <t>Women empowerment, work for rural communities, take women out of poverty</t>
  </si>
  <si>
    <t>Results</t>
  </si>
  <si>
    <t>•</t>
  </si>
  <si>
    <t xml:space="preserve"> </t>
  </si>
  <si>
    <t>Sourcing quality standards and post processing requirements</t>
  </si>
  <si>
    <t>See notes on adjacent page. Use note number in table</t>
  </si>
  <si>
    <t>1. Responsible sourcing. Responsible supply chains. The AAK Group Supplier Code of Conduct applies to all of AAK’s direct raw material suppliers worldwide and we require all of them to sign and commit to it. KOLO NAFASO womens group 31,607 women in 2017 to 134,261 women in 2018.</t>
  </si>
  <si>
    <t>Organic and natural handcrafted shea butter</t>
  </si>
  <si>
    <t>High quality natural organic shea butter and organica refined shea butter</t>
  </si>
  <si>
    <t>Looking for 100% organic shea butter by end of 2019. L'Occitane has 5 year contracts with the women's association.</t>
  </si>
  <si>
    <t>Grade A natural clean shea butter. </t>
  </si>
  <si>
    <t>Organic natural shea butter.</t>
  </si>
  <si>
    <t>Organic cosmetic grade A shea butter</t>
  </si>
  <si>
    <t xml:space="preserve">Grade A natural shea butter. Organic. They refine themselves in USA. </t>
  </si>
  <si>
    <t>Refined shea butter, refined oil and organic shea butter</t>
  </si>
  <si>
    <t>Refined shea butter. COA of The Savannah Fruits Company submitted for standards.</t>
  </si>
  <si>
    <t>Organic shea butter, natural shea butter</t>
  </si>
  <si>
    <t>Organic and natural. Food and cosmetic grade</t>
  </si>
  <si>
    <t>Organic and naural handcrafted shea butter</t>
  </si>
  <si>
    <t>Organic, Fair Trade and natural</t>
  </si>
  <si>
    <t>Natural shea butter. Organic shea butter</t>
  </si>
  <si>
    <t>SALID Agriculture has high quality stds from studying and developing upon global best practices as has been outlined by the Global Shea Alliance. collaborating with Propcom Mai Karfi and GSA  to train and equip the women Shea collectors to improve the quality of Shea nuts that they are able to produce.</t>
  </si>
  <si>
    <t>Delivery times</t>
  </si>
  <si>
    <t>What is the required delivery time from issuing an order to receipt of goods (number of days)</t>
  </si>
  <si>
    <t>Purchase order size</t>
  </si>
  <si>
    <t xml:space="preserve">What is your minimum size of your purchase order? </t>
  </si>
  <si>
    <t>Products  packaged in
25kg Paper cartons
200ltr well cleaned barrels
1000ltr
IBCIsotanks</t>
  </si>
  <si>
    <t> </t>
  </si>
  <si>
    <t>Timing of purchases</t>
  </si>
  <si>
    <t>How often and when do you make your purchases (e.g. after harvest, 2-3 times a year )?</t>
  </si>
  <si>
    <t>Nov/Dec time discussing projections and prices for following year</t>
  </si>
  <si>
    <t>They have a monitoring system of tree stands at given locations they monitor and evaluate upcoming harvests throughout the region which allows them to have production trends for the coming year.</t>
  </si>
  <si>
    <t>November for best and highest quality of nuts</t>
  </si>
  <si>
    <t>Nine months before the order is delivered, the L'OCCITANE Group makes an 80% down payment so that the cooperative unions have the cash  flow they need during the harvest.</t>
  </si>
  <si>
    <t>Purchase 2 or 3 times a year</t>
  </si>
  <si>
    <t>50t split across 2 deliveries/yr for a client &amp; 15 times for 20t/year</t>
  </si>
  <si>
    <t>Purchase 2 times a year</t>
  </si>
  <si>
    <t>Export Route and details.</t>
  </si>
  <si>
    <t>Do you have any preference as to the export route/ arrangements?</t>
  </si>
  <si>
    <t>Have Ghana logistics office (KI Ghana)</t>
  </si>
  <si>
    <t>L'Occitaine have three people based in Burkina Faso for logistics.</t>
  </si>
  <si>
    <t>Packaging is important</t>
  </si>
  <si>
    <t>Export direct to USA to their own factory</t>
  </si>
  <si>
    <t>Shea butter needs to be packaged in metal drums not plastic drums for 50t delivery to one client.</t>
  </si>
  <si>
    <t>CIF Cape Town or Durban. 25 kg boxes lined with blue plastic bags</t>
  </si>
  <si>
    <t>Potential purchasing volume:</t>
  </si>
  <si>
    <t>Total Purchased 2017 or 2018 (SET: SheaNut Equivalent Tonnes)</t>
  </si>
  <si>
    <t>What volume did you purchase last year?</t>
  </si>
  <si>
    <t>MT</t>
  </si>
  <si>
    <t>&gt;100,000 tonnes</t>
  </si>
  <si>
    <t>&gt;10,000  SET tonnes.</t>
  </si>
  <si>
    <t>&gt;10,000  SET tonnes. Tema Shea Nut Processing Plan (Owned by Ghana Specialty Fats Industry ltd) processes 25,000 tonnes of shea nuts/year</t>
  </si>
  <si>
    <t>&gt;10,000 SET tonnes.  Their Shebu Ltd processing business is now capable of 12,000 SETs of annual processing capacity (2015). </t>
  </si>
  <si>
    <t xml:space="preserve">&gt;10,000  SET tonnes. IOF has a plant of capacity 75mtpd Shea Fractionation and Refining plant targeted at producing Shea Stearin, Shea Olein and Shea Latex </t>
  </si>
  <si>
    <t>&lt;1000 tonnes (350 Tonnes of unrefined Shea butter purchased in 2018)</t>
  </si>
  <si>
    <t xml:space="preserve">In November 2010, SSN women sold over 93 metric tons of nuts to a major buyer, Olam International. </t>
  </si>
  <si>
    <t xml:space="preserve">&gt;750 tons of shea butter </t>
  </si>
  <si>
    <t>&lt;50tons per year</t>
  </si>
  <si>
    <t>&gt;140 tons per year</t>
  </si>
  <si>
    <t>&gt;70 tons</t>
  </si>
  <si>
    <t>&lt;50 tons</t>
  </si>
  <si>
    <t>640 women from 11 villages handcraft 390 tons of shea butter for us every year using an 18-stage process passed from mother to daughter for generations. Each woman takes two days to expertly produce our shea in 25kg batches using traditional techniques to ensure the highest quality. </t>
  </si>
  <si>
    <t>Akoma facility has the capacity to produce approximately eight metric tonnes of shea butter a day and includes two separate warehouses for raw materials and finished products, each capable of storing up to 6000 bags of shea nuts. Akoma facility currently produces over 100 tonnes of shea butter a year, of which 100 tonnes is certified organic. It can produce around eight tonnes of shea butter a day and has the storage capacity for approximately 12,000 bags of shea nuts. Orders from 5-22,00 kgs.</t>
  </si>
  <si>
    <t>Potential volume to purchase from Serious Shea (unrefined shea butter)</t>
  </si>
  <si>
    <t>&gt;500 tonnes</t>
  </si>
  <si>
    <t>&gt;80 tons organic natural shea butter</t>
  </si>
  <si>
    <t>&lt;50tons natural shea butter</t>
  </si>
  <si>
    <t>&gt;20 tons organic and natural shea butter</t>
  </si>
  <si>
    <t>&gt;50 tons</t>
  </si>
  <si>
    <t>10 mt refined shea butter per year</t>
  </si>
  <si>
    <t>Potential volume to purchase from Serious Shea (shea Kernals)</t>
  </si>
  <si>
    <t xml:space="preserve">&gt;1,000 tonnes </t>
  </si>
  <si>
    <t>&gt;1,000 tonnes </t>
  </si>
  <si>
    <t xml:space="preserve">What is the outlook for next year? How much do you expect to purchase? </t>
  </si>
  <si>
    <t>What do you see as your long term requirement for shea?</t>
  </si>
  <si>
    <t>2015/2016</t>
  </si>
  <si>
    <t>raw, unprocessed shea butter for cosmetics last harvest was between $4-$6/kg according to GSA 15/6/16</t>
  </si>
  <si>
    <t>. Were you able to secure at the lower or upper end of this range?  </t>
  </si>
  <si>
    <t>US$</t>
  </si>
  <si>
    <t>What prices did you need to pay earlier this year?</t>
  </si>
  <si>
    <t>Last year some buyers were purchasing unrefined shea butter from around €1-1.50 per kg.$kg/ sheabutter.  Raw, unprocessed shea butter for cosmetics last harvest was between $4-$6/kg according to GSA 15/6/16 </t>
  </si>
  <si>
    <t xml:space="preserve">1600 FCFA/kg=$2.76/kg natural fair trade shea butter and 2000FCFA/kg=$3.45/kg for organic fair trade shea butter.
The purchase price is decided each year by a committee of women and independent observers. This price covers the production costs and ensures that a significant margin remains for all players in the industry. </t>
  </si>
  <si>
    <t>€2.40-€2.50/kg shea butter</t>
  </si>
  <si>
    <t>1600 FCFA/kg=$2.76/kg natural fair trade shea butter and 2000FCFA/kg=$3.45/kg for organic fair trade shea butter</t>
  </si>
  <si>
    <t xml:space="preserve">2018 was the most expensive seen by Salid ,405,890 CFA or 618 Euro ( $700usd)/1ton of shea nuts. </t>
  </si>
  <si>
    <t xml:space="preserve"> $4-$6/kg according to GSA 15/6/16</t>
  </si>
  <si>
    <t>What do you see as the long term outlook for Shea prices?</t>
  </si>
  <si>
    <t xml:space="preserve">2.40-2.50 </t>
  </si>
  <si>
    <t>Price fluctuation from year to year</t>
  </si>
  <si>
    <t> What is your experience of price fluctuation from year to year? What do you see as the main drivers ?</t>
  </si>
  <si>
    <t>Pricing variation by geography</t>
  </si>
  <si>
    <t>Which parts of BF provide the most expensive/cheapest sheanuts /sheabutter?  How does BF prices compare with Ghana and other countries?</t>
  </si>
  <si>
    <t xml:space="preserve">Pricing variation by time of year? </t>
  </si>
  <si>
    <t>How does pricing vary during the year?  When is it cheapest/ most expensivetime  to purchase?</t>
  </si>
  <si>
    <t>Due to low output from trees and high demand.. Very volatile so can't give prices yet for stearin but will give vague prices by end March 2019.</t>
  </si>
  <si>
    <t>The Golden Triangle for supply is Bobo-Banfora- Gaoua. Not only on agronomic terms but culturally as well. People in this area have a deep tradition of working with shea, invest and shea is really a part of their lives and economy. Other areas can be good agronomically but shea activities are more opportunistic
•	Research makes sense to them, have to educate their new partner and explain why there has never been shea plantations at any scale, the lack of knowledge on the species and the need for further characterization with a long term perspective. Interested in genetic and productivity data and happy to stay in touch.</t>
  </si>
  <si>
    <t>d below</t>
  </si>
  <si>
    <t>Item</t>
  </si>
  <si>
    <t>Item Number</t>
  </si>
  <si>
    <t>Details</t>
  </si>
  <si>
    <t>OLAM</t>
  </si>
  <si>
    <t>Technical data sheet (TDS)</t>
  </si>
  <si>
    <t>CAS number</t>
  </si>
  <si>
    <t>These are normally  194043-92-0 and  91080-23-8</t>
  </si>
  <si>
    <t>Certificates of analysis</t>
  </si>
  <si>
    <t>Safety data sheet (SDS)</t>
  </si>
  <si>
    <t xml:space="preserve">GMO certificate </t>
  </si>
  <si>
    <t>Certificate of origin</t>
  </si>
  <si>
    <t>Product information sheet</t>
  </si>
  <si>
    <t>Fatty Acid composition</t>
  </si>
  <si>
    <t>requirement for low Free Fatty Acid content (FFA preferably &lt;3%)</t>
  </si>
  <si>
    <t>Free Fatty Acid:&lt;3-6% considered very good &lt;3% excellent. Source: 2010 https://www.gsb.stanford.edu/sites/gsb/files/publication-pdf/non-teaching-case-study-shea-value-chain-reinforcement-ghana.pdf</t>
  </si>
  <si>
    <t>Peroxide value</t>
  </si>
  <si>
    <t>Requirements for &lt;10 milliequivalents per kg</t>
  </si>
  <si>
    <t>Impurities</t>
  </si>
  <si>
    <t xml:space="preserve">Requirements for low levels of impurities &lt;0.1% </t>
  </si>
  <si>
    <t>Moisture content</t>
  </si>
  <si>
    <t>Requirements for low moisture content (&lt;0.1%).</t>
  </si>
  <si>
    <t>&lt;7%. Source: 2010 https://www.gsb.stanford.edu/sites/gsb/files/publication-pdf/non-teaching-case-study-shea-value-chain-reinforcement-ghana.pdf</t>
  </si>
  <si>
    <t>Natural cosmetics:</t>
  </si>
  <si>
    <r>
      <rPr>
        <sz val="10"/>
        <color indexed="8"/>
        <rFont val="Calibri"/>
        <family val="2"/>
      </rPr>
      <t>For example: </t>
    </r>
    <r>
      <rPr>
        <sz val="10"/>
        <color indexed="17"/>
        <rFont val="Calibri"/>
        <family val="2"/>
      </rPr>
      <t>NaTrue</t>
    </r>
    <r>
      <rPr>
        <sz val="10"/>
        <color indexed="18"/>
        <rFont val="Calibri"/>
        <family val="2"/>
      </rPr>
      <t>, </t>
    </r>
    <r>
      <rPr>
        <sz val="10"/>
        <color indexed="17"/>
        <rFont val="Calibri"/>
        <family val="2"/>
      </rPr>
      <t>Cosmos</t>
    </r>
    <r>
      <rPr>
        <sz val="10"/>
        <color indexed="18"/>
        <rFont val="Calibri"/>
        <family val="2"/>
      </rPr>
      <t> and </t>
    </r>
    <r>
      <rPr>
        <sz val="10"/>
        <color indexed="17"/>
        <rFont val="Calibri"/>
        <family val="2"/>
      </rPr>
      <t>BDIH</t>
    </r>
  </si>
  <si>
    <t>Organic cosmetics</t>
  </si>
  <si>
    <r>
      <rPr>
        <sz val="10"/>
        <color indexed="8"/>
        <rFont val="Calibri"/>
        <family val="2"/>
      </rPr>
      <t>For example:  </t>
    </r>
    <r>
      <rPr>
        <sz val="10"/>
        <color indexed="17"/>
        <rFont val="Calibri"/>
        <family val="2"/>
      </rPr>
      <t>Soil Association</t>
    </r>
    <r>
      <rPr>
        <sz val="10"/>
        <color indexed="18"/>
        <rFont val="Calibri"/>
        <family val="2"/>
      </rPr>
      <t> (UK), </t>
    </r>
    <r>
      <rPr>
        <sz val="10"/>
        <color indexed="17"/>
        <rFont val="Calibri"/>
        <family val="2"/>
      </rPr>
      <t>Ecocert</t>
    </r>
    <r>
      <rPr>
        <sz val="10"/>
        <color indexed="18"/>
        <rFont val="Calibri"/>
        <family val="2"/>
      </rPr>
      <t> (France) and </t>
    </r>
    <r>
      <rPr>
        <sz val="10"/>
        <color indexed="17"/>
        <rFont val="Calibri"/>
        <family val="2"/>
      </rPr>
      <t>BDiH</t>
    </r>
    <r>
      <rPr>
        <sz val="10"/>
        <color indexed="18"/>
        <rFont val="Calibri"/>
        <family val="2"/>
      </rPr>
      <t> (Germany)</t>
    </r>
  </si>
  <si>
    <t>ISO requirements for natural and organic cosmetics</t>
  </si>
  <si>
    <r>
      <rPr>
        <sz val="10"/>
        <color indexed="8"/>
        <rFont val="Calibri"/>
        <family val="2"/>
      </rPr>
      <t>ISO 16128 standard as an alternative minimum standard, which covers definitions and criteria for natural and organic cosmetic ingredients and products</t>
    </r>
  </si>
  <si>
    <t>Fair Production</t>
  </si>
  <si>
    <r>
      <rPr>
        <sz val="10"/>
        <color indexed="8"/>
        <rFont val="Calibri"/>
        <family val="2"/>
      </rPr>
      <t>Fair production: </t>
    </r>
    <r>
      <rPr>
        <sz val="10"/>
        <color indexed="17"/>
        <rFont val="Calibri"/>
        <family val="2"/>
      </rPr>
      <t>Fairtrade</t>
    </r>
    <r>
      <rPr>
        <sz val="10"/>
        <color indexed="18"/>
        <rFont val="Calibri"/>
        <family val="2"/>
      </rPr>
      <t> and </t>
    </r>
    <r>
      <rPr>
        <sz val="10"/>
        <color indexed="17"/>
        <rFont val="Calibri"/>
        <family val="2"/>
      </rPr>
      <t>FairWild</t>
    </r>
    <r>
      <rPr>
        <sz val="10"/>
        <color indexed="18"/>
        <rFont val="Calibri"/>
        <family val="2"/>
      </rPr>
      <t> (for wild-collected ingredients)</t>
    </r>
  </si>
  <si>
    <t>Manufacturing processes</t>
  </si>
  <si>
    <r>
      <t> </t>
    </r>
    <r>
      <rPr>
        <u/>
        <sz val="10"/>
        <color indexed="17"/>
        <rFont val="Calibri"/>
        <family val="2"/>
      </rPr>
      <t>Hazard Analysis &amp; Critical Control Points</t>
    </r>
    <r>
      <rPr>
        <sz val="10"/>
        <color indexed="18"/>
        <rFont val="Calibri"/>
        <family val="2"/>
      </rPr>
      <t> or </t>
    </r>
    <r>
      <rPr>
        <sz val="10"/>
        <color indexed="17"/>
        <rFont val="Calibri"/>
        <family val="2"/>
      </rPr>
      <t>Good Manufacturing Practices of the European Federation for Cosmetic Ingredients</t>
    </r>
  </si>
  <si>
    <t>EU Legal requirements</t>
  </si>
  <si>
    <r>
      <rPr>
        <sz val="10"/>
        <color indexed="8"/>
        <rFont val="Calibri"/>
        <family val="2"/>
      </rPr>
      <t>Relevant European cosmetics legislation (Regulation (EC) 1223/2009);Registration Evaluation and Authorisation of Chemicals (REACH), although non-chemically modified vegetable oils do not need to be registered;</t>
    </r>
  </si>
  <si>
    <t xml:space="preserve">Classification, Labelling and Packaging of chemicals (CLP) </t>
  </si>
  <si>
    <t>This includes  specific packaging requirements. (e.g. Re-use or recycle packaging materials, storage of containers, Separation of organic certified shea butter . This includes requirements as specified by freight forwarder or transport company</t>
  </si>
  <si>
    <t>&lt;200 tonnes (Shea butter); Possibly 50% organic</t>
  </si>
  <si>
    <r>
      <t>Aude Traoré, Sourcing &amp; Trading Manager for shea at AAK in West Africa.</t>
    </r>
    <r>
      <rPr>
        <i/>
        <sz val="10"/>
        <color rgb="FF000000"/>
        <rFont val="Trebuchet MS"/>
        <family val="2"/>
      </rPr>
      <t xml:space="preserve"> </t>
    </r>
  </si>
  <si>
    <t>Wilmar / Ghana Speciality Fats</t>
  </si>
  <si>
    <t xml:space="preserve"> IOI Loders Croklaan</t>
  </si>
  <si>
    <t>ISF producesa wide range of  high quality specialty fats and oils, such as CBEs, CBRs, CBSs and others</t>
  </si>
  <si>
    <t>Predominately into the food sector (e.g. CBE, CBR etc)</t>
  </si>
  <si>
    <t>317,000 Tonnes of fats for the confectionary industry in 2015. Vegetable oils including shea. They provide processing, formulation, lipid specialists. CBE for the confectionary industry is their 2nd largest business. They buy shea KERNELS , not already processed from 100 suppliers across West Africa.   AAK Kolo Nafaso Programme, 130,000 women collecting for them. 100% Burkina Faso suppliers have signed AAK supply chain code of conduct. Crush their own shea nuts in Denmark, the only European company to do so.</t>
  </si>
  <si>
    <t>Lot1, Lebuh Sultan Hishamudin 2
Kawasan 20, Bandar Sultan Suleiman,
P.O.Box 207, 42009 Port Klang
Selangor Darul Ehsan, Malaysia</t>
  </si>
  <si>
    <t>Mainly Shea Kernals</t>
  </si>
  <si>
    <t>Shea Kernals and butter</t>
  </si>
  <si>
    <t>Malmö, Sweden. AAK has 20 different production facilities. AarhusKarlshamn has production facilities in Denmark, Mexico, the Netherlands, Sweden, x 2 in UK, Uruguay and the US.</t>
  </si>
  <si>
    <t>Japan &amp; Belgium. The group runs 21 production plants in Japan and  is overseas  in 9 different countries. International Oils &amp; Fats Ltd, the Fuji Oil affiliate in Ghana.  </t>
  </si>
  <si>
    <t>Development and manufacturing of oils and fats, confectionery and bakery ingredients.  Group company International Oils and Fats Ltd. (IOF), in Ghana carries out the nut-sorting process for shea butter in-house.
Have a range of mechanical crushing, solvent extraction, and fractionation facilities at Techiman, Ghana, and Bobo Dioulasso, Burkina Faso, and future plans for a refinery in Tema, Ghana.</t>
  </si>
  <si>
    <t>Their supply system allows them to trace production down to the village at truck loading stations. They can tell quality to some extent, for instance on fat content of nuts. For instance, trees in the area southeast of Bamako at the Malian-Guinean border with 2-3% higher fat content than average. There is a well known east-west gradient of stearin content (Eastern nilotica subspecies is richer in olein).
They do not  buy organic nuts yet. However they do observe the rising demand even in the food sector and ask themselves whether they should get involved in the future.</t>
  </si>
  <si>
    <t>Development and manufacturer of specialty fats and oils for the bakery, confectionery, dairy and foodservice segments to/for brands. 
Fractionation plant in Tema, Ghana with 100T/day capacity, next to 3F (a key supplier of shea butter). They mix shea stearin with other oils to supply chocolate (Mars, etc) and other food industries, for instance the French St Hubert margarine line that has replaced palm oil with shea and other oils. Their plant in the Netherlands is from 1990, getting outdated, thus the need to refresh their processing capacity. They don’t take part in the cosmetic market (want to maintain food sector reputation).</t>
  </si>
  <si>
    <t>Gender and environment. Shea Radiance own a 1000 women empowerment project running in Oyo State, Nigeria   https://www.1000womenproject.com.Areas of Impact include Warehouses for Women,  Commercial Clean Cook stoves and Personal Clean Cookstoves</t>
  </si>
  <si>
    <t>Premium prices 0. 40 Ghana cedi/kg  for premium nuts, and 0.35 cedi /kg for standard nuts., https://www.gsb.stanford.edu/sites/gsb/files/publication-pdf/non-teaching-case-study-shea-value-chain-reinforcement-ghana.pdf</t>
  </si>
  <si>
    <t xml:space="preserve"> 1400FCFA/kg (Euro 2.13/kg) for unrefined shea</t>
  </si>
  <si>
    <t xml:space="preserve">Stephenson personal care make their shea butter soaps. Retailer. Members of GSA. Work with TUNGTEIYA WOMEN’S SHEA BUTTER ASSOCIATION, GHANA. 500 women process shea nuts using traditional techniques passed down through generations. Tungteiya also invests in community projects </t>
  </si>
  <si>
    <r>
      <rPr>
        <u/>
        <sz val="10"/>
        <color indexed="11"/>
        <rFont val="Calibri"/>
        <family val="2"/>
      </rPr>
      <t>https://www.thebodyshop.com/</t>
    </r>
    <r>
      <rPr>
        <sz val="10"/>
        <color indexed="8"/>
        <rFont val="Calibri"/>
        <family val="2"/>
      </rPr>
      <t xml:space="preserve"> Tel: 0800 092 9090</t>
    </r>
  </si>
  <si>
    <t>Potential purchasing price</t>
  </si>
  <si>
    <t>Background information</t>
  </si>
  <si>
    <t>KEY:</t>
  </si>
  <si>
    <t>Potential buyers database</t>
  </si>
  <si>
    <t xml:space="preserve">The specialty oils, fats and fatty acids manufacturing business is carried out by IOI Loders Croklaan which has manufacturing operations in the Netherlands, USA, Malaysia and Canada. The leading producer of premium quality oils and fats, inc shea. </t>
  </si>
  <si>
    <t>Massive palm oil plantations and refineries in Malaysia. Nestlé, Mars, Unilever and Kelloggs stopped working with palm oil producer IOI in 2016 for deforestation and non RSPO conformity. </t>
  </si>
  <si>
    <t xml:space="preserve">Includes the use of improved cookstoves to reduce fuelwood consumption, distribution of rollers for health issues, assisted parkland regeneration (limited success due to lack of right partner) and participation as private sector in Green Climate Fund proposal in Ghana. </t>
  </si>
  <si>
    <t>SERIOUS SHEA</t>
  </si>
  <si>
    <t>Berg + Schmidt</t>
  </si>
  <si>
    <t>1000 tonnes</t>
  </si>
  <si>
    <t>&gt;200 tonnes</t>
  </si>
  <si>
    <t>Un refined shea butter</t>
  </si>
  <si>
    <t xml:space="preserve">Florence Olechowski): </t>
  </si>
  <si>
    <t>'folechowski@berg-schmidt.de'</t>
  </si>
  <si>
    <t>Based in Germany</t>
  </si>
  <si>
    <t>Focus of sales in  in Europe, Middle East</t>
  </si>
  <si>
    <t xml:space="preserve"> 60 years’ experience in the development, production and worldwide distribution of lipids.</t>
  </si>
  <si>
    <t>Processor,   Fats technology specialist; sale to formulators</t>
  </si>
  <si>
    <t>Focus on organic products for cosmetics markets</t>
  </si>
  <si>
    <t>Primarily cosmetic markets (Overall business also active in food and feed ingredients)</t>
  </si>
  <si>
    <t>To be provided</t>
  </si>
  <si>
    <t>Places orders in Q3 of each year</t>
  </si>
  <si>
    <t xml:space="preserve">They have been  operating witin Ghana  so export through Tema.  </t>
  </si>
  <si>
    <t>TBC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</si>
</sst>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3" x14ac:knownFonts="1">
    <font>
      <sz val="11"/>
      <color indexed="8"/>
      <name val="Calibri"/>
    </font>
    <font>
      <b/>
      <sz val="10"/>
      <color indexed="8"/>
      <name val="Calibri"/>
      <family val="2"/>
    </font>
    <font>
      <sz val="10"/>
      <color indexed="8"/>
      <name val="Calibri"/>
      <family val="2"/>
    </font>
    <font>
      <u/>
      <sz val="11"/>
      <color indexed="11"/>
      <name val="Calibri"/>
      <family val="2"/>
    </font>
    <font>
      <sz val="10"/>
      <color indexed="9"/>
      <name val="Calibri"/>
      <family val="2"/>
    </font>
    <font>
      <b/>
      <sz val="11"/>
      <color indexed="8"/>
      <name val="Calibri"/>
      <family val="2"/>
    </font>
    <font>
      <i/>
      <sz val="11"/>
      <color indexed="8"/>
      <name val="Calibri"/>
      <family val="2"/>
    </font>
    <font>
      <sz val="10"/>
      <color indexed="8"/>
      <name val="Arial"/>
      <family val="2"/>
    </font>
    <font>
      <sz val="10"/>
      <color indexed="8"/>
      <name val="Trebuchet MS"/>
      <family val="2"/>
    </font>
    <font>
      <u/>
      <sz val="10"/>
      <color indexed="11"/>
      <name val="Calibri"/>
      <family val="2"/>
    </font>
    <font>
      <u/>
      <sz val="10"/>
      <color indexed="8"/>
      <name val="Trebuchet MS"/>
      <family val="2"/>
    </font>
    <font>
      <u/>
      <sz val="11"/>
      <color indexed="8"/>
      <name val="Calibri"/>
      <family val="2"/>
    </font>
    <font>
      <u/>
      <sz val="10"/>
      <color indexed="8"/>
      <name val="Calibri"/>
      <family val="2"/>
    </font>
    <font>
      <sz val="13"/>
      <color indexed="8"/>
      <name val="Calibri"/>
      <family val="2"/>
    </font>
    <font>
      <b/>
      <i/>
      <sz val="11"/>
      <color indexed="8"/>
      <name val="Calibri"/>
      <family val="2"/>
    </font>
    <font>
      <sz val="10"/>
      <color indexed="17"/>
      <name val="Calibri"/>
      <family val="2"/>
    </font>
    <font>
      <sz val="10"/>
      <color indexed="18"/>
      <name val="Calibri"/>
      <family val="2"/>
    </font>
    <font>
      <u/>
      <sz val="10"/>
      <color indexed="17"/>
      <name val="Calibri"/>
      <family val="2"/>
    </font>
    <font>
      <sz val="11"/>
      <color rgb="FF9C0006"/>
      <name val="Helvetica"/>
      <family val="2"/>
      <scheme val="minor"/>
    </font>
    <font>
      <u/>
      <sz val="11"/>
      <color theme="10"/>
      <name val="Calibri"/>
      <family val="2"/>
    </font>
    <font>
      <sz val="10"/>
      <color rgb="FF9C0006"/>
      <name val="Helvetica"/>
      <family val="2"/>
      <scheme val="minor"/>
    </font>
    <font>
      <sz val="10"/>
      <color rgb="FF9C0006"/>
      <name val="Calibri"/>
      <family val="2"/>
    </font>
    <font>
      <i/>
      <sz val="10"/>
      <color rgb="FF000000"/>
      <name val="Trebuchet MS"/>
      <family val="2"/>
    </font>
    <font>
      <sz val="11"/>
      <color indexed="8"/>
      <name val="Calibri"/>
      <family val="2"/>
    </font>
    <font>
      <sz val="10"/>
      <color theme="0"/>
      <name val="Calibri"/>
      <family val="2"/>
    </font>
    <font>
      <b/>
      <sz val="14"/>
      <color indexed="8"/>
      <name val="Calibri"/>
      <family val="2"/>
    </font>
    <font>
      <sz val="10"/>
      <color rgb="FF333333"/>
      <name val="Arial"/>
      <family val="2"/>
    </font>
    <font>
      <u/>
      <sz val="10"/>
      <color rgb="FF000000"/>
      <name val="Calibri"/>
      <family val="2"/>
    </font>
    <font>
      <sz val="10"/>
      <color rgb="FF000000"/>
      <name val="Calibri"/>
      <family val="2"/>
    </font>
    <font>
      <sz val="11"/>
      <color rgb="FF000000"/>
      <name val="Calibri"/>
      <family val="2"/>
    </font>
    <font>
      <sz val="11"/>
      <color theme="0"/>
      <name val="Calibri"/>
      <family val="2"/>
    </font>
    <font>
      <b/>
      <sz val="12"/>
      <color indexed="8"/>
      <name val="Calibri"/>
      <family val="2"/>
    </font>
    <font>
      <b/>
      <sz val="14"/>
      <color rgb="FF000000"/>
      <name val="Calibri"/>
      <family val="2"/>
    </font>
  </fonts>
  <fills count="19">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rgb="FFFFC7CE"/>
      </patternFill>
    </fill>
    <fill>
      <patternFill patternType="solid">
        <fgColor rgb="FFE2EFDA"/>
        <bgColor indexed="64"/>
      </patternFill>
    </fill>
    <fill>
      <patternFill patternType="solid">
        <fgColor theme="4" tint="0.79998168889431442"/>
        <bgColor indexed="64"/>
      </patternFill>
    </fill>
    <fill>
      <patternFill patternType="solid">
        <fgColor rgb="FFFF0000"/>
        <bgColor indexed="64"/>
      </patternFill>
    </fill>
    <fill>
      <patternFill patternType="solid">
        <fgColor theme="0"/>
        <bgColor indexed="64"/>
      </patternFill>
    </fill>
    <fill>
      <patternFill patternType="solid">
        <fgColor theme="3" tint="0.79998168889431442"/>
        <bgColor indexed="64"/>
      </patternFill>
    </fill>
    <fill>
      <patternFill patternType="solid">
        <fgColor rgb="FF00B050"/>
        <bgColor indexed="64"/>
      </patternFill>
    </fill>
    <fill>
      <patternFill patternType="solid">
        <fgColor rgb="FF00B0F0"/>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FFFF"/>
        <bgColor indexed="64"/>
      </patternFill>
    </fill>
    <fill>
      <patternFill patternType="solid">
        <fgColor rgb="FFC65911"/>
        <bgColor indexed="64"/>
      </patternFill>
    </fill>
  </fills>
  <borders count="6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top/>
      <bottom style="thin">
        <color indexed="8"/>
      </bottom>
      <diagonal/>
    </border>
    <border>
      <left/>
      <right style="thin">
        <color indexed="10"/>
      </right>
      <top/>
      <bottom style="thin">
        <color indexed="8"/>
      </bottom>
      <diagonal/>
    </border>
    <border>
      <left style="thin">
        <color indexed="10"/>
      </left>
      <right/>
      <top style="thin">
        <color indexed="8"/>
      </top>
      <bottom/>
      <diagonal/>
    </border>
    <border>
      <left/>
      <right/>
      <top style="thin">
        <color indexed="8"/>
      </top>
      <bottom/>
      <diagonal/>
    </border>
    <border>
      <left/>
      <right style="thin">
        <color indexed="10"/>
      </right>
      <top style="thin">
        <color indexed="8"/>
      </top>
      <bottom/>
      <diagonal/>
    </border>
    <border>
      <left/>
      <right style="thin">
        <color indexed="10"/>
      </right>
      <top/>
      <bottom/>
      <diagonal/>
    </border>
    <border>
      <left/>
      <right style="thin">
        <color indexed="8"/>
      </right>
      <top/>
      <bottom/>
      <diagonal/>
    </border>
    <border>
      <left style="thin">
        <color indexed="8"/>
      </left>
      <right style="thin">
        <color indexed="8"/>
      </right>
      <top style="thin">
        <color indexed="8"/>
      </top>
      <bottom style="thin">
        <color indexed="8"/>
      </bottom>
      <diagonal/>
    </border>
    <border>
      <left/>
      <right/>
      <top style="thin">
        <color indexed="8"/>
      </top>
      <bottom style="thin">
        <color indexed="8"/>
      </bottom>
      <diagonal/>
    </border>
    <border>
      <left/>
      <right style="thin">
        <color indexed="10"/>
      </right>
      <top/>
      <bottom style="thin">
        <color indexed="10"/>
      </bottom>
      <diagonal/>
    </border>
    <border>
      <left/>
      <right style="thin">
        <color indexed="8"/>
      </right>
      <top style="thin">
        <color indexed="8"/>
      </top>
      <bottom/>
      <diagonal/>
    </border>
    <border>
      <left/>
      <right style="thin">
        <color indexed="8"/>
      </right>
      <top/>
      <bottom style="thin">
        <color indexed="8"/>
      </bottom>
      <diagonal/>
    </border>
    <border>
      <left/>
      <right/>
      <top/>
      <bottom/>
      <diagonal/>
    </border>
    <border>
      <left style="thin">
        <color indexed="8"/>
      </left>
      <right/>
      <top/>
      <bottom/>
      <diagonal/>
    </border>
    <border>
      <left style="thin">
        <color indexed="8"/>
      </left>
      <right/>
      <top/>
      <bottom style="thin">
        <color indexed="8"/>
      </bottom>
      <diagonal/>
    </border>
    <border>
      <left/>
      <right/>
      <top/>
      <bottom style="thin">
        <color indexed="8"/>
      </bottom>
      <diagonal/>
    </border>
    <border>
      <left/>
      <right style="thin">
        <color indexed="8"/>
      </right>
      <top style="thin">
        <color indexed="8"/>
      </top>
      <bottom style="thin">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top style="thin">
        <color indexed="10"/>
      </top>
      <bottom style="thin">
        <color indexed="10"/>
      </bottom>
      <diagonal/>
    </border>
    <border>
      <left/>
      <right style="thin">
        <color indexed="10"/>
      </right>
      <top style="thin">
        <color indexed="10"/>
      </top>
      <bottom style="thin">
        <color indexed="10"/>
      </bottom>
      <diagonal/>
    </border>
    <border>
      <left style="thin">
        <color indexed="8"/>
      </left>
      <right style="thin">
        <color indexed="10"/>
      </right>
      <top style="thin">
        <color indexed="10"/>
      </top>
      <bottom style="thin">
        <color indexed="10"/>
      </bottom>
      <diagonal/>
    </border>
    <border>
      <left/>
      <right style="thin">
        <color indexed="8"/>
      </right>
      <top/>
      <bottom style="thin">
        <color indexed="10"/>
      </bottom>
      <diagonal/>
    </border>
    <border>
      <left style="thin">
        <color indexed="10"/>
      </left>
      <right/>
      <top/>
      <bottom/>
      <diagonal/>
    </border>
    <border>
      <left style="thin">
        <color indexed="10"/>
      </left>
      <right/>
      <top/>
      <bottom style="thin">
        <color indexed="10"/>
      </bottom>
      <diagonal/>
    </border>
    <border>
      <left/>
      <right/>
      <top/>
      <bottom style="thin">
        <color indexed="10"/>
      </bottom>
      <diagonal/>
    </border>
    <border>
      <left style="thin">
        <color indexed="64"/>
      </left>
      <right style="thin">
        <color indexed="64"/>
      </right>
      <top style="thin">
        <color indexed="64"/>
      </top>
      <bottom style="thin">
        <color indexed="64"/>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indexed="8"/>
      </left>
      <right style="thin">
        <color indexed="8"/>
      </right>
      <top/>
      <bottom style="thin">
        <color indexed="8"/>
      </bottom>
      <diagonal/>
    </border>
    <border>
      <left style="medium">
        <color indexed="64"/>
      </left>
      <right/>
      <top style="medium">
        <color indexed="64"/>
      </top>
      <bottom/>
      <diagonal/>
    </border>
    <border>
      <left/>
      <right/>
      <top style="medium">
        <color indexed="64"/>
      </top>
      <bottom/>
      <diagonal/>
    </border>
    <border>
      <left style="thin">
        <color indexed="8"/>
      </left>
      <right style="thin">
        <color indexed="8"/>
      </right>
      <top style="medium">
        <color indexed="64"/>
      </top>
      <bottom style="thin">
        <color indexed="8"/>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8"/>
      </left>
      <right style="medium">
        <color indexed="64"/>
      </right>
      <top style="thin">
        <color indexed="8"/>
      </top>
      <bottom style="thin">
        <color indexed="8"/>
      </bottom>
      <diagonal/>
    </border>
    <border>
      <left style="medium">
        <color indexed="64"/>
      </left>
      <right/>
      <top/>
      <bottom style="thin">
        <color indexed="8"/>
      </bottom>
      <diagonal/>
    </border>
    <border>
      <left style="medium">
        <color indexed="64"/>
      </left>
      <right/>
      <top style="thin">
        <color indexed="8"/>
      </top>
      <bottom/>
      <diagonal/>
    </border>
    <border>
      <left/>
      <right style="medium">
        <color indexed="64"/>
      </right>
      <top style="thin">
        <color indexed="8"/>
      </top>
      <bottom style="thin">
        <color indexed="8"/>
      </bottom>
      <diagonal/>
    </border>
    <border>
      <left style="thin">
        <color indexed="64"/>
      </left>
      <right style="medium">
        <color indexed="64"/>
      </right>
      <top style="thin">
        <color indexed="64"/>
      </top>
      <bottom style="thin">
        <color indexed="64"/>
      </bottom>
      <diagonal/>
    </border>
    <border>
      <left style="thin">
        <color indexed="8"/>
      </left>
      <right style="medium">
        <color indexed="64"/>
      </right>
      <top style="thin">
        <color indexed="8"/>
      </top>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8"/>
      </right>
      <top style="medium">
        <color indexed="64"/>
      </top>
      <bottom style="thin">
        <color indexed="8"/>
      </bottom>
      <diagonal/>
    </border>
    <border>
      <left style="thin">
        <color indexed="8"/>
      </left>
      <right style="medium">
        <color indexed="64"/>
      </right>
      <top style="medium">
        <color indexed="64"/>
      </top>
      <bottom style="thin">
        <color indexed="8"/>
      </bottom>
      <diagonal/>
    </border>
    <border>
      <left style="medium">
        <color indexed="64"/>
      </left>
      <right style="thin">
        <color indexed="8"/>
      </right>
      <top style="thin">
        <color indexed="8"/>
      </top>
      <bottom style="thin">
        <color indexed="8"/>
      </bottom>
      <diagonal/>
    </border>
    <border>
      <left style="medium">
        <color indexed="64"/>
      </left>
      <right/>
      <top style="thin">
        <color indexed="8"/>
      </top>
      <bottom style="thin">
        <color indexed="8"/>
      </bottom>
      <diagonal/>
    </border>
    <border>
      <left style="medium">
        <color indexed="64"/>
      </left>
      <right/>
      <top/>
      <bottom style="thin">
        <color rgb="FF000000"/>
      </bottom>
      <diagonal/>
    </border>
    <border>
      <left style="medium">
        <color indexed="64"/>
      </left>
      <right style="thin">
        <color indexed="64"/>
      </right>
      <top style="thin">
        <color indexed="64"/>
      </top>
      <bottom style="thin">
        <color indexed="64"/>
      </bottom>
      <diagonal/>
    </border>
    <border>
      <left style="medium">
        <color indexed="64"/>
      </left>
      <right style="thin">
        <color indexed="8"/>
      </right>
      <top style="thin">
        <color indexed="8"/>
      </top>
      <bottom/>
      <diagonal/>
    </border>
    <border>
      <left style="medium">
        <color indexed="64"/>
      </left>
      <right style="thin">
        <color indexed="64"/>
      </right>
      <top style="thin">
        <color indexed="64"/>
      </top>
      <bottom style="medium">
        <color indexed="64"/>
      </bottom>
      <diagonal/>
    </border>
  </borders>
  <cellStyleXfs count="3">
    <xf numFmtId="0" fontId="0" fillId="0" borderId="0" applyNumberFormat="0" applyFill="0" applyBorder="0" applyProtection="0"/>
    <xf numFmtId="0" fontId="18" fillId="7" borderId="0" applyNumberFormat="0" applyBorder="0" applyAlignment="0" applyProtection="0"/>
    <xf numFmtId="0" fontId="19" fillId="0" borderId="0" applyNumberFormat="0" applyFill="0" applyBorder="0" applyAlignment="0" applyProtection="0"/>
  </cellStyleXfs>
  <cellXfs count="259">
    <xf numFmtId="0" fontId="0" fillId="0" borderId="0" xfId="0"/>
    <xf numFmtId="0" fontId="0" fillId="2" borderId="1" xfId="0" applyFill="1" applyBorder="1"/>
    <xf numFmtId="0" fontId="0" fillId="2" borderId="2" xfId="0" applyFill="1" applyBorder="1"/>
    <xf numFmtId="0" fontId="0" fillId="2" borderId="3" xfId="0" applyFill="1" applyBorder="1"/>
    <xf numFmtId="0" fontId="0" fillId="2" borderId="4" xfId="0" applyFill="1" applyBorder="1"/>
    <xf numFmtId="0" fontId="2" fillId="2" borderId="5" xfId="0" applyFont="1" applyFill="1" applyBorder="1" applyAlignment="1">
      <alignment horizontal="left"/>
    </xf>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49" fontId="1" fillId="2" borderId="10" xfId="0" applyNumberFormat="1" applyFont="1" applyFill="1" applyBorder="1"/>
    <xf numFmtId="0" fontId="0" fillId="3" borderId="11" xfId="0" applyFill="1" applyBorder="1"/>
    <xf numFmtId="0" fontId="1" fillId="2" borderId="10" xfId="0" applyFont="1" applyFill="1" applyBorder="1"/>
    <xf numFmtId="0" fontId="0" fillId="4" borderId="11" xfId="0" applyFill="1" applyBorder="1"/>
    <xf numFmtId="0" fontId="0" fillId="2" borderId="12" xfId="0" applyFill="1" applyBorder="1"/>
    <xf numFmtId="0" fontId="2" fillId="2" borderId="7" xfId="0" applyFont="1" applyFill="1" applyBorder="1" applyAlignment="1">
      <alignment horizontal="left"/>
    </xf>
    <xf numFmtId="0" fontId="2" fillId="2" borderId="8" xfId="0" applyFont="1" applyFill="1" applyBorder="1" applyAlignment="1">
      <alignment horizontal="left"/>
    </xf>
    <xf numFmtId="0" fontId="0" fillId="2" borderId="13" xfId="0" applyFill="1" applyBorder="1"/>
    <xf numFmtId="49" fontId="5" fillId="2" borderId="7" xfId="0" applyNumberFormat="1" applyFont="1" applyFill="1" applyBorder="1" applyAlignment="1">
      <alignment horizontal="center"/>
    </xf>
    <xf numFmtId="0" fontId="5" fillId="2" borderId="10" xfId="0" applyFont="1" applyFill="1" applyBorder="1" applyAlignment="1">
      <alignment horizontal="center" vertical="center" wrapText="1"/>
    </xf>
    <xf numFmtId="49" fontId="6" fillId="2" borderId="10" xfId="0" applyNumberFormat="1" applyFont="1" applyFill="1" applyBorder="1" applyAlignment="1">
      <alignment horizontal="center" vertical="center" wrapText="1"/>
    </xf>
    <xf numFmtId="49" fontId="0" fillId="6" borderId="11" xfId="0" applyNumberFormat="1" applyFill="1" applyBorder="1" applyAlignment="1">
      <alignment vertical="top" wrapText="1"/>
    </xf>
    <xf numFmtId="49" fontId="7" fillId="6" borderId="11" xfId="0" applyNumberFormat="1" applyFont="1" applyFill="1" applyBorder="1" applyAlignment="1">
      <alignment vertical="top" wrapText="1"/>
    </xf>
    <xf numFmtId="0" fontId="0" fillId="6" borderId="11" xfId="0" applyFill="1" applyBorder="1" applyAlignment="1">
      <alignment vertical="top" wrapText="1"/>
    </xf>
    <xf numFmtId="0" fontId="2" fillId="6" borderId="11" xfId="0" applyFont="1" applyFill="1" applyBorder="1" applyAlignment="1">
      <alignment horizontal="left" vertical="top" wrapText="1"/>
    </xf>
    <xf numFmtId="49" fontId="2" fillId="6" borderId="11" xfId="0" applyNumberFormat="1" applyFont="1" applyFill="1" applyBorder="1" applyAlignment="1">
      <alignment horizontal="left" vertical="top" wrapText="1"/>
    </xf>
    <xf numFmtId="0" fontId="6" fillId="2" borderId="10" xfId="0" applyFont="1" applyFill="1" applyBorder="1" applyAlignment="1">
      <alignment horizontal="center" vertical="center" wrapText="1"/>
    </xf>
    <xf numFmtId="0" fontId="2" fillId="2" borderId="12" xfId="0" applyFont="1" applyFill="1" applyBorder="1" applyAlignment="1">
      <alignment horizontal="left" vertical="top" wrapText="1"/>
    </xf>
    <xf numFmtId="0" fontId="5" fillId="2" borderId="15" xfId="0" applyFont="1" applyFill="1" applyBorder="1" applyAlignment="1">
      <alignment horizontal="center" vertical="center" wrapText="1"/>
    </xf>
    <xf numFmtId="49" fontId="5" fillId="2" borderId="16" xfId="0" applyNumberFormat="1" applyFont="1" applyFill="1" applyBorder="1"/>
    <xf numFmtId="0" fontId="0" fillId="2" borderId="16" xfId="0" applyFill="1" applyBorder="1"/>
    <xf numFmtId="0" fontId="0" fillId="2" borderId="7" xfId="0" applyFill="1" applyBorder="1" applyAlignment="1">
      <alignment wrapText="1"/>
    </xf>
    <xf numFmtId="0" fontId="6" fillId="2" borderId="7" xfId="0" applyFont="1" applyFill="1" applyBorder="1" applyAlignment="1">
      <alignment horizontal="center"/>
    </xf>
    <xf numFmtId="49" fontId="13" fillId="2" borderId="12" xfId="0" applyNumberFormat="1" applyFont="1" applyFill="1" applyBorder="1" applyAlignment="1">
      <alignment horizontal="left" vertical="top" wrapText="1"/>
    </xf>
    <xf numFmtId="0" fontId="13" fillId="2" borderId="12" xfId="0" applyFont="1" applyFill="1" applyBorder="1" applyAlignment="1">
      <alignment horizontal="left" vertical="top" wrapText="1"/>
    </xf>
    <xf numFmtId="0" fontId="5" fillId="2" borderId="7" xfId="0" applyFont="1" applyFill="1" applyBorder="1" applyAlignment="1">
      <alignment horizontal="center" vertical="center" wrapText="1"/>
    </xf>
    <xf numFmtId="0" fontId="5" fillId="2" borderId="14" xfId="0" applyFont="1" applyFill="1" applyBorder="1" applyAlignment="1">
      <alignment horizontal="center" vertical="center" wrapText="1"/>
    </xf>
    <xf numFmtId="49" fontId="13" fillId="6" borderId="11" xfId="0" applyNumberFormat="1" applyFont="1" applyFill="1" applyBorder="1" applyAlignment="1">
      <alignment horizontal="left" vertical="top" wrapText="1"/>
    </xf>
    <xf numFmtId="0" fontId="13" fillId="6" borderId="11" xfId="0" applyFont="1" applyFill="1" applyBorder="1" applyAlignment="1">
      <alignment horizontal="left" vertical="top" wrapText="1"/>
    </xf>
    <xf numFmtId="0" fontId="0" fillId="2" borderId="10" xfId="0" applyFill="1" applyBorder="1"/>
    <xf numFmtId="0" fontId="2" fillId="6" borderId="12" xfId="0" applyFont="1" applyFill="1" applyBorder="1" applyAlignment="1">
      <alignment horizontal="left" vertical="top" wrapText="1"/>
    </xf>
    <xf numFmtId="49" fontId="6" fillId="2" borderId="10" xfId="0" applyNumberFormat="1" applyFont="1" applyFill="1" applyBorder="1" applyAlignment="1">
      <alignment horizontal="center" vertical="center"/>
    </xf>
    <xf numFmtId="0" fontId="5" fillId="2" borderId="12" xfId="0" applyFont="1" applyFill="1" applyBorder="1" applyAlignment="1">
      <alignment horizontal="left" wrapText="1"/>
    </xf>
    <xf numFmtId="0" fontId="5" fillId="2" borderId="12" xfId="0" applyFont="1" applyFill="1" applyBorder="1" applyAlignment="1">
      <alignment horizontal="center" vertical="center" wrapText="1"/>
    </xf>
    <xf numFmtId="0" fontId="5" fillId="2" borderId="19" xfId="0" applyFont="1" applyFill="1" applyBorder="1" applyAlignment="1">
      <alignment vertical="center"/>
    </xf>
    <xf numFmtId="0" fontId="5" fillId="2" borderId="12" xfId="0" applyFont="1" applyFill="1" applyBorder="1" applyAlignment="1">
      <alignment horizontal="left" vertical="center"/>
    </xf>
    <xf numFmtId="0" fontId="5" fillId="2" borderId="12" xfId="0" applyFont="1" applyFill="1" applyBorder="1" applyAlignment="1">
      <alignment horizontal="left" vertical="center" wrapText="1"/>
    </xf>
    <xf numFmtId="0" fontId="0" fillId="2" borderId="20" xfId="0" applyFill="1" applyBorder="1"/>
    <xf numFmtId="0" fontId="0" fillId="0" borderId="21" xfId="0" applyBorder="1"/>
    <xf numFmtId="0" fontId="0" fillId="0" borderId="22" xfId="0" applyBorder="1"/>
    <xf numFmtId="0" fontId="0" fillId="0" borderId="23" xfId="0" applyBorder="1"/>
    <xf numFmtId="0" fontId="4" fillId="6" borderId="11" xfId="0" applyFont="1" applyFill="1" applyBorder="1" applyAlignment="1">
      <alignment horizontal="left" vertical="top" wrapText="1"/>
    </xf>
    <xf numFmtId="0" fontId="6" fillId="2" borderId="26" xfId="0" applyFont="1" applyFill="1" applyBorder="1" applyAlignment="1">
      <alignment horizontal="center" vertical="center" wrapText="1"/>
    </xf>
    <xf numFmtId="0" fontId="0" fillId="2" borderId="19" xfId="0" applyFill="1" applyBorder="1"/>
    <xf numFmtId="0" fontId="1" fillId="2" borderId="19" xfId="0" applyFont="1" applyFill="1" applyBorder="1"/>
    <xf numFmtId="0" fontId="2" fillId="2" borderId="19" xfId="0" applyFont="1" applyFill="1" applyBorder="1" applyAlignment="1">
      <alignment horizontal="left"/>
    </xf>
    <xf numFmtId="0" fontId="0" fillId="2" borderId="27" xfId="0" applyFill="1" applyBorder="1"/>
    <xf numFmtId="49" fontId="1" fillId="2" borderId="16" xfId="0" applyNumberFormat="1" applyFont="1" applyFill="1" applyBorder="1" applyAlignment="1">
      <alignment horizontal="left" vertical="top"/>
    </xf>
    <xf numFmtId="49" fontId="1" fillId="2" borderId="16" xfId="0" applyNumberFormat="1" applyFont="1" applyFill="1" applyBorder="1"/>
    <xf numFmtId="0" fontId="2" fillId="2" borderId="16" xfId="0" applyFont="1" applyFill="1" applyBorder="1"/>
    <xf numFmtId="164" fontId="2" fillId="2" borderId="16" xfId="0" applyNumberFormat="1" applyFont="1" applyFill="1" applyBorder="1" applyAlignment="1">
      <alignment horizontal="left"/>
    </xf>
    <xf numFmtId="49" fontId="0" fillId="2" borderId="16" xfId="0" applyNumberFormat="1" applyFill="1" applyBorder="1"/>
    <xf numFmtId="49" fontId="4" fillId="2" borderId="16" xfId="0" applyNumberFormat="1" applyFont="1" applyFill="1" applyBorder="1" applyAlignment="1">
      <alignment horizontal="left"/>
    </xf>
    <xf numFmtId="49" fontId="2" fillId="2" borderId="17" xfId="0" applyNumberFormat="1" applyFont="1" applyFill="1" applyBorder="1" applyAlignment="1">
      <alignment horizontal="left" vertical="center"/>
    </xf>
    <xf numFmtId="49" fontId="4" fillId="2" borderId="16" xfId="0" applyNumberFormat="1" applyFont="1" applyFill="1" applyBorder="1"/>
    <xf numFmtId="0" fontId="4" fillId="2" borderId="16" xfId="0" applyFont="1" applyFill="1" applyBorder="1"/>
    <xf numFmtId="0" fontId="0" fillId="2" borderId="28" xfId="0" applyFill="1" applyBorder="1"/>
    <xf numFmtId="0" fontId="4" fillId="2" borderId="29" xfId="0" applyFont="1" applyFill="1" applyBorder="1"/>
    <xf numFmtId="0" fontId="0" fillId="2" borderId="29" xfId="0" applyFill="1" applyBorder="1"/>
    <xf numFmtId="0" fontId="5" fillId="2" borderId="16" xfId="0" applyFont="1" applyFill="1" applyBorder="1"/>
    <xf numFmtId="0" fontId="5" fillId="2" borderId="16" xfId="0" applyFont="1" applyFill="1" applyBorder="1" applyAlignment="1">
      <alignment wrapText="1"/>
    </xf>
    <xf numFmtId="0" fontId="5" fillId="2" borderId="19" xfId="0" applyFont="1" applyFill="1" applyBorder="1" applyAlignment="1">
      <alignment horizontal="center" vertical="center" wrapText="1"/>
    </xf>
    <xf numFmtId="0" fontId="5" fillId="2" borderId="16" xfId="0" applyFont="1" applyFill="1" applyBorder="1" applyAlignment="1">
      <alignment horizontal="center" vertical="center" wrapText="1"/>
    </xf>
    <xf numFmtId="49" fontId="0" fillId="2" borderId="16" xfId="0" applyNumberFormat="1" applyFill="1" applyBorder="1" applyAlignment="1">
      <alignment horizontal="left" vertical="center" wrapText="1"/>
    </xf>
    <xf numFmtId="0" fontId="6" fillId="2" borderId="16" xfId="0" applyFont="1" applyFill="1" applyBorder="1" applyAlignment="1">
      <alignment horizontal="left" vertical="center" wrapText="1"/>
    </xf>
    <xf numFmtId="0" fontId="5" fillId="2" borderId="17" xfId="0" applyFont="1" applyFill="1" applyBorder="1" applyAlignment="1">
      <alignment horizontal="center" vertical="center" wrapText="1"/>
    </xf>
    <xf numFmtId="49" fontId="6" fillId="2" borderId="16" xfId="0" applyNumberFormat="1" applyFont="1" applyFill="1" applyBorder="1" applyAlignment="1">
      <alignment horizontal="left" vertical="center" wrapText="1"/>
    </xf>
    <xf numFmtId="0" fontId="6" fillId="2" borderId="19" xfId="0" applyFont="1" applyFill="1" applyBorder="1" applyAlignment="1">
      <alignment horizontal="center"/>
    </xf>
    <xf numFmtId="49" fontId="0" fillId="2" borderId="16" xfId="0" applyNumberFormat="1" applyFill="1" applyBorder="1" applyAlignment="1">
      <alignment horizontal="left" vertical="center"/>
    </xf>
    <xf numFmtId="0" fontId="5" fillId="2" borderId="16" xfId="0" applyFont="1" applyFill="1" applyBorder="1" applyAlignment="1">
      <alignment horizontal="left" wrapText="1"/>
    </xf>
    <xf numFmtId="0" fontId="14" fillId="2" borderId="16" xfId="0" applyFont="1" applyFill="1" applyBorder="1" applyAlignment="1">
      <alignment horizontal="center"/>
    </xf>
    <xf numFmtId="1" fontId="6" fillId="2" borderId="16" xfId="0" applyNumberFormat="1" applyFont="1" applyFill="1" applyBorder="1" applyAlignment="1">
      <alignment horizontal="left" vertical="center"/>
    </xf>
    <xf numFmtId="0" fontId="5" fillId="2" borderId="19" xfId="0" applyFont="1" applyFill="1" applyBorder="1"/>
    <xf numFmtId="49" fontId="0" fillId="5" borderId="16" xfId="0" applyNumberFormat="1" applyFill="1" applyBorder="1" applyAlignment="1">
      <alignment vertical="center"/>
    </xf>
    <xf numFmtId="49" fontId="5" fillId="5" borderId="16" xfId="0" applyNumberFormat="1" applyFont="1" applyFill="1" applyBorder="1" applyAlignment="1">
      <alignment vertical="center"/>
    </xf>
    <xf numFmtId="49" fontId="5" fillId="5" borderId="19" xfId="0" applyNumberFormat="1" applyFont="1" applyFill="1" applyBorder="1" applyAlignment="1">
      <alignment horizontal="center" vertical="center"/>
    </xf>
    <xf numFmtId="0" fontId="0" fillId="2" borderId="16" xfId="0" applyFill="1" applyBorder="1" applyAlignment="1">
      <alignment horizontal="left" vertical="center" wrapText="1"/>
    </xf>
    <xf numFmtId="0" fontId="0" fillId="0" borderId="28" xfId="0" applyBorder="1"/>
    <xf numFmtId="49" fontId="2" fillId="6" borderId="11" xfId="0" applyNumberFormat="1" applyFont="1" applyFill="1" applyBorder="1" applyAlignment="1">
      <alignment vertical="top" wrapText="1"/>
    </xf>
    <xf numFmtId="49" fontId="2" fillId="6" borderId="12" xfId="0" applyNumberFormat="1" applyFont="1" applyFill="1" applyBorder="1" applyAlignment="1">
      <alignment horizontal="left" vertical="top" wrapText="1"/>
    </xf>
    <xf numFmtId="49" fontId="20" fillId="7" borderId="11" xfId="1" applyNumberFormat="1" applyFont="1" applyBorder="1" applyAlignment="1">
      <alignment horizontal="left" vertical="top" wrapText="1"/>
    </xf>
    <xf numFmtId="49" fontId="21" fillId="7" borderId="11" xfId="1" applyNumberFormat="1" applyFont="1" applyBorder="1" applyAlignment="1">
      <alignment horizontal="left" vertical="top" wrapText="1"/>
    </xf>
    <xf numFmtId="49" fontId="6" fillId="2" borderId="16" xfId="0" applyNumberFormat="1" applyFont="1" applyFill="1" applyBorder="1" applyAlignment="1">
      <alignment horizontal="center" vertical="center" wrapText="1"/>
    </xf>
    <xf numFmtId="0" fontId="6" fillId="2" borderId="19" xfId="0" applyFont="1" applyFill="1" applyBorder="1" applyAlignment="1">
      <alignment wrapText="1"/>
    </xf>
    <xf numFmtId="0" fontId="0" fillId="0" borderId="21" xfId="0" applyBorder="1" applyAlignment="1">
      <alignment wrapText="1"/>
    </xf>
    <xf numFmtId="0" fontId="0" fillId="0" borderId="24" xfId="0" applyBorder="1" applyAlignment="1">
      <alignment wrapText="1"/>
    </xf>
    <xf numFmtId="0" fontId="0" fillId="0" borderId="25" xfId="0" applyBorder="1" applyAlignment="1">
      <alignment wrapText="1"/>
    </xf>
    <xf numFmtId="0" fontId="0" fillId="0" borderId="0" xfId="0" applyAlignment="1">
      <alignment wrapText="1"/>
    </xf>
    <xf numFmtId="0" fontId="2" fillId="8" borderId="11" xfId="0" applyFont="1" applyFill="1" applyBorder="1" applyAlignment="1">
      <alignment horizontal="left" vertical="top" wrapText="1"/>
    </xf>
    <xf numFmtId="0" fontId="7" fillId="6" borderId="11" xfId="0" applyFont="1" applyFill="1" applyBorder="1" applyAlignment="1">
      <alignment vertical="top" wrapText="1"/>
    </xf>
    <xf numFmtId="49" fontId="19" fillId="6" borderId="11" xfId="2" applyNumberFormat="1" applyFill="1" applyBorder="1" applyAlignment="1">
      <alignment horizontal="left" vertical="top" wrapText="1"/>
    </xf>
    <xf numFmtId="0" fontId="23" fillId="2" borderId="19" xfId="0" applyFont="1" applyFill="1" applyBorder="1" applyAlignment="1">
      <alignment wrapText="1"/>
    </xf>
    <xf numFmtId="0" fontId="23" fillId="2" borderId="19" xfId="0" applyFont="1" applyFill="1" applyBorder="1" applyAlignment="1">
      <alignment horizontal="left" vertical="top"/>
    </xf>
    <xf numFmtId="49" fontId="2" fillId="2" borderId="16" xfId="0" applyNumberFormat="1" applyFont="1" applyFill="1" applyBorder="1" applyAlignment="1">
      <alignment horizontal="left"/>
    </xf>
    <xf numFmtId="49" fontId="5" fillId="2" borderId="16" xfId="0" applyNumberFormat="1" applyFont="1" applyFill="1" applyBorder="1" applyAlignment="1">
      <alignment horizontal="center"/>
    </xf>
    <xf numFmtId="0" fontId="6" fillId="2" borderId="16" xfId="0" applyFont="1" applyFill="1" applyBorder="1" applyAlignment="1">
      <alignment horizontal="center" vertical="center" wrapText="1"/>
    </xf>
    <xf numFmtId="49" fontId="23" fillId="2" borderId="16" xfId="0" applyNumberFormat="1" applyFont="1" applyFill="1" applyBorder="1" applyAlignment="1">
      <alignment horizontal="left" vertical="center" wrapText="1"/>
    </xf>
    <xf numFmtId="0" fontId="2" fillId="9" borderId="11" xfId="0" applyFont="1" applyFill="1" applyBorder="1" applyAlignment="1">
      <alignment horizontal="center" vertical="center" wrapText="1"/>
    </xf>
    <xf numFmtId="0" fontId="0" fillId="11" borderId="17" xfId="0" applyFill="1" applyBorder="1"/>
    <xf numFmtId="0" fontId="5" fillId="11" borderId="16" xfId="0" applyFont="1" applyFill="1" applyBorder="1"/>
    <xf numFmtId="49" fontId="23" fillId="11" borderId="16" xfId="0" applyNumberFormat="1" applyFont="1" applyFill="1" applyBorder="1" applyAlignment="1">
      <alignment horizontal="left" vertical="center" wrapText="1"/>
    </xf>
    <xf numFmtId="49" fontId="6" fillId="11" borderId="16" xfId="0" applyNumberFormat="1" applyFont="1" applyFill="1" applyBorder="1" applyAlignment="1">
      <alignment horizontal="left" vertical="center" wrapText="1"/>
    </xf>
    <xf numFmtId="0" fontId="6" fillId="11" borderId="16" xfId="0" applyFont="1" applyFill="1" applyBorder="1" applyAlignment="1">
      <alignment horizontal="center" vertical="center" wrapText="1"/>
    </xf>
    <xf numFmtId="14" fontId="2" fillId="11" borderId="19" xfId="0" applyNumberFormat="1" applyFont="1" applyFill="1" applyBorder="1" applyAlignment="1">
      <alignment horizontal="center" vertical="center" wrapText="1"/>
    </xf>
    <xf numFmtId="0" fontId="0" fillId="11" borderId="0" xfId="0" applyFill="1"/>
    <xf numFmtId="14" fontId="2" fillId="12" borderId="30" xfId="0" applyNumberFormat="1" applyFont="1" applyFill="1" applyBorder="1" applyAlignment="1">
      <alignment horizontal="center" vertical="center" wrapText="1"/>
    </xf>
    <xf numFmtId="0" fontId="24" fillId="10" borderId="31" xfId="0" applyFont="1" applyFill="1" applyBorder="1" applyAlignment="1">
      <alignment horizontal="center" vertical="center" wrapText="1"/>
    </xf>
    <xf numFmtId="0" fontId="24" fillId="13" borderId="31" xfId="0" applyFont="1" applyFill="1" applyBorder="1" applyAlignment="1">
      <alignment horizontal="center" vertical="center" wrapText="1"/>
    </xf>
    <xf numFmtId="0" fontId="24" fillId="14" borderId="31" xfId="0" applyFont="1" applyFill="1" applyBorder="1" applyAlignment="1">
      <alignment horizontal="center" vertical="center" wrapText="1"/>
    </xf>
    <xf numFmtId="49" fontId="23" fillId="6" borderId="11" xfId="0" applyNumberFormat="1" applyFont="1" applyFill="1" applyBorder="1" applyAlignment="1">
      <alignment vertical="top" wrapText="1"/>
    </xf>
    <xf numFmtId="0" fontId="26" fillId="0" borderId="0" xfId="0" applyFont="1" applyAlignment="1">
      <alignment vertical="center" wrapText="1"/>
    </xf>
    <xf numFmtId="0" fontId="23" fillId="2" borderId="16" xfId="0" applyFont="1" applyFill="1" applyBorder="1" applyAlignment="1">
      <alignment horizontal="left" wrapText="1"/>
    </xf>
    <xf numFmtId="0" fontId="2" fillId="2" borderId="7" xfId="0" applyFont="1" applyFill="1" applyBorder="1" applyAlignment="1">
      <alignment horizontal="left" vertical="top" wrapText="1"/>
    </xf>
    <xf numFmtId="0" fontId="2" fillId="6" borderId="17" xfId="0" applyFont="1" applyFill="1" applyBorder="1" applyAlignment="1">
      <alignment horizontal="left" vertical="top" wrapText="1"/>
    </xf>
    <xf numFmtId="0" fontId="19" fillId="6" borderId="11" xfId="2" applyFill="1" applyBorder="1" applyAlignment="1">
      <alignment horizontal="left" vertical="top" wrapText="1"/>
    </xf>
    <xf numFmtId="0" fontId="19" fillId="6" borderId="11" xfId="2" applyFill="1" applyBorder="1" applyAlignment="1">
      <alignment vertical="top" wrapText="1"/>
    </xf>
    <xf numFmtId="0" fontId="23" fillId="2" borderId="19" xfId="0" applyFont="1" applyFill="1" applyBorder="1" applyAlignment="1">
      <alignment horizontal="center" vertical="center" wrapText="1"/>
    </xf>
    <xf numFmtId="0" fontId="2" fillId="9" borderId="31" xfId="0" applyFont="1" applyFill="1" applyBorder="1" applyAlignment="1">
      <alignment horizontal="center" vertical="center" wrapText="1"/>
    </xf>
    <xf numFmtId="0" fontId="2" fillId="6" borderId="11" xfId="0" applyFont="1" applyFill="1" applyBorder="1" applyAlignment="1">
      <alignment horizontal="center" vertical="center" wrapText="1"/>
    </xf>
    <xf numFmtId="0" fontId="2" fillId="6" borderId="19" xfId="0" applyFont="1" applyFill="1" applyBorder="1" applyAlignment="1">
      <alignment horizontal="center" vertical="center" wrapText="1"/>
    </xf>
    <xf numFmtId="0" fontId="2" fillId="9" borderId="32" xfId="0" applyFont="1" applyFill="1" applyBorder="1" applyAlignment="1">
      <alignment horizontal="center" vertical="center" wrapText="1"/>
    </xf>
    <xf numFmtId="14" fontId="2" fillId="12" borderId="33" xfId="0" applyNumberFormat="1" applyFont="1" applyFill="1" applyBorder="1" applyAlignment="1">
      <alignment horizontal="center" vertical="center" wrapText="1"/>
    </xf>
    <xf numFmtId="49" fontId="2" fillId="6" borderId="32" xfId="0" applyNumberFormat="1" applyFont="1" applyFill="1" applyBorder="1" applyAlignment="1">
      <alignment vertical="top" wrapText="1"/>
    </xf>
    <xf numFmtId="0" fontId="2" fillId="6" borderId="32" xfId="0" applyFont="1" applyFill="1" applyBorder="1" applyAlignment="1">
      <alignment horizontal="left" vertical="top" wrapText="1"/>
    </xf>
    <xf numFmtId="49" fontId="2" fillId="6" borderId="32" xfId="0" applyNumberFormat="1" applyFont="1" applyFill="1" applyBorder="1" applyAlignment="1">
      <alignment horizontal="left" vertical="top" wrapText="1"/>
    </xf>
    <xf numFmtId="0" fontId="0" fillId="0" borderId="16" xfId="0" applyBorder="1"/>
    <xf numFmtId="49" fontId="8" fillId="6" borderId="32" xfId="0" applyNumberFormat="1" applyFont="1" applyFill="1" applyBorder="1" applyAlignment="1">
      <alignment horizontal="left" vertical="top" wrapText="1"/>
    </xf>
    <xf numFmtId="0" fontId="2" fillId="9" borderId="20" xfId="0" applyFont="1" applyFill="1" applyBorder="1" applyAlignment="1">
      <alignment horizontal="center" vertical="center" wrapText="1"/>
    </xf>
    <xf numFmtId="14" fontId="2" fillId="12" borderId="34" xfId="0" applyNumberFormat="1" applyFont="1" applyFill="1" applyBorder="1" applyAlignment="1">
      <alignment horizontal="center" vertical="center" wrapText="1"/>
    </xf>
    <xf numFmtId="49" fontId="2" fillId="6" borderId="20" xfId="0" applyNumberFormat="1" applyFont="1" applyFill="1" applyBorder="1" applyAlignment="1">
      <alignment vertical="top" wrapText="1"/>
    </xf>
    <xf numFmtId="49" fontId="2" fillId="6" borderId="20" xfId="0" applyNumberFormat="1" applyFont="1" applyFill="1" applyBorder="1" applyAlignment="1">
      <alignment horizontal="left" vertical="top" wrapText="1"/>
    </xf>
    <xf numFmtId="0" fontId="2" fillId="6" borderId="20" xfId="0" applyFont="1" applyFill="1" applyBorder="1" applyAlignment="1">
      <alignment horizontal="left" vertical="top" wrapText="1"/>
    </xf>
    <xf numFmtId="49" fontId="5" fillId="11" borderId="16" xfId="0" applyNumberFormat="1" applyFont="1" applyFill="1" applyBorder="1" applyAlignment="1">
      <alignment horizontal="center"/>
    </xf>
    <xf numFmtId="0" fontId="2" fillId="11" borderId="16" xfId="0" applyFont="1" applyFill="1" applyBorder="1" applyAlignment="1">
      <alignment horizontal="center" vertical="center" wrapText="1"/>
    </xf>
    <xf numFmtId="0" fontId="5" fillId="11" borderId="16" xfId="0" applyFont="1" applyFill="1" applyBorder="1" applyAlignment="1">
      <alignment horizontal="center" vertical="center" wrapText="1"/>
    </xf>
    <xf numFmtId="49" fontId="2" fillId="11" borderId="16" xfId="0" applyNumberFormat="1" applyFont="1" applyFill="1" applyBorder="1" applyAlignment="1">
      <alignment vertical="top" wrapText="1"/>
    </xf>
    <xf numFmtId="0" fontId="2" fillId="11" borderId="16" xfId="0" applyFont="1" applyFill="1" applyBorder="1" applyAlignment="1">
      <alignment horizontal="left" vertical="top" wrapText="1"/>
    </xf>
    <xf numFmtId="49" fontId="2" fillId="11" borderId="16" xfId="0" applyNumberFormat="1" applyFont="1" applyFill="1" applyBorder="1" applyAlignment="1">
      <alignment horizontal="left" vertical="top" wrapText="1"/>
    </xf>
    <xf numFmtId="0" fontId="0" fillId="11" borderId="16" xfId="0" applyFill="1" applyBorder="1"/>
    <xf numFmtId="49" fontId="8" fillId="11" borderId="16" xfId="0" applyNumberFormat="1" applyFont="1" applyFill="1" applyBorder="1" applyAlignment="1">
      <alignment horizontal="left" vertical="top" wrapText="1"/>
    </xf>
    <xf numFmtId="0" fontId="23" fillId="0" borderId="0" xfId="0" applyFont="1" applyAlignment="1">
      <alignment wrapText="1"/>
    </xf>
    <xf numFmtId="14" fontId="25" fillId="0" borderId="16" xfId="0" applyNumberFormat="1" applyFont="1" applyBorder="1"/>
    <xf numFmtId="49" fontId="25" fillId="2" borderId="16" xfId="0" applyNumberFormat="1" applyFont="1" applyFill="1" applyBorder="1" applyAlignment="1">
      <alignment horizontal="center"/>
    </xf>
    <xf numFmtId="49" fontId="5" fillId="2" borderId="7" xfId="0" applyNumberFormat="1" applyFont="1" applyFill="1" applyBorder="1" applyAlignment="1">
      <alignment horizontal="center" wrapText="1"/>
    </xf>
    <xf numFmtId="49" fontId="0" fillId="2" borderId="16" xfId="0" applyNumberFormat="1" applyFill="1" applyBorder="1" applyAlignment="1">
      <alignment wrapText="1"/>
    </xf>
    <xf numFmtId="49" fontId="5" fillId="2" borderId="16" xfId="0" applyNumberFormat="1" applyFont="1" applyFill="1" applyBorder="1" applyAlignment="1">
      <alignment horizontal="left" wrapText="1"/>
    </xf>
    <xf numFmtId="1" fontId="6" fillId="2" borderId="16" xfId="0" applyNumberFormat="1" applyFont="1" applyFill="1" applyBorder="1" applyAlignment="1">
      <alignment horizontal="left" vertical="center" wrapText="1"/>
    </xf>
    <xf numFmtId="49" fontId="23" fillId="2" borderId="16" xfId="0" applyNumberFormat="1" applyFont="1" applyFill="1" applyBorder="1" applyAlignment="1">
      <alignment horizontal="left" wrapText="1"/>
    </xf>
    <xf numFmtId="49" fontId="5" fillId="15" borderId="16" xfId="0" applyNumberFormat="1" applyFont="1" applyFill="1" applyBorder="1" applyAlignment="1">
      <alignment horizontal="center"/>
    </xf>
    <xf numFmtId="49" fontId="6" fillId="2" borderId="16" xfId="0" applyNumberFormat="1" applyFont="1" applyFill="1" applyBorder="1" applyAlignment="1">
      <alignment horizontal="center" vertical="center"/>
    </xf>
    <xf numFmtId="0" fontId="23" fillId="9" borderId="30" xfId="0" applyFont="1" applyFill="1" applyBorder="1" applyAlignment="1">
      <alignment wrapText="1"/>
    </xf>
    <xf numFmtId="49" fontId="1" fillId="6" borderId="32" xfId="0" applyNumberFormat="1" applyFont="1" applyFill="1" applyBorder="1" applyAlignment="1">
      <alignment vertical="top" wrapText="1"/>
    </xf>
    <xf numFmtId="49" fontId="5" fillId="17" borderId="16" xfId="0" applyNumberFormat="1" applyFont="1" applyFill="1" applyBorder="1" applyAlignment="1">
      <alignment horizontal="center"/>
    </xf>
    <xf numFmtId="49" fontId="1" fillId="6" borderId="11" xfId="0" applyNumberFormat="1" applyFont="1" applyFill="1" applyBorder="1" applyAlignment="1">
      <alignment vertical="top" wrapText="1"/>
    </xf>
    <xf numFmtId="49" fontId="27" fillId="6" borderId="11" xfId="2" applyNumberFormat="1" applyFont="1" applyFill="1" applyBorder="1" applyAlignment="1">
      <alignment horizontal="left" vertical="top" wrapText="1"/>
    </xf>
    <xf numFmtId="49" fontId="28" fillId="6" borderId="11" xfId="2" applyNumberFormat="1" applyFont="1" applyFill="1" applyBorder="1" applyAlignment="1">
      <alignment horizontal="left" vertical="top" wrapText="1"/>
    </xf>
    <xf numFmtId="0" fontId="28" fillId="6" borderId="11" xfId="2" applyFont="1" applyFill="1" applyBorder="1" applyAlignment="1">
      <alignment vertical="top" wrapText="1"/>
    </xf>
    <xf numFmtId="0" fontId="28" fillId="9" borderId="11" xfId="0" applyFont="1" applyFill="1" applyBorder="1" applyAlignment="1">
      <alignment horizontal="center" vertical="center" wrapText="1"/>
    </xf>
    <xf numFmtId="0" fontId="24" fillId="13" borderId="35" xfId="0" applyFont="1" applyFill="1" applyBorder="1" applyAlignment="1">
      <alignment horizontal="center" vertical="center" wrapText="1"/>
    </xf>
    <xf numFmtId="49" fontId="29" fillId="6" borderId="11" xfId="2" applyNumberFormat="1" applyFont="1" applyFill="1" applyBorder="1" applyAlignment="1">
      <alignment horizontal="left" vertical="top" wrapText="1"/>
    </xf>
    <xf numFmtId="0" fontId="2" fillId="6" borderId="16" xfId="0" applyFont="1" applyFill="1" applyBorder="1" applyAlignment="1">
      <alignment horizontal="left" vertical="top" wrapText="1"/>
    </xf>
    <xf numFmtId="0" fontId="24" fillId="18" borderId="31" xfId="0" applyFont="1" applyFill="1" applyBorder="1" applyAlignment="1">
      <alignment horizontal="center" vertical="center" wrapText="1"/>
    </xf>
    <xf numFmtId="0" fontId="24" fillId="18" borderId="35" xfId="0" applyFont="1" applyFill="1" applyBorder="1" applyAlignment="1">
      <alignment horizontal="center" vertical="center" wrapText="1"/>
    </xf>
    <xf numFmtId="0" fontId="2" fillId="6" borderId="11" xfId="0" applyFont="1" applyFill="1" applyBorder="1" applyAlignment="1">
      <alignment vertical="top" wrapText="1"/>
    </xf>
    <xf numFmtId="0" fontId="2" fillId="2" borderId="16" xfId="0" applyFont="1" applyFill="1" applyBorder="1" applyAlignment="1">
      <alignment horizontal="left" vertical="top" wrapText="1"/>
    </xf>
    <xf numFmtId="49" fontId="1" fillId="2" borderId="16" xfId="0" applyNumberFormat="1" applyFont="1" applyFill="1" applyBorder="1" applyAlignment="1">
      <alignment horizontal="left" vertical="top" wrapText="1"/>
    </xf>
    <xf numFmtId="49" fontId="2" fillId="2" borderId="16" xfId="0" applyNumberFormat="1" applyFont="1" applyFill="1" applyBorder="1" applyAlignment="1">
      <alignment horizontal="left" vertical="top" wrapText="1"/>
    </xf>
    <xf numFmtId="0" fontId="2" fillId="2" borderId="16" xfId="0" applyFont="1" applyFill="1" applyBorder="1" applyAlignment="1">
      <alignment horizontal="left" vertical="top" wrapText="1"/>
    </xf>
    <xf numFmtId="0" fontId="0" fillId="2" borderId="16" xfId="0" applyFill="1" applyBorder="1" applyAlignment="1">
      <alignment vertical="top" wrapText="1"/>
    </xf>
    <xf numFmtId="49" fontId="1" fillId="2" borderId="16" xfId="0" applyNumberFormat="1" applyFont="1" applyFill="1" applyBorder="1" applyAlignment="1">
      <alignment horizontal="left" vertical="top" wrapText="1"/>
    </xf>
    <xf numFmtId="0" fontId="1" fillId="2" borderId="16" xfId="0" applyFont="1" applyFill="1" applyBorder="1" applyAlignment="1">
      <alignment horizontal="left" vertical="top" wrapText="1"/>
    </xf>
    <xf numFmtId="0" fontId="0" fillId="11" borderId="18" xfId="0" applyFill="1" applyBorder="1"/>
    <xf numFmtId="0" fontId="2" fillId="6" borderId="38" xfId="0" applyFont="1" applyFill="1" applyBorder="1" applyAlignment="1">
      <alignment horizontal="left" vertical="top" wrapText="1"/>
    </xf>
    <xf numFmtId="0" fontId="2" fillId="8" borderId="11" xfId="0" applyFont="1" applyFill="1" applyBorder="1" applyAlignment="1">
      <alignment horizontal="center" vertical="center" wrapText="1"/>
    </xf>
    <xf numFmtId="0" fontId="0" fillId="6" borderId="11" xfId="0" applyFill="1" applyBorder="1" applyAlignment="1">
      <alignment horizontal="center" vertical="center" wrapText="1"/>
    </xf>
    <xf numFmtId="49" fontId="2" fillId="6" borderId="11" xfId="0" applyNumberFormat="1" applyFont="1" applyFill="1" applyBorder="1" applyAlignment="1">
      <alignment horizontal="center" vertical="center" wrapText="1"/>
    </xf>
    <xf numFmtId="0" fontId="2" fillId="6" borderId="12" xfId="0" applyFont="1" applyFill="1" applyBorder="1" applyAlignment="1">
      <alignment horizontal="center" vertical="center" wrapText="1"/>
    </xf>
    <xf numFmtId="0" fontId="2" fillId="2" borderId="12" xfId="0" applyFont="1" applyFill="1" applyBorder="1" applyAlignment="1">
      <alignment horizontal="center" vertical="center" wrapText="1"/>
    </xf>
    <xf numFmtId="0" fontId="23" fillId="9" borderId="30" xfId="0" applyFont="1" applyFill="1" applyBorder="1" applyAlignment="1">
      <alignment horizontal="center" vertical="center" wrapText="1"/>
    </xf>
    <xf numFmtId="0" fontId="23" fillId="16" borderId="30" xfId="0" applyFont="1" applyFill="1" applyBorder="1" applyAlignment="1">
      <alignment horizontal="center" vertical="center" wrapText="1"/>
    </xf>
    <xf numFmtId="0" fontId="23" fillId="9" borderId="37" xfId="0" applyFont="1" applyFill="1" applyBorder="1" applyAlignment="1">
      <alignment horizontal="center" vertical="center" wrapText="1"/>
    </xf>
    <xf numFmtId="0" fontId="23" fillId="9" borderId="36" xfId="0" applyFont="1" applyFill="1" applyBorder="1" applyAlignment="1">
      <alignment horizontal="center" vertical="center" wrapText="1"/>
    </xf>
    <xf numFmtId="0" fontId="23" fillId="9" borderId="16" xfId="0" applyFont="1" applyFill="1" applyBorder="1" applyAlignment="1">
      <alignment horizontal="center" vertical="center" wrapText="1"/>
    </xf>
    <xf numFmtId="0" fontId="2" fillId="6" borderId="38" xfId="0" applyFont="1" applyFill="1" applyBorder="1" applyAlignment="1">
      <alignment horizontal="center" vertical="center" wrapText="1"/>
    </xf>
    <xf numFmtId="1" fontId="6" fillId="2" borderId="16" xfId="0" applyNumberFormat="1" applyFont="1" applyFill="1" applyBorder="1" applyAlignment="1">
      <alignment horizontal="center" vertical="center"/>
    </xf>
    <xf numFmtId="0" fontId="2" fillId="8" borderId="31" xfId="0" applyFont="1" applyFill="1" applyBorder="1" applyAlignment="1">
      <alignment horizontal="center" vertical="center" wrapText="1"/>
    </xf>
    <xf numFmtId="0" fontId="2" fillId="6" borderId="31" xfId="0" applyFont="1" applyFill="1" applyBorder="1" applyAlignment="1">
      <alignment horizontal="center" vertical="center" wrapText="1"/>
    </xf>
    <xf numFmtId="0" fontId="2" fillId="8" borderId="38" xfId="0" applyFont="1" applyFill="1" applyBorder="1" applyAlignment="1">
      <alignment horizontal="left" vertical="top" wrapText="1"/>
    </xf>
    <xf numFmtId="0" fontId="2" fillId="2" borderId="30" xfId="0" applyFont="1" applyFill="1" applyBorder="1" applyAlignment="1">
      <alignment horizontal="center" vertical="center" wrapText="1"/>
    </xf>
    <xf numFmtId="0" fontId="5" fillId="2" borderId="30" xfId="0" applyFont="1" applyFill="1" applyBorder="1" applyAlignment="1">
      <alignment horizontal="center" vertical="center" wrapText="1"/>
    </xf>
    <xf numFmtId="0" fontId="2" fillId="8" borderId="30" xfId="0" applyFont="1" applyFill="1" applyBorder="1" applyAlignment="1">
      <alignment horizontal="center" vertical="center" wrapText="1"/>
    </xf>
    <xf numFmtId="0" fontId="2" fillId="6" borderId="30" xfId="0" applyFont="1" applyFill="1" applyBorder="1" applyAlignment="1">
      <alignment horizontal="center" vertical="center" wrapText="1"/>
    </xf>
    <xf numFmtId="0" fontId="0" fillId="0" borderId="30" xfId="0" applyBorder="1" applyAlignment="1">
      <alignment horizontal="center" vertical="center"/>
    </xf>
    <xf numFmtId="49" fontId="0" fillId="6" borderId="30" xfId="0" applyNumberFormat="1" applyFill="1" applyBorder="1" applyAlignment="1">
      <alignment horizontal="center" vertical="center" wrapText="1"/>
    </xf>
    <xf numFmtId="0" fontId="23" fillId="16" borderId="30" xfId="0" applyFont="1" applyFill="1" applyBorder="1" applyAlignment="1">
      <alignment horizontal="center" vertical="center"/>
    </xf>
    <xf numFmtId="14" fontId="31" fillId="0" borderId="16" xfId="0" applyNumberFormat="1" applyFont="1" applyBorder="1" applyAlignment="1">
      <alignment horizontal="center"/>
    </xf>
    <xf numFmtId="0" fontId="31" fillId="0" borderId="16" xfId="0" applyFont="1" applyBorder="1" applyAlignment="1">
      <alignment horizontal="center"/>
    </xf>
    <xf numFmtId="0" fontId="5" fillId="11" borderId="39" xfId="0" applyFont="1" applyFill="1" applyBorder="1"/>
    <xf numFmtId="0" fontId="30" fillId="11" borderId="40" xfId="0" applyFont="1" applyFill="1" applyBorder="1"/>
    <xf numFmtId="0" fontId="2" fillId="8" borderId="41" xfId="0" applyFont="1" applyFill="1" applyBorder="1" applyAlignment="1">
      <alignment horizontal="center" vertical="center" wrapText="1"/>
    </xf>
    <xf numFmtId="0" fontId="0" fillId="0" borderId="40" xfId="0" applyBorder="1"/>
    <xf numFmtId="0" fontId="5" fillId="0" borderId="40" xfId="0" applyFont="1" applyBorder="1" applyAlignment="1">
      <alignment horizontal="center"/>
    </xf>
    <xf numFmtId="0" fontId="0" fillId="0" borderId="42" xfId="0" applyBorder="1"/>
    <xf numFmtId="0" fontId="0" fillId="11" borderId="43" xfId="0" applyFill="1" applyBorder="1"/>
    <xf numFmtId="0" fontId="0" fillId="0" borderId="44" xfId="0" applyBorder="1"/>
    <xf numFmtId="49" fontId="5" fillId="11" borderId="43" xfId="0" applyNumberFormat="1" applyFont="1" applyFill="1" applyBorder="1"/>
    <xf numFmtId="14" fontId="0" fillId="0" borderId="16" xfId="0" applyNumberFormat="1" applyBorder="1"/>
    <xf numFmtId="0" fontId="0" fillId="11" borderId="44" xfId="0" applyFill="1" applyBorder="1"/>
    <xf numFmtId="49" fontId="2" fillId="6" borderId="45" xfId="0" applyNumberFormat="1" applyFont="1" applyFill="1" applyBorder="1" applyAlignment="1">
      <alignment vertical="top" wrapText="1"/>
    </xf>
    <xf numFmtId="49" fontId="2" fillId="6" borderId="45" xfId="0" applyNumberFormat="1" applyFont="1" applyFill="1" applyBorder="1" applyAlignment="1">
      <alignment horizontal="left" vertical="top" wrapText="1"/>
    </xf>
    <xf numFmtId="49" fontId="28" fillId="6" borderId="45" xfId="2" applyNumberFormat="1" applyFont="1" applyFill="1" applyBorder="1" applyAlignment="1">
      <alignment horizontal="left" vertical="top" wrapText="1"/>
    </xf>
    <xf numFmtId="0" fontId="2" fillId="0" borderId="16" xfId="0" applyFont="1" applyBorder="1"/>
    <xf numFmtId="0" fontId="2" fillId="6" borderId="45" xfId="0" applyFont="1" applyFill="1" applyBorder="1" applyAlignment="1">
      <alignment horizontal="left" vertical="top" wrapText="1"/>
    </xf>
    <xf numFmtId="0" fontId="0" fillId="11" borderId="46" xfId="0" applyFill="1" applyBorder="1"/>
    <xf numFmtId="0" fontId="0" fillId="11" borderId="47" xfId="0" applyFill="1" applyBorder="1"/>
    <xf numFmtId="0" fontId="2" fillId="2" borderId="48" xfId="0" applyFont="1" applyFill="1" applyBorder="1" applyAlignment="1">
      <alignment horizontal="left" vertical="top" wrapText="1"/>
    </xf>
    <xf numFmtId="0" fontId="2" fillId="6" borderId="48" xfId="0" applyFont="1" applyFill="1" applyBorder="1" applyAlignment="1">
      <alignment horizontal="left" vertical="top" wrapText="1"/>
    </xf>
    <xf numFmtId="0" fontId="23" fillId="9" borderId="49" xfId="0" applyFont="1" applyFill="1" applyBorder="1" applyAlignment="1">
      <alignment wrapText="1"/>
    </xf>
    <xf numFmtId="0" fontId="2" fillId="6" borderId="50" xfId="0" applyFont="1" applyFill="1" applyBorder="1" applyAlignment="1">
      <alignment horizontal="left" vertical="top" wrapText="1"/>
    </xf>
    <xf numFmtId="0" fontId="2" fillId="2" borderId="49" xfId="0" applyFont="1" applyFill="1" applyBorder="1" applyAlignment="1">
      <alignment horizontal="left" vertical="top" wrapText="1"/>
    </xf>
    <xf numFmtId="0" fontId="0" fillId="0" borderId="49" xfId="0" applyBorder="1"/>
    <xf numFmtId="0" fontId="2" fillId="6" borderId="49" xfId="0" applyFont="1" applyFill="1" applyBorder="1" applyAlignment="1">
      <alignment horizontal="left" vertical="top" wrapText="1"/>
    </xf>
    <xf numFmtId="0" fontId="0" fillId="11" borderId="51" xfId="0" applyFill="1" applyBorder="1"/>
    <xf numFmtId="0" fontId="0" fillId="2" borderId="52" xfId="0" applyFill="1" applyBorder="1"/>
    <xf numFmtId="1" fontId="6" fillId="2" borderId="52" xfId="0" applyNumberFormat="1" applyFont="1" applyFill="1" applyBorder="1" applyAlignment="1">
      <alignment horizontal="left" vertical="center" wrapText="1"/>
    </xf>
    <xf numFmtId="49" fontId="6" fillId="2" borderId="52" xfId="0" applyNumberFormat="1" applyFont="1" applyFill="1" applyBorder="1" applyAlignment="1">
      <alignment horizontal="left" vertical="center" wrapText="1"/>
    </xf>
    <xf numFmtId="49" fontId="6" fillId="2" borderId="52" xfId="0" applyNumberFormat="1" applyFont="1" applyFill="1" applyBorder="1" applyAlignment="1">
      <alignment horizontal="center" vertical="center"/>
    </xf>
    <xf numFmtId="0" fontId="23" fillId="9" borderId="53" xfId="0" applyFont="1" applyFill="1" applyBorder="1" applyAlignment="1">
      <alignment horizontal="center" vertical="center" wrapText="1"/>
    </xf>
    <xf numFmtId="0" fontId="23" fillId="9" borderId="53" xfId="0" applyFont="1" applyFill="1" applyBorder="1" applyAlignment="1">
      <alignment horizontal="left" vertical="center" wrapText="1"/>
    </xf>
    <xf numFmtId="49" fontId="25" fillId="8" borderId="55" xfId="0" applyNumberFormat="1" applyFont="1" applyFill="1" applyBorder="1" applyAlignment="1">
      <alignment horizontal="left" vertical="top" wrapText="1"/>
    </xf>
    <xf numFmtId="49" fontId="25" fillId="8" borderId="41" xfId="0" applyNumberFormat="1" applyFont="1" applyFill="1" applyBorder="1" applyAlignment="1">
      <alignment horizontal="left" vertical="top" wrapText="1"/>
    </xf>
    <xf numFmtId="49" fontId="32" fillId="8" borderId="41" xfId="0" applyNumberFormat="1" applyFont="1" applyFill="1" applyBorder="1" applyAlignment="1">
      <alignment vertical="top" wrapText="1"/>
    </xf>
    <xf numFmtId="49" fontId="25" fillId="8" borderId="41" xfId="0" applyNumberFormat="1" applyFont="1" applyFill="1" applyBorder="1" applyAlignment="1">
      <alignment vertical="top" wrapText="1"/>
    </xf>
    <xf numFmtId="49" fontId="32" fillId="8" borderId="41" xfId="1" applyNumberFormat="1" applyFont="1" applyFill="1" applyBorder="1" applyAlignment="1">
      <alignment horizontal="left" vertical="top" wrapText="1"/>
    </xf>
    <xf numFmtId="49" fontId="25" fillId="6" borderId="41" xfId="0" applyNumberFormat="1" applyFont="1" applyFill="1" applyBorder="1" applyAlignment="1">
      <alignment vertical="top" wrapText="1"/>
    </xf>
    <xf numFmtId="0" fontId="25" fillId="6" borderId="41" xfId="0" applyFont="1" applyFill="1" applyBorder="1" applyAlignment="1">
      <alignment vertical="top" wrapText="1"/>
    </xf>
    <xf numFmtId="0" fontId="25" fillId="6" borderId="56" xfId="0" applyFont="1" applyFill="1" applyBorder="1" applyAlignment="1">
      <alignment vertical="top" wrapText="1"/>
    </xf>
    <xf numFmtId="0" fontId="2" fillId="2" borderId="58" xfId="0" applyFont="1" applyFill="1" applyBorder="1" applyAlignment="1">
      <alignment horizontal="left" vertical="top" wrapText="1"/>
    </xf>
    <xf numFmtId="0" fontId="2" fillId="8" borderId="57" xfId="0" applyFont="1" applyFill="1" applyBorder="1" applyAlignment="1">
      <alignment horizontal="center" vertical="center" wrapText="1"/>
    </xf>
    <xf numFmtId="0" fontId="2" fillId="2" borderId="47" xfId="0" applyFont="1" applyFill="1" applyBorder="1" applyAlignment="1">
      <alignment horizontal="center" vertical="center" wrapText="1"/>
    </xf>
    <xf numFmtId="0" fontId="23" fillId="16" borderId="43" xfId="0" applyFont="1" applyFill="1" applyBorder="1" applyAlignment="1">
      <alignment horizontal="center" vertical="center"/>
    </xf>
    <xf numFmtId="0" fontId="23" fillId="9" borderId="59" xfId="0" applyFont="1" applyFill="1" applyBorder="1" applyAlignment="1">
      <alignment horizontal="center" vertical="center" wrapText="1"/>
    </xf>
    <xf numFmtId="0" fontId="23" fillId="9" borderId="60" xfId="0" applyFont="1" applyFill="1" applyBorder="1" applyAlignment="1">
      <alignment horizontal="center" vertical="center" wrapText="1"/>
    </xf>
    <xf numFmtId="0" fontId="23" fillId="9" borderId="49" xfId="0" applyFont="1" applyFill="1" applyBorder="1" applyAlignment="1">
      <alignment horizontal="center" vertical="center" wrapText="1"/>
    </xf>
    <xf numFmtId="0" fontId="2" fillId="8" borderId="61" xfId="0" applyFont="1" applyFill="1" applyBorder="1" applyAlignment="1">
      <alignment horizontal="center" vertical="center" wrapText="1"/>
    </xf>
    <xf numFmtId="0" fontId="2" fillId="2" borderId="60" xfId="0" applyFont="1" applyFill="1" applyBorder="1" applyAlignment="1">
      <alignment horizontal="center" vertical="center" wrapText="1"/>
    </xf>
    <xf numFmtId="0" fontId="2" fillId="8" borderId="60" xfId="0" applyFont="1" applyFill="1" applyBorder="1" applyAlignment="1">
      <alignment horizontal="center" vertical="center" wrapText="1"/>
    </xf>
    <xf numFmtId="0" fontId="23" fillId="9" borderId="62" xfId="0" applyFont="1" applyFill="1" applyBorder="1" applyAlignment="1">
      <alignment horizontal="center" vertical="center" wrapText="1"/>
    </xf>
    <xf numFmtId="0" fontId="23" fillId="9" borderId="54" xfId="0" applyFont="1" applyFill="1" applyBorder="1" applyAlignment="1">
      <alignment horizontal="center" vertical="center" wrapText="1"/>
    </xf>
  </cellXfs>
  <cellStyles count="3">
    <cellStyle name="Bad" xfId="1" builtinId="27"/>
    <cellStyle name="Hyperlink" xfId="2" builtinId="8"/>
    <cellStyle name="Normal" xfId="0" builtinId="0"/>
  </cellStyles>
  <dxfs count="1">
    <dxf>
      <font>
        <color theme="0"/>
      </font>
      <fill>
        <patternFill>
          <bgColor rgb="FFFF0000"/>
        </patternFill>
      </fill>
    </dxf>
  </dxfs>
  <tableStyles count="0"/>
  <colors>
    <indexedColors>
      <rgbColor rgb="FF000000"/>
      <rgbColor rgb="FFFFFFFF"/>
      <rgbColor rgb="FFFF0000"/>
      <rgbColor rgb="FF00FF00"/>
      <rgbColor rgb="FF0000FF"/>
      <rgbColor rgb="FFFFFF00"/>
      <rgbColor rgb="FFFF00FF"/>
      <rgbColor rgb="FF00FFFF"/>
      <rgbColor rgb="FF000000"/>
      <rgbColor rgb="FFFFFFFF"/>
      <rgbColor rgb="FFAAAAAA"/>
      <rgbColor rgb="FF0563C1"/>
      <rgbColor rgb="FFFBE4D5"/>
      <rgbColor rgb="FFC5DEB5"/>
      <rgbColor rgb="FFFFE598"/>
      <rgbColor rgb="FFFFF2CB"/>
      <rgbColor rgb="FF6A6A6A"/>
      <rgbColor rgb="FF551A8B"/>
      <rgbColor rgb="FF535353"/>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hyperlink" Target="https://www.google.com/url?sa=i&amp;source=images&amp;cd=&amp;ved=2ahUKEwj00cSw6ZHhAhVMJBoKHa_sBeoQjRx6BAgBEAU&amp;url=https%3A%2F%2Fwww.slideshare.net%2Fwatradehub%2Flmc-shea-2013-updated-march-3&amp;psig=AOvVaw3mwFJOld8TlUrJqfLLXtOG&amp;ust=1553209126522937" TargetMode="External"/></Relationships>
</file>

<file path=xl/drawings/_rels/drawing3.xml.rels><?xml version="1.0" encoding="UTF-8" standalone="yes"?>
<Relationships xmlns="http://schemas.openxmlformats.org/package/2006/relationships"><Relationship Id="rId1" Type="http://schemas.openxmlformats.org/officeDocument/2006/relationships/image" Target="../media/image4.emf"/></Relationships>
</file>

<file path=xl/drawings/_rels/drawing4.xml.rels><?xml version="1.0" encoding="UTF-8" standalone="yes"?>
<Relationships xmlns="http://schemas.openxmlformats.org/package/2006/relationships"><Relationship Id="rId1" Type="http://schemas.openxmlformats.org/officeDocument/2006/relationships/image" Target="../media/image5.gif"/></Relationships>
</file>

<file path=xl/drawings/_rels/drawing5.x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0</xdr:col>
      <xdr:colOff>42333</xdr:colOff>
      <xdr:row>0</xdr:row>
      <xdr:rowOff>0</xdr:rowOff>
    </xdr:from>
    <xdr:to>
      <xdr:col>1</xdr:col>
      <xdr:colOff>2032000</xdr:colOff>
      <xdr:row>1</xdr:row>
      <xdr:rowOff>348544</xdr:rowOff>
    </xdr:to>
    <xdr:pic>
      <xdr:nvPicPr>
        <xdr:cNvPr id="2" name="image1.jpeg" descr="Irbaris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42332" y="0"/>
          <a:ext cx="2180168" cy="624770"/>
        </a:xfrm>
        <a:prstGeom prst="rect">
          <a:avLst/>
        </a:prstGeom>
        <a:ln w="12700" cap="flat">
          <a:noFill/>
          <a:miter lim="400000"/>
        </a:ln>
        <a:effec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209550</xdr:colOff>
      <xdr:row>17</xdr:row>
      <xdr:rowOff>123825</xdr:rowOff>
    </xdr:to>
    <xdr:pic>
      <xdr:nvPicPr>
        <xdr:cNvPr id="2" name="Picture 1" descr="Related image">
          <a:hlinkClick xmlns:r="http://schemas.openxmlformats.org/officeDocument/2006/relationships" r:id="rId1" tgtFrame="_blank"/>
          <a:extLst>
            <a:ext uri="{FF2B5EF4-FFF2-40B4-BE49-F238E27FC236}">
              <a16:creationId xmlns:a16="http://schemas.microsoft.com/office/drawing/2014/main" id="{F9CB3531-88AC-403C-93B9-1A9EC3BCE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0"/>
          <a:ext cx="4476750" cy="3362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14</xdr:row>
      <xdr:rowOff>0</xdr:rowOff>
    </xdr:from>
    <xdr:to>
      <xdr:col>8</xdr:col>
      <xdr:colOff>304800</xdr:colOff>
      <xdr:row>15</xdr:row>
      <xdr:rowOff>114300</xdr:rowOff>
    </xdr:to>
    <xdr:sp macro="" textlink="">
      <xdr:nvSpPr>
        <xdr:cNvPr id="5122" name="AutoShape 2" descr="Image result for Shea prices Burkina">
          <a:extLst>
            <a:ext uri="{FF2B5EF4-FFF2-40B4-BE49-F238E27FC236}">
              <a16:creationId xmlns:a16="http://schemas.microsoft.com/office/drawing/2014/main" id="{72BE03D6-2067-4870-AEA2-FB2EC7510AEF}"/>
            </a:ext>
          </a:extLst>
        </xdr:cNvPr>
        <xdr:cNvSpPr>
          <a:spLocks noChangeAspect="1" noChangeArrowheads="1"/>
        </xdr:cNvSpPr>
      </xdr:nvSpPr>
      <xdr:spPr bwMode="auto">
        <a:xfrm>
          <a:off x="4876800" y="2667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314325</xdr:colOff>
      <xdr:row>1</xdr:row>
      <xdr:rowOff>57150</xdr:rowOff>
    </xdr:from>
    <xdr:to>
      <xdr:col>18</xdr:col>
      <xdr:colOff>180975</xdr:colOff>
      <xdr:row>47</xdr:row>
      <xdr:rowOff>0</xdr:rowOff>
    </xdr:to>
    <xdr:pic>
      <xdr:nvPicPr>
        <xdr:cNvPr id="5" name="Picture 4" descr="Shea nut value chain from western Burkina Faso. Volumes of shea nuts are in tons for the marketing year 2012–13. IOF and Ghana Specialty Fats did not process shea in 2012–13. (Source: Author’s survey, 2013.)">
          <a:extLst>
            <a:ext uri="{FF2B5EF4-FFF2-40B4-BE49-F238E27FC236}">
              <a16:creationId xmlns:a16="http://schemas.microsoft.com/office/drawing/2014/main" id="{BB35607B-6D68-4459-B045-2CDFAD30006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191125" y="247650"/>
          <a:ext cx="5962650" cy="87058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2960914</xdr:colOff>
      <xdr:row>22</xdr:row>
      <xdr:rowOff>244929</xdr:rowOff>
    </xdr:from>
    <xdr:to>
      <xdr:col>11</xdr:col>
      <xdr:colOff>312964</xdr:colOff>
      <xdr:row>22</xdr:row>
      <xdr:rowOff>775608</xdr:rowOff>
    </xdr:to>
    <xdr:pic>
      <xdr:nvPicPr>
        <xdr:cNvPr id="2" name="Picture 1">
          <a:extLst>
            <a:ext uri="{FF2B5EF4-FFF2-40B4-BE49-F238E27FC236}">
              <a16:creationId xmlns:a16="http://schemas.microsoft.com/office/drawing/2014/main" id="{E898D58A-3F0A-44BB-AAEA-671206711847}"/>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5000514" y="12703629"/>
          <a:ext cx="3409950" cy="530679"/>
        </a:xfrm>
        <a:prstGeom prst="rect">
          <a:avLst/>
        </a:prstGeom>
        <a:noFill/>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10</xdr:col>
      <xdr:colOff>85725</xdr:colOff>
      <xdr:row>20</xdr:row>
      <xdr:rowOff>95250</xdr:rowOff>
    </xdr:to>
    <xdr:pic>
      <xdr:nvPicPr>
        <xdr:cNvPr id="2" name="Picture 1" descr="http://www.iofltd.com/images/stories/processes.gif">
          <a:extLst>
            <a:ext uri="{FF2B5EF4-FFF2-40B4-BE49-F238E27FC236}">
              <a16:creationId xmlns:a16="http://schemas.microsoft.com/office/drawing/2014/main" id="{1D856E88-4812-4DC4-A026-77DADF66D87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90500"/>
          <a:ext cx="6181725" cy="3714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6086475</xdr:colOff>
      <xdr:row>10</xdr:row>
      <xdr:rowOff>247650</xdr:rowOff>
    </xdr:from>
    <xdr:to>
      <xdr:col>7</xdr:col>
      <xdr:colOff>586468</xdr:colOff>
      <xdr:row>11</xdr:row>
      <xdr:rowOff>292554</xdr:rowOff>
    </xdr:to>
    <xdr:pic>
      <xdr:nvPicPr>
        <xdr:cNvPr id="2" name="Picture 1">
          <a:extLst>
            <a:ext uri="{FF2B5EF4-FFF2-40B4-BE49-F238E27FC236}">
              <a16:creationId xmlns:a16="http://schemas.microsoft.com/office/drawing/2014/main" id="{9E43C1F9-E857-4405-81D1-3ABBF66C2807}"/>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953625" y="4514850"/>
          <a:ext cx="3415393" cy="530679"/>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a:ea typeface="Helvetica"/>
        <a:cs typeface="Helvetica"/>
      </a:majorFont>
      <a:minorFont>
        <a:latin typeface="Helvetica"/>
        <a:ea typeface="Helvetica"/>
        <a:cs typeface="Helvetica"/>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mailto:sam@justrealingredients.com" TargetMode="External"/><Relationship Id="rId1" Type="http://schemas.openxmlformats.org/officeDocument/2006/relationships/hyperlink" Target="mailto:david.lyon@irbaris.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www.mitsui.com/" TargetMode="External"/><Relationship Id="rId18" Type="http://schemas.openxmlformats.org/officeDocument/2006/relationships/hyperlink" Target="https://uk.lush.com/products/soaps.%20&#160;Tel:%2001202%20668545" TargetMode="External"/><Relationship Id="rId26" Type="http://schemas.openxmlformats.org/officeDocument/2006/relationships/hyperlink" Target="http://www.barry-callebaut.com/" TargetMode="External"/><Relationship Id="rId39" Type="http://schemas.openxmlformats.org/officeDocument/2006/relationships/hyperlink" Target="https://www.kao.com/jp/&#12288;&#160;http:/elinchow.blogspot.com/2014/03/review-kao-essential-nuance-airy-ultra.html.&#160;https:/www.curel.com/en-ca/products/foot-therapy-cream/" TargetMode="External"/><Relationship Id="rId21" Type="http://schemas.openxmlformats.org/officeDocument/2006/relationships/hyperlink" Target="https://www.mitsui.com/jp/en/ir/library/report/__icsFiles/afieldfile/2018/09/10/en_6_Our_Business.pdf" TargetMode="External"/><Relationship Id="rId34" Type="http://schemas.openxmlformats.org/officeDocument/2006/relationships/hyperlink" Target="https://www.aromanaturals.com/" TargetMode="External"/><Relationship Id="rId42" Type="http://schemas.openxmlformats.org/officeDocument/2006/relationships/hyperlink" Target="https://www.auroracos.com/cosmetics-manufacturer/.%20&#160;T.%20+86%20021-53073873%20&#160;E.%20Info@auroracos.com" TargetMode="External"/><Relationship Id="rId47" Type="http://schemas.openxmlformats.org/officeDocument/2006/relationships/hyperlink" Target="https://prismologie.com.&#160;info@prismologie.com&#160;info@prismologie.com.&#160;" TargetMode="External"/><Relationship Id="rId50" Type="http://schemas.openxmlformats.org/officeDocument/2006/relationships/hyperlink" Target="mailto:Yannic.Sommer@lamotte-oils.de;%20Phone:%20+49%20421%205239-46104" TargetMode="External"/><Relationship Id="rId55" Type="http://schemas.openxmlformats.org/officeDocument/2006/relationships/hyperlink" Target="mailto:kford@hallstar.com%20&#160;www.hallstar.com%20+312%20554%207440" TargetMode="External"/><Relationship Id="rId63" Type="http://schemas.openxmlformats.org/officeDocument/2006/relationships/hyperlink" Target="http://www.fourchem.co.za%20&#160;warren@fourchem.co.za&#160;" TargetMode="External"/><Relationship Id="rId7" Type="http://schemas.openxmlformats.org/officeDocument/2006/relationships/hyperlink" Target="https://www.mars.com/global/home" TargetMode="External"/><Relationship Id="rId2" Type="http://schemas.openxmlformats.org/officeDocument/2006/relationships/hyperlink" Target="mailto:palm@olamnet.com" TargetMode="External"/><Relationship Id="rId16" Type="http://schemas.openxmlformats.org/officeDocument/2006/relationships/hyperlink" Target="https://www.thebodyshop.com/" TargetMode="External"/><Relationship Id="rId20" Type="http://schemas.openxmlformats.org/officeDocument/2006/relationships/hyperlink" Target="http://news.com/" TargetMode="External"/><Relationship Id="rId29" Type="http://schemas.openxmlformats.org/officeDocument/2006/relationships/hyperlink" Target="http://fff.co.in/ghana.php" TargetMode="External"/><Relationship Id="rId41" Type="http://schemas.openxmlformats.org/officeDocument/2006/relationships/hyperlink" Target="https://www.po-holdings.co.jp/en/aboutus/company/index.html.%20&#160;&#160;https:/www.jurlique.com.au/help/contact.%20&#160;https:/www.h2oplus.com/catalogsearch/result/?q=shea.%20&#160;https://h2oplus.desk.com/customer/portal/emails/new" TargetMode="External"/><Relationship Id="rId54" Type="http://schemas.openxmlformats.org/officeDocument/2006/relationships/hyperlink" Target="mailto:chris.liberge@interfat.com%20www.interfat.com%20&#160;+34%2093%20416%2009%2022" TargetMode="External"/><Relationship Id="rId62" Type="http://schemas.openxmlformats.org/officeDocument/2006/relationships/hyperlink" Target="http://www.isfsb.com.my/%0a%20isf@isfpk.com.my%0aTel:%20+60-3-3176%203050" TargetMode="External"/><Relationship Id="rId1" Type="http://schemas.openxmlformats.org/officeDocument/2006/relationships/hyperlink" Target="mailto:csr@ferrero.com" TargetMode="External"/><Relationship Id="rId6" Type="http://schemas.openxmlformats.org/officeDocument/2006/relationships/hyperlink" Target="http://www.mondelezinternational.com/" TargetMode="External"/><Relationship Id="rId11" Type="http://schemas.openxmlformats.org/officeDocument/2006/relationships/hyperlink" Target="http://www.wilmar-international.com/" TargetMode="External"/><Relationship Id="rId24" Type="http://schemas.openxmlformats.org/officeDocument/2006/relationships/hyperlink" Target="http://www.caobisco.eu/" TargetMode="External"/><Relationship Id="rId32" Type="http://schemas.openxmlformats.org/officeDocument/2006/relationships/hyperlink" Target="https://www.un.org/africarenewal/magazine/august-2013/shea-butter-nourishes-opportunities-african-women" TargetMode="External"/><Relationship Id="rId37" Type="http://schemas.openxmlformats.org/officeDocument/2006/relationships/hyperlink" Target="http://www.aka.com.sa/new/about.htm" TargetMode="External"/><Relationship Id="rId40" Type="http://schemas.openxmlformats.org/officeDocument/2006/relationships/hyperlink" Target="http://www.kose.co.jp/global/en/" TargetMode="External"/><Relationship Id="rId45" Type="http://schemas.openxmlformats.org/officeDocument/2006/relationships/hyperlink" Target="mailto:ghana@akomacooperative.com%203/8/19" TargetMode="External"/><Relationship Id="rId53" Type="http://schemas.openxmlformats.org/officeDocument/2006/relationships/hyperlink" Target="../impactagri%20&#8211;%20external%20&#8211;%20seriousshea_marketing%20and%20sales/KLowther@lb.com.%20&#160;https:/www.bathandbodyworks.com%20&#160;https:/www.victoriassecret.com/beauty/" TargetMode="External"/><Relationship Id="rId58" Type="http://schemas.openxmlformats.org/officeDocument/2006/relationships/hyperlink" Target="mailto:c.monne@duboisexpert.com%20www.stearinerie-dubois.com%20+33%201%2046%2010%2007%2036" TargetMode="External"/><Relationship Id="rId5" Type="http://schemas.openxmlformats.org/officeDocument/2006/relationships/hyperlink" Target="http://www.nestle.com/" TargetMode="External"/><Relationship Id="rId15" Type="http://schemas.openxmlformats.org/officeDocument/2006/relationships/hyperlink" Target="http://www.unilever.com/" TargetMode="External"/><Relationship Id="rId23" Type="http://schemas.openxmlformats.org/officeDocument/2006/relationships/hyperlink" Target="http://www.tangerineuk.net/" TargetMode="External"/><Relationship Id="rId28" Type="http://schemas.openxmlformats.org/officeDocument/2006/relationships/hyperlink" Target="http://www.fujioilholdings.com/en/csr/sustainable/.%20&#160;http:/www.fujioileurope.com/EN/Products/FujiOilEurope/ChocolateConfectionery/CocoaButterAlternatives.aspx" TargetMode="External"/><Relationship Id="rId36" Type="http://schemas.openxmlformats.org/officeDocument/2006/relationships/hyperlink" Target="http://www.aveda.com/" TargetMode="External"/><Relationship Id="rId49" Type="http://schemas.openxmlformats.org/officeDocument/2006/relationships/hyperlink" Target="https://lixirskin.co.uk/" TargetMode="External"/><Relationship Id="rId57" Type="http://schemas.openxmlformats.org/officeDocument/2006/relationships/hyperlink" Target="mailto:rpatrick@inolex.com%20www.inolex.com%20+215%20309%207348" TargetMode="External"/><Relationship Id="rId61" Type="http://schemas.openxmlformats.org/officeDocument/2006/relationships/hyperlink" Target="https://www.amorepacific.com/kr/ko/main.html.%20&#160;https:/us.amorepacific.com/catalogsearch/result/?q=shea" TargetMode="External"/><Relationship Id="rId10" Type="http://schemas.openxmlformats.org/officeDocument/2006/relationships/hyperlink" Target="http://www.cemoi.fr/" TargetMode="External"/><Relationship Id="rId19" Type="http://schemas.openxmlformats.org/officeDocument/2006/relationships/hyperlink" Target="https://www.dr.hauschka.com.%20Tel:%200800%200556604%20for%20UK%20&amp;%20+49%20(0)%2089%20550%20507%200%20for%20Germany%20HO.%20Shea%20butter%20manufacturer%20in%20SW%20Burkina%20Agrifaso&#160;%20Tel%20+226%2020982333%0ainfo@agrifaso.com" TargetMode="External"/><Relationship Id="rId31" Type="http://schemas.openxmlformats.org/officeDocument/2006/relationships/hyperlink" Target="https://fr.loccitane.com&#160;" TargetMode="External"/><Relationship Id="rId44" Type="http://schemas.openxmlformats.org/officeDocument/2006/relationships/hyperlink" Target="https://www.akomaskincare.co.uk/" TargetMode="External"/><Relationship Id="rId52" Type="http://schemas.openxmlformats.org/officeDocument/2006/relationships/hyperlink" Target="https://www.shiffa.com%20&#160;&#160;inquiry@shiffa.com" TargetMode="External"/><Relationship Id="rId60" Type="http://schemas.openxmlformats.org/officeDocument/2006/relationships/hyperlink" Target="https://www.chatto.com/" TargetMode="External"/><Relationship Id="rId65" Type="http://schemas.openxmlformats.org/officeDocument/2006/relationships/drawing" Target="../drawings/drawing3.xml"/><Relationship Id="rId4" Type="http://schemas.openxmlformats.org/officeDocument/2006/relationships/hyperlink" Target="mailto:info@wala.de" TargetMode="External"/><Relationship Id="rId9" Type="http://schemas.openxmlformats.org/officeDocument/2006/relationships/hyperlink" Target="http://www.ferrero.com/" TargetMode="External"/><Relationship Id="rId14" Type="http://schemas.openxmlformats.org/officeDocument/2006/relationships/hyperlink" Target="https://www.olamgroup.com/" TargetMode="External"/><Relationship Id="rId22" Type="http://schemas.openxmlformats.org/officeDocument/2006/relationships/hyperlink" Target="https://aak.com/" TargetMode="External"/><Relationship Id="rId27" Type="http://schemas.openxmlformats.org/officeDocument/2006/relationships/hyperlink" Target="https://www.barry-callebaut.com/news/2014/10/barry-callebaut-group-switch-its-european-supply-cocoa-butter-equivalents-cbes-rspo" TargetMode="External"/><Relationship Id="rId30" Type="http://schemas.openxmlformats.org/officeDocument/2006/relationships/hyperlink" Target="SFMarketing@wilmar.co.sg%20-%20Speciality%20fats;%0a%5bNote:%20WK%20may%20have%20contacts" TargetMode="External"/><Relationship Id="rId35" Type="http://schemas.openxmlformats.org/officeDocument/2006/relationships/hyperlink" Target="http://www.theabikeline.com/" TargetMode="External"/><Relationship Id="rId43" Type="http://schemas.openxmlformats.org/officeDocument/2006/relationships/hyperlink" Target="https://www.bxe.co.jp/en/.%20Mama%20Butter&#160;https:/www.bxe.co.jp/en/" TargetMode="External"/><Relationship Id="rId48" Type="http://schemas.openxmlformats.org/officeDocument/2006/relationships/hyperlink" Target="mailto:info@herbal-essentials.com.%20Also%20London%20mailing%20address" TargetMode="External"/><Relationship Id="rId56" Type="http://schemas.openxmlformats.org/officeDocument/2006/relationships/hyperlink" Target="mailto:mdejuan@plimon.com%20&#160;xcatalan@plimon.com%20www.plimon.com%20+34%2093%20860%2045%2028" TargetMode="External"/><Relationship Id="rId64" Type="http://schemas.openxmlformats.org/officeDocument/2006/relationships/printerSettings" Target="../printerSettings/printerSettings1.bin"/><Relationship Id="rId8" Type="http://schemas.openxmlformats.org/officeDocument/2006/relationships/hyperlink" Target="http://www.thorntons.co.uk/" TargetMode="External"/><Relationship Id="rId51" Type="http://schemas.openxmlformats.org/officeDocument/2006/relationships/hyperlink" Target="https://www.savannahfruits.com%20Tel:%20+233%20540%20103891%0ainfo@savannahfruits.com" TargetMode="External"/><Relationship Id="rId3" Type="http://schemas.openxmlformats.org/officeDocument/2006/relationships/hyperlink" Target="mailto:JW%20has%20good%20contact%20with%20Lush%20wecare@lush.co.uk.%20&#160;" TargetMode="External"/><Relationship Id="rId12" Type="http://schemas.openxmlformats.org/officeDocument/2006/relationships/hyperlink" Target="www.croklaan.com&#160;Tel:%20+31%20(0)75%20629%202911%20&#160;welcome@ioiloders.com;%20Alternative:%20Joost%20van%20Ginneken;%20BF%20and%20Ghana%20office:%20blc.eu@bunge.com" TargetMode="External"/><Relationship Id="rId17" Type="http://schemas.openxmlformats.org/officeDocument/2006/relationships/hyperlink" Target="mailto:nealsyardremedies.com%20&#160;Tel%2001747%20834%20600%20&#160;Purchasing%20department.&#160;reception@nealsyardremedies.com" TargetMode="External"/><Relationship Id="rId25" Type="http://schemas.openxmlformats.org/officeDocument/2006/relationships/hyperlink" Target="mailto:sourcing@barry-callebaut.com" TargetMode="External"/><Relationship Id="rId33" Type="http://schemas.openxmlformats.org/officeDocument/2006/relationships/hyperlink" Target="http://www.yves-rocher.fr/" TargetMode="External"/><Relationship Id="rId38" Type="http://schemas.openxmlformats.org/officeDocument/2006/relationships/hyperlink" Target="https://globalshea.com/resources/directory/464/Mohammed-Soliman-Saleh-Alhomaid" TargetMode="External"/><Relationship Id="rId46" Type="http://schemas.openxmlformats.org/officeDocument/2006/relationships/hyperlink" Target="https://www.salidagricultureltd.com/about_us.%20&#160;Telephone%20:%20&#8203;+234%20(0)%20909%20283%203834%20%0aEMail:%20admin@salidagricultureltd.com%0a%20&#160;%20&#160;%20&#160;%20&#160;%20&#160;%20&#160;%20&#160;%20&#160;%20&#160;+234%20(0)%20802%20501%201187" TargetMode="External"/><Relationship Id="rId59" Type="http://schemas.openxmlformats.org/officeDocument/2006/relationships/hyperlink" Target="https://fr.nuxe.com/"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hyperlink" Target="http://exporthelp.europa.eu/thdapp/taxes/show2Files.htm?dir=/requirements&amp;reporterId1=EU&amp;file1" TargetMode="External"/><Relationship Id="rId1" Type="http://schemas.openxmlformats.org/officeDocument/2006/relationships/hyperlink" Target="http://www.iso.org/iso/catalogue_detail.htm?csnumber=6250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showGridLines="0" workbookViewId="0">
      <selection activeCell="B18" sqref="B18"/>
    </sheetView>
  </sheetViews>
  <sheetFormatPr defaultColWidth="9.140625" defaultRowHeight="12.75" customHeight="1" x14ac:dyDescent="0.25"/>
  <cols>
    <col min="1" max="1" width="2.42578125" customWidth="1"/>
    <col min="2" max="2" width="35.7109375" customWidth="1"/>
    <col min="3" max="3" width="17.42578125" customWidth="1"/>
    <col min="4" max="4" width="77.28515625" customWidth="1"/>
    <col min="5" max="5" width="5.85546875" customWidth="1"/>
    <col min="6" max="6" width="4.42578125" customWidth="1"/>
    <col min="7" max="7" width="3.42578125" customWidth="1"/>
    <col min="8" max="8" width="27.42578125" customWidth="1"/>
    <col min="9" max="14" width="12.42578125" customWidth="1"/>
    <col min="15" max="256" width="9.140625" customWidth="1"/>
  </cols>
  <sheetData>
    <row r="1" spans="1:14" ht="21.75" customHeight="1" x14ac:dyDescent="0.25">
      <c r="A1" s="1"/>
      <c r="B1" s="2"/>
      <c r="C1" s="2"/>
      <c r="D1" s="2"/>
      <c r="E1" s="2"/>
      <c r="F1" s="2"/>
      <c r="G1" s="2"/>
      <c r="H1" s="2"/>
      <c r="I1" s="2"/>
      <c r="J1" s="2"/>
      <c r="K1" s="2"/>
      <c r="L1" s="2"/>
      <c r="M1" s="2"/>
      <c r="N1" s="3"/>
    </row>
    <row r="2" spans="1:14" ht="36.75" customHeight="1" x14ac:dyDescent="0.25">
      <c r="A2" s="4"/>
      <c r="B2" s="53"/>
      <c r="C2" s="53"/>
      <c r="D2" s="53"/>
      <c r="E2" s="54"/>
      <c r="F2" s="54"/>
      <c r="G2" s="54"/>
      <c r="H2" s="54"/>
      <c r="I2" s="54"/>
      <c r="J2" s="54"/>
      <c r="K2" s="55"/>
      <c r="L2" s="55"/>
      <c r="M2" s="55"/>
      <c r="N2" s="5"/>
    </row>
    <row r="3" spans="1:14" ht="16.5" customHeight="1" x14ac:dyDescent="0.25">
      <c r="A3" s="6"/>
      <c r="B3" s="7"/>
      <c r="C3" s="7"/>
      <c r="D3" s="7"/>
      <c r="E3" s="7"/>
      <c r="F3" s="7"/>
      <c r="G3" s="7"/>
      <c r="H3" s="7"/>
      <c r="I3" s="7"/>
      <c r="J3" s="7"/>
      <c r="K3" s="7"/>
      <c r="L3" s="7"/>
      <c r="M3" s="7"/>
      <c r="N3" s="8"/>
    </row>
    <row r="4" spans="1:14" ht="20.25" customHeight="1" x14ac:dyDescent="0.25">
      <c r="A4" s="56"/>
      <c r="B4" s="175" t="s">
        <v>0</v>
      </c>
      <c r="C4" s="179" t="s">
        <v>1</v>
      </c>
      <c r="D4" s="180"/>
      <c r="E4" s="30"/>
      <c r="F4" s="30"/>
      <c r="G4" s="30"/>
      <c r="H4" s="30"/>
      <c r="I4" s="30"/>
      <c r="J4" s="30"/>
      <c r="K4" s="30"/>
      <c r="L4" s="30"/>
      <c r="M4" s="30"/>
      <c r="N4" s="9"/>
    </row>
    <row r="5" spans="1:14" ht="21" customHeight="1" x14ac:dyDescent="0.25">
      <c r="A5" s="56"/>
      <c r="B5" s="57" t="s">
        <v>2</v>
      </c>
      <c r="C5" s="176" t="s">
        <v>3</v>
      </c>
      <c r="D5" s="177"/>
      <c r="E5" s="177"/>
      <c r="F5" s="178"/>
      <c r="G5" s="178"/>
      <c r="H5" s="178"/>
      <c r="I5" s="30"/>
      <c r="J5" s="30"/>
      <c r="K5" s="30"/>
      <c r="L5" s="30"/>
      <c r="M5" s="30"/>
      <c r="N5" s="9"/>
    </row>
    <row r="6" spans="1:14" ht="12.75" customHeight="1" x14ac:dyDescent="0.25">
      <c r="A6" s="56"/>
      <c r="B6" s="58" t="s">
        <v>4</v>
      </c>
      <c r="C6" s="103" t="s">
        <v>5</v>
      </c>
      <c r="D6" s="30"/>
      <c r="E6" s="30"/>
      <c r="F6" s="30"/>
      <c r="G6" s="59"/>
      <c r="H6" s="30"/>
      <c r="I6" s="30"/>
      <c r="J6" s="30"/>
      <c r="K6" s="30"/>
      <c r="L6" s="30"/>
      <c r="M6" s="30"/>
      <c r="N6" s="9"/>
    </row>
    <row r="7" spans="1:14" ht="21" customHeight="1" x14ac:dyDescent="0.25">
      <c r="A7" s="56"/>
      <c r="B7" s="58" t="s">
        <v>6</v>
      </c>
      <c r="C7" s="60">
        <v>1</v>
      </c>
      <c r="D7" s="30"/>
      <c r="E7" s="30"/>
      <c r="F7" s="30"/>
      <c r="G7" s="59"/>
      <c r="H7" s="30"/>
      <c r="I7" s="30"/>
      <c r="J7" s="30"/>
      <c r="K7" s="30"/>
      <c r="L7" s="30"/>
      <c r="M7" s="30"/>
      <c r="N7" s="9"/>
    </row>
    <row r="8" spans="1:14" ht="21.75" customHeight="1" x14ac:dyDescent="0.25">
      <c r="A8" s="56"/>
      <c r="B8" s="58" t="s">
        <v>7</v>
      </c>
      <c r="C8" s="61" t="s">
        <v>8</v>
      </c>
      <c r="D8" s="61" t="s">
        <v>9</v>
      </c>
      <c r="E8" s="30"/>
      <c r="F8" s="30"/>
      <c r="G8" s="59"/>
      <c r="H8" s="30"/>
      <c r="I8" s="30"/>
      <c r="J8" s="30"/>
      <c r="K8" s="30"/>
      <c r="L8" s="30"/>
      <c r="M8" s="30"/>
      <c r="N8" s="9"/>
    </row>
    <row r="9" spans="1:14" ht="13.5" customHeight="1" x14ac:dyDescent="0.25">
      <c r="A9" s="56"/>
      <c r="B9" s="30"/>
      <c r="C9" s="61" t="s">
        <v>10</v>
      </c>
      <c r="D9" s="61" t="s">
        <v>11</v>
      </c>
      <c r="E9" s="30"/>
      <c r="F9" s="30"/>
      <c r="G9" s="59"/>
      <c r="H9" s="30"/>
      <c r="I9" s="62" t="s">
        <v>12</v>
      </c>
      <c r="J9" s="30"/>
      <c r="K9" s="30"/>
      <c r="L9" s="30"/>
      <c r="M9" s="30"/>
      <c r="N9" s="9"/>
    </row>
    <row r="10" spans="1:14" ht="12.75" customHeight="1" x14ac:dyDescent="0.25">
      <c r="A10" s="56"/>
      <c r="B10" s="30"/>
      <c r="C10" s="53"/>
      <c r="D10" s="30"/>
      <c r="E10" s="30"/>
      <c r="F10" s="30"/>
      <c r="G10" s="59"/>
      <c r="H10" s="30"/>
      <c r="I10" s="62" t="s">
        <v>13</v>
      </c>
      <c r="J10" s="30"/>
      <c r="K10" s="30"/>
      <c r="L10" s="30"/>
      <c r="M10" s="30"/>
      <c r="N10" s="9"/>
    </row>
    <row r="11" spans="1:14" ht="15" customHeight="1" x14ac:dyDescent="0.25">
      <c r="A11" s="56"/>
      <c r="B11" s="10" t="s">
        <v>14</v>
      </c>
      <c r="C11" s="11"/>
      <c r="D11" s="63" t="s">
        <v>15</v>
      </c>
      <c r="E11" s="30"/>
      <c r="F11" s="30"/>
      <c r="G11" s="59"/>
      <c r="H11" s="30"/>
      <c r="I11" s="30"/>
      <c r="J11" s="30"/>
      <c r="K11" s="30"/>
      <c r="L11" s="30"/>
      <c r="M11" s="30"/>
      <c r="N11" s="9"/>
    </row>
    <row r="12" spans="1:14" ht="15" customHeight="1" x14ac:dyDescent="0.25">
      <c r="A12" s="56"/>
      <c r="B12" s="12"/>
      <c r="C12" s="13"/>
      <c r="D12" s="63" t="s">
        <v>16</v>
      </c>
      <c r="E12" s="30"/>
      <c r="F12" s="30"/>
      <c r="G12" s="59"/>
      <c r="H12" s="30"/>
      <c r="I12" s="30"/>
      <c r="J12" s="30"/>
      <c r="K12" s="30"/>
      <c r="L12" s="30"/>
      <c r="M12" s="30"/>
      <c r="N12" s="9"/>
    </row>
    <row r="13" spans="1:14" ht="12.75" customHeight="1" x14ac:dyDescent="0.25">
      <c r="A13" s="4"/>
      <c r="B13" s="53"/>
      <c r="C13" s="14"/>
      <c r="D13" s="53"/>
      <c r="E13" s="53"/>
      <c r="F13" s="55"/>
      <c r="G13" s="55"/>
      <c r="H13" s="55"/>
      <c r="I13" s="55"/>
      <c r="J13" s="55"/>
      <c r="K13" s="55"/>
      <c r="L13" s="55"/>
      <c r="M13" s="55"/>
      <c r="N13" s="5"/>
    </row>
    <row r="14" spans="1:14" ht="12.75" customHeight="1" x14ac:dyDescent="0.25">
      <c r="A14" s="6"/>
      <c r="B14" s="7"/>
      <c r="C14" s="7"/>
      <c r="D14" s="7"/>
      <c r="E14" s="7"/>
      <c r="F14" s="15"/>
      <c r="G14" s="15"/>
      <c r="H14" s="15"/>
      <c r="I14" s="15"/>
      <c r="J14" s="15"/>
      <c r="K14" s="15"/>
      <c r="L14" s="15"/>
      <c r="M14" s="15"/>
      <c r="N14" s="16"/>
    </row>
    <row r="15" spans="1:14" ht="12.75" customHeight="1" x14ac:dyDescent="0.25">
      <c r="A15" s="56"/>
      <c r="B15" s="64" t="s">
        <v>17</v>
      </c>
      <c r="C15" s="64" t="s">
        <v>18</v>
      </c>
      <c r="D15" s="65"/>
      <c r="E15" s="30"/>
      <c r="F15" s="30"/>
      <c r="G15" s="30"/>
      <c r="H15" s="30"/>
      <c r="I15" s="30"/>
      <c r="J15" s="30"/>
      <c r="K15" s="30"/>
      <c r="L15" s="30"/>
      <c r="M15" s="30"/>
      <c r="N15" s="9"/>
    </row>
    <row r="16" spans="1:14" ht="12.75" customHeight="1" x14ac:dyDescent="0.25">
      <c r="A16" s="56"/>
      <c r="B16" s="64" t="s">
        <v>19</v>
      </c>
      <c r="C16" s="64" t="s">
        <v>20</v>
      </c>
      <c r="D16" s="65"/>
      <c r="E16" s="30"/>
      <c r="F16" s="30"/>
      <c r="G16" s="30"/>
      <c r="H16" s="30"/>
      <c r="I16" s="30"/>
      <c r="J16" s="30"/>
      <c r="K16" s="30"/>
      <c r="L16" s="30"/>
      <c r="M16" s="30"/>
      <c r="N16" s="9"/>
    </row>
    <row r="17" spans="1:14" ht="12.75" customHeight="1" x14ac:dyDescent="0.25">
      <c r="A17" s="56"/>
      <c r="B17" s="64" t="s">
        <v>21</v>
      </c>
      <c r="C17" s="64" t="s">
        <v>22</v>
      </c>
      <c r="D17" s="65"/>
      <c r="E17" s="30"/>
      <c r="F17" s="30"/>
      <c r="G17" s="30"/>
      <c r="H17" s="30"/>
      <c r="I17" s="30"/>
      <c r="J17" s="30"/>
      <c r="K17" s="30"/>
      <c r="L17" s="30"/>
      <c r="M17" s="30"/>
      <c r="N17" s="9"/>
    </row>
    <row r="18" spans="1:14" ht="12.75" customHeight="1" x14ac:dyDescent="0.25">
      <c r="A18" s="56"/>
      <c r="B18" s="64" t="s">
        <v>23</v>
      </c>
      <c r="C18" s="64" t="s">
        <v>24</v>
      </c>
      <c r="D18" s="65"/>
      <c r="E18" s="30"/>
      <c r="F18" s="30"/>
      <c r="G18" s="30"/>
      <c r="H18" s="30"/>
      <c r="I18" s="30"/>
      <c r="J18" s="30"/>
      <c r="K18" s="30"/>
      <c r="L18" s="30"/>
      <c r="M18" s="30"/>
      <c r="N18" s="9"/>
    </row>
    <row r="19" spans="1:14" ht="12.75" customHeight="1" x14ac:dyDescent="0.25">
      <c r="A19" s="56"/>
      <c r="B19" s="65"/>
      <c r="C19" s="65"/>
      <c r="D19" s="65"/>
      <c r="E19" s="30"/>
      <c r="F19" s="30"/>
      <c r="G19" s="30"/>
      <c r="H19" s="30"/>
      <c r="I19" s="30"/>
      <c r="J19" s="30"/>
      <c r="K19" s="30"/>
      <c r="L19" s="30"/>
      <c r="M19" s="30"/>
      <c r="N19" s="9"/>
    </row>
    <row r="20" spans="1:14" ht="12.75" customHeight="1" x14ac:dyDescent="0.25">
      <c r="A20" s="66"/>
      <c r="B20" s="67"/>
      <c r="C20" s="67"/>
      <c r="D20" s="67"/>
      <c r="E20" s="68"/>
      <c r="F20" s="68"/>
      <c r="G20" s="68"/>
      <c r="H20" s="68"/>
      <c r="I20" s="68"/>
      <c r="J20" s="68"/>
      <c r="K20" s="68"/>
      <c r="L20" s="68"/>
      <c r="M20" s="68"/>
      <c r="N20" s="17"/>
    </row>
  </sheetData>
  <mergeCells count="2">
    <mergeCell ref="C5:H5"/>
    <mergeCell ref="C4:D4"/>
  </mergeCells>
  <hyperlinks>
    <hyperlink ref="D8" r:id="rId1" xr:uid="{00000000-0004-0000-0000-000000000000}"/>
    <hyperlink ref="D9" r:id="rId2" xr:uid="{00000000-0004-0000-0000-000001000000}"/>
  </hyperlinks>
  <pageMargins left="0.7" right="0.7" top="0.75" bottom="0.75" header="0.3" footer="0.3"/>
  <pageSetup orientation="portrait"/>
  <headerFooter>
    <oddFooter>&amp;C&amp;"Helvetica,Regular"&amp;12&amp;K000000&amp;P</oddFoot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A7CF8-603E-4CCC-9A43-4E631C0E99B6}">
  <dimension ref="A1"/>
  <sheetViews>
    <sheetView workbookViewId="0">
      <selection activeCell="S13" sqref="S13"/>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W49"/>
  <sheetViews>
    <sheetView showGridLines="0" tabSelected="1" zoomScale="50" zoomScaleNormal="50" workbookViewId="0">
      <pane xSplit="5" ySplit="11" topLeftCell="AP22" activePane="bottomRight" state="frozen"/>
      <selection activeCell="B18" sqref="B18"/>
      <selection pane="topRight" activeCell="B18" sqref="B18"/>
      <selection pane="bottomLeft" activeCell="B18" sqref="B18"/>
      <selection pane="bottomRight" sqref="A1:AP37"/>
    </sheetView>
  </sheetViews>
  <sheetFormatPr defaultColWidth="9.140625" defaultRowHeight="15" customHeight="1" x14ac:dyDescent="0.25"/>
  <cols>
    <col min="1" max="1" width="2.5703125" style="114" customWidth="1"/>
    <col min="2" max="2" width="2.85546875" customWidth="1"/>
    <col min="3" max="3" width="33" customWidth="1"/>
    <col min="4" max="4" width="0.140625" customWidth="1"/>
    <col min="5" max="5" width="5.28515625" customWidth="1"/>
    <col min="6" max="6" width="45.28515625" customWidth="1"/>
    <col min="7" max="7" width="0.28515625" hidden="1" customWidth="1"/>
    <col min="8" max="15" width="45.42578125" customWidth="1"/>
    <col min="16" max="16" width="40.140625" customWidth="1"/>
    <col min="17" max="17" width="40.42578125" customWidth="1"/>
    <col min="18" max="18" width="44.140625" customWidth="1"/>
    <col min="19" max="19" width="39.5703125" customWidth="1"/>
    <col min="20" max="27" width="40.5703125" customWidth="1"/>
    <col min="28" max="28" width="30.85546875" customWidth="1"/>
    <col min="29" max="40" width="40.5703125" customWidth="1"/>
    <col min="41" max="41" width="29.85546875" customWidth="1"/>
    <col min="42" max="42" width="31.28515625" customWidth="1"/>
    <col min="47" max="47" width="9.140625" customWidth="1"/>
    <col min="48" max="58" width="45.42578125" customWidth="1"/>
    <col min="59" max="59" width="45.42578125" style="135" customWidth="1"/>
    <col min="60" max="60" width="11.140625" style="148" customWidth="1"/>
    <col min="61" max="61" width="48.28515625" style="135" customWidth="1"/>
    <col min="62" max="62" width="37.42578125" customWidth="1"/>
    <col min="63" max="63" width="38.140625" customWidth="1"/>
    <col min="64" max="64" width="40.5703125" customWidth="1"/>
    <col min="65" max="65" width="37.5703125" customWidth="1"/>
    <col min="66" max="66" width="40" customWidth="1"/>
    <col min="67" max="67" width="47.7109375" customWidth="1"/>
    <col min="68" max="69" width="40.5703125" customWidth="1"/>
    <col min="70" max="70" width="29.85546875" customWidth="1"/>
    <col min="71" max="71" width="33.7109375" customWidth="1"/>
    <col min="72" max="72" width="29.85546875" customWidth="1"/>
    <col min="73" max="73" width="40.5703125" customWidth="1"/>
    <col min="74" max="74" width="36" customWidth="1"/>
    <col min="75" max="75" width="36.42578125" customWidth="1"/>
    <col min="76" max="257" width="9.140625" customWidth="1"/>
  </cols>
  <sheetData>
    <row r="1" spans="1:75" s="135" customFormat="1" ht="15" customHeight="1" x14ac:dyDescent="0.25">
      <c r="A1" s="207" t="s">
        <v>642</v>
      </c>
      <c r="B1" s="208"/>
      <c r="C1" s="209" t="s">
        <v>641</v>
      </c>
      <c r="D1" s="208"/>
      <c r="E1" s="210"/>
      <c r="F1" s="211" t="s">
        <v>647</v>
      </c>
      <c r="G1" s="210"/>
      <c r="H1" s="210"/>
      <c r="I1" s="210"/>
      <c r="J1" s="210"/>
      <c r="K1" s="210"/>
      <c r="L1" s="210"/>
      <c r="M1" s="210"/>
      <c r="N1" s="210"/>
      <c r="O1" s="210"/>
      <c r="P1" s="210"/>
      <c r="Q1" s="210"/>
      <c r="R1" s="210"/>
      <c r="S1" s="210"/>
      <c r="T1" s="210"/>
      <c r="U1" s="210"/>
      <c r="V1" s="210"/>
      <c r="W1" s="210"/>
      <c r="X1" s="210"/>
      <c r="Y1" s="210"/>
      <c r="Z1" s="210"/>
      <c r="AA1" s="210"/>
      <c r="AB1" s="210"/>
      <c r="AC1" s="210"/>
      <c r="AD1" s="210"/>
      <c r="AE1" s="210"/>
      <c r="AF1" s="210"/>
      <c r="AG1" s="210"/>
      <c r="AH1" s="210"/>
      <c r="AI1" s="210"/>
      <c r="AJ1" s="210"/>
      <c r="AK1" s="210"/>
      <c r="AL1" s="210"/>
      <c r="AM1" s="210"/>
      <c r="AN1" s="210"/>
      <c r="AO1" s="210"/>
      <c r="AP1" s="212"/>
      <c r="BH1" s="148"/>
    </row>
    <row r="2" spans="1:75" s="135" customFormat="1" ht="15" customHeight="1" x14ac:dyDescent="0.25">
      <c r="A2" s="213"/>
      <c r="C2" s="188" t="s">
        <v>25</v>
      </c>
      <c r="F2" s="206" t="s">
        <v>643</v>
      </c>
      <c r="AP2" s="214"/>
      <c r="BH2" s="148"/>
    </row>
    <row r="3" spans="1:75" s="135" customFormat="1" ht="15" customHeight="1" x14ac:dyDescent="0.25">
      <c r="A3" s="213"/>
      <c r="C3" s="204" t="s">
        <v>26</v>
      </c>
      <c r="F3" s="205">
        <f ca="1">TODAY()</f>
        <v>43570</v>
      </c>
      <c r="AP3" s="214"/>
      <c r="BH3" s="148"/>
    </row>
    <row r="4" spans="1:75" s="135" customFormat="1" ht="25.5" hidden="1" customHeight="1" x14ac:dyDescent="0.3">
      <c r="A4" s="215"/>
      <c r="B4" s="30"/>
      <c r="C4" s="151" t="s">
        <v>27</v>
      </c>
      <c r="E4" s="104"/>
      <c r="F4" s="158"/>
      <c r="G4" s="104"/>
      <c r="H4" s="158"/>
      <c r="I4" s="158"/>
      <c r="J4" s="158"/>
      <c r="K4" s="158"/>
      <c r="L4" s="158"/>
      <c r="M4" s="158"/>
      <c r="N4" s="158"/>
      <c r="O4" s="158"/>
      <c r="P4" s="158"/>
      <c r="Q4" s="158"/>
      <c r="R4" s="158"/>
      <c r="S4" s="158"/>
      <c r="T4" s="158"/>
      <c r="U4" s="158"/>
      <c r="V4" s="158"/>
      <c r="W4" s="158"/>
      <c r="X4" s="158"/>
      <c r="Y4" s="158"/>
      <c r="Z4" s="158"/>
      <c r="AA4" s="158"/>
      <c r="AB4" s="158"/>
      <c r="AC4" s="158"/>
      <c r="AD4" s="158"/>
      <c r="AE4" s="158"/>
      <c r="AF4" s="158"/>
      <c r="AG4" s="158"/>
      <c r="AH4" s="158"/>
      <c r="AI4" s="158"/>
      <c r="AJ4" s="158"/>
      <c r="AK4" s="158"/>
      <c r="AL4" s="158"/>
      <c r="AM4" s="158"/>
      <c r="AN4" s="158"/>
      <c r="AO4" s="158"/>
      <c r="AP4" s="214"/>
      <c r="AU4" s="30"/>
      <c r="AV4" s="104"/>
      <c r="AW4" s="104"/>
      <c r="AX4" s="104"/>
      <c r="AY4" s="104"/>
      <c r="AZ4" s="104"/>
      <c r="BA4" s="104"/>
      <c r="BB4" s="104"/>
      <c r="BC4" s="104"/>
      <c r="BD4" s="104"/>
      <c r="BE4" s="104"/>
      <c r="BF4" s="104"/>
      <c r="BG4" s="104"/>
      <c r="BH4" s="142"/>
      <c r="BI4" s="104"/>
      <c r="BJ4" s="104"/>
      <c r="BK4" s="162"/>
      <c r="BL4" s="162"/>
      <c r="BM4" s="104"/>
      <c r="BN4" s="104"/>
      <c r="BO4" s="104"/>
      <c r="BP4" s="104"/>
      <c r="BQ4" s="162"/>
      <c r="BR4" s="30"/>
      <c r="BS4" s="30"/>
      <c r="BT4" s="30"/>
      <c r="BU4" s="158"/>
      <c r="BV4" s="104"/>
      <c r="BW4" s="104"/>
    </row>
    <row r="5" spans="1:75" s="135" customFormat="1" ht="19.5" thickBot="1" x14ac:dyDescent="0.35">
      <c r="A5" s="215"/>
      <c r="B5" s="30"/>
      <c r="F5" s="152"/>
      <c r="G5" s="104"/>
      <c r="H5" s="104"/>
      <c r="I5" s="104"/>
      <c r="J5" s="104"/>
      <c r="K5" s="104"/>
      <c r="L5" s="104"/>
      <c r="M5" s="104"/>
      <c r="N5" s="104"/>
      <c r="O5" s="104"/>
      <c r="P5" s="104"/>
      <c r="Q5" s="104"/>
      <c r="R5" s="104"/>
      <c r="S5" s="104"/>
      <c r="T5" s="104"/>
      <c r="U5" s="104"/>
      <c r="V5" s="104"/>
      <c r="W5" s="104"/>
      <c r="X5" s="104"/>
      <c r="Y5" s="104"/>
      <c r="Z5" s="104"/>
      <c r="AA5" s="104"/>
      <c r="AB5" s="30"/>
      <c r="AC5" s="104"/>
      <c r="AD5" s="104"/>
      <c r="AE5" s="104"/>
      <c r="AF5" s="104"/>
      <c r="AG5" s="104"/>
      <c r="AH5" s="104"/>
      <c r="AI5" s="104"/>
      <c r="AJ5" s="104"/>
      <c r="AK5" s="104"/>
      <c r="AL5" s="104"/>
      <c r="AM5" s="104"/>
      <c r="AN5" s="104"/>
      <c r="AO5" s="30"/>
      <c r="AP5" s="214"/>
      <c r="AU5" s="39"/>
      <c r="AW5" s="104"/>
      <c r="AX5" s="104"/>
      <c r="AY5" s="104"/>
      <c r="AZ5" s="104"/>
      <c r="BA5" s="104"/>
      <c r="BB5" s="104"/>
      <c r="BC5" s="104"/>
      <c r="BD5" s="104"/>
      <c r="BE5" s="104"/>
      <c r="BF5" s="104"/>
      <c r="BG5" s="104"/>
      <c r="BH5" s="142"/>
      <c r="BI5" s="104"/>
      <c r="BJ5" s="104"/>
      <c r="BK5" s="104"/>
      <c r="BL5" s="104"/>
      <c r="BM5" s="104"/>
      <c r="BN5" s="104"/>
      <c r="BO5" s="104"/>
      <c r="BP5" s="104"/>
      <c r="BQ5" s="104"/>
      <c r="BR5" s="30"/>
      <c r="BS5" s="30"/>
      <c r="BT5" s="30"/>
      <c r="BU5" s="104"/>
      <c r="BV5" s="104"/>
      <c r="BW5" s="104"/>
    </row>
    <row r="6" spans="1:75" ht="17.25" hidden="1" customHeight="1" x14ac:dyDescent="0.25">
      <c r="A6" s="215"/>
      <c r="B6" s="30"/>
      <c r="C6" s="216"/>
      <c r="D6" s="153"/>
      <c r="E6" s="104" t="s">
        <v>28</v>
      </c>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7"/>
      <c r="AP6" s="214"/>
      <c r="AU6" s="39"/>
      <c r="AV6" s="18"/>
      <c r="AW6" s="18"/>
      <c r="AX6" s="18"/>
      <c r="AY6" s="18"/>
      <c r="AZ6" s="18"/>
      <c r="BA6" s="18"/>
      <c r="BB6" s="18"/>
      <c r="BC6" s="18"/>
      <c r="BD6" s="18"/>
      <c r="BE6" s="18"/>
      <c r="BF6" s="18"/>
      <c r="BG6" s="18"/>
      <c r="BH6" s="142"/>
      <c r="BI6" s="18"/>
      <c r="BJ6" s="18"/>
      <c r="BK6" s="18"/>
      <c r="BL6" s="18"/>
      <c r="BM6" s="18"/>
      <c r="BN6" s="18"/>
      <c r="BO6" s="18"/>
      <c r="BP6" s="18"/>
      <c r="BQ6" s="18"/>
      <c r="BR6" s="7"/>
      <c r="BS6" s="18"/>
      <c r="BT6" s="18"/>
      <c r="BU6" s="18"/>
      <c r="BV6" s="18"/>
      <c r="BW6" s="18"/>
    </row>
    <row r="7" spans="1:75" ht="27.75" hidden="1" customHeight="1" x14ac:dyDescent="0.25">
      <c r="A7" s="213"/>
      <c r="B7" s="69"/>
      <c r="C7" s="73" t="s">
        <v>29</v>
      </c>
      <c r="D7" s="76" t="s">
        <v>30</v>
      </c>
      <c r="E7" s="26"/>
      <c r="F7" s="107" t="s">
        <v>31</v>
      </c>
      <c r="G7" s="107" t="s">
        <v>32</v>
      </c>
      <c r="H7" s="107" t="s">
        <v>31</v>
      </c>
      <c r="I7" s="107" t="s">
        <v>31</v>
      </c>
      <c r="J7" s="107" t="s">
        <v>31</v>
      </c>
      <c r="K7" s="107" t="s">
        <v>31</v>
      </c>
      <c r="L7" s="107" t="s">
        <v>31</v>
      </c>
      <c r="M7" s="107"/>
      <c r="N7" s="107" t="s">
        <v>32</v>
      </c>
      <c r="O7" s="107" t="s">
        <v>32</v>
      </c>
      <c r="P7" s="107" t="s">
        <v>33</v>
      </c>
      <c r="Q7" s="107" t="s">
        <v>33</v>
      </c>
      <c r="R7" s="107" t="s">
        <v>33</v>
      </c>
      <c r="S7" s="107" t="s">
        <v>33</v>
      </c>
      <c r="T7" s="107" t="s">
        <v>33</v>
      </c>
      <c r="U7" s="107" t="s">
        <v>33</v>
      </c>
      <c r="V7" s="107" t="s">
        <v>33</v>
      </c>
      <c r="W7" s="107" t="s">
        <v>33</v>
      </c>
      <c r="X7" s="107" t="s">
        <v>33</v>
      </c>
      <c r="Y7" s="107" t="s">
        <v>33</v>
      </c>
      <c r="Z7" s="107" t="s">
        <v>33</v>
      </c>
      <c r="AA7" s="107" t="s">
        <v>33</v>
      </c>
      <c r="AB7" s="107" t="s">
        <v>34</v>
      </c>
      <c r="AC7" s="167" t="s">
        <v>33</v>
      </c>
      <c r="AD7" s="107" t="s">
        <v>33</v>
      </c>
      <c r="AE7" s="107" t="s">
        <v>33</v>
      </c>
      <c r="AF7" s="107" t="s">
        <v>33</v>
      </c>
      <c r="AG7" s="107" t="s">
        <v>33</v>
      </c>
      <c r="AH7" s="107" t="s">
        <v>33</v>
      </c>
      <c r="AI7" s="107" t="s">
        <v>33</v>
      </c>
      <c r="AJ7" s="107" t="s">
        <v>33</v>
      </c>
      <c r="AK7" s="107" t="s">
        <v>33</v>
      </c>
      <c r="AL7" s="107" t="s">
        <v>33</v>
      </c>
      <c r="AM7" s="107" t="s">
        <v>33</v>
      </c>
      <c r="AN7" s="107" t="s">
        <v>33</v>
      </c>
      <c r="AO7" s="107" t="s">
        <v>33</v>
      </c>
      <c r="AP7" s="214"/>
      <c r="AU7" s="19"/>
      <c r="AV7" s="107" t="s">
        <v>32</v>
      </c>
      <c r="AW7" s="107" t="s">
        <v>32</v>
      </c>
      <c r="AX7" s="107" t="s">
        <v>32</v>
      </c>
      <c r="AY7" s="107" t="s">
        <v>33</v>
      </c>
      <c r="AZ7" s="107" t="s">
        <v>32</v>
      </c>
      <c r="BA7" s="107" t="s">
        <v>32</v>
      </c>
      <c r="BB7" s="107" t="s">
        <v>32</v>
      </c>
      <c r="BC7" s="107" t="s">
        <v>32</v>
      </c>
      <c r="BD7" s="107" t="s">
        <v>32</v>
      </c>
      <c r="BE7" s="107" t="s">
        <v>33</v>
      </c>
      <c r="BF7" s="107" t="s">
        <v>33</v>
      </c>
      <c r="BG7" s="130"/>
      <c r="BH7" s="143"/>
      <c r="BI7" s="137" t="s">
        <v>33</v>
      </c>
      <c r="BJ7" s="107" t="s">
        <v>33</v>
      </c>
      <c r="BK7" s="107" t="s">
        <v>33</v>
      </c>
      <c r="BL7" s="107" t="s">
        <v>33</v>
      </c>
      <c r="BM7" s="107" t="s">
        <v>33</v>
      </c>
      <c r="BN7" s="107" t="s">
        <v>33</v>
      </c>
      <c r="BO7" s="107" t="s">
        <v>33</v>
      </c>
      <c r="BP7" s="107" t="s">
        <v>33</v>
      </c>
      <c r="BQ7" s="107" t="s">
        <v>33</v>
      </c>
      <c r="BR7" s="107" t="s">
        <v>33</v>
      </c>
      <c r="BS7" s="107" t="s">
        <v>33</v>
      </c>
      <c r="BT7" s="107" t="s">
        <v>33</v>
      </c>
      <c r="BU7" s="107" t="s">
        <v>33</v>
      </c>
      <c r="BV7" s="128" t="s">
        <v>35</v>
      </c>
      <c r="BW7" s="128" t="s">
        <v>36</v>
      </c>
    </row>
    <row r="8" spans="1:75" ht="14.25" hidden="1" customHeight="1" x14ac:dyDescent="0.25">
      <c r="A8" s="213"/>
      <c r="B8" s="69"/>
      <c r="C8" s="106" t="s">
        <v>37</v>
      </c>
      <c r="D8" s="76"/>
      <c r="E8" s="105"/>
      <c r="F8" s="107" t="s">
        <v>38</v>
      </c>
      <c r="G8" s="117" t="s">
        <v>39</v>
      </c>
      <c r="H8" s="117" t="s">
        <v>40</v>
      </c>
      <c r="I8" s="107" t="s">
        <v>41</v>
      </c>
      <c r="J8" s="107"/>
      <c r="K8" s="107"/>
      <c r="L8" s="107"/>
      <c r="M8" s="127"/>
      <c r="N8" s="117" t="s">
        <v>42</v>
      </c>
      <c r="O8" s="117" t="s">
        <v>43</v>
      </c>
      <c r="P8" s="117" t="s">
        <v>44</v>
      </c>
      <c r="Q8" s="117" t="s">
        <v>44</v>
      </c>
      <c r="R8" s="117" t="s">
        <v>44</v>
      </c>
      <c r="S8" s="117" t="s">
        <v>44</v>
      </c>
      <c r="T8" s="117" t="s">
        <v>44</v>
      </c>
      <c r="U8" s="117" t="s">
        <v>44</v>
      </c>
      <c r="V8" s="117" t="s">
        <v>44</v>
      </c>
      <c r="W8" s="117" t="s">
        <v>45</v>
      </c>
      <c r="X8" s="117" t="s">
        <v>45</v>
      </c>
      <c r="Y8" s="117" t="s">
        <v>45</v>
      </c>
      <c r="Z8" s="117" t="s">
        <v>46</v>
      </c>
      <c r="AA8" s="117" t="s">
        <v>45</v>
      </c>
      <c r="AB8" s="117"/>
      <c r="AC8" s="127" t="s">
        <v>47</v>
      </c>
      <c r="AD8" s="107" t="s">
        <v>47</v>
      </c>
      <c r="AE8" s="107" t="s">
        <v>47</v>
      </c>
      <c r="AF8" s="107" t="s">
        <v>47</v>
      </c>
      <c r="AG8" s="107" t="s">
        <v>47</v>
      </c>
      <c r="AH8" s="107" t="s">
        <v>47</v>
      </c>
      <c r="AI8" s="107" t="s">
        <v>47</v>
      </c>
      <c r="AJ8" s="171" t="s">
        <v>45</v>
      </c>
      <c r="AK8" s="107" t="s">
        <v>47</v>
      </c>
      <c r="AL8" s="107" t="s">
        <v>47</v>
      </c>
      <c r="AM8" s="107" t="s">
        <v>47</v>
      </c>
      <c r="AN8" s="107" t="s">
        <v>47</v>
      </c>
      <c r="AO8" s="116" t="s">
        <v>48</v>
      </c>
      <c r="AP8" s="214"/>
      <c r="AU8" s="19"/>
      <c r="AV8" s="118" t="s">
        <v>49</v>
      </c>
      <c r="AW8" s="118" t="s">
        <v>50</v>
      </c>
      <c r="AX8" s="118" t="s">
        <v>51</v>
      </c>
      <c r="AY8" s="116" t="s">
        <v>52</v>
      </c>
      <c r="AZ8" s="107" t="s">
        <v>53</v>
      </c>
      <c r="BA8" s="107" t="s">
        <v>47</v>
      </c>
      <c r="BB8" s="118" t="s">
        <v>52</v>
      </c>
      <c r="BC8" s="107" t="s">
        <v>47</v>
      </c>
      <c r="BD8" s="118" t="s">
        <v>54</v>
      </c>
      <c r="BE8" s="116" t="s">
        <v>52</v>
      </c>
      <c r="BF8" s="116" t="s">
        <v>52</v>
      </c>
      <c r="BG8" s="130" t="s">
        <v>47</v>
      </c>
      <c r="BH8" s="143"/>
      <c r="BI8" s="137" t="s">
        <v>47</v>
      </c>
      <c r="BJ8" s="137" t="s">
        <v>47</v>
      </c>
      <c r="BK8" s="127"/>
      <c r="BL8" s="127"/>
      <c r="BM8" s="107" t="s">
        <v>47</v>
      </c>
      <c r="BN8" s="107" t="s">
        <v>47</v>
      </c>
      <c r="BO8" s="107" t="s">
        <v>47</v>
      </c>
      <c r="BP8" s="107" t="s">
        <v>47</v>
      </c>
      <c r="BQ8" s="116" t="s">
        <v>48</v>
      </c>
      <c r="BR8" s="116" t="s">
        <v>48</v>
      </c>
      <c r="BS8" s="116" t="s">
        <v>48</v>
      </c>
      <c r="BT8" s="116" t="s">
        <v>48</v>
      </c>
      <c r="BU8" s="117" t="s">
        <v>55</v>
      </c>
      <c r="BV8" s="129" t="s">
        <v>56</v>
      </c>
      <c r="BW8" s="129" t="s">
        <v>56</v>
      </c>
    </row>
    <row r="9" spans="1:75" s="114" customFormat="1" ht="15.75" hidden="1" customHeight="1" x14ac:dyDescent="0.25">
      <c r="A9" s="213"/>
      <c r="B9" s="109"/>
      <c r="C9" s="110" t="s">
        <v>57</v>
      </c>
      <c r="D9" s="111"/>
      <c r="E9" s="112"/>
      <c r="F9" s="115" t="s">
        <v>56</v>
      </c>
      <c r="G9" s="115" t="s">
        <v>56</v>
      </c>
      <c r="H9" s="115">
        <v>43565</v>
      </c>
      <c r="I9" s="115">
        <v>43565</v>
      </c>
      <c r="J9" s="115" t="s">
        <v>56</v>
      </c>
      <c r="K9" s="115" t="s">
        <v>56</v>
      </c>
      <c r="L9" s="115" t="s">
        <v>56</v>
      </c>
      <c r="M9" s="115"/>
      <c r="N9" s="115">
        <v>43565</v>
      </c>
      <c r="O9" s="115" t="s">
        <v>56</v>
      </c>
      <c r="P9" s="168" t="s">
        <v>58</v>
      </c>
      <c r="Q9" s="168" t="s">
        <v>58</v>
      </c>
      <c r="R9" s="168" t="s">
        <v>58</v>
      </c>
      <c r="S9" s="168"/>
      <c r="T9" s="168" t="s">
        <v>59</v>
      </c>
      <c r="U9" s="168" t="s">
        <v>59</v>
      </c>
      <c r="V9" s="168" t="s">
        <v>60</v>
      </c>
      <c r="W9" s="168" t="s">
        <v>61</v>
      </c>
      <c r="X9" s="168" t="s">
        <v>61</v>
      </c>
      <c r="Y9" s="168" t="s">
        <v>61</v>
      </c>
      <c r="Z9" s="168" t="s">
        <v>62</v>
      </c>
      <c r="AA9" s="168" t="s">
        <v>61</v>
      </c>
      <c r="AB9" s="168" t="s">
        <v>34</v>
      </c>
      <c r="AC9" s="115">
        <v>43560</v>
      </c>
      <c r="AD9" s="115">
        <v>43560</v>
      </c>
      <c r="AE9" s="115">
        <v>43560</v>
      </c>
      <c r="AF9" s="115">
        <v>43560</v>
      </c>
      <c r="AG9" s="115">
        <v>43560</v>
      </c>
      <c r="AH9" s="115">
        <v>43560</v>
      </c>
      <c r="AI9" s="115">
        <v>43560</v>
      </c>
      <c r="AJ9" s="172" t="s">
        <v>63</v>
      </c>
      <c r="AK9" s="115">
        <v>43560</v>
      </c>
      <c r="AL9" s="115">
        <v>43560</v>
      </c>
      <c r="AM9" s="115">
        <v>43560</v>
      </c>
      <c r="AN9" s="115">
        <v>43560</v>
      </c>
      <c r="AO9" s="115">
        <v>43539</v>
      </c>
      <c r="AP9" s="217"/>
      <c r="AU9" s="19"/>
      <c r="AV9" s="115">
        <v>43532</v>
      </c>
      <c r="AW9" s="115">
        <v>43532</v>
      </c>
      <c r="AX9" s="115">
        <v>43532</v>
      </c>
      <c r="AY9" s="115">
        <v>43532</v>
      </c>
      <c r="AZ9" s="115" t="s">
        <v>56</v>
      </c>
      <c r="BA9" s="115" t="s">
        <v>56</v>
      </c>
      <c r="BB9" s="115">
        <v>43532</v>
      </c>
      <c r="BC9" s="115" t="s">
        <v>56</v>
      </c>
      <c r="BD9" s="115">
        <v>43532</v>
      </c>
      <c r="BE9" s="115">
        <v>43532</v>
      </c>
      <c r="BF9" s="115">
        <v>43532</v>
      </c>
      <c r="BG9" s="131" t="s">
        <v>56</v>
      </c>
      <c r="BH9" s="144"/>
      <c r="BI9" s="138" t="s">
        <v>56</v>
      </c>
      <c r="BJ9" s="138" t="s">
        <v>56</v>
      </c>
      <c r="BK9" s="127"/>
      <c r="BL9" s="115" t="s">
        <v>64</v>
      </c>
      <c r="BM9" s="115">
        <v>43560</v>
      </c>
      <c r="BN9" s="115">
        <v>43560</v>
      </c>
      <c r="BO9" s="115">
        <v>43560</v>
      </c>
      <c r="BP9" s="115">
        <v>43560</v>
      </c>
      <c r="BQ9" s="115">
        <v>43539</v>
      </c>
      <c r="BR9" s="115">
        <v>43539</v>
      </c>
      <c r="BS9" s="115">
        <v>43539</v>
      </c>
      <c r="BT9" s="115">
        <v>43539</v>
      </c>
      <c r="BU9" s="168" t="s">
        <v>65</v>
      </c>
      <c r="BV9" s="113">
        <v>43831</v>
      </c>
      <c r="BW9" s="113">
        <v>43831</v>
      </c>
    </row>
    <row r="10" spans="1:75" ht="43.5" hidden="1" customHeight="1" x14ac:dyDescent="0.25">
      <c r="A10" s="213"/>
      <c r="B10" s="29" t="s">
        <v>66</v>
      </c>
      <c r="C10" s="69"/>
      <c r="D10" s="70"/>
      <c r="E10" s="69"/>
      <c r="F10" s="79"/>
      <c r="G10" s="79"/>
      <c r="H10" s="79"/>
      <c r="I10" s="79"/>
      <c r="J10" s="79"/>
      <c r="K10" s="79"/>
      <c r="L10" s="72"/>
      <c r="M10" s="72"/>
      <c r="N10" s="72"/>
      <c r="O10" s="72"/>
      <c r="P10" s="72"/>
      <c r="Q10" s="72"/>
      <c r="R10" s="72"/>
      <c r="S10" s="72"/>
      <c r="T10" s="72"/>
      <c r="U10" s="72"/>
      <c r="V10" s="72"/>
      <c r="W10" s="72"/>
      <c r="X10" s="72"/>
      <c r="Y10" s="72"/>
      <c r="Z10" s="72"/>
      <c r="AA10" s="72"/>
      <c r="AB10" s="72"/>
      <c r="AC10" s="72"/>
      <c r="AD10" s="72"/>
      <c r="AE10" s="72"/>
      <c r="AF10" s="72"/>
      <c r="AG10" s="72"/>
      <c r="AH10" s="72"/>
      <c r="AI10" s="72"/>
      <c r="AJ10" s="72"/>
      <c r="AK10" s="72"/>
      <c r="AL10" s="72"/>
      <c r="AM10" s="72"/>
      <c r="AN10" s="72"/>
      <c r="AO10" s="72"/>
      <c r="AP10" s="214"/>
      <c r="AU10" s="19"/>
      <c r="AV10" s="71"/>
      <c r="AW10" s="71"/>
      <c r="AX10" s="71"/>
      <c r="AY10" s="71"/>
      <c r="AZ10" s="71"/>
      <c r="BA10" s="71"/>
      <c r="BB10" s="71"/>
      <c r="BC10" s="71"/>
      <c r="BD10" s="71"/>
      <c r="BE10" s="71"/>
      <c r="BF10" s="71"/>
      <c r="BG10" s="71"/>
      <c r="BH10" s="144"/>
      <c r="BI10" s="71"/>
      <c r="BJ10" s="71"/>
      <c r="BK10" s="71"/>
      <c r="BL10" s="71"/>
      <c r="BM10" s="71"/>
      <c r="BN10" s="71"/>
      <c r="BO10" s="71"/>
      <c r="BP10" s="71"/>
      <c r="BQ10" s="71"/>
      <c r="BR10" s="71"/>
      <c r="BS10" s="71"/>
      <c r="BT10" s="71"/>
      <c r="BU10" s="71"/>
      <c r="BV10" s="71"/>
      <c r="BW10" s="71"/>
    </row>
    <row r="11" spans="1:75" ht="24.75" customHeight="1" x14ac:dyDescent="0.25">
      <c r="A11" s="213"/>
      <c r="B11" s="69"/>
      <c r="C11" s="73" t="s">
        <v>67</v>
      </c>
      <c r="D11" s="74"/>
      <c r="E11" s="92" t="s">
        <v>68</v>
      </c>
      <c r="F11" s="239" t="s">
        <v>69</v>
      </c>
      <c r="G11" s="240" t="s">
        <v>70</v>
      </c>
      <c r="H11" s="240" t="s">
        <v>622</v>
      </c>
      <c r="I11" s="241" t="s">
        <v>623</v>
      </c>
      <c r="J11" s="242" t="s">
        <v>71</v>
      </c>
      <c r="K11" s="242" t="s">
        <v>72</v>
      </c>
      <c r="L11" s="242" t="s">
        <v>73</v>
      </c>
      <c r="M11" s="242" t="s">
        <v>648</v>
      </c>
      <c r="N11" s="242" t="s">
        <v>74</v>
      </c>
      <c r="O11" s="243" t="s">
        <v>75</v>
      </c>
      <c r="P11" s="244" t="s">
        <v>76</v>
      </c>
      <c r="Q11" s="244" t="s">
        <v>77</v>
      </c>
      <c r="R11" s="244" t="s">
        <v>78</v>
      </c>
      <c r="S11" s="244" t="s">
        <v>79</v>
      </c>
      <c r="T11" s="244" t="s">
        <v>80</v>
      </c>
      <c r="U11" s="244" t="s">
        <v>81</v>
      </c>
      <c r="V11" s="244" t="s">
        <v>82</v>
      </c>
      <c r="W11" s="244" t="s">
        <v>83</v>
      </c>
      <c r="X11" s="244" t="s">
        <v>84</v>
      </c>
      <c r="Y11" s="244" t="s">
        <v>85</v>
      </c>
      <c r="Z11" s="244" t="s">
        <v>86</v>
      </c>
      <c r="AA11" s="244" t="s">
        <v>87</v>
      </c>
      <c r="AB11" s="245" t="s">
        <v>88</v>
      </c>
      <c r="AC11" s="244" t="s">
        <v>89</v>
      </c>
      <c r="AD11" s="244" t="s">
        <v>90</v>
      </c>
      <c r="AE11" s="244" t="s">
        <v>91</v>
      </c>
      <c r="AF11" s="244" t="s">
        <v>92</v>
      </c>
      <c r="AG11" s="244" t="s">
        <v>93</v>
      </c>
      <c r="AH11" s="244" t="s">
        <v>94</v>
      </c>
      <c r="AI11" s="244" t="s">
        <v>95</v>
      </c>
      <c r="AJ11" s="244" t="s">
        <v>96</v>
      </c>
      <c r="AK11" s="244" t="s">
        <v>97</v>
      </c>
      <c r="AL11" s="244" t="s">
        <v>98</v>
      </c>
      <c r="AM11" s="244" t="s">
        <v>99</v>
      </c>
      <c r="AN11" s="244" t="s">
        <v>100</v>
      </c>
      <c r="AO11" s="245" t="s">
        <v>101</v>
      </c>
      <c r="AP11" s="246" t="s">
        <v>115</v>
      </c>
      <c r="AU11" s="19"/>
      <c r="AV11" s="91" t="s">
        <v>102</v>
      </c>
      <c r="AW11" s="91" t="s">
        <v>103</v>
      </c>
      <c r="AX11" s="90" t="s">
        <v>104</v>
      </c>
      <c r="AY11" s="90" t="s">
        <v>105</v>
      </c>
      <c r="AZ11" s="91" t="s">
        <v>106</v>
      </c>
      <c r="BA11" s="91" t="s">
        <v>107</v>
      </c>
      <c r="BB11" s="91" t="s">
        <v>108</v>
      </c>
      <c r="BC11" s="91" t="s">
        <v>109</v>
      </c>
      <c r="BD11" s="91" t="s">
        <v>110</v>
      </c>
      <c r="BE11" s="91" t="s">
        <v>111</v>
      </c>
      <c r="BF11" s="91" t="s">
        <v>112</v>
      </c>
      <c r="BG11" s="161" t="s">
        <v>113</v>
      </c>
      <c r="BH11" s="145"/>
      <c r="BI11" s="139" t="s">
        <v>114</v>
      </c>
      <c r="BK11" s="88" t="s">
        <v>116</v>
      </c>
      <c r="BL11" s="88" t="s">
        <v>117</v>
      </c>
      <c r="BM11" s="88" t="s">
        <v>118</v>
      </c>
      <c r="BN11" s="22" t="s">
        <v>119</v>
      </c>
      <c r="BO11" s="99" t="s">
        <v>120</v>
      </c>
      <c r="BP11" s="88" t="s">
        <v>121</v>
      </c>
      <c r="BQ11" s="88" t="s">
        <v>122</v>
      </c>
      <c r="BR11" s="23" t="s">
        <v>123</v>
      </c>
      <c r="BS11" s="23" t="s">
        <v>124</v>
      </c>
      <c r="BT11" s="23" t="s">
        <v>125</v>
      </c>
      <c r="BU11" s="163" t="s">
        <v>126</v>
      </c>
      <c r="BV11" s="23" t="s">
        <v>127</v>
      </c>
      <c r="BW11" s="23" t="s">
        <v>128</v>
      </c>
    </row>
    <row r="12" spans="1:75" ht="43.5" customHeight="1" x14ac:dyDescent="0.25">
      <c r="A12" s="213"/>
      <c r="B12" s="69"/>
      <c r="C12" s="73" t="s">
        <v>129</v>
      </c>
      <c r="D12" s="74"/>
      <c r="E12" s="92"/>
      <c r="F12" s="88" t="s">
        <v>628</v>
      </c>
      <c r="G12" s="88"/>
      <c r="H12" s="88" t="s">
        <v>130</v>
      </c>
      <c r="I12" s="88" t="s">
        <v>629</v>
      </c>
      <c r="J12" s="88"/>
      <c r="K12" s="88" t="s">
        <v>131</v>
      </c>
      <c r="L12" s="88" t="s">
        <v>132</v>
      </c>
      <c r="M12" s="88" t="s">
        <v>651</v>
      </c>
      <c r="N12" s="88" t="s">
        <v>133</v>
      </c>
      <c r="O12" s="88" t="s">
        <v>134</v>
      </c>
      <c r="P12" s="88" t="s">
        <v>135</v>
      </c>
      <c r="Q12" s="88" t="s">
        <v>135</v>
      </c>
      <c r="R12" s="88" t="s">
        <v>136</v>
      </c>
      <c r="S12" s="88" t="s">
        <v>137</v>
      </c>
      <c r="T12" s="88" t="s">
        <v>138</v>
      </c>
      <c r="U12" s="88" t="s">
        <v>139</v>
      </c>
      <c r="V12" s="88" t="s">
        <v>140</v>
      </c>
      <c r="W12" s="88" t="s">
        <v>141</v>
      </c>
      <c r="X12" s="88" t="s">
        <v>142</v>
      </c>
      <c r="Y12" s="88" t="s">
        <v>140</v>
      </c>
      <c r="Z12" s="88" t="s">
        <v>140</v>
      </c>
      <c r="AA12" s="88" t="s">
        <v>143</v>
      </c>
      <c r="AB12" s="173" t="s">
        <v>144</v>
      </c>
      <c r="AC12" s="88" t="s">
        <v>136</v>
      </c>
      <c r="AD12" s="88" t="s">
        <v>145</v>
      </c>
      <c r="AE12" s="88" t="s">
        <v>146</v>
      </c>
      <c r="AF12" s="88" t="s">
        <v>147</v>
      </c>
      <c r="AG12" s="88" t="s">
        <v>148</v>
      </c>
      <c r="AH12" s="88" t="s">
        <v>149</v>
      </c>
      <c r="AI12" s="88" t="s">
        <v>146</v>
      </c>
      <c r="AJ12" s="88" t="s">
        <v>150</v>
      </c>
      <c r="AK12" s="88" t="s">
        <v>151</v>
      </c>
      <c r="AL12" s="88" t="s">
        <v>141</v>
      </c>
      <c r="AM12" s="88" t="s">
        <v>152</v>
      </c>
      <c r="AN12" s="88" t="s">
        <v>153</v>
      </c>
      <c r="AO12" s="173" t="s">
        <v>154</v>
      </c>
      <c r="AP12" s="218"/>
      <c r="AU12" s="19"/>
      <c r="AV12" s="91"/>
      <c r="AW12" s="91"/>
      <c r="AX12" s="90"/>
      <c r="AY12" s="90"/>
      <c r="AZ12" s="91"/>
      <c r="BA12" s="91"/>
      <c r="BB12" s="91"/>
      <c r="BC12" s="91"/>
      <c r="BD12" s="91"/>
      <c r="BE12" s="91"/>
      <c r="BF12" s="91"/>
      <c r="BG12" s="132"/>
      <c r="BH12" s="145"/>
      <c r="BI12" s="139"/>
      <c r="BK12" s="88"/>
      <c r="BL12" s="88" t="s">
        <v>155</v>
      </c>
      <c r="BM12" s="88"/>
      <c r="BN12" s="22"/>
      <c r="BO12" s="99"/>
      <c r="BP12" s="88"/>
      <c r="BQ12" s="88"/>
      <c r="BR12" s="23"/>
      <c r="BS12" s="23" t="s">
        <v>156</v>
      </c>
      <c r="BT12" s="23"/>
      <c r="BU12" s="88" t="s">
        <v>157</v>
      </c>
      <c r="BV12" s="23"/>
      <c r="BW12" s="23"/>
    </row>
    <row r="13" spans="1:75" ht="78" customHeight="1" x14ac:dyDescent="0.25">
      <c r="A13" s="213"/>
      <c r="B13" s="69"/>
      <c r="C13" s="73" t="s">
        <v>158</v>
      </c>
      <c r="D13" s="74"/>
      <c r="E13" s="92" t="s">
        <v>68</v>
      </c>
      <c r="F13" s="88" t="s">
        <v>621</v>
      </c>
      <c r="G13" s="88"/>
      <c r="H13" s="88" t="s">
        <v>159</v>
      </c>
      <c r="I13" s="88"/>
      <c r="J13" s="88"/>
      <c r="K13" s="88"/>
      <c r="L13" s="88"/>
      <c r="M13" s="88" t="s">
        <v>652</v>
      </c>
      <c r="N13" s="88" t="s">
        <v>160</v>
      </c>
      <c r="O13" s="88" t="s">
        <v>161</v>
      </c>
      <c r="P13" s="24"/>
      <c r="Q13" s="165" t="s">
        <v>162</v>
      </c>
      <c r="R13" s="165" t="s">
        <v>163</v>
      </c>
      <c r="S13" s="24"/>
      <c r="T13" s="24" t="s">
        <v>164</v>
      </c>
      <c r="U13" s="24" t="s">
        <v>165</v>
      </c>
      <c r="V13" s="24" t="s">
        <v>166</v>
      </c>
      <c r="W13" s="24" t="s">
        <v>167</v>
      </c>
      <c r="X13" s="24" t="s">
        <v>168</v>
      </c>
      <c r="Y13" s="24" t="s">
        <v>169</v>
      </c>
      <c r="Z13" s="24" t="s">
        <v>170</v>
      </c>
      <c r="AA13" s="24" t="s">
        <v>171</v>
      </c>
      <c r="AB13" s="173" t="s">
        <v>172</v>
      </c>
      <c r="AC13" s="24" t="s">
        <v>173</v>
      </c>
      <c r="AD13" s="24"/>
      <c r="AE13" s="24" t="s">
        <v>174</v>
      </c>
      <c r="AF13" s="24"/>
      <c r="AG13" s="24"/>
      <c r="AH13" s="24"/>
      <c r="AI13" s="24" t="s">
        <v>175</v>
      </c>
      <c r="AJ13" s="24" t="s">
        <v>176</v>
      </c>
      <c r="AK13" s="24"/>
      <c r="AL13" s="24"/>
      <c r="AM13" s="24"/>
      <c r="AN13" s="24" t="s">
        <v>177</v>
      </c>
      <c r="AO13" s="24" t="s">
        <v>178</v>
      </c>
      <c r="AP13" s="219" t="s">
        <v>187</v>
      </c>
      <c r="AU13" s="19"/>
      <c r="AV13" s="25" t="s">
        <v>179</v>
      </c>
      <c r="AW13" s="24" t="s">
        <v>180</v>
      </c>
      <c r="AX13" s="24" t="s">
        <v>181</v>
      </c>
      <c r="AY13" s="24"/>
      <c r="AZ13" s="24" t="s">
        <v>182</v>
      </c>
      <c r="BA13" s="24"/>
      <c r="BB13" s="25" t="s">
        <v>183</v>
      </c>
      <c r="BC13" s="25"/>
      <c r="BD13" s="25" t="s">
        <v>184</v>
      </c>
      <c r="BE13" s="25" t="s">
        <v>185</v>
      </c>
      <c r="BF13" s="24"/>
      <c r="BG13" s="133"/>
      <c r="BH13" s="146"/>
      <c r="BI13" s="140" t="s">
        <v>186</v>
      </c>
      <c r="BK13" s="24" t="s">
        <v>188</v>
      </c>
      <c r="BL13" s="24" t="s">
        <v>189</v>
      </c>
      <c r="BM13" s="24"/>
      <c r="BN13" s="24"/>
      <c r="BO13" s="24"/>
      <c r="BP13" s="24"/>
      <c r="BQ13" s="24"/>
      <c r="BR13" s="24"/>
      <c r="BS13" s="23" t="s">
        <v>190</v>
      </c>
      <c r="BT13" s="23" t="s">
        <v>191</v>
      </c>
      <c r="BU13" s="124" t="s">
        <v>192</v>
      </c>
      <c r="BV13" s="24" t="s">
        <v>193</v>
      </c>
      <c r="BW13" s="24" t="s">
        <v>194</v>
      </c>
    </row>
    <row r="14" spans="1:75" ht="47.25" customHeight="1" x14ac:dyDescent="0.25">
      <c r="A14" s="213"/>
      <c r="B14" s="69"/>
      <c r="C14" s="73" t="s">
        <v>195</v>
      </c>
      <c r="D14" s="76" t="s">
        <v>196</v>
      </c>
      <c r="E14" s="92" t="s">
        <v>68</v>
      </c>
      <c r="F14" s="88" t="s">
        <v>197</v>
      </c>
      <c r="G14" s="88" t="s">
        <v>198</v>
      </c>
      <c r="H14" s="88" t="s">
        <v>199</v>
      </c>
      <c r="I14" s="88" t="s">
        <v>200</v>
      </c>
      <c r="J14" s="88" t="s">
        <v>201</v>
      </c>
      <c r="K14" s="88" t="s">
        <v>202</v>
      </c>
      <c r="L14" s="88" t="s">
        <v>203</v>
      </c>
      <c r="M14" s="88" t="s">
        <v>653</v>
      </c>
      <c r="N14" s="88" t="s">
        <v>204</v>
      </c>
      <c r="O14" s="88" t="s">
        <v>205</v>
      </c>
      <c r="P14" s="165" t="s">
        <v>206</v>
      </c>
      <c r="Q14" s="165" t="s">
        <v>207</v>
      </c>
      <c r="R14" s="165" t="s">
        <v>208</v>
      </c>
      <c r="S14" s="164" t="s">
        <v>209</v>
      </c>
      <c r="T14" s="164" t="s">
        <v>210</v>
      </c>
      <c r="U14" s="164" t="s">
        <v>211</v>
      </c>
      <c r="V14" s="164" t="s">
        <v>212</v>
      </c>
      <c r="W14" s="165" t="s">
        <v>213</v>
      </c>
      <c r="X14" s="165" t="s">
        <v>214</v>
      </c>
      <c r="Y14" s="165" t="s">
        <v>215</v>
      </c>
      <c r="Z14" s="100" t="s">
        <v>216</v>
      </c>
      <c r="AA14" s="165" t="s">
        <v>217</v>
      </c>
      <c r="AB14" s="166" t="s">
        <v>218</v>
      </c>
      <c r="AC14" s="169" t="s">
        <v>219</v>
      </c>
      <c r="AD14" s="169" t="s">
        <v>220</v>
      </c>
      <c r="AE14" s="165" t="s">
        <v>221</v>
      </c>
      <c r="AF14" s="164" t="s">
        <v>222</v>
      </c>
      <c r="AG14" s="164" t="s">
        <v>223</v>
      </c>
      <c r="AH14" s="164" t="s">
        <v>224</v>
      </c>
      <c r="AI14" s="164" t="s">
        <v>225</v>
      </c>
      <c r="AJ14" s="165" t="s">
        <v>226</v>
      </c>
      <c r="AK14" s="164" t="s">
        <v>227</v>
      </c>
      <c r="AL14" s="164" t="s">
        <v>228</v>
      </c>
      <c r="AM14" s="164" t="s">
        <v>229</v>
      </c>
      <c r="AN14" s="165" t="s">
        <v>230</v>
      </c>
      <c r="AO14" s="164" t="s">
        <v>231</v>
      </c>
      <c r="AP14" s="220" t="s">
        <v>639</v>
      </c>
      <c r="AU14" s="19"/>
      <c r="AV14" s="21" t="s">
        <v>232</v>
      </c>
      <c r="AW14" s="25" t="s">
        <v>233</v>
      </c>
      <c r="AX14" s="25" t="s">
        <v>234</v>
      </c>
      <c r="AY14" s="25" t="s">
        <v>235</v>
      </c>
      <c r="AZ14" s="24"/>
      <c r="BA14" s="25" t="s">
        <v>236</v>
      </c>
      <c r="BB14" s="25" t="s">
        <v>237</v>
      </c>
      <c r="BC14" s="25"/>
      <c r="BD14" s="25" t="s">
        <v>238</v>
      </c>
      <c r="BE14" s="25" t="s">
        <v>239</v>
      </c>
      <c r="BF14" s="25" t="s">
        <v>240</v>
      </c>
      <c r="BG14" s="134" t="s">
        <v>241</v>
      </c>
      <c r="BH14" s="147"/>
      <c r="BI14" s="140" t="s">
        <v>242</v>
      </c>
      <c r="BK14" s="100" t="s">
        <v>243</v>
      </c>
      <c r="BL14" s="100" t="s">
        <v>244</v>
      </c>
      <c r="BM14" s="24" t="s">
        <v>245</v>
      </c>
      <c r="BN14" s="25" t="s">
        <v>246</v>
      </c>
      <c r="BO14" s="24"/>
      <c r="BP14" s="100" t="s">
        <v>247</v>
      </c>
      <c r="BQ14" s="25" t="s">
        <v>248</v>
      </c>
      <c r="BR14" s="100"/>
      <c r="BS14" s="125" t="s">
        <v>249</v>
      </c>
      <c r="BT14" s="23"/>
      <c r="BU14" s="100" t="s">
        <v>250</v>
      </c>
      <c r="BV14" s="24"/>
      <c r="BW14" s="24"/>
    </row>
    <row r="15" spans="1:75" ht="0.75" customHeight="1" x14ac:dyDescent="0.25">
      <c r="A15" s="213"/>
      <c r="B15" s="135"/>
      <c r="C15" s="135"/>
      <c r="D15" s="135"/>
      <c r="E15" s="135"/>
      <c r="F15" s="88"/>
      <c r="G15" s="88"/>
      <c r="H15" s="88"/>
      <c r="I15" s="88"/>
      <c r="J15" s="88"/>
      <c r="K15" s="88"/>
      <c r="L15" s="88"/>
      <c r="M15" s="88"/>
      <c r="N15" s="88"/>
      <c r="O15" s="88"/>
      <c r="P15" s="135"/>
      <c r="Q15" s="135"/>
      <c r="R15" s="135"/>
      <c r="S15" s="135"/>
      <c r="T15" s="135"/>
      <c r="U15" s="135"/>
      <c r="V15" s="135"/>
      <c r="W15" s="135"/>
      <c r="X15" s="135"/>
      <c r="Y15" s="135"/>
      <c r="Z15" s="135"/>
      <c r="AA15" s="135"/>
      <c r="AB15" s="135"/>
      <c r="AC15" s="135"/>
      <c r="AD15" s="135"/>
      <c r="AE15" s="135"/>
      <c r="AF15" s="135"/>
      <c r="AG15" s="135"/>
      <c r="AH15" s="135"/>
      <c r="AI15" s="135"/>
      <c r="AJ15" s="135"/>
      <c r="AK15" s="135"/>
      <c r="AL15" s="135"/>
      <c r="AM15" s="135"/>
      <c r="AN15" s="135"/>
      <c r="AO15" s="221"/>
      <c r="AP15" s="214"/>
      <c r="BS15" s="23"/>
      <c r="BT15" s="23"/>
    </row>
    <row r="16" spans="1:75" ht="80.25" customHeight="1" x14ac:dyDescent="0.25">
      <c r="A16" s="213"/>
      <c r="B16" s="69"/>
      <c r="C16" s="73" t="s">
        <v>251</v>
      </c>
      <c r="D16" s="76" t="s">
        <v>252</v>
      </c>
      <c r="E16" s="92" t="s">
        <v>68</v>
      </c>
      <c r="F16" s="88" t="s">
        <v>630</v>
      </c>
      <c r="G16" s="88" t="s">
        <v>627</v>
      </c>
      <c r="H16" s="88" t="s">
        <v>253</v>
      </c>
      <c r="I16" s="88" t="s">
        <v>254</v>
      </c>
      <c r="J16" s="88" t="s">
        <v>255</v>
      </c>
      <c r="K16" s="88" t="s">
        <v>631</v>
      </c>
      <c r="L16" s="88" t="s">
        <v>256</v>
      </c>
      <c r="M16" s="88" t="s">
        <v>654</v>
      </c>
      <c r="N16" s="88" t="s">
        <v>257</v>
      </c>
      <c r="O16" s="88" t="s">
        <v>258</v>
      </c>
      <c r="P16" s="25" t="s">
        <v>259</v>
      </c>
      <c r="Q16" s="25" t="s">
        <v>260</v>
      </c>
      <c r="R16" s="24" t="s">
        <v>261</v>
      </c>
      <c r="S16" s="25" t="s">
        <v>262</v>
      </c>
      <c r="T16" s="25" t="s">
        <v>263</v>
      </c>
      <c r="U16" s="25" t="s">
        <v>264</v>
      </c>
      <c r="V16" s="25" t="s">
        <v>265</v>
      </c>
      <c r="W16" s="25" t="s">
        <v>266</v>
      </c>
      <c r="X16" s="25" t="s">
        <v>267</v>
      </c>
      <c r="Y16" s="25" t="s">
        <v>266</v>
      </c>
      <c r="Z16" s="25" t="s">
        <v>268</v>
      </c>
      <c r="AA16" s="25" t="s">
        <v>269</v>
      </c>
      <c r="AB16" s="173" t="s">
        <v>270</v>
      </c>
      <c r="AC16" s="25" t="s">
        <v>269</v>
      </c>
      <c r="AD16" s="25" t="s">
        <v>265</v>
      </c>
      <c r="AE16" s="25" t="s">
        <v>267</v>
      </c>
      <c r="AF16" s="25" t="s">
        <v>271</v>
      </c>
      <c r="AG16" s="25" t="s">
        <v>272</v>
      </c>
      <c r="AH16" s="25" t="s">
        <v>272</v>
      </c>
      <c r="AI16" s="25" t="s">
        <v>273</v>
      </c>
      <c r="AJ16" s="25" t="s">
        <v>274</v>
      </c>
      <c r="AK16" s="25" t="s">
        <v>272</v>
      </c>
      <c r="AL16" s="25" t="s">
        <v>275</v>
      </c>
      <c r="AM16" s="25" t="s">
        <v>276</v>
      </c>
      <c r="AN16" s="25" t="s">
        <v>276</v>
      </c>
      <c r="AO16" s="25" t="s">
        <v>265</v>
      </c>
      <c r="AP16" s="219" t="s">
        <v>288</v>
      </c>
      <c r="AU16" s="19"/>
      <c r="AV16" s="25" t="s">
        <v>277</v>
      </c>
      <c r="AW16" s="25" t="s">
        <v>278</v>
      </c>
      <c r="AX16" s="25" t="s">
        <v>279</v>
      </c>
      <c r="AY16" s="25" t="s">
        <v>280</v>
      </c>
      <c r="AZ16" s="24"/>
      <c r="BA16" s="25" t="s">
        <v>281</v>
      </c>
      <c r="BB16" s="25" t="s">
        <v>282</v>
      </c>
      <c r="BC16" s="25"/>
      <c r="BD16" s="25" t="s">
        <v>283</v>
      </c>
      <c r="BE16" s="25" t="s">
        <v>284</v>
      </c>
      <c r="BF16" s="25" t="s">
        <v>285</v>
      </c>
      <c r="BG16" s="134" t="s">
        <v>286</v>
      </c>
      <c r="BH16" s="147"/>
      <c r="BI16" s="140" t="s">
        <v>287</v>
      </c>
      <c r="BK16" s="25" t="s">
        <v>289</v>
      </c>
      <c r="BL16" s="25" t="s">
        <v>290</v>
      </c>
      <c r="BM16" s="25" t="s">
        <v>269</v>
      </c>
      <c r="BN16" s="25" t="s">
        <v>269</v>
      </c>
      <c r="BO16" s="24" t="s">
        <v>291</v>
      </c>
      <c r="BP16" s="25" t="s">
        <v>292</v>
      </c>
      <c r="BQ16" s="25" t="s">
        <v>293</v>
      </c>
      <c r="BR16" s="21" t="s">
        <v>265</v>
      </c>
      <c r="BS16" s="23" t="s">
        <v>294</v>
      </c>
      <c r="BT16" s="23"/>
      <c r="BU16" s="25" t="s">
        <v>295</v>
      </c>
      <c r="BV16" s="24"/>
      <c r="BW16" s="24"/>
    </row>
    <row r="17" spans="1:75" ht="83.25" customHeight="1" x14ac:dyDescent="0.25">
      <c r="A17" s="213"/>
      <c r="B17" s="69"/>
      <c r="C17" s="73" t="s">
        <v>296</v>
      </c>
      <c r="D17" s="76" t="s">
        <v>297</v>
      </c>
      <c r="E17" s="92" t="s">
        <v>68</v>
      </c>
      <c r="F17" s="88" t="s">
        <v>298</v>
      </c>
      <c r="G17" s="88" t="s">
        <v>625</v>
      </c>
      <c r="H17" s="88"/>
      <c r="I17" s="88" t="s">
        <v>644</v>
      </c>
      <c r="J17" s="88" t="s">
        <v>299</v>
      </c>
      <c r="K17" s="88" t="s">
        <v>300</v>
      </c>
      <c r="L17" s="88" t="s">
        <v>301</v>
      </c>
      <c r="M17" s="88" t="s">
        <v>659</v>
      </c>
      <c r="N17" s="88"/>
      <c r="O17" s="88" t="s">
        <v>302</v>
      </c>
      <c r="P17" s="25" t="s">
        <v>303</v>
      </c>
      <c r="Q17" s="25" t="s">
        <v>304</v>
      </c>
      <c r="R17" s="25" t="s">
        <v>305</v>
      </c>
      <c r="S17" s="24" t="s">
        <v>306</v>
      </c>
      <c r="T17" s="24" t="s">
        <v>307</v>
      </c>
      <c r="U17" s="24" t="s">
        <v>308</v>
      </c>
      <c r="V17" s="24" t="s">
        <v>309</v>
      </c>
      <c r="W17" s="24" t="s">
        <v>310</v>
      </c>
      <c r="X17" s="24" t="s">
        <v>310</v>
      </c>
      <c r="Y17" s="24" t="s">
        <v>311</v>
      </c>
      <c r="Z17" s="24" t="s">
        <v>312</v>
      </c>
      <c r="AA17" s="24" t="s">
        <v>312</v>
      </c>
      <c r="AB17" s="173" t="s">
        <v>313</v>
      </c>
      <c r="AC17" s="24" t="s">
        <v>314</v>
      </c>
      <c r="AD17" s="24" t="s">
        <v>315</v>
      </c>
      <c r="AE17" s="24" t="s">
        <v>316</v>
      </c>
      <c r="AF17" s="24" t="s">
        <v>309</v>
      </c>
      <c r="AG17" s="24" t="s">
        <v>309</v>
      </c>
      <c r="AH17" s="24" t="s">
        <v>317</v>
      </c>
      <c r="AI17" s="24" t="s">
        <v>312</v>
      </c>
      <c r="AJ17" s="24" t="s">
        <v>318</v>
      </c>
      <c r="AK17" s="24" t="s">
        <v>319</v>
      </c>
      <c r="AL17" s="24" t="s">
        <v>320</v>
      </c>
      <c r="AM17" s="24" t="s">
        <v>321</v>
      </c>
      <c r="AN17" s="24" t="s">
        <v>322</v>
      </c>
      <c r="AO17" s="24" t="s">
        <v>309</v>
      </c>
      <c r="AP17" s="222" t="s">
        <v>312</v>
      </c>
      <c r="AU17" s="19"/>
      <c r="AV17" s="25" t="s">
        <v>323</v>
      </c>
      <c r="AW17" s="25" t="s">
        <v>324</v>
      </c>
      <c r="AX17" s="25" t="s">
        <v>325</v>
      </c>
      <c r="AY17" s="21" t="s">
        <v>326</v>
      </c>
      <c r="AZ17" s="21" t="s">
        <v>327</v>
      </c>
      <c r="BA17" s="24"/>
      <c r="BB17" s="24"/>
      <c r="BC17" s="24"/>
      <c r="BD17" s="25" t="s">
        <v>328</v>
      </c>
      <c r="BE17" s="24"/>
      <c r="BF17" s="24"/>
      <c r="BG17" s="133"/>
      <c r="BH17" s="146"/>
      <c r="BI17" s="141"/>
      <c r="BK17" s="24"/>
      <c r="BL17" s="24" t="s">
        <v>329</v>
      </c>
      <c r="BM17" s="24"/>
      <c r="BN17" s="24"/>
      <c r="BO17" s="24"/>
      <c r="BP17" s="24"/>
      <c r="BQ17" s="24"/>
      <c r="BR17" s="21"/>
      <c r="BS17" s="23" t="s">
        <v>330</v>
      </c>
      <c r="BT17" s="23"/>
      <c r="BU17" s="24" t="s">
        <v>312</v>
      </c>
      <c r="BV17" s="24"/>
      <c r="BW17" s="24"/>
    </row>
    <row r="18" spans="1:75" ht="43.5" customHeight="1" x14ac:dyDescent="0.25">
      <c r="A18" s="213"/>
      <c r="B18" s="69"/>
      <c r="C18" s="73" t="s">
        <v>331</v>
      </c>
      <c r="D18" s="76" t="s">
        <v>332</v>
      </c>
      <c r="E18" s="92" t="s">
        <v>68</v>
      </c>
      <c r="F18" s="88" t="s">
        <v>333</v>
      </c>
      <c r="G18" s="88"/>
      <c r="H18" s="88"/>
      <c r="I18" s="88" t="s">
        <v>334</v>
      </c>
      <c r="J18" s="88" t="s">
        <v>335</v>
      </c>
      <c r="K18" s="88" t="s">
        <v>335</v>
      </c>
      <c r="L18" s="88" t="s">
        <v>336</v>
      </c>
      <c r="M18" s="88" t="s">
        <v>655</v>
      </c>
      <c r="N18" s="88" t="s">
        <v>337</v>
      </c>
      <c r="O18" s="88" t="s">
        <v>338</v>
      </c>
      <c r="P18" s="25" t="s">
        <v>339</v>
      </c>
      <c r="Q18" s="24" t="s">
        <v>335</v>
      </c>
      <c r="R18" s="25" t="s">
        <v>340</v>
      </c>
      <c r="S18" s="24" t="s">
        <v>341</v>
      </c>
      <c r="T18" s="88" t="s">
        <v>342</v>
      </c>
      <c r="U18" s="88" t="s">
        <v>343</v>
      </c>
      <c r="V18" s="88" t="s">
        <v>344</v>
      </c>
      <c r="W18" s="88" t="s">
        <v>335</v>
      </c>
      <c r="X18" s="88" t="s">
        <v>335</v>
      </c>
      <c r="Y18" s="88" t="s">
        <v>345</v>
      </c>
      <c r="Z18" s="88" t="s">
        <v>346</v>
      </c>
      <c r="AA18" s="88" t="s">
        <v>347</v>
      </c>
      <c r="AB18" s="173"/>
      <c r="AC18" s="88" t="s">
        <v>348</v>
      </c>
      <c r="AD18" s="88" t="s">
        <v>349</v>
      </c>
      <c r="AE18" s="88" t="s">
        <v>350</v>
      </c>
      <c r="AF18" s="88" t="s">
        <v>351</v>
      </c>
      <c r="AG18" s="88" t="s">
        <v>352</v>
      </c>
      <c r="AH18" s="88" t="s">
        <v>353</v>
      </c>
      <c r="AI18" s="88" t="s">
        <v>354</v>
      </c>
      <c r="AJ18" s="88" t="s">
        <v>335</v>
      </c>
      <c r="AK18" s="88" t="s">
        <v>355</v>
      </c>
      <c r="AL18" s="88" t="s">
        <v>356</v>
      </c>
      <c r="AM18" s="88" t="s">
        <v>357</v>
      </c>
      <c r="AN18" s="88" t="s">
        <v>357</v>
      </c>
      <c r="AO18" s="88" t="s">
        <v>358</v>
      </c>
      <c r="AP18" s="219" t="s">
        <v>363</v>
      </c>
      <c r="AU18" s="19"/>
      <c r="AV18" s="25" t="s">
        <v>335</v>
      </c>
      <c r="AW18" s="25" t="s">
        <v>335</v>
      </c>
      <c r="AX18" s="25" t="s">
        <v>359</v>
      </c>
      <c r="AY18" s="25" t="s">
        <v>360</v>
      </c>
      <c r="AZ18" s="24"/>
      <c r="BA18" s="25" t="s">
        <v>361</v>
      </c>
      <c r="BB18" s="24"/>
      <c r="BC18" s="24"/>
      <c r="BD18" s="24"/>
      <c r="BE18" s="24"/>
      <c r="BF18" s="24"/>
      <c r="BG18" s="133"/>
      <c r="BH18" s="146"/>
      <c r="BI18" s="140" t="s">
        <v>362</v>
      </c>
      <c r="BK18" s="24"/>
      <c r="BL18" s="21" t="s">
        <v>364</v>
      </c>
      <c r="BM18" s="24"/>
      <c r="BN18" s="24"/>
      <c r="BO18" s="24"/>
      <c r="BP18" s="21"/>
      <c r="BQ18" s="21" t="s">
        <v>365</v>
      </c>
      <c r="BR18" s="21"/>
      <c r="BS18" s="23" t="s">
        <v>366</v>
      </c>
      <c r="BT18" s="23"/>
      <c r="BU18" s="88" t="s">
        <v>367</v>
      </c>
      <c r="BV18" s="24"/>
      <c r="BW18" s="24"/>
    </row>
    <row r="19" spans="1:75" ht="212.25" customHeight="1" x14ac:dyDescent="0.25">
      <c r="A19" s="213"/>
      <c r="B19" s="69"/>
      <c r="C19" s="73" t="s">
        <v>368</v>
      </c>
      <c r="D19" s="76" t="s">
        <v>369</v>
      </c>
      <c r="E19" s="92" t="s">
        <v>68</v>
      </c>
      <c r="F19" s="88" t="s">
        <v>626</v>
      </c>
      <c r="G19" s="88" t="s">
        <v>624</v>
      </c>
      <c r="H19" s="88" t="s">
        <v>370</v>
      </c>
      <c r="I19" s="88" t="s">
        <v>371</v>
      </c>
      <c r="J19" s="88" t="s">
        <v>372</v>
      </c>
      <c r="K19" s="88" t="s">
        <v>632</v>
      </c>
      <c r="L19" s="88" t="s">
        <v>373</v>
      </c>
      <c r="M19" s="88" t="s">
        <v>656</v>
      </c>
      <c r="N19" s="88"/>
      <c r="O19" s="88" t="s">
        <v>374</v>
      </c>
      <c r="P19" s="25" t="s">
        <v>375</v>
      </c>
      <c r="Q19" s="25" t="s">
        <v>376</v>
      </c>
      <c r="R19" s="25" t="s">
        <v>377</v>
      </c>
      <c r="S19" s="88" t="s">
        <v>378</v>
      </c>
      <c r="T19" s="88" t="s">
        <v>379</v>
      </c>
      <c r="U19" s="88" t="s">
        <v>380</v>
      </c>
      <c r="V19" s="88" t="s">
        <v>381</v>
      </c>
      <c r="W19" s="88" t="s">
        <v>382</v>
      </c>
      <c r="X19" s="88" t="s">
        <v>383</v>
      </c>
      <c r="Y19" s="88" t="s">
        <v>384</v>
      </c>
      <c r="Z19" s="88" t="s">
        <v>385</v>
      </c>
      <c r="AA19" s="88" t="s">
        <v>386</v>
      </c>
      <c r="AB19" s="173" t="s">
        <v>387</v>
      </c>
      <c r="AC19" s="88" t="s">
        <v>388</v>
      </c>
      <c r="AD19" s="21" t="s">
        <v>389</v>
      </c>
      <c r="AE19" s="88" t="s">
        <v>390</v>
      </c>
      <c r="AF19" s="88" t="s">
        <v>391</v>
      </c>
      <c r="AG19" s="21" t="s">
        <v>392</v>
      </c>
      <c r="AH19" s="88" t="s">
        <v>393</v>
      </c>
      <c r="AI19" s="88" t="s">
        <v>394</v>
      </c>
      <c r="AJ19" s="88" t="s">
        <v>395</v>
      </c>
      <c r="AK19" s="88" t="s">
        <v>396</v>
      </c>
      <c r="AL19" s="88" t="s">
        <v>397</v>
      </c>
      <c r="AM19" s="88" t="s">
        <v>398</v>
      </c>
      <c r="AN19" s="88" t="s">
        <v>399</v>
      </c>
      <c r="AO19" s="88" t="s">
        <v>400</v>
      </c>
      <c r="AP19" s="218" t="s">
        <v>638</v>
      </c>
      <c r="AU19" s="19"/>
      <c r="AV19" s="25" t="s">
        <v>401</v>
      </c>
      <c r="AW19" s="25" t="s">
        <v>402</v>
      </c>
      <c r="AX19" s="25" t="s">
        <v>403</v>
      </c>
      <c r="AY19" s="21" t="s">
        <v>404</v>
      </c>
      <c r="AZ19" s="119" t="s">
        <v>405</v>
      </c>
      <c r="BA19" s="25" t="s">
        <v>406</v>
      </c>
      <c r="BB19" s="25" t="s">
        <v>407</v>
      </c>
      <c r="BC19" s="25"/>
      <c r="BD19" s="25" t="s">
        <v>408</v>
      </c>
      <c r="BE19" s="25" t="s">
        <v>409</v>
      </c>
      <c r="BF19" s="25" t="s">
        <v>410</v>
      </c>
      <c r="BG19" s="136" t="s">
        <v>411</v>
      </c>
      <c r="BH19" s="149"/>
      <c r="BI19" s="140" t="s">
        <v>412</v>
      </c>
      <c r="BK19" s="21" t="s">
        <v>413</v>
      </c>
      <c r="BL19" s="21" t="s">
        <v>414</v>
      </c>
      <c r="BM19" s="21" t="s">
        <v>415</v>
      </c>
      <c r="BN19" s="25" t="s">
        <v>416</v>
      </c>
      <c r="BO19" s="24" t="s">
        <v>417</v>
      </c>
      <c r="BP19" s="21"/>
      <c r="BQ19" s="21" t="s">
        <v>418</v>
      </c>
      <c r="BR19" s="21" t="s">
        <v>419</v>
      </c>
      <c r="BS19" s="23" t="s">
        <v>420</v>
      </c>
      <c r="BT19" s="23"/>
      <c r="BU19" s="88" t="s">
        <v>421</v>
      </c>
      <c r="BV19" s="24"/>
      <c r="BW19" s="24"/>
    </row>
    <row r="20" spans="1:75" ht="178.5" customHeight="1" x14ac:dyDescent="0.25">
      <c r="A20" s="213"/>
      <c r="B20" s="69"/>
      <c r="C20" s="73" t="s">
        <v>422</v>
      </c>
      <c r="D20" s="76" t="s">
        <v>423</v>
      </c>
      <c r="E20" s="92"/>
      <c r="F20" s="88" t="s">
        <v>424</v>
      </c>
      <c r="G20" s="88"/>
      <c r="H20" s="88"/>
      <c r="I20" s="88" t="s">
        <v>634</v>
      </c>
      <c r="J20" s="88" t="s">
        <v>425</v>
      </c>
      <c r="K20" s="88" t="s">
        <v>426</v>
      </c>
      <c r="L20" s="88" t="s">
        <v>427</v>
      </c>
      <c r="M20" s="88" t="s">
        <v>657</v>
      </c>
      <c r="N20" s="88"/>
      <c r="O20" s="88" t="s">
        <v>428</v>
      </c>
      <c r="P20" s="24" t="s">
        <v>429</v>
      </c>
      <c r="Q20" s="24" t="s">
        <v>430</v>
      </c>
      <c r="R20" s="24" t="s">
        <v>431</v>
      </c>
      <c r="S20" s="24" t="s">
        <v>432</v>
      </c>
      <c r="T20" s="24" t="s">
        <v>433</v>
      </c>
      <c r="U20" s="24" t="s">
        <v>434</v>
      </c>
      <c r="V20" s="24" t="s">
        <v>435</v>
      </c>
      <c r="W20" s="24" t="s">
        <v>436</v>
      </c>
      <c r="X20" s="24" t="s">
        <v>437</v>
      </c>
      <c r="Y20" s="24" t="s">
        <v>438</v>
      </c>
      <c r="Z20" s="24" t="s">
        <v>439</v>
      </c>
      <c r="AA20" s="24" t="s">
        <v>440</v>
      </c>
      <c r="AB20" s="173" t="s">
        <v>441</v>
      </c>
      <c r="AC20" s="24" t="s">
        <v>442</v>
      </c>
      <c r="AD20" s="24" t="s">
        <v>443</v>
      </c>
      <c r="AE20" s="24" t="s">
        <v>444</v>
      </c>
      <c r="AF20" s="24" t="s">
        <v>444</v>
      </c>
      <c r="AG20" s="24" t="s">
        <v>444</v>
      </c>
      <c r="AH20" s="24" t="s">
        <v>445</v>
      </c>
      <c r="AI20" s="24" t="s">
        <v>446</v>
      </c>
      <c r="AJ20" s="24" t="s">
        <v>447</v>
      </c>
      <c r="AK20" s="24" t="s">
        <v>444</v>
      </c>
      <c r="AL20" s="24" t="s">
        <v>448</v>
      </c>
      <c r="AM20" s="24" t="s">
        <v>449</v>
      </c>
      <c r="AN20" s="24" t="s">
        <v>450</v>
      </c>
      <c r="AO20" s="88" t="s">
        <v>444</v>
      </c>
      <c r="AP20" s="222" t="s">
        <v>451</v>
      </c>
      <c r="AU20" s="19"/>
      <c r="AV20" s="24"/>
      <c r="AW20" s="89"/>
      <c r="AX20" s="24"/>
      <c r="AY20" s="24"/>
      <c r="AZ20" s="24"/>
      <c r="BA20" s="24"/>
      <c r="BB20" s="24"/>
      <c r="BC20" s="24"/>
      <c r="BD20" s="24"/>
      <c r="BE20" s="24"/>
      <c r="BF20" s="24"/>
      <c r="BG20" s="133"/>
      <c r="BH20" s="146"/>
      <c r="BI20" s="141"/>
      <c r="BK20" s="24"/>
      <c r="BL20" s="24" t="s">
        <v>452</v>
      </c>
      <c r="BM20" s="24"/>
      <c r="BN20" s="24"/>
      <c r="BO20" s="24" t="s">
        <v>453</v>
      </c>
      <c r="BP20" s="24"/>
      <c r="BQ20" s="24"/>
      <c r="BR20" s="21"/>
      <c r="BS20" s="23" t="s">
        <v>454</v>
      </c>
      <c r="BT20" s="23"/>
      <c r="BU20" s="24" t="s">
        <v>455</v>
      </c>
      <c r="BV20" s="24"/>
      <c r="BW20" s="24"/>
    </row>
    <row r="21" spans="1:75" ht="85.5" customHeight="1" x14ac:dyDescent="0.25">
      <c r="A21" s="223"/>
      <c r="B21" s="30"/>
      <c r="C21" s="30" t="s">
        <v>456</v>
      </c>
      <c r="D21" s="93" t="s">
        <v>457</v>
      </c>
      <c r="E21" s="77"/>
      <c r="F21" s="88"/>
      <c r="G21" s="88"/>
      <c r="H21" s="88"/>
      <c r="I21" s="88" t="s">
        <v>646</v>
      </c>
      <c r="J21" s="88" t="s">
        <v>458</v>
      </c>
      <c r="K21" s="88" t="s">
        <v>459</v>
      </c>
      <c r="L21" s="88" t="s">
        <v>460</v>
      </c>
      <c r="M21" s="88" t="s">
        <v>658</v>
      </c>
      <c r="N21" s="88"/>
      <c r="O21" s="88"/>
      <c r="P21" s="24" t="s">
        <v>461</v>
      </c>
      <c r="Q21" s="24" t="s">
        <v>462</v>
      </c>
      <c r="R21" s="24" t="s">
        <v>463</v>
      </c>
      <c r="S21" s="24" t="s">
        <v>464</v>
      </c>
      <c r="T21" s="24" t="s">
        <v>465</v>
      </c>
      <c r="U21" s="24" t="s">
        <v>466</v>
      </c>
      <c r="V21" s="24" t="s">
        <v>467</v>
      </c>
      <c r="W21" s="24" t="s">
        <v>468</v>
      </c>
      <c r="X21" s="24" t="s">
        <v>469</v>
      </c>
      <c r="Y21" s="24" t="s">
        <v>470</v>
      </c>
      <c r="Z21" s="24" t="s">
        <v>470</v>
      </c>
      <c r="AA21" s="24" t="s">
        <v>471</v>
      </c>
      <c r="AB21" s="173" t="s">
        <v>472</v>
      </c>
      <c r="AC21" s="24" t="s">
        <v>473</v>
      </c>
      <c r="AD21" s="24" t="s">
        <v>474</v>
      </c>
      <c r="AE21" s="24" t="s">
        <v>475</v>
      </c>
      <c r="AF21" s="24" t="s">
        <v>476</v>
      </c>
      <c r="AG21" s="24" t="s">
        <v>477</v>
      </c>
      <c r="AH21" s="24" t="s">
        <v>478</v>
      </c>
      <c r="AI21" s="24" t="s">
        <v>479</v>
      </c>
      <c r="AJ21" s="24" t="s">
        <v>480</v>
      </c>
      <c r="AK21" s="24" t="s">
        <v>481</v>
      </c>
      <c r="AL21" s="24" t="s">
        <v>482</v>
      </c>
      <c r="AM21" s="24" t="s">
        <v>482</v>
      </c>
      <c r="AN21" s="24" t="s">
        <v>482</v>
      </c>
      <c r="AO21" s="88" t="s">
        <v>635</v>
      </c>
      <c r="AP21" s="222" t="s">
        <v>483</v>
      </c>
      <c r="AU21" s="28"/>
      <c r="AV21" s="24"/>
      <c r="AW21" s="89"/>
      <c r="AX21" s="24"/>
      <c r="AY21" s="24"/>
      <c r="AZ21" s="24"/>
      <c r="BA21" s="24"/>
      <c r="BB21" s="24"/>
      <c r="BC21" s="24"/>
      <c r="BD21" s="24"/>
      <c r="BE21" s="24"/>
      <c r="BF21" s="24"/>
      <c r="BG21" s="133"/>
      <c r="BH21" s="146"/>
      <c r="BI21" s="141"/>
      <c r="BK21" s="24"/>
      <c r="BL21" s="24" t="s">
        <v>484</v>
      </c>
      <c r="BM21" s="24" t="s">
        <v>485</v>
      </c>
      <c r="BN21" s="24"/>
      <c r="BO21" s="24"/>
      <c r="BP21" s="24"/>
      <c r="BQ21" s="24"/>
      <c r="BR21" s="21"/>
      <c r="BS21" s="23" t="s">
        <v>486</v>
      </c>
      <c r="BT21" s="23"/>
      <c r="BU21" s="24" t="s">
        <v>487</v>
      </c>
      <c r="BV21" s="24"/>
      <c r="BW21" s="24"/>
    </row>
    <row r="22" spans="1:75" ht="30.75" customHeight="1" x14ac:dyDescent="0.25">
      <c r="A22" s="224"/>
      <c r="B22" s="29" t="s">
        <v>488</v>
      </c>
      <c r="C22" s="30"/>
      <c r="D22" s="31"/>
      <c r="E22" s="32"/>
      <c r="F22" s="247"/>
      <c r="G22" s="27"/>
      <c r="H22" s="27"/>
      <c r="I22" s="27"/>
      <c r="J22" s="27"/>
      <c r="K22" s="27"/>
      <c r="L22" s="27"/>
      <c r="M22" s="27"/>
      <c r="N22" s="27"/>
      <c r="O22" s="27"/>
      <c r="P22" s="27"/>
      <c r="Q22" s="27"/>
      <c r="R22" s="27"/>
      <c r="S22" s="27"/>
      <c r="T22" s="27"/>
      <c r="U22" s="27"/>
      <c r="V22" s="27"/>
      <c r="W22" s="27"/>
      <c r="X22" s="27"/>
      <c r="Y22" s="27"/>
      <c r="Z22" s="27"/>
      <c r="AA22" s="27"/>
      <c r="AB22" s="35"/>
      <c r="AC22" s="27"/>
      <c r="AD22" s="27"/>
      <c r="AE22" s="27"/>
      <c r="AF22" s="27"/>
      <c r="AG22" s="27"/>
      <c r="AH22" s="27"/>
      <c r="AI22" s="27"/>
      <c r="AJ22" s="27"/>
      <c r="AK22" s="27"/>
      <c r="AL22" s="27"/>
      <c r="AM22" s="27"/>
      <c r="AN22" s="27"/>
      <c r="AO22" s="35"/>
      <c r="AP22" s="225"/>
      <c r="AU22" s="36"/>
      <c r="AV22" s="27"/>
      <c r="AW22" s="27"/>
      <c r="AX22" s="27"/>
      <c r="AY22" s="27"/>
      <c r="AZ22" s="33" t="s">
        <v>489</v>
      </c>
      <c r="BA22" s="34"/>
      <c r="BB22" s="27"/>
      <c r="BC22" s="27"/>
      <c r="BD22" s="27"/>
      <c r="BE22" s="27"/>
      <c r="BF22" s="27"/>
      <c r="BG22" s="27"/>
      <c r="BH22" s="146"/>
      <c r="BI22" s="27"/>
      <c r="BK22" s="27"/>
      <c r="BL22" s="27"/>
      <c r="BM22" s="27" t="s">
        <v>490</v>
      </c>
      <c r="BN22" s="27"/>
      <c r="BO22" s="27"/>
      <c r="BP22" s="27"/>
      <c r="BQ22" s="27"/>
      <c r="BR22" s="35"/>
      <c r="BS22" s="35"/>
      <c r="BT22" s="35"/>
      <c r="BU22" s="122"/>
      <c r="BV22" s="27"/>
      <c r="BW22" s="27"/>
    </row>
    <row r="23" spans="1:75" ht="165" customHeight="1" x14ac:dyDescent="0.25">
      <c r="A23" s="213"/>
      <c r="B23" s="30"/>
      <c r="C23" s="78" t="s">
        <v>491</v>
      </c>
      <c r="D23" s="76" t="s">
        <v>492</v>
      </c>
      <c r="E23" s="92" t="s">
        <v>68</v>
      </c>
      <c r="F23" s="88" t="s">
        <v>493</v>
      </c>
      <c r="G23" s="88"/>
      <c r="H23" s="88"/>
      <c r="I23" s="88" t="s">
        <v>633</v>
      </c>
      <c r="J23" s="88"/>
      <c r="K23" s="88"/>
      <c r="L23" s="88"/>
      <c r="M23" s="88" t="s">
        <v>660</v>
      </c>
      <c r="N23" s="88"/>
      <c r="O23" s="88"/>
      <c r="P23" s="128" t="s">
        <v>494</v>
      </c>
      <c r="Q23" s="128" t="s">
        <v>494</v>
      </c>
      <c r="R23" s="128" t="s">
        <v>495</v>
      </c>
      <c r="S23" s="128" t="s">
        <v>496</v>
      </c>
      <c r="T23" s="128" t="s">
        <v>497</v>
      </c>
      <c r="U23" s="128" t="s">
        <v>498</v>
      </c>
      <c r="V23" s="128"/>
      <c r="W23" s="128" t="s">
        <v>499</v>
      </c>
      <c r="X23" s="128" t="s">
        <v>500</v>
      </c>
      <c r="Y23" s="128" t="s">
        <v>501</v>
      </c>
      <c r="Z23" s="128" t="s">
        <v>502</v>
      </c>
      <c r="AA23" s="128" t="s">
        <v>503</v>
      </c>
      <c r="AB23" s="184" t="s">
        <v>504</v>
      </c>
      <c r="AC23" s="128" t="s">
        <v>146</v>
      </c>
      <c r="AD23" s="128"/>
      <c r="AE23" s="128" t="s">
        <v>505</v>
      </c>
      <c r="AF23" s="128"/>
      <c r="AG23" s="128"/>
      <c r="AH23" s="128"/>
      <c r="AI23" s="128"/>
      <c r="AJ23" s="128" t="s">
        <v>150</v>
      </c>
      <c r="AK23" s="128" t="s">
        <v>506</v>
      </c>
      <c r="AL23" s="128"/>
      <c r="AM23" s="128"/>
      <c r="AN23" s="128"/>
      <c r="AO23" s="185" t="s">
        <v>507</v>
      </c>
      <c r="AP23" s="222"/>
      <c r="AU23" s="19"/>
      <c r="AV23" s="24"/>
      <c r="AW23" s="24"/>
      <c r="AX23" s="24"/>
      <c r="AY23" s="24"/>
      <c r="AZ23" s="24"/>
      <c r="BA23" s="24"/>
      <c r="BB23" s="24"/>
      <c r="BC23" s="24"/>
      <c r="BD23" s="24"/>
      <c r="BE23" s="24"/>
      <c r="BF23" s="24"/>
      <c r="BG23" s="133"/>
      <c r="BH23" s="146"/>
      <c r="BI23" s="141"/>
      <c r="BK23" s="24"/>
      <c r="BL23" s="24"/>
      <c r="BM23" s="24"/>
      <c r="BN23" s="24"/>
      <c r="BO23" s="24"/>
      <c r="BP23" s="24"/>
      <c r="BQ23" s="24"/>
      <c r="BR23" s="21"/>
      <c r="BS23" s="23" t="s">
        <v>508</v>
      </c>
      <c r="BT23" s="23"/>
      <c r="BU23" s="24"/>
      <c r="BV23" s="24"/>
      <c r="BW23" s="24"/>
    </row>
    <row r="24" spans="1:75" ht="409.5" hidden="1" x14ac:dyDescent="0.25">
      <c r="A24" s="213"/>
      <c r="B24" s="30"/>
      <c r="C24" s="61" t="s">
        <v>509</v>
      </c>
      <c r="D24" s="76" t="s">
        <v>510</v>
      </c>
      <c r="E24" s="92" t="s">
        <v>68</v>
      </c>
      <c r="F24" s="88"/>
      <c r="G24" s="88"/>
      <c r="H24" s="88"/>
      <c r="I24" s="88"/>
      <c r="J24" s="88"/>
      <c r="K24" s="88"/>
      <c r="L24" s="88"/>
      <c r="M24" s="88"/>
      <c r="N24" s="88"/>
      <c r="O24" s="8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222"/>
      <c r="AU24" s="19"/>
      <c r="AV24" s="24"/>
      <c r="AW24" s="24"/>
      <c r="AX24" s="24"/>
      <c r="AY24" s="24"/>
      <c r="AZ24" s="37" t="s">
        <v>489</v>
      </c>
      <c r="BA24" s="38"/>
      <c r="BB24" s="24"/>
      <c r="BC24" s="24"/>
      <c r="BD24" s="24"/>
      <c r="BE24" s="24"/>
      <c r="BF24" s="24"/>
      <c r="BG24" s="133"/>
      <c r="BH24" s="146"/>
      <c r="BI24" s="141"/>
      <c r="BK24" s="24"/>
      <c r="BL24" s="24"/>
      <c r="BM24" s="24"/>
      <c r="BN24" s="24"/>
      <c r="BO24" s="24"/>
      <c r="BP24" s="24"/>
      <c r="BQ24" s="24"/>
      <c r="BR24" s="24"/>
      <c r="BS24" s="24"/>
      <c r="BT24" s="24"/>
      <c r="BU24" s="24"/>
      <c r="BV24" s="24"/>
      <c r="BW24" s="24"/>
    </row>
    <row r="25" spans="1:75" ht="409.5" hidden="1" x14ac:dyDescent="0.25">
      <c r="A25" s="213"/>
      <c r="B25" s="30"/>
      <c r="C25" s="154" t="s">
        <v>511</v>
      </c>
      <c r="D25" s="76" t="s">
        <v>512</v>
      </c>
      <c r="E25" s="30"/>
      <c r="F25" s="88"/>
      <c r="G25" s="88"/>
      <c r="H25" s="88"/>
      <c r="I25" s="88"/>
      <c r="J25" s="88"/>
      <c r="K25" s="88" t="s">
        <v>513</v>
      </c>
      <c r="L25" s="88"/>
      <c r="M25" s="88"/>
      <c r="N25" s="88"/>
      <c r="O25" s="8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222"/>
      <c r="AU25" s="19"/>
      <c r="AV25" s="24"/>
      <c r="AW25" s="24"/>
      <c r="AX25" s="24"/>
      <c r="AY25" s="24"/>
      <c r="AZ25" s="37" t="s">
        <v>489</v>
      </c>
      <c r="BA25" s="37" t="s">
        <v>514</v>
      </c>
      <c r="BB25" s="24"/>
      <c r="BC25" s="24"/>
      <c r="BD25" s="24"/>
      <c r="BE25" s="24"/>
      <c r="BF25" s="24"/>
      <c r="BG25" s="133"/>
      <c r="BH25" s="146"/>
      <c r="BI25" s="141"/>
      <c r="BK25" s="24"/>
      <c r="BL25" s="24"/>
      <c r="BM25" s="24"/>
      <c r="BN25" s="24"/>
      <c r="BO25" s="24"/>
      <c r="BP25" s="24"/>
      <c r="BQ25" s="24"/>
      <c r="BR25" s="24"/>
      <c r="BS25" s="24"/>
      <c r="BT25" s="24"/>
      <c r="BV25" s="24"/>
      <c r="BW25" s="24"/>
    </row>
    <row r="26" spans="1:75" ht="69" customHeight="1" x14ac:dyDescent="0.25">
      <c r="A26" s="213"/>
      <c r="B26" s="30"/>
      <c r="C26" s="154" t="s">
        <v>515</v>
      </c>
      <c r="D26" s="76" t="s">
        <v>516</v>
      </c>
      <c r="E26" s="30"/>
      <c r="F26" s="88" t="s">
        <v>517</v>
      </c>
      <c r="G26" s="88"/>
      <c r="H26" s="88"/>
      <c r="I26" s="88" t="s">
        <v>518</v>
      </c>
      <c r="J26" s="88"/>
      <c r="K26" s="88"/>
      <c r="L26" s="88"/>
      <c r="M26" s="88" t="s">
        <v>661</v>
      </c>
      <c r="N26" s="88"/>
      <c r="O26" s="88" t="s">
        <v>519</v>
      </c>
      <c r="P26" s="186"/>
      <c r="Q26" s="186"/>
      <c r="R26" s="186"/>
      <c r="S26" s="186" t="s">
        <v>520</v>
      </c>
      <c r="T26" s="186"/>
      <c r="U26" s="186"/>
      <c r="V26" s="186"/>
      <c r="W26" s="186" t="s">
        <v>521</v>
      </c>
      <c r="X26" s="186" t="s">
        <v>521</v>
      </c>
      <c r="Y26" s="186" t="s">
        <v>522</v>
      </c>
      <c r="Z26" s="186" t="s">
        <v>523</v>
      </c>
      <c r="AA26" s="186"/>
      <c r="AB26" s="186" t="s">
        <v>68</v>
      </c>
      <c r="AC26" s="186"/>
      <c r="AD26" s="186"/>
      <c r="AE26" s="186"/>
      <c r="AF26" s="186"/>
      <c r="AG26" s="186"/>
      <c r="AH26" s="186"/>
      <c r="AI26" s="186"/>
      <c r="AJ26" s="186"/>
      <c r="AK26" s="186"/>
      <c r="AL26" s="186"/>
      <c r="AM26" s="186"/>
      <c r="AN26" s="186"/>
      <c r="AO26" s="186"/>
      <c r="AP26" s="226"/>
      <c r="AU26" s="19"/>
      <c r="AV26" s="24"/>
      <c r="AW26" s="24"/>
      <c r="AX26" s="24"/>
      <c r="AY26" s="24"/>
      <c r="AZ26" s="24"/>
      <c r="BA26" s="24"/>
      <c r="BB26" s="24"/>
      <c r="BC26" s="24"/>
      <c r="BD26" s="24"/>
      <c r="BE26" s="24"/>
      <c r="BF26" s="24"/>
      <c r="BG26" s="133"/>
      <c r="BH26" s="146"/>
      <c r="BI26" s="141"/>
      <c r="BK26" s="40"/>
      <c r="BL26" s="40"/>
      <c r="BM26" s="24"/>
      <c r="BN26" s="40"/>
      <c r="BO26" s="40"/>
      <c r="BP26" s="40"/>
      <c r="BQ26" s="40"/>
      <c r="BR26" s="40"/>
      <c r="BS26" s="40"/>
      <c r="BT26" s="40"/>
      <c r="BU26" s="40"/>
      <c r="BV26" s="40"/>
      <c r="BW26" s="40"/>
    </row>
    <row r="27" spans="1:75" ht="58.5" customHeight="1" x14ac:dyDescent="0.25">
      <c r="A27" s="213"/>
      <c r="B27" s="30"/>
      <c r="C27" s="154" t="s">
        <v>524</v>
      </c>
      <c r="D27" s="76" t="s">
        <v>525</v>
      </c>
      <c r="E27" s="30"/>
      <c r="F27" s="88" t="s">
        <v>526</v>
      </c>
      <c r="G27" s="88"/>
      <c r="H27" s="88"/>
      <c r="I27" s="88"/>
      <c r="J27" s="88"/>
      <c r="K27" s="88"/>
      <c r="L27" s="88"/>
      <c r="M27" s="88" t="s">
        <v>662</v>
      </c>
      <c r="N27" s="88"/>
      <c r="O27" s="88"/>
      <c r="P27" s="186"/>
      <c r="Q27" s="186"/>
      <c r="R27" s="186"/>
      <c r="S27" s="186" t="s">
        <v>527</v>
      </c>
      <c r="T27" s="186"/>
      <c r="U27" s="186"/>
      <c r="V27" s="186"/>
      <c r="W27" s="186" t="s">
        <v>528</v>
      </c>
      <c r="X27" s="186" t="s">
        <v>529</v>
      </c>
      <c r="Y27" s="186" t="s">
        <v>530</v>
      </c>
      <c r="Z27" s="186" t="s">
        <v>531</v>
      </c>
      <c r="AA27" s="186"/>
      <c r="AB27" s="186"/>
      <c r="AC27" s="186"/>
      <c r="AD27" s="186"/>
      <c r="AE27" s="186"/>
      <c r="AF27" s="186"/>
      <c r="AG27" s="186"/>
      <c r="AH27" s="186"/>
      <c r="AI27" s="186"/>
      <c r="AJ27" s="186"/>
      <c r="AK27" s="186"/>
      <c r="AL27" s="186"/>
      <c r="AM27" s="186"/>
      <c r="AN27" s="186"/>
      <c r="AO27" s="186"/>
      <c r="AP27" s="226"/>
      <c r="AU27" s="19"/>
      <c r="AV27" s="24"/>
      <c r="AW27" s="24"/>
      <c r="AX27" s="24"/>
      <c r="AY27" s="24"/>
      <c r="AZ27" s="24"/>
      <c r="BA27" s="24"/>
      <c r="BB27" s="24"/>
      <c r="BC27" s="24"/>
      <c r="BD27" s="24"/>
      <c r="BE27" s="24"/>
      <c r="BF27" s="24"/>
      <c r="BG27" s="133"/>
      <c r="BH27" s="146"/>
      <c r="BI27" s="141"/>
      <c r="BK27" s="40"/>
      <c r="BL27" s="40"/>
      <c r="BM27" s="24"/>
      <c r="BN27" s="40"/>
      <c r="BO27" s="40"/>
      <c r="BP27" s="40"/>
      <c r="BQ27" s="40"/>
      <c r="BR27" s="40"/>
      <c r="BS27" s="40"/>
      <c r="BT27" s="40"/>
      <c r="BU27" s="40"/>
      <c r="BV27" s="40"/>
      <c r="BW27" s="40"/>
    </row>
    <row r="28" spans="1:75" ht="42.75" customHeight="1" x14ac:dyDescent="0.25">
      <c r="A28" s="213"/>
      <c r="B28" s="30"/>
      <c r="C28" s="155" t="s">
        <v>532</v>
      </c>
      <c r="D28" s="79"/>
      <c r="E28" s="80"/>
      <c r="F28" s="249"/>
      <c r="G28" s="187"/>
      <c r="H28" s="187"/>
      <c r="I28" s="187"/>
      <c r="J28" s="187"/>
      <c r="K28" s="187"/>
      <c r="L28" s="187"/>
      <c r="M28" s="187"/>
      <c r="N28" s="187"/>
      <c r="O28" s="187"/>
      <c r="P28" s="187"/>
      <c r="Q28" s="187"/>
      <c r="R28" s="187"/>
      <c r="S28" s="187"/>
      <c r="T28" s="187"/>
      <c r="U28" s="187"/>
      <c r="V28" s="187"/>
      <c r="W28" s="187"/>
      <c r="X28" s="187"/>
      <c r="Y28" s="187"/>
      <c r="Z28" s="187"/>
      <c r="AA28" s="187"/>
      <c r="AB28" s="72"/>
      <c r="AC28" s="187"/>
      <c r="AD28" s="187"/>
      <c r="AE28" s="187"/>
      <c r="AF28" s="187"/>
      <c r="AG28" s="187"/>
      <c r="AH28" s="187"/>
      <c r="AI28" s="187"/>
      <c r="AJ28" s="187"/>
      <c r="AK28" s="187"/>
      <c r="AL28" s="187"/>
      <c r="AM28" s="187"/>
      <c r="AN28" s="187"/>
      <c r="AO28" s="72"/>
      <c r="AP28" s="225"/>
      <c r="AU28" s="19"/>
      <c r="AV28" s="27"/>
      <c r="AW28" s="27"/>
      <c r="AX28" s="27"/>
      <c r="AY28" s="27"/>
      <c r="AZ28" s="33" t="s">
        <v>489</v>
      </c>
      <c r="BA28" s="34"/>
      <c r="BB28" s="27"/>
      <c r="BC28" s="27"/>
      <c r="BD28" s="27"/>
      <c r="BE28" s="27"/>
      <c r="BF28" s="27"/>
      <c r="BG28" s="27"/>
      <c r="BH28" s="146"/>
      <c r="BI28" s="27"/>
      <c r="BK28" s="27"/>
      <c r="BL28" s="27"/>
      <c r="BM28" s="27"/>
      <c r="BN28" s="27"/>
      <c r="BO28" s="27"/>
      <c r="BP28" s="27"/>
      <c r="BQ28" s="27"/>
      <c r="BR28" s="72"/>
      <c r="BS28" s="72"/>
      <c r="BT28" s="72"/>
      <c r="BU28" s="174"/>
      <c r="BV28" s="27"/>
      <c r="BW28" s="27"/>
    </row>
    <row r="29" spans="1:75" ht="72" customHeight="1" x14ac:dyDescent="0.25">
      <c r="A29" s="213"/>
      <c r="B29" s="30"/>
      <c r="C29" s="156" t="s">
        <v>533</v>
      </c>
      <c r="D29" s="76" t="s">
        <v>534</v>
      </c>
      <c r="E29" s="159" t="s">
        <v>535</v>
      </c>
      <c r="F29" s="250" t="s">
        <v>536</v>
      </c>
      <c r="G29" s="188" t="s">
        <v>537</v>
      </c>
      <c r="H29" s="189" t="s">
        <v>538</v>
      </c>
      <c r="I29" s="188" t="s">
        <v>539</v>
      </c>
      <c r="J29" s="188" t="s">
        <v>537</v>
      </c>
      <c r="K29" s="189" t="s">
        <v>540</v>
      </c>
      <c r="L29" s="188" t="s">
        <v>537</v>
      </c>
      <c r="M29" s="189" t="s">
        <v>649</v>
      </c>
      <c r="N29" s="189" t="s">
        <v>541</v>
      </c>
      <c r="O29" s="188" t="s">
        <v>542</v>
      </c>
      <c r="P29" s="188"/>
      <c r="Q29" s="188"/>
      <c r="R29" s="188"/>
      <c r="S29" s="189" t="s">
        <v>543</v>
      </c>
      <c r="T29" s="188"/>
      <c r="U29" s="188"/>
      <c r="V29" s="188"/>
      <c r="W29" s="189" t="s">
        <v>544</v>
      </c>
      <c r="X29" s="189" t="s">
        <v>545</v>
      </c>
      <c r="Y29" s="189" t="s">
        <v>546</v>
      </c>
      <c r="Z29" s="189" t="s">
        <v>547</v>
      </c>
      <c r="AA29" s="188"/>
      <c r="AB29" s="188"/>
      <c r="AC29" s="188"/>
      <c r="AD29" s="188"/>
      <c r="AE29" s="188"/>
      <c r="AF29" s="188"/>
      <c r="AG29" s="188"/>
      <c r="AH29" s="188"/>
      <c r="AI29" s="188"/>
      <c r="AJ29" s="188"/>
      <c r="AK29" s="188"/>
      <c r="AL29" s="188"/>
      <c r="AM29" s="188"/>
      <c r="AN29" s="188"/>
      <c r="AO29" s="188"/>
      <c r="AP29" s="227" t="s">
        <v>548</v>
      </c>
      <c r="AU29" s="19"/>
      <c r="AV29" s="24"/>
      <c r="AW29" s="24"/>
      <c r="AX29" s="24"/>
      <c r="AY29" s="24"/>
      <c r="AZ29" s="24"/>
      <c r="BA29" s="24"/>
      <c r="BB29" s="24"/>
      <c r="BC29" s="24"/>
      <c r="BD29" s="24"/>
      <c r="BE29" s="24"/>
      <c r="BF29" s="24"/>
      <c r="BG29" s="160"/>
      <c r="BH29" s="160"/>
      <c r="BI29" s="160"/>
      <c r="BK29" s="160"/>
      <c r="BL29" s="160"/>
      <c r="BM29" s="160"/>
      <c r="BN29" s="160"/>
      <c r="BO29" s="160"/>
      <c r="BP29" s="160"/>
      <c r="BQ29" s="160"/>
      <c r="BR29" s="160"/>
      <c r="BS29" s="160"/>
      <c r="BT29" s="160"/>
      <c r="BU29" s="160" t="s">
        <v>549</v>
      </c>
      <c r="BV29" s="160"/>
      <c r="BW29" s="160"/>
    </row>
    <row r="30" spans="1:75" ht="72" customHeight="1" x14ac:dyDescent="0.25">
      <c r="A30" s="213"/>
      <c r="B30" s="30"/>
      <c r="C30" s="156" t="s">
        <v>550</v>
      </c>
      <c r="D30" s="76"/>
      <c r="E30" s="159"/>
      <c r="F30" s="251"/>
      <c r="G30" s="190"/>
      <c r="H30" s="190"/>
      <c r="I30" s="188" t="s">
        <v>551</v>
      </c>
      <c r="J30" s="191"/>
      <c r="K30" s="192"/>
      <c r="L30" s="188" t="s">
        <v>551</v>
      </c>
      <c r="M30" s="188" t="s">
        <v>650</v>
      </c>
      <c r="N30" s="189" t="s">
        <v>620</v>
      </c>
      <c r="O30" s="188"/>
      <c r="P30" s="188"/>
      <c r="Q30" s="188"/>
      <c r="R30" s="188"/>
      <c r="S30" s="188" t="s">
        <v>552</v>
      </c>
      <c r="T30" s="188"/>
      <c r="U30" s="188"/>
      <c r="V30" s="188"/>
      <c r="W30" s="188" t="s">
        <v>553</v>
      </c>
      <c r="X30" s="188" t="s">
        <v>554</v>
      </c>
      <c r="Y30" s="188" t="s">
        <v>555</v>
      </c>
      <c r="Z30" s="188" t="s">
        <v>556</v>
      </c>
      <c r="AA30" s="188"/>
      <c r="AB30" s="188"/>
      <c r="AC30" s="188"/>
      <c r="AD30" s="188"/>
      <c r="AE30" s="188"/>
      <c r="AF30" s="188"/>
      <c r="AG30" s="188"/>
      <c r="AH30" s="188"/>
      <c r="AI30" s="188"/>
      <c r="AJ30" s="188"/>
      <c r="AK30" s="188"/>
      <c r="AL30" s="188"/>
      <c r="AM30" s="188"/>
      <c r="AN30" s="188"/>
      <c r="AO30" s="188"/>
      <c r="AP30" s="227"/>
      <c r="AU30" s="72"/>
      <c r="AV30" s="170"/>
      <c r="AW30" s="170"/>
      <c r="AX30" s="170"/>
      <c r="AY30" s="170"/>
      <c r="AZ30" s="170"/>
      <c r="BA30" s="170"/>
      <c r="BB30" s="170"/>
      <c r="BC30" s="170"/>
      <c r="BD30" s="170"/>
      <c r="BE30" s="170"/>
      <c r="BF30" s="170"/>
      <c r="BG30" s="160"/>
      <c r="BH30" s="160"/>
      <c r="BI30" s="160"/>
      <c r="BK30" s="160"/>
      <c r="BL30" s="160"/>
      <c r="BM30" s="160"/>
      <c r="BN30" s="160"/>
      <c r="BO30" s="160"/>
      <c r="BP30" s="160"/>
      <c r="BQ30" s="160"/>
      <c r="BR30" s="160"/>
      <c r="BS30" s="160"/>
      <c r="BT30" s="160"/>
      <c r="BU30" s="160"/>
      <c r="BV30" s="160"/>
      <c r="BW30" s="160"/>
    </row>
    <row r="31" spans="1:75" ht="64.5" customHeight="1" x14ac:dyDescent="0.25">
      <c r="A31" s="213"/>
      <c r="B31" s="30"/>
      <c r="C31" s="156" t="s">
        <v>557</v>
      </c>
      <c r="D31" s="76"/>
      <c r="E31" s="159" t="s">
        <v>535</v>
      </c>
      <c r="F31" s="252" t="s">
        <v>558</v>
      </c>
      <c r="G31" s="192"/>
      <c r="H31" s="188" t="s">
        <v>559</v>
      </c>
      <c r="I31" s="188" t="s">
        <v>663</v>
      </c>
      <c r="J31" s="188" t="s">
        <v>663</v>
      </c>
      <c r="K31" s="188" t="s">
        <v>663</v>
      </c>
      <c r="L31" s="188" t="s">
        <v>663</v>
      </c>
      <c r="M31" s="189" t="s">
        <v>482</v>
      </c>
      <c r="N31" s="188" t="s">
        <v>56</v>
      </c>
      <c r="O31" s="188" t="s">
        <v>663</v>
      </c>
      <c r="P31" s="188" t="s">
        <v>56</v>
      </c>
      <c r="Q31" s="188" t="s">
        <v>56</v>
      </c>
      <c r="R31" s="188" t="s">
        <v>56</v>
      </c>
      <c r="S31" s="188" t="s">
        <v>56</v>
      </c>
      <c r="T31" s="188" t="s">
        <v>56</v>
      </c>
      <c r="U31" s="188" t="s">
        <v>56</v>
      </c>
      <c r="V31" s="188" t="s">
        <v>56</v>
      </c>
      <c r="W31" s="188" t="s">
        <v>56</v>
      </c>
      <c r="X31" s="188" t="s">
        <v>56</v>
      </c>
      <c r="Y31" s="188" t="s">
        <v>56</v>
      </c>
      <c r="Z31" s="188" t="s">
        <v>56</v>
      </c>
      <c r="AA31" s="188" t="s">
        <v>56</v>
      </c>
      <c r="AB31" s="188" t="s">
        <v>56</v>
      </c>
      <c r="AC31" s="188" t="s">
        <v>56</v>
      </c>
      <c r="AD31" s="188" t="s">
        <v>56</v>
      </c>
      <c r="AE31" s="188" t="s">
        <v>56</v>
      </c>
      <c r="AF31" s="188" t="s">
        <v>56</v>
      </c>
      <c r="AG31" s="188" t="s">
        <v>56</v>
      </c>
      <c r="AH31" s="188" t="s">
        <v>56</v>
      </c>
      <c r="AI31" s="188" t="s">
        <v>56</v>
      </c>
      <c r="AJ31" s="188" t="s">
        <v>56</v>
      </c>
      <c r="AK31" s="188" t="s">
        <v>56</v>
      </c>
      <c r="AL31" s="188" t="s">
        <v>56</v>
      </c>
      <c r="AM31" s="188" t="s">
        <v>56</v>
      </c>
      <c r="AN31" s="188" t="s">
        <v>56</v>
      </c>
      <c r="AO31" s="188" t="s">
        <v>56</v>
      </c>
      <c r="AP31" s="253" t="s">
        <v>56</v>
      </c>
      <c r="AU31" s="160"/>
      <c r="AV31" s="160"/>
      <c r="AW31" s="160"/>
      <c r="AX31" s="160"/>
      <c r="AY31" s="160"/>
      <c r="AZ31" s="160"/>
      <c r="BA31" s="160"/>
      <c r="BB31" s="160"/>
      <c r="BC31" s="160"/>
      <c r="BD31" s="160"/>
      <c r="BE31" s="160"/>
      <c r="BF31" s="160"/>
      <c r="BG31" s="160"/>
      <c r="BH31" s="160"/>
      <c r="BI31" s="160"/>
      <c r="BK31" s="160"/>
      <c r="BL31" s="160"/>
      <c r="BM31" s="160"/>
      <c r="BN31" s="160"/>
      <c r="BO31" s="160"/>
      <c r="BP31" s="160"/>
      <c r="BQ31" s="160"/>
      <c r="BR31" s="160"/>
      <c r="BS31" s="160"/>
      <c r="BT31" s="160"/>
      <c r="BU31" s="160"/>
      <c r="BV31" s="160"/>
      <c r="BW31" s="160"/>
    </row>
    <row r="32" spans="1:75" ht="409.5" hidden="1" x14ac:dyDescent="0.25">
      <c r="A32" s="213"/>
      <c r="B32" s="30"/>
      <c r="C32" s="156">
        <v>2019</v>
      </c>
      <c r="D32" s="76" t="s">
        <v>560</v>
      </c>
      <c r="E32" s="159" t="s">
        <v>535</v>
      </c>
      <c r="F32" s="248"/>
      <c r="G32" s="183"/>
      <c r="H32" s="183"/>
      <c r="I32" s="183"/>
      <c r="J32" s="183"/>
      <c r="K32" s="183"/>
      <c r="L32" s="183"/>
      <c r="M32" s="183"/>
      <c r="N32" s="183"/>
      <c r="O32" s="183"/>
      <c r="P32" s="193"/>
      <c r="Q32" s="193"/>
      <c r="R32" s="193"/>
      <c r="S32" s="193"/>
      <c r="T32" s="193"/>
      <c r="U32" s="193"/>
      <c r="V32" s="193"/>
      <c r="W32" s="193"/>
      <c r="X32" s="193"/>
      <c r="Y32" s="193"/>
      <c r="Z32" s="193"/>
      <c r="AA32" s="193"/>
      <c r="AB32" s="72"/>
      <c r="AC32" s="193"/>
      <c r="AD32" s="193"/>
      <c r="AE32" s="193"/>
      <c r="AF32" s="193"/>
      <c r="AG32" s="193"/>
      <c r="AH32" s="193"/>
      <c r="AI32" s="193"/>
      <c r="AJ32" s="193"/>
      <c r="AK32" s="193"/>
      <c r="AL32" s="193"/>
      <c r="AM32" s="193"/>
      <c r="AN32" s="193"/>
      <c r="AO32" s="75"/>
      <c r="AP32" s="222"/>
      <c r="AU32" s="19"/>
      <c r="AV32" s="24"/>
      <c r="AW32" s="24"/>
      <c r="AX32" s="24"/>
      <c r="AY32" s="24"/>
      <c r="AZ32" s="24"/>
      <c r="BA32" s="24"/>
      <c r="BB32" s="24"/>
      <c r="BC32" s="24"/>
      <c r="BD32" s="24"/>
      <c r="BE32" s="24"/>
      <c r="BF32" s="24"/>
      <c r="BG32" s="133"/>
      <c r="BH32" s="146"/>
      <c r="BI32" s="141"/>
      <c r="BK32" s="24"/>
      <c r="BL32" s="24"/>
      <c r="BM32" s="24"/>
      <c r="BN32" s="24"/>
      <c r="BO32" s="24"/>
      <c r="BP32" s="24"/>
      <c r="BQ32" s="24"/>
      <c r="BR32" s="72"/>
      <c r="BS32" s="72"/>
      <c r="BT32" s="72"/>
      <c r="BU32" s="123"/>
      <c r="BV32" s="24"/>
      <c r="BW32" s="24"/>
    </row>
    <row r="33" spans="1:75" ht="409.5" hidden="1" x14ac:dyDescent="0.25">
      <c r="A33" s="213"/>
      <c r="B33" s="30"/>
      <c r="C33" s="156">
        <v>2022</v>
      </c>
      <c r="D33" s="76" t="s">
        <v>561</v>
      </c>
      <c r="E33" s="159" t="s">
        <v>535</v>
      </c>
      <c r="F33" s="254"/>
      <c r="G33" s="195"/>
      <c r="H33" s="195"/>
      <c r="I33" s="195"/>
      <c r="J33" s="195"/>
      <c r="K33" s="195"/>
      <c r="L33" s="195"/>
      <c r="M33" s="195"/>
      <c r="N33" s="195"/>
      <c r="O33" s="195"/>
      <c r="P33" s="196"/>
      <c r="Q33" s="196"/>
      <c r="R33" s="196"/>
      <c r="S33" s="196"/>
      <c r="T33" s="196"/>
      <c r="U33" s="196"/>
      <c r="V33" s="196"/>
      <c r="W33" s="196"/>
      <c r="X33" s="196"/>
      <c r="Y33" s="196"/>
      <c r="Z33" s="196"/>
      <c r="AA33" s="196"/>
      <c r="AB33" s="72"/>
      <c r="AC33" s="196"/>
      <c r="AD33" s="196"/>
      <c r="AE33" s="196"/>
      <c r="AF33" s="196"/>
      <c r="AG33" s="196"/>
      <c r="AH33" s="196"/>
      <c r="AI33" s="196"/>
      <c r="AJ33" s="196"/>
      <c r="AK33" s="196"/>
      <c r="AL33" s="196"/>
      <c r="AM33" s="196"/>
      <c r="AN33" s="196"/>
      <c r="AO33" s="75"/>
      <c r="AP33" s="228"/>
      <c r="AU33" s="19"/>
      <c r="AV33" s="24"/>
      <c r="AW33" s="24"/>
      <c r="AX33" s="24"/>
      <c r="AY33" s="24"/>
      <c r="AZ33" s="24"/>
      <c r="BA33" s="24"/>
      <c r="BB33" s="24"/>
      <c r="BC33" s="24"/>
      <c r="BD33" s="24"/>
      <c r="BE33" s="24"/>
      <c r="BF33" s="24"/>
      <c r="BG33" s="133"/>
      <c r="BH33" s="146"/>
      <c r="BI33" s="141"/>
      <c r="BK33" s="24"/>
      <c r="BL33" s="24"/>
      <c r="BM33" s="24"/>
      <c r="BN33" s="24"/>
      <c r="BO33" s="24"/>
      <c r="BP33" s="24"/>
      <c r="BQ33" s="24"/>
      <c r="BR33" s="72"/>
      <c r="BS33" s="72"/>
      <c r="BT33" s="72"/>
      <c r="BU33" s="123"/>
      <c r="BV33" s="24"/>
      <c r="BW33" s="24"/>
    </row>
    <row r="34" spans="1:75" ht="1.5" hidden="1" customHeight="1" x14ac:dyDescent="0.25">
      <c r="A34" s="213"/>
      <c r="B34" s="30"/>
      <c r="C34" s="157" t="s">
        <v>562</v>
      </c>
      <c r="D34" s="121" t="s">
        <v>563</v>
      </c>
      <c r="E34" s="80"/>
      <c r="F34" s="255"/>
      <c r="G34" s="198"/>
      <c r="H34" s="198"/>
      <c r="I34" s="198"/>
      <c r="J34" s="198"/>
      <c r="K34" s="198"/>
      <c r="L34" s="198"/>
      <c r="M34" s="198"/>
      <c r="N34" s="198"/>
      <c r="O34" s="198"/>
      <c r="P34" s="198"/>
      <c r="Q34" s="198"/>
      <c r="R34" s="198"/>
      <c r="S34" s="198"/>
      <c r="T34" s="198"/>
      <c r="U34" s="198"/>
      <c r="V34" s="198"/>
      <c r="W34" s="198"/>
      <c r="X34" s="198"/>
      <c r="Y34" s="198"/>
      <c r="Z34" s="198"/>
      <c r="AA34" s="198"/>
      <c r="AB34" s="199"/>
      <c r="AC34" s="198"/>
      <c r="AD34" s="198"/>
      <c r="AE34" s="198"/>
      <c r="AF34" s="198"/>
      <c r="AG34" s="198"/>
      <c r="AH34" s="198"/>
      <c r="AI34" s="198"/>
      <c r="AJ34" s="198"/>
      <c r="AK34" s="198"/>
      <c r="AL34" s="198"/>
      <c r="AM34" s="198"/>
      <c r="AN34" s="198"/>
      <c r="AO34" s="199"/>
      <c r="AP34" s="229"/>
      <c r="AU34" s="19"/>
      <c r="AV34" s="27"/>
      <c r="AW34" s="27"/>
      <c r="AX34" s="27"/>
      <c r="AY34" s="27"/>
      <c r="AZ34" s="27"/>
      <c r="BA34" s="27"/>
      <c r="BB34" s="27"/>
      <c r="BC34" s="27"/>
      <c r="BD34" s="27"/>
      <c r="BE34" s="27"/>
      <c r="BF34" s="27"/>
      <c r="BG34" s="27"/>
      <c r="BH34" s="146"/>
      <c r="BI34" s="27"/>
      <c r="BK34" s="27"/>
      <c r="BL34" s="27"/>
      <c r="BM34" s="27"/>
      <c r="BN34" s="27"/>
      <c r="BO34" s="27"/>
      <c r="BP34" s="27"/>
      <c r="BQ34" s="27"/>
      <c r="BR34" s="72"/>
      <c r="BS34" s="72"/>
      <c r="BT34" s="72"/>
      <c r="BU34" s="174"/>
      <c r="BV34" s="27"/>
      <c r="BW34" s="27"/>
    </row>
    <row r="35" spans="1:75" ht="409.5" hidden="1" x14ac:dyDescent="0.25">
      <c r="A35" s="213"/>
      <c r="B35" s="30"/>
      <c r="C35" s="156">
        <v>2017</v>
      </c>
      <c r="D35" s="76" t="s">
        <v>564</v>
      </c>
      <c r="E35" s="159" t="s">
        <v>565</v>
      </c>
      <c r="F35" s="256"/>
      <c r="G35" s="200"/>
      <c r="H35" s="200"/>
      <c r="I35" s="200"/>
      <c r="J35" s="200"/>
      <c r="K35" s="200"/>
      <c r="L35" s="200"/>
      <c r="M35" s="200"/>
      <c r="N35" s="200"/>
      <c r="O35" s="200"/>
      <c r="P35" s="201"/>
      <c r="Q35" s="201"/>
      <c r="R35" s="201"/>
      <c r="S35" s="201"/>
      <c r="T35" s="201"/>
      <c r="U35" s="201"/>
      <c r="V35" s="201"/>
      <c r="W35" s="201"/>
      <c r="X35" s="201"/>
      <c r="Y35" s="201"/>
      <c r="Z35" s="201"/>
      <c r="AA35" s="201"/>
      <c r="AB35" s="202"/>
      <c r="AC35" s="201"/>
      <c r="AD35" s="201"/>
      <c r="AE35" s="201"/>
      <c r="AF35" s="201"/>
      <c r="AG35" s="201"/>
      <c r="AH35" s="201"/>
      <c r="AI35" s="201"/>
      <c r="AJ35" s="201"/>
      <c r="AK35" s="201"/>
      <c r="AL35" s="201"/>
      <c r="AM35" s="201"/>
      <c r="AN35" s="201"/>
      <c r="AO35" s="203"/>
      <c r="AP35" s="230"/>
      <c r="AU35" s="19"/>
      <c r="AV35" s="24"/>
      <c r="AW35" s="24"/>
      <c r="AX35" s="24"/>
      <c r="AY35" s="24"/>
      <c r="AZ35" s="24"/>
      <c r="BA35" s="24"/>
      <c r="BB35" s="24"/>
      <c r="BC35" s="24"/>
      <c r="BD35" s="24"/>
      <c r="BE35" s="24"/>
      <c r="BF35" s="24"/>
      <c r="BG35" s="133"/>
      <c r="BH35" s="146"/>
      <c r="BI35" s="141"/>
      <c r="BK35" s="24"/>
      <c r="BL35" s="24"/>
      <c r="BM35" s="24"/>
      <c r="BN35" s="24"/>
      <c r="BO35" s="24"/>
      <c r="BP35" s="24"/>
      <c r="BQ35" s="24"/>
      <c r="BR35" s="21"/>
      <c r="BU35" s="24"/>
      <c r="BV35" s="24"/>
      <c r="BW35" s="24"/>
    </row>
    <row r="36" spans="1:75" ht="0.75" hidden="1" customHeight="1" x14ac:dyDescent="0.25">
      <c r="A36" s="213"/>
      <c r="B36" s="30"/>
      <c r="C36" s="156">
        <v>2018</v>
      </c>
      <c r="D36" s="76" t="s">
        <v>566</v>
      </c>
      <c r="E36" s="194"/>
      <c r="F36" s="256"/>
      <c r="G36" s="200"/>
      <c r="H36" s="200"/>
      <c r="I36" s="200"/>
      <c r="J36" s="200"/>
      <c r="K36" s="200"/>
      <c r="L36" s="200"/>
      <c r="M36" s="200"/>
      <c r="N36" s="200"/>
      <c r="O36" s="200"/>
      <c r="P36" s="201"/>
      <c r="Q36" s="201"/>
      <c r="R36" s="201"/>
      <c r="S36" s="202"/>
      <c r="T36" s="201"/>
      <c r="U36" s="201"/>
      <c r="V36" s="201"/>
      <c r="W36" s="201"/>
      <c r="X36" s="201"/>
      <c r="Y36" s="201"/>
      <c r="Z36" s="201"/>
      <c r="AA36" s="201"/>
      <c r="AB36" s="199"/>
      <c r="AC36" s="201"/>
      <c r="AD36" s="201"/>
      <c r="AE36" s="201"/>
      <c r="AF36" s="201"/>
      <c r="AG36" s="201"/>
      <c r="AH36" s="201"/>
      <c r="AI36" s="201"/>
      <c r="AJ36" s="201"/>
      <c r="AK36" s="201"/>
      <c r="AL36" s="201"/>
      <c r="AM36" s="201"/>
      <c r="AN36" s="201"/>
      <c r="AO36" s="199"/>
      <c r="AP36" s="231"/>
      <c r="AU36" s="19"/>
      <c r="AV36" s="24"/>
      <c r="AW36" s="24"/>
      <c r="AX36" s="24"/>
      <c r="AY36" s="24"/>
      <c r="AZ36" s="24"/>
      <c r="BA36" s="24"/>
      <c r="BB36" s="24"/>
      <c r="BC36" s="24"/>
      <c r="BD36" s="24"/>
      <c r="BE36" s="24"/>
      <c r="BF36" s="24"/>
      <c r="BG36" s="133"/>
      <c r="BH36" s="146"/>
      <c r="BI36" s="141"/>
      <c r="BK36" s="24"/>
      <c r="BL36" s="24"/>
      <c r="BM36" s="24"/>
      <c r="BN36" s="24"/>
      <c r="BO36" s="24"/>
      <c r="BP36" s="24"/>
      <c r="BQ36" s="24"/>
      <c r="BR36" s="72"/>
      <c r="BS36" s="72"/>
      <c r="BT36" s="72"/>
      <c r="BU36" s="123"/>
      <c r="BV36" s="24"/>
      <c r="BW36" s="24"/>
    </row>
    <row r="37" spans="1:75" ht="126" customHeight="1" thickBot="1" x14ac:dyDescent="0.3">
      <c r="A37" s="232"/>
      <c r="B37" s="233"/>
      <c r="C37" s="234" t="s">
        <v>640</v>
      </c>
      <c r="D37" s="235" t="s">
        <v>567</v>
      </c>
      <c r="E37" s="236" t="s">
        <v>565</v>
      </c>
      <c r="F37" s="257" t="s">
        <v>663</v>
      </c>
      <c r="G37" s="237" t="s">
        <v>663</v>
      </c>
      <c r="H37" s="237" t="s">
        <v>663</v>
      </c>
      <c r="I37" s="237" t="s">
        <v>663</v>
      </c>
      <c r="J37" s="237" t="s">
        <v>663</v>
      </c>
      <c r="K37" s="237" t="s">
        <v>663</v>
      </c>
      <c r="L37" s="237" t="s">
        <v>663</v>
      </c>
      <c r="M37" s="237" t="s">
        <v>663</v>
      </c>
      <c r="N37" s="237" t="s">
        <v>663</v>
      </c>
      <c r="O37" s="238" t="s">
        <v>636</v>
      </c>
      <c r="P37" s="237" t="s">
        <v>663</v>
      </c>
      <c r="Q37" s="237" t="s">
        <v>663</v>
      </c>
      <c r="R37" s="237" t="s">
        <v>663</v>
      </c>
      <c r="S37" s="238" t="s">
        <v>568</v>
      </c>
      <c r="T37" s="237" t="s">
        <v>663</v>
      </c>
      <c r="U37" s="237" t="s">
        <v>663</v>
      </c>
      <c r="V37" s="237" t="s">
        <v>663</v>
      </c>
      <c r="W37" s="237" t="s">
        <v>663</v>
      </c>
      <c r="X37" s="237" t="s">
        <v>663</v>
      </c>
      <c r="Y37" s="237" t="s">
        <v>569</v>
      </c>
      <c r="Z37" s="237" t="s">
        <v>663</v>
      </c>
      <c r="AA37" s="237" t="s">
        <v>663</v>
      </c>
      <c r="AB37" s="237" t="s">
        <v>637</v>
      </c>
      <c r="AC37" s="237" t="s">
        <v>663</v>
      </c>
      <c r="AD37" s="237" t="s">
        <v>663</v>
      </c>
      <c r="AE37" s="237" t="s">
        <v>663</v>
      </c>
      <c r="AF37" s="237" t="s">
        <v>663</v>
      </c>
      <c r="AG37" s="237" t="s">
        <v>663</v>
      </c>
      <c r="AH37" s="237" t="s">
        <v>663</v>
      </c>
      <c r="AI37" s="237" t="s">
        <v>663</v>
      </c>
      <c r="AJ37" s="237" t="s">
        <v>663</v>
      </c>
      <c r="AK37" s="237" t="s">
        <v>663</v>
      </c>
      <c r="AL37" s="237" t="s">
        <v>663</v>
      </c>
      <c r="AM37" s="237" t="s">
        <v>663</v>
      </c>
      <c r="AN37" s="237" t="s">
        <v>663</v>
      </c>
      <c r="AO37" s="237" t="s">
        <v>663</v>
      </c>
      <c r="AP37" s="258" t="s">
        <v>570</v>
      </c>
      <c r="AU37" s="160"/>
      <c r="AV37" s="160"/>
      <c r="AW37" s="160"/>
      <c r="AX37" s="160"/>
      <c r="AY37" s="160"/>
      <c r="AZ37" s="160"/>
      <c r="BA37" s="160"/>
      <c r="BB37" s="160"/>
      <c r="BC37" s="160"/>
      <c r="BD37" s="160"/>
      <c r="BE37" s="160"/>
      <c r="BF37" s="160"/>
      <c r="BG37" s="160"/>
      <c r="BH37" s="160"/>
      <c r="BI37" s="160"/>
      <c r="BK37" s="160"/>
      <c r="BL37" s="160"/>
      <c r="BM37" s="160"/>
      <c r="BN37" s="160"/>
      <c r="BO37" s="160"/>
      <c r="BP37" s="160"/>
      <c r="BQ37" s="160"/>
      <c r="BR37" s="160"/>
      <c r="BS37" s="160" t="s">
        <v>571</v>
      </c>
      <c r="BT37" s="160" t="s">
        <v>572</v>
      </c>
      <c r="BU37" s="160"/>
      <c r="BV37" s="160"/>
      <c r="BW37" s="160"/>
    </row>
    <row r="38" spans="1:75" ht="0.75" hidden="1" customHeight="1" x14ac:dyDescent="0.25">
      <c r="A38" s="108"/>
      <c r="B38" s="30"/>
      <c r="C38" s="81">
        <v>2022</v>
      </c>
      <c r="D38" s="76" t="s">
        <v>573</v>
      </c>
      <c r="E38" s="41" t="s">
        <v>565</v>
      </c>
      <c r="F38" s="197"/>
      <c r="G38" s="197"/>
      <c r="H38" s="197"/>
      <c r="I38" s="197"/>
      <c r="J38" s="197"/>
      <c r="K38" s="197"/>
      <c r="L38" s="197"/>
      <c r="M38" s="197"/>
      <c r="N38" s="197"/>
      <c r="O38" s="197"/>
      <c r="P38" s="182"/>
      <c r="Q38" s="182"/>
      <c r="R38" s="182"/>
      <c r="S38" s="182"/>
      <c r="T38" s="182"/>
      <c r="U38" s="182"/>
      <c r="V38" s="182"/>
      <c r="W38" s="182"/>
      <c r="X38" s="182"/>
      <c r="Y38" s="182"/>
      <c r="Z38" s="182"/>
      <c r="AA38" s="182"/>
      <c r="AB38" s="72"/>
      <c r="AC38" s="182"/>
      <c r="AD38" s="182"/>
      <c r="AE38" s="182"/>
      <c r="AF38" s="182"/>
      <c r="AG38" s="182"/>
      <c r="AH38" s="182"/>
      <c r="AI38" s="182"/>
      <c r="AJ38" s="182" t="s">
        <v>574</v>
      </c>
      <c r="AK38" s="182"/>
      <c r="AL38" s="182"/>
      <c r="AM38" s="182"/>
      <c r="AN38" s="182"/>
      <c r="AO38" s="75"/>
      <c r="AP38" s="135"/>
      <c r="AU38" s="19"/>
      <c r="AV38" s="24"/>
      <c r="AW38" s="24"/>
      <c r="AX38" s="24"/>
      <c r="AY38" s="24"/>
      <c r="AZ38" s="24"/>
      <c r="BA38" s="24"/>
      <c r="BB38" s="24"/>
      <c r="BC38" s="24"/>
      <c r="BD38" s="24"/>
      <c r="BE38" s="24"/>
      <c r="BF38" s="24"/>
      <c r="BG38" s="133"/>
      <c r="BH38" s="146"/>
      <c r="BI38" s="141"/>
      <c r="BJ38" s="24"/>
      <c r="BK38" s="24"/>
      <c r="BL38" s="24"/>
      <c r="BM38" s="24"/>
      <c r="BN38" s="24"/>
      <c r="BO38" s="24"/>
      <c r="BP38" s="24"/>
      <c r="BQ38" s="24"/>
      <c r="BR38" s="72"/>
      <c r="BS38" s="72"/>
      <c r="BT38" s="72"/>
      <c r="BU38" s="123"/>
      <c r="BV38" s="24"/>
      <c r="BW38" s="24"/>
    </row>
    <row r="39" spans="1:75" ht="14.25" hidden="1" customHeight="1" x14ac:dyDescent="0.25">
      <c r="A39" s="108"/>
      <c r="B39" s="30"/>
      <c r="C39" s="69"/>
      <c r="D39" s="70"/>
      <c r="E39" s="80"/>
      <c r="F39" s="27"/>
      <c r="G39" s="27"/>
      <c r="H39" s="27"/>
      <c r="I39" s="27"/>
      <c r="J39" s="27"/>
      <c r="K39" s="27"/>
      <c r="L39" s="27"/>
      <c r="M39" s="27"/>
      <c r="N39" s="27"/>
      <c r="O39" s="27"/>
      <c r="P39" s="27"/>
      <c r="Q39" s="27"/>
      <c r="R39" s="27"/>
      <c r="S39" s="27"/>
      <c r="T39" s="27"/>
      <c r="U39" s="27"/>
      <c r="V39" s="27"/>
      <c r="W39" s="27"/>
      <c r="X39" s="27"/>
      <c r="Y39" s="27"/>
      <c r="Z39" s="27"/>
      <c r="AA39" s="27"/>
      <c r="AB39" s="72"/>
      <c r="AC39" s="27"/>
      <c r="AD39" s="27"/>
      <c r="AE39" s="27"/>
      <c r="AF39" s="27"/>
      <c r="AG39" s="27"/>
      <c r="AH39" s="27"/>
      <c r="AI39" s="27"/>
      <c r="AJ39" s="27"/>
      <c r="AK39" s="27"/>
      <c r="AL39" s="27"/>
      <c r="AM39" s="27"/>
      <c r="AN39" s="27"/>
      <c r="AO39" s="72"/>
      <c r="AU39" s="19"/>
      <c r="AV39" s="27"/>
      <c r="AW39" s="27"/>
      <c r="AX39" s="27"/>
      <c r="AY39" s="27"/>
      <c r="AZ39" s="27"/>
      <c r="BA39" s="27"/>
      <c r="BB39" s="27"/>
      <c r="BC39" s="27"/>
      <c r="BD39" s="27"/>
      <c r="BE39" s="27"/>
      <c r="BF39" s="27"/>
      <c r="BG39" s="27"/>
      <c r="BH39" s="146"/>
      <c r="BI39" s="27"/>
      <c r="BJ39" s="27"/>
      <c r="BK39" s="27"/>
      <c r="BL39" s="27"/>
      <c r="BM39" s="27"/>
      <c r="BN39" s="27"/>
      <c r="BO39" s="27"/>
      <c r="BP39" s="27"/>
      <c r="BQ39" s="27"/>
      <c r="BR39" s="72"/>
      <c r="BS39" s="72"/>
      <c r="BT39" s="72"/>
      <c r="BU39" s="174"/>
      <c r="BV39" s="27"/>
      <c r="BW39" s="27"/>
    </row>
    <row r="40" spans="1:75" ht="409.5" hidden="1" x14ac:dyDescent="0.25">
      <c r="A40" s="108"/>
      <c r="B40" s="30"/>
      <c r="C40" s="73" t="s">
        <v>575</v>
      </c>
      <c r="D40" s="76" t="s">
        <v>576</v>
      </c>
      <c r="E40" s="20" t="s">
        <v>68</v>
      </c>
      <c r="F40" s="98"/>
      <c r="G40" s="98"/>
      <c r="H40" s="98"/>
      <c r="I40" s="98"/>
      <c r="J40" s="98"/>
      <c r="K40" s="98"/>
      <c r="L40" s="98"/>
      <c r="M40" s="98"/>
      <c r="N40" s="98"/>
      <c r="O40" s="98"/>
      <c r="P40" s="24"/>
      <c r="Q40" s="24"/>
      <c r="R40" s="24"/>
      <c r="S40" s="24"/>
      <c r="T40" s="24"/>
      <c r="U40" s="24"/>
      <c r="V40" s="24"/>
      <c r="W40" s="24"/>
      <c r="X40" s="24"/>
      <c r="Y40" s="24"/>
      <c r="Z40" s="24"/>
      <c r="AA40" s="24"/>
      <c r="AB40" s="72"/>
      <c r="AC40" s="24"/>
      <c r="AD40" s="24"/>
      <c r="AE40" s="24"/>
      <c r="AF40" s="24"/>
      <c r="AG40" s="24"/>
      <c r="AH40" s="24"/>
      <c r="AI40" s="24"/>
      <c r="AJ40" s="24"/>
      <c r="AK40" s="24"/>
      <c r="AL40" s="24"/>
      <c r="AM40" s="24"/>
      <c r="AN40" s="24"/>
      <c r="AO40" s="75"/>
      <c r="AU40" s="19"/>
      <c r="AV40" s="24"/>
      <c r="AW40" s="24"/>
      <c r="AX40" s="24"/>
      <c r="AY40" s="24"/>
      <c r="AZ40" s="24"/>
      <c r="BA40" s="24"/>
      <c r="BB40" s="24"/>
      <c r="BC40" s="24"/>
      <c r="BD40" s="24"/>
      <c r="BE40" s="24"/>
      <c r="BF40" s="24"/>
      <c r="BG40" s="133"/>
      <c r="BH40" s="146"/>
      <c r="BI40" s="141"/>
      <c r="BJ40" s="24"/>
      <c r="BK40" s="24"/>
      <c r="BL40" s="24"/>
      <c r="BM40" s="24"/>
      <c r="BN40" s="24"/>
      <c r="BO40" s="24"/>
      <c r="BP40" s="24"/>
      <c r="BQ40" s="24"/>
      <c r="BR40" s="72"/>
      <c r="BS40" s="72"/>
      <c r="BT40" s="72"/>
      <c r="BU40" s="123"/>
      <c r="BV40" s="24"/>
      <c r="BW40" s="24"/>
    </row>
    <row r="41" spans="1:75" ht="0.75" customHeight="1" x14ac:dyDescent="0.25">
      <c r="A41" s="108"/>
      <c r="B41" s="30"/>
      <c r="C41" s="73" t="s">
        <v>577</v>
      </c>
      <c r="D41" s="76" t="s">
        <v>578</v>
      </c>
      <c r="E41" s="20" t="s">
        <v>68</v>
      </c>
      <c r="F41" s="98"/>
      <c r="G41" s="98"/>
      <c r="H41" s="98"/>
      <c r="I41" s="98"/>
      <c r="J41" s="98"/>
      <c r="K41" s="98"/>
      <c r="L41" s="98"/>
      <c r="M41" s="98"/>
      <c r="N41" s="98"/>
      <c r="O41" s="98"/>
      <c r="P41" s="24"/>
      <c r="Q41" s="24"/>
      <c r="R41" s="24"/>
      <c r="S41" s="24"/>
      <c r="T41" s="24"/>
      <c r="U41" s="24"/>
      <c r="V41" s="24"/>
      <c r="W41" s="24"/>
      <c r="X41" s="24"/>
      <c r="Y41" s="24"/>
      <c r="Z41" s="24"/>
      <c r="AA41" s="24"/>
      <c r="AB41" s="72"/>
      <c r="AC41" s="24"/>
      <c r="AD41" s="24"/>
      <c r="AE41" s="24"/>
      <c r="AF41" s="24"/>
      <c r="AG41" s="24"/>
      <c r="AH41" s="24"/>
      <c r="AI41" s="24"/>
      <c r="AJ41" s="24"/>
      <c r="AK41" s="24"/>
      <c r="AL41" s="24"/>
      <c r="AM41" s="24"/>
      <c r="AN41" s="24"/>
      <c r="AO41" s="75"/>
      <c r="AU41" s="19"/>
      <c r="AV41" s="24"/>
      <c r="AW41" s="24"/>
      <c r="AX41" s="24"/>
      <c r="AY41" s="24"/>
      <c r="AZ41" s="24"/>
      <c r="BA41" s="24"/>
      <c r="BB41" s="24"/>
      <c r="BC41" s="24"/>
      <c r="BD41" s="24"/>
      <c r="BE41" s="24"/>
      <c r="BF41" s="24"/>
      <c r="BG41" s="133"/>
      <c r="BH41" s="146"/>
      <c r="BI41" s="141"/>
      <c r="BJ41" s="24"/>
      <c r="BK41" s="24"/>
      <c r="BL41" s="24"/>
      <c r="BM41" s="24"/>
      <c r="BN41" s="24"/>
      <c r="BO41" s="24"/>
      <c r="BP41" s="24"/>
      <c r="BQ41" s="24"/>
      <c r="BR41" s="72"/>
      <c r="BS41" s="72"/>
      <c r="BT41" s="72"/>
      <c r="BU41" s="123"/>
      <c r="BV41" s="24"/>
      <c r="BW41" s="24"/>
    </row>
    <row r="42" spans="1:75" ht="0.75" customHeight="1" x14ac:dyDescent="0.25">
      <c r="A42" s="108"/>
      <c r="B42" s="30"/>
      <c r="C42" s="73" t="s">
        <v>579</v>
      </c>
      <c r="D42" s="76" t="s">
        <v>580</v>
      </c>
      <c r="E42" s="20" t="s">
        <v>68</v>
      </c>
      <c r="F42" s="98"/>
      <c r="G42" s="98"/>
      <c r="H42" s="98"/>
      <c r="I42" s="98"/>
      <c r="J42" s="98"/>
      <c r="K42" s="98"/>
      <c r="L42" s="98"/>
      <c r="M42" s="98"/>
      <c r="N42" s="98"/>
      <c r="O42" s="98"/>
      <c r="P42" s="24"/>
      <c r="Q42" s="24"/>
      <c r="R42" s="24"/>
      <c r="S42" s="24"/>
      <c r="T42" s="24"/>
      <c r="U42" s="24"/>
      <c r="V42" s="24"/>
      <c r="W42" s="24"/>
      <c r="X42" s="24"/>
      <c r="Y42" s="24"/>
      <c r="Z42" s="24"/>
      <c r="AA42" s="24"/>
      <c r="AB42" s="72"/>
      <c r="AC42" s="24"/>
      <c r="AD42" s="24"/>
      <c r="AE42" s="24"/>
      <c r="AF42" s="24"/>
      <c r="AG42" s="24"/>
      <c r="AH42" s="24"/>
      <c r="AI42" s="24"/>
      <c r="AJ42" s="24"/>
      <c r="AK42" s="24"/>
      <c r="AL42" s="24"/>
      <c r="AM42" s="24"/>
      <c r="AN42" s="24"/>
      <c r="AO42" s="75"/>
      <c r="AU42" s="19"/>
      <c r="AV42" s="24"/>
      <c r="AW42" s="24"/>
      <c r="AX42" s="24"/>
      <c r="AY42" s="24"/>
      <c r="AZ42" s="24"/>
      <c r="BA42" s="24"/>
      <c r="BB42" s="24"/>
      <c r="BC42" s="24"/>
      <c r="BD42" s="24"/>
      <c r="BE42" s="24"/>
      <c r="BF42" s="24"/>
      <c r="BG42" s="133"/>
      <c r="BH42" s="146"/>
      <c r="BI42" s="141"/>
      <c r="BJ42" s="24"/>
      <c r="BK42" s="24"/>
      <c r="BL42" s="24"/>
      <c r="BM42" s="24"/>
      <c r="BN42" s="24"/>
      <c r="BO42" s="24"/>
      <c r="BP42" s="24"/>
      <c r="BQ42" s="24"/>
      <c r="BR42" s="72"/>
      <c r="BS42" s="72"/>
      <c r="BT42" s="72"/>
      <c r="BU42" s="123"/>
      <c r="BV42" s="24"/>
      <c r="BW42" s="24"/>
    </row>
    <row r="43" spans="1:75" ht="78.75" hidden="1" customHeight="1" x14ac:dyDescent="0.25">
      <c r="A43" s="108"/>
      <c r="B43" s="30"/>
      <c r="C43" s="102"/>
      <c r="D43" s="101"/>
      <c r="E43" s="82"/>
      <c r="F43" s="42"/>
      <c r="G43" s="42"/>
      <c r="H43" s="43"/>
      <c r="I43" s="43"/>
      <c r="J43" s="43"/>
      <c r="K43" s="43"/>
      <c r="L43" s="43"/>
      <c r="M43" s="43"/>
      <c r="N43" s="43"/>
      <c r="O43" s="43"/>
      <c r="P43" s="43"/>
      <c r="Q43" s="43"/>
      <c r="R43" s="43"/>
      <c r="S43" s="43"/>
      <c r="T43" s="43"/>
      <c r="U43" s="43"/>
      <c r="V43" s="43"/>
      <c r="W43" s="43"/>
      <c r="X43" s="43"/>
      <c r="Y43" s="43"/>
      <c r="Z43" s="43"/>
      <c r="AA43" s="43"/>
      <c r="AB43" s="126"/>
      <c r="AC43" s="43"/>
      <c r="AD43" s="43"/>
      <c r="AE43" s="43"/>
      <c r="AF43" s="43"/>
      <c r="AG43" s="43"/>
      <c r="AH43" s="43"/>
      <c r="AI43" s="43"/>
      <c r="AJ43" s="43"/>
      <c r="AK43" s="43"/>
      <c r="AL43" s="43"/>
      <c r="AM43" s="43"/>
      <c r="AN43" s="43"/>
      <c r="AO43" s="71"/>
      <c r="AU43" s="28"/>
      <c r="AV43" s="43"/>
      <c r="AW43" s="43"/>
      <c r="AX43" s="43"/>
      <c r="AY43" s="43"/>
      <c r="AZ43" s="43"/>
      <c r="BA43" s="43"/>
      <c r="BB43" s="43"/>
      <c r="BC43" s="43"/>
      <c r="BD43" s="43"/>
      <c r="BE43" s="43"/>
      <c r="BF43" s="43"/>
      <c r="BG43" s="43"/>
      <c r="BH43" s="144"/>
      <c r="BI43" s="43"/>
      <c r="BJ43" s="43"/>
      <c r="BK43" s="43"/>
      <c r="BL43" s="43"/>
      <c r="BM43" s="43"/>
      <c r="BN43" s="43"/>
      <c r="BO43" s="43"/>
      <c r="BP43" s="43"/>
      <c r="BQ43" s="43"/>
      <c r="BR43" s="71"/>
      <c r="BS43" s="126" t="s">
        <v>581</v>
      </c>
      <c r="BT43" s="71"/>
      <c r="BU43" s="71"/>
      <c r="BV43" s="43"/>
      <c r="BW43" s="43"/>
    </row>
    <row r="44" spans="1:75" ht="15" hidden="1" customHeight="1" x14ac:dyDescent="0.25">
      <c r="A44" s="181"/>
      <c r="B44" s="44"/>
      <c r="C44" s="45"/>
      <c r="D44" s="46"/>
      <c r="E44" s="45"/>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4"/>
      <c r="AN44" s="14"/>
      <c r="AO44" s="14"/>
      <c r="AU44" s="47"/>
      <c r="AV44" s="14"/>
      <c r="AW44" s="14"/>
      <c r="AX44" s="14"/>
      <c r="AY44" s="14"/>
      <c r="AZ44" s="14"/>
      <c r="BA44" s="14"/>
      <c r="BB44" s="14"/>
      <c r="BC44" s="14"/>
      <c r="BD44" s="14"/>
      <c r="BE44" s="14"/>
      <c r="BF44" s="14"/>
      <c r="BG44" s="14"/>
      <c r="BI44" s="14"/>
      <c r="BJ44" s="14"/>
      <c r="BK44" s="14"/>
      <c r="BL44" s="14"/>
      <c r="BM44" s="14"/>
      <c r="BN44" s="14"/>
      <c r="BO44" s="14"/>
      <c r="BP44" s="14"/>
      <c r="BQ44" s="14"/>
      <c r="BR44" s="14"/>
      <c r="BS44" s="14"/>
      <c r="BT44" s="14"/>
      <c r="BU44" s="14"/>
      <c r="BV44" s="14"/>
      <c r="BW44" s="14"/>
    </row>
    <row r="45" spans="1:75" ht="15" hidden="1" customHeight="1" x14ac:dyDescent="0.25"/>
    <row r="46" spans="1:75" ht="242.25" customHeight="1" x14ac:dyDescent="0.25">
      <c r="I46" s="150" t="s">
        <v>582</v>
      </c>
      <c r="AM46" s="188"/>
    </row>
    <row r="49" spans="9:9" ht="198" customHeight="1" x14ac:dyDescent="0.25">
      <c r="I49" s="188" t="s">
        <v>645</v>
      </c>
    </row>
  </sheetData>
  <conditionalFormatting sqref="BL9:BT9 AV9:BG9 BI9:BJ9 BV9:BW9 AC9:AI9 AK9:AO9 F9:O9">
    <cfRule type="expression" dxfId="0" priority="42">
      <formula>F$9&lt;$F$3</formula>
    </cfRule>
  </conditionalFormatting>
  <hyperlinks>
    <hyperlink ref="BB13" r:id="rId1" xr:uid="{00000000-0004-0000-0100-000000000000}"/>
    <hyperlink ref="O13" r:id="rId2" display="palm@olamnet.com.  Sourcing edible oils team source: https://www.olamgroup.com/products/food-staples/edible-oils.html.    uk@olamnet.com" xr:uid="{00000000-0004-0000-0100-000003000000}"/>
    <hyperlink ref="Q13" r:id="rId3" xr:uid="{00000000-0004-0000-0100-000005000000}"/>
    <hyperlink ref="R13" r:id="rId4" xr:uid="{00000000-0004-0000-0100-000006000000}"/>
    <hyperlink ref="AV14" r:id="rId5" xr:uid="{00000000-0004-0000-0100-000008000000}"/>
    <hyperlink ref="AW14" r:id="rId6" xr:uid="{00000000-0004-0000-0100-000009000000}"/>
    <hyperlink ref="AX14" r:id="rId7" xr:uid="{00000000-0004-0000-0100-00000A000000}"/>
    <hyperlink ref="BA14" r:id="rId8" xr:uid="{00000000-0004-0000-0100-00000D000000}"/>
    <hyperlink ref="BB14" r:id="rId9" xr:uid="{00000000-0004-0000-0100-00000E000000}"/>
    <hyperlink ref="BE14" r:id="rId10" xr:uid="{00000000-0004-0000-0100-00000F000000}"/>
    <hyperlink ref="H14" r:id="rId11" display="www.wilmar-international.com . Tel: (65) 6216 0244" xr:uid="{00000000-0004-0000-0100-000010000000}"/>
    <hyperlink ref="I14" r:id="rId12" xr:uid="{00000000-0004-0000-0100-000012000000}"/>
    <hyperlink ref="J14" r:id="rId13" xr:uid="{00000000-0004-0000-0100-000013000000}"/>
    <hyperlink ref="O14" r:id="rId14" xr:uid="{00000000-0004-0000-0100-000015000000}"/>
    <hyperlink ref="BI14" r:id="rId15" xr:uid="{00000000-0004-0000-0100-000016000000}"/>
    <hyperlink ref="AP14" r:id="rId16" xr:uid="{00000000-0004-0000-0100-000019000000}"/>
    <hyperlink ref="P14" r:id="rId17" xr:uid="{00000000-0004-0000-0100-00001B000000}"/>
    <hyperlink ref="Q14" r:id="rId18" xr:uid="{00000000-0004-0000-0100-00001C000000}"/>
    <hyperlink ref="R14" r:id="rId19" xr:uid="{00000000-0004-0000-0100-00001F000000}"/>
    <hyperlink ref="AV19" r:id="rId20" xr:uid="{00000000-0004-0000-0100-000020000000}"/>
    <hyperlink ref="J19" r:id="rId21" xr:uid="{00000000-0004-0000-0100-000021000000}"/>
    <hyperlink ref="F14" r:id="rId22" display="https://aak.com.                                                                  info@aak.com                                                               Phone: +46 40 627 83 00" xr:uid="{CC22B306-0302-46A4-ADB0-3C44DEEE1487}"/>
    <hyperlink ref="AY14" r:id="rId23" xr:uid="{127AD0A5-9697-4EA2-BC69-CEC8B671E64D}"/>
    <hyperlink ref="BF14" r:id="rId24" xr:uid="{A89DC972-7FA4-47CC-A1AA-6467BA8E7DEA}"/>
    <hyperlink ref="BD13" r:id="rId25" xr:uid="{B8B8E71A-0031-41BD-A550-4C194D5E618E}"/>
    <hyperlink ref="BD14" r:id="rId26" xr:uid="{1F1D333D-E798-4B7E-BF6F-89C41B9CC433}"/>
    <hyperlink ref="BD19" r:id="rId27" xr:uid="{B3CEEC57-6BFA-421C-9602-159BBD1AF9C2}"/>
    <hyperlink ref="K14" r:id="rId28" display="http://www.fujioilholdings.com/en/csr/sustainable/.  http://www.fujioileurope.com/EN/Products/FujiOilEurope/ChocolateConfectionery/CocoaButterAlternatives.aspx" xr:uid="{C42F6430-9590-445C-B54B-73753D770A40}"/>
    <hyperlink ref="L14" r:id="rId29" xr:uid="{E9D34468-B460-444F-8518-77620998FEFA}"/>
    <hyperlink ref="H13" r:id="rId30" xr:uid="{00000000-0004-0000-0100-000001000000}"/>
    <hyperlink ref="S14" r:id="rId31" xr:uid="{77CC5831-7DD5-4FC3-BF5F-F1705717CECD}"/>
    <hyperlink ref="S19" r:id="rId32" xr:uid="{6F13BE7B-AC6F-4D11-B3B4-1A8B9D1D23EE}"/>
    <hyperlink ref="BN14" r:id="rId33" xr:uid="{995CD3E0-CFC8-410F-ACB6-9635447661D9}"/>
    <hyperlink ref="BQ14" r:id="rId34" xr:uid="{96346412-355D-411F-9CDE-74599369EE7D}"/>
    <hyperlink ref="BP14" r:id="rId35" xr:uid="{FEDC9007-B695-4B87-A37D-966FE5F0359D}"/>
    <hyperlink ref="AD14" r:id="rId36" xr:uid="{167E6513-D67D-46FA-AE5F-B2778B49B2D8}"/>
    <hyperlink ref="AM14" r:id="rId37" xr:uid="{AD9D188B-4ABF-4F84-9098-4936D95603AD}"/>
    <hyperlink ref="AN14" r:id="rId38" xr:uid="{D4751B07-2F89-4E9E-A5B9-3764A6E8F762}"/>
    <hyperlink ref="AG14" r:id="rId39" xr:uid="{C66DCDB5-CD07-423A-9979-A41AB14FDD2D}"/>
    <hyperlink ref="AH14" r:id="rId40" xr:uid="{B21CDB43-F7B0-4A77-AF3B-B6DAEA1F7EB3}"/>
    <hyperlink ref="AI14" r:id="rId41" xr:uid="{2DC40A91-3656-4063-A335-CDC853EA28AA}"/>
    <hyperlink ref="AL14" r:id="rId42" xr:uid="{765D5077-A223-448D-8A97-3A8A6B03AEB8}"/>
    <hyperlink ref="AK14" r:id="rId43" xr:uid="{B4EEB298-EAC1-4200-9326-44640DC0F17A}"/>
    <hyperlink ref="BU14" r:id="rId44" xr:uid="{DC8EEE98-02CF-4F0C-A4B5-3BA78CA73F06}"/>
    <hyperlink ref="BU13" r:id="rId45" xr:uid="{90D163B8-8575-4B00-A788-B4A566DBC072}"/>
    <hyperlink ref="BS14" r:id="rId46" xr:uid="{5F7DA4F1-F9B7-479B-8457-DD76FF1157B8}"/>
    <hyperlink ref="BL14" r:id="rId47" xr:uid="{CE5E88AC-AB16-45F0-BF89-FDF39201B8A1}"/>
    <hyperlink ref="T14" r:id="rId48" xr:uid="{B4F7B4EA-199F-4138-A4E4-B11AB1CEF7CE}"/>
    <hyperlink ref="BK14" r:id="rId49" xr:uid="{DF4D5555-A1E9-44C7-991F-5ED77D644200}"/>
    <hyperlink ref="N14" r:id="rId50" xr:uid="{3A14E8C3-1912-4981-AD4E-59180EB18370}"/>
    <hyperlink ref="AB14" r:id="rId51" xr:uid="{7694321D-2573-48DD-9F91-0AF639654FAC}"/>
    <hyperlink ref="U14" r:id="rId52" xr:uid="{A452435E-D45B-4C84-9F65-E7E33F8E7EBE}"/>
    <hyperlink ref="V14" r:id="rId53" xr:uid="{8F0CBF12-E456-481A-9DC8-6F826C524400}"/>
    <hyperlink ref="W14" r:id="rId54" xr:uid="{5535FBAD-BBE2-4279-852F-555CE3777C5E}"/>
    <hyperlink ref="X14" r:id="rId55" xr:uid="{8F095D6C-9488-4403-9FD7-CE6B4A7DEC9E}"/>
    <hyperlink ref="Y14" r:id="rId56" xr:uid="{861EF8E4-499E-440B-B9CA-1599ADB89C95}"/>
    <hyperlink ref="AJ14" r:id="rId57" xr:uid="{43952169-2443-44C2-82C5-F75AA14B7659}"/>
    <hyperlink ref="AA14" r:id="rId58" xr:uid="{5D3C6AFD-79B1-4C7E-B415-72B3D1BF56B0}"/>
    <hyperlink ref="AC14" r:id="rId59" xr:uid="{BDAB477B-02DB-4311-A5D2-282A80426D4B}"/>
    <hyperlink ref="AE14" r:id="rId60" xr:uid="{E698B48A-3D4E-4780-8A0D-B2ADF79405BB}"/>
    <hyperlink ref="AF14" r:id="rId61" xr:uid="{70D0F2B2-D0A2-424F-BACC-F41DE213F7B4}"/>
    <hyperlink ref="G14" r:id="rId62" xr:uid="{3927E564-5002-45A1-AA7F-B50B5A8E3CDF}"/>
    <hyperlink ref="Z14" r:id="rId63" xr:uid="{EB72C7D2-C2CC-4352-9483-B5A5B8C6DFDE}"/>
  </hyperlinks>
  <pageMargins left="0.15748031496062992" right="0.15748031496062992" top="0.74803149606299213" bottom="0.74803149606299213" header="0.31496062992125984" footer="0.31496062992125984"/>
  <pageSetup paperSize="9" scale="44" fitToWidth="0" orientation="portrait" r:id="rId64"/>
  <headerFooter>
    <oddHeader>&amp;F</oddHeader>
    <oddFooter>&amp;C&amp;"Helvetica,Regular"&amp;12&amp;K000000&amp;P</oddFooter>
  </headerFooter>
  <drawing r:id="rId6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C9431-4CB3-4E54-B4AC-D9C94BCAF335}">
  <dimension ref="A1:A2"/>
  <sheetViews>
    <sheetView workbookViewId="0">
      <selection activeCell="B18" sqref="B18"/>
    </sheetView>
  </sheetViews>
  <sheetFormatPr defaultRowHeight="15" x14ac:dyDescent="0.25"/>
  <sheetData>
    <row r="1" spans="1:1" x14ac:dyDescent="0.25">
      <c r="A1" s="120" t="s">
        <v>583</v>
      </c>
    </row>
    <row r="2" spans="1:1" x14ac:dyDescent="0.25">
      <c r="A2" s="120"/>
    </row>
  </sheetData>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1"/>
  <sheetViews>
    <sheetView showGridLines="0" topLeftCell="A10" workbookViewId="0">
      <selection activeCell="B18" sqref="B18"/>
    </sheetView>
  </sheetViews>
  <sheetFormatPr defaultColWidth="8.85546875" defaultRowHeight="15" customHeight="1" x14ac:dyDescent="0.25"/>
  <cols>
    <col min="1" max="1" width="8.85546875" customWidth="1"/>
    <col min="2" max="2" width="31.7109375" customWidth="1"/>
    <col min="3" max="3" width="17.42578125" customWidth="1"/>
    <col min="4" max="4" width="91.85546875" customWidth="1"/>
    <col min="5" max="5" width="24.140625" style="97" customWidth="1"/>
    <col min="6" max="256" width="8.85546875" customWidth="1"/>
  </cols>
  <sheetData>
    <row r="1" spans="1:5" ht="15" customHeight="1" x14ac:dyDescent="0.25">
      <c r="A1" s="48"/>
      <c r="B1" s="49"/>
      <c r="C1" s="49"/>
      <c r="D1" s="49"/>
      <c r="E1" s="94"/>
    </row>
    <row r="2" spans="1:5" ht="15" customHeight="1" x14ac:dyDescent="0.25">
      <c r="A2" s="50"/>
      <c r="B2" s="83" t="s">
        <v>584</v>
      </c>
      <c r="C2" s="84" t="s">
        <v>585</v>
      </c>
      <c r="D2" s="85" t="s">
        <v>586</v>
      </c>
      <c r="E2" s="95" t="s">
        <v>587</v>
      </c>
    </row>
    <row r="3" spans="1:5" ht="38.25" customHeight="1" x14ac:dyDescent="0.25">
      <c r="A3" s="50"/>
      <c r="B3" s="73" t="s">
        <v>588</v>
      </c>
      <c r="C3" s="26">
        <f>1</f>
        <v>1</v>
      </c>
      <c r="D3" s="24"/>
      <c r="E3" s="96"/>
    </row>
    <row r="4" spans="1:5" ht="38.25" customHeight="1" x14ac:dyDescent="0.25">
      <c r="A4" s="50"/>
      <c r="B4" s="73" t="s">
        <v>589</v>
      </c>
      <c r="C4" s="26">
        <f t="shared" ref="C4:C31" si="0">C3+1</f>
        <v>2</v>
      </c>
      <c r="D4" s="25" t="s">
        <v>590</v>
      </c>
      <c r="E4" s="96"/>
    </row>
    <row r="5" spans="1:5" ht="38.25" customHeight="1" x14ac:dyDescent="0.25">
      <c r="A5" s="50"/>
      <c r="B5" s="73" t="s">
        <v>591</v>
      </c>
      <c r="C5" s="26">
        <f t="shared" si="0"/>
        <v>3</v>
      </c>
      <c r="D5" s="24"/>
      <c r="E5" s="96"/>
    </row>
    <row r="6" spans="1:5" ht="38.25" customHeight="1" x14ac:dyDescent="0.25">
      <c r="A6" s="50"/>
      <c r="B6" s="73" t="s">
        <v>592</v>
      </c>
      <c r="C6" s="26">
        <f t="shared" si="0"/>
        <v>4</v>
      </c>
      <c r="D6" s="24"/>
      <c r="E6" s="96"/>
    </row>
    <row r="7" spans="1:5" ht="38.25" customHeight="1" x14ac:dyDescent="0.25">
      <c r="A7" s="50"/>
      <c r="B7" s="73" t="s">
        <v>593</v>
      </c>
      <c r="C7" s="26">
        <f t="shared" si="0"/>
        <v>5</v>
      </c>
      <c r="D7" s="24"/>
      <c r="E7" s="96"/>
    </row>
    <row r="8" spans="1:5" ht="38.25" customHeight="1" x14ac:dyDescent="0.25">
      <c r="A8" s="50"/>
      <c r="B8" s="73" t="s">
        <v>594</v>
      </c>
      <c r="C8" s="26">
        <f t="shared" si="0"/>
        <v>6</v>
      </c>
      <c r="D8" s="24"/>
      <c r="E8" s="96"/>
    </row>
    <row r="9" spans="1:5" ht="38.25" customHeight="1" x14ac:dyDescent="0.25">
      <c r="A9" s="50"/>
      <c r="B9" s="73" t="s">
        <v>595</v>
      </c>
      <c r="C9" s="26">
        <f t="shared" si="0"/>
        <v>7</v>
      </c>
      <c r="D9" s="24"/>
      <c r="E9" s="96"/>
    </row>
    <row r="10" spans="1:5" ht="38.25" customHeight="1" x14ac:dyDescent="0.25">
      <c r="A10" s="50"/>
      <c r="B10" s="73" t="s">
        <v>596</v>
      </c>
      <c r="C10" s="26">
        <f t="shared" si="0"/>
        <v>8</v>
      </c>
      <c r="D10" s="25" t="s">
        <v>597</v>
      </c>
      <c r="E10" s="96" t="s">
        <v>598</v>
      </c>
    </row>
    <row r="11" spans="1:5" ht="38.25" customHeight="1" x14ac:dyDescent="0.25">
      <c r="A11" s="50"/>
      <c r="B11" s="73" t="s">
        <v>599</v>
      </c>
      <c r="C11" s="26">
        <f t="shared" si="0"/>
        <v>9</v>
      </c>
      <c r="D11" s="25" t="s">
        <v>600</v>
      </c>
      <c r="E11" s="96"/>
    </row>
    <row r="12" spans="1:5" ht="38.25" customHeight="1" x14ac:dyDescent="0.25">
      <c r="A12" s="50"/>
      <c r="B12" s="73" t="s">
        <v>601</v>
      </c>
      <c r="C12" s="26">
        <f t="shared" si="0"/>
        <v>10</v>
      </c>
      <c r="D12" s="25" t="s">
        <v>602</v>
      </c>
      <c r="E12" s="96"/>
    </row>
    <row r="13" spans="1:5" ht="38.25" customHeight="1" x14ac:dyDescent="0.25">
      <c r="A13" s="50"/>
      <c r="B13" s="73" t="s">
        <v>603</v>
      </c>
      <c r="C13" s="26">
        <f t="shared" si="0"/>
        <v>11</v>
      </c>
      <c r="D13" s="25" t="s">
        <v>604</v>
      </c>
      <c r="E13" s="96" t="s">
        <v>605</v>
      </c>
    </row>
    <row r="14" spans="1:5" ht="38.25" customHeight="1" x14ac:dyDescent="0.25">
      <c r="A14" s="50"/>
      <c r="B14" s="73" t="s">
        <v>606</v>
      </c>
      <c r="C14" s="26">
        <f t="shared" si="0"/>
        <v>12</v>
      </c>
      <c r="D14" s="25" t="s">
        <v>607</v>
      </c>
      <c r="E14" s="96"/>
    </row>
    <row r="15" spans="1:5" ht="38.25" customHeight="1" x14ac:dyDescent="0.25">
      <c r="A15" s="50"/>
      <c r="B15" s="73" t="s">
        <v>608</v>
      </c>
      <c r="C15" s="26">
        <f t="shared" si="0"/>
        <v>13</v>
      </c>
      <c r="D15" s="25" t="s">
        <v>609</v>
      </c>
      <c r="E15" s="96"/>
    </row>
    <row r="16" spans="1:5" ht="38.25" customHeight="1" x14ac:dyDescent="0.25">
      <c r="A16" s="50"/>
      <c r="B16" s="73" t="s">
        <v>610</v>
      </c>
      <c r="C16" s="26">
        <f t="shared" si="0"/>
        <v>14</v>
      </c>
      <c r="D16" s="25" t="s">
        <v>611</v>
      </c>
      <c r="E16" s="96"/>
    </row>
    <row r="17" spans="1:5" ht="38.25" customHeight="1" x14ac:dyDescent="0.25">
      <c r="A17" s="50"/>
      <c r="B17" s="73" t="s">
        <v>612</v>
      </c>
      <c r="C17" s="26">
        <f t="shared" si="0"/>
        <v>15</v>
      </c>
      <c r="D17" s="25" t="s">
        <v>613</v>
      </c>
      <c r="E17" s="96"/>
    </row>
    <row r="18" spans="1:5" ht="38.25" customHeight="1" x14ac:dyDescent="0.25">
      <c r="A18" s="50"/>
      <c r="B18" s="73" t="s">
        <v>614</v>
      </c>
      <c r="C18" s="26">
        <f t="shared" si="0"/>
        <v>16</v>
      </c>
      <c r="D18" s="25" t="s">
        <v>615</v>
      </c>
      <c r="E18" s="96"/>
    </row>
    <row r="19" spans="1:5" ht="38.25" customHeight="1" x14ac:dyDescent="0.25">
      <c r="A19" s="50"/>
      <c r="B19" s="73" t="s">
        <v>616</v>
      </c>
      <c r="C19" s="26">
        <f t="shared" si="0"/>
        <v>17</v>
      </c>
      <c r="D19" s="25" t="s">
        <v>617</v>
      </c>
      <c r="E19" s="96"/>
    </row>
    <row r="20" spans="1:5" ht="38.25" customHeight="1" x14ac:dyDescent="0.25">
      <c r="A20" s="50"/>
      <c r="B20" s="73" t="s">
        <v>618</v>
      </c>
      <c r="C20" s="26">
        <f t="shared" si="0"/>
        <v>18</v>
      </c>
      <c r="D20" s="25" t="s">
        <v>619</v>
      </c>
      <c r="E20" s="96"/>
    </row>
    <row r="21" spans="1:5" ht="38.25" customHeight="1" x14ac:dyDescent="0.25">
      <c r="A21" s="50"/>
      <c r="B21" s="86"/>
      <c r="C21" s="26">
        <f t="shared" si="0"/>
        <v>19</v>
      </c>
      <c r="D21" s="24"/>
      <c r="E21" s="96"/>
    </row>
    <row r="22" spans="1:5" ht="38.25" customHeight="1" x14ac:dyDescent="0.25">
      <c r="A22" s="50"/>
      <c r="B22" s="86"/>
      <c r="C22" s="26">
        <f t="shared" si="0"/>
        <v>20</v>
      </c>
      <c r="D22" s="24"/>
      <c r="E22" s="96"/>
    </row>
    <row r="23" spans="1:5" ht="38.25" customHeight="1" x14ac:dyDescent="0.25">
      <c r="A23" s="50"/>
      <c r="B23" s="86"/>
      <c r="C23" s="26">
        <f t="shared" si="0"/>
        <v>21</v>
      </c>
      <c r="D23" s="24"/>
      <c r="E23" s="96"/>
    </row>
    <row r="24" spans="1:5" ht="38.25" customHeight="1" x14ac:dyDescent="0.25">
      <c r="A24" s="50"/>
      <c r="B24" s="86"/>
      <c r="C24" s="26">
        <f t="shared" si="0"/>
        <v>22</v>
      </c>
      <c r="D24" s="51"/>
      <c r="E24" s="96"/>
    </row>
    <row r="25" spans="1:5" ht="38.25" customHeight="1" x14ac:dyDescent="0.25">
      <c r="A25" s="50"/>
      <c r="B25" s="86"/>
      <c r="C25" s="26">
        <f t="shared" si="0"/>
        <v>23</v>
      </c>
      <c r="D25" s="51"/>
      <c r="E25" s="96"/>
    </row>
    <row r="26" spans="1:5" ht="38.25" customHeight="1" x14ac:dyDescent="0.25">
      <c r="A26" s="50"/>
      <c r="B26" s="86"/>
      <c r="C26" s="26">
        <f t="shared" si="0"/>
        <v>24</v>
      </c>
      <c r="D26" s="51"/>
      <c r="E26" s="96"/>
    </row>
    <row r="27" spans="1:5" ht="38.25" customHeight="1" x14ac:dyDescent="0.25">
      <c r="A27" s="50"/>
      <c r="B27" s="86"/>
      <c r="C27" s="26">
        <f t="shared" si="0"/>
        <v>25</v>
      </c>
      <c r="D27" s="51"/>
      <c r="E27" s="96"/>
    </row>
    <row r="28" spans="1:5" ht="38.25" customHeight="1" x14ac:dyDescent="0.25">
      <c r="A28" s="50"/>
      <c r="B28" s="86"/>
      <c r="C28" s="26">
        <f t="shared" si="0"/>
        <v>26</v>
      </c>
      <c r="D28" s="51"/>
      <c r="E28" s="96"/>
    </row>
    <row r="29" spans="1:5" ht="38.25" customHeight="1" x14ac:dyDescent="0.25">
      <c r="A29" s="50"/>
      <c r="B29" s="86"/>
      <c r="C29" s="26">
        <f t="shared" si="0"/>
        <v>27</v>
      </c>
      <c r="D29" s="51"/>
      <c r="E29" s="96"/>
    </row>
    <row r="30" spans="1:5" ht="38.25" customHeight="1" x14ac:dyDescent="0.25">
      <c r="A30" s="50"/>
      <c r="B30" s="86"/>
      <c r="C30" s="26">
        <f t="shared" si="0"/>
        <v>28</v>
      </c>
      <c r="D30" s="51"/>
      <c r="E30" s="96"/>
    </row>
    <row r="31" spans="1:5" ht="38.25" customHeight="1" x14ac:dyDescent="0.25">
      <c r="A31" s="48"/>
      <c r="B31" s="87"/>
      <c r="C31" s="52">
        <f t="shared" si="0"/>
        <v>29</v>
      </c>
      <c r="D31" s="51"/>
      <c r="E31" s="96"/>
    </row>
  </sheetData>
  <hyperlinks>
    <hyperlink ref="D16" r:id="rId1" xr:uid="{00000000-0004-0000-0200-000000000000}"/>
    <hyperlink ref="D19" r:id="rId2" xr:uid="{00000000-0004-0000-0200-000001000000}"/>
  </hyperlinks>
  <pageMargins left="0.7" right="0.7" top="0.75" bottom="0.75" header="0.3" footer="0.3"/>
  <pageSetup orientation="portrait"/>
  <headerFooter>
    <oddFooter>&amp;C&amp;"Helvetica,Regular"&amp;12&amp;K000000&amp;P</oddFooter>
  </headerFooter>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Cover</vt:lpstr>
      <vt:lpstr>Sheet1</vt:lpstr>
      <vt:lpstr>Revenue Data</vt:lpstr>
      <vt:lpstr>Processing</vt:lpstr>
      <vt:lpstr>Quality Standards</vt:lpstr>
      <vt:lpstr>'Revenue Data'!Print_Area</vt:lpstr>
      <vt:lpstr>'Revenue Data'!Print_Titles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Lyon</dc:creator>
  <cp:keywords/>
  <dc:description/>
  <cp:lastModifiedBy>David Lyon</cp:lastModifiedBy>
  <cp:revision/>
  <cp:lastPrinted>2019-04-15T10:10:30Z</cp:lastPrinted>
  <dcterms:created xsi:type="dcterms:W3CDTF">2019-01-04T14:00:11Z</dcterms:created>
  <dcterms:modified xsi:type="dcterms:W3CDTF">2019-04-15T10:10:35Z</dcterms:modified>
  <cp:category/>
  <cp:contentStatus/>
</cp:coreProperties>
</file>