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E:\"/>
    </mc:Choice>
  </mc:AlternateContent>
  <bookViews>
    <workbookView xWindow="0" yWindow="0" windowWidth="19200" windowHeight="7050" activeTab="1"/>
  </bookViews>
  <sheets>
    <sheet name="Sheet1" sheetId="1" r:id="rId1"/>
    <sheet name="Sheet2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62" i="2" l="1"/>
  <c r="F62" i="2"/>
  <c r="G61" i="2"/>
  <c r="F61" i="2"/>
  <c r="G46" i="2"/>
  <c r="F46" i="2"/>
  <c r="G26" i="2"/>
  <c r="F26" i="2"/>
  <c r="G60" i="2"/>
  <c r="G59" i="2"/>
  <c r="G58" i="2"/>
  <c r="G57" i="2"/>
  <c r="G56" i="2"/>
  <c r="G55" i="2"/>
  <c r="G54" i="2"/>
  <c r="G53" i="2"/>
  <c r="G52" i="2"/>
  <c r="G51" i="2"/>
  <c r="G50" i="2"/>
  <c r="G49" i="2"/>
  <c r="G48" i="2"/>
  <c r="G45" i="2"/>
  <c r="G44" i="2"/>
  <c r="G43" i="2"/>
  <c r="G42" i="2"/>
  <c r="G41" i="2"/>
  <c r="G40" i="2"/>
  <c r="G39" i="2"/>
  <c r="G38" i="2"/>
  <c r="G37" i="2"/>
  <c r="G36" i="2"/>
  <c r="G35" i="2"/>
  <c r="G34" i="2"/>
  <c r="G33" i="2"/>
  <c r="G32" i="2"/>
  <c r="G31" i="2"/>
  <c r="G30" i="2"/>
  <c r="G29" i="2"/>
  <c r="G28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7" i="2"/>
  <c r="E49" i="2"/>
  <c r="E50" i="2"/>
  <c r="E51" i="2"/>
  <c r="E52" i="2"/>
  <c r="E53" i="2"/>
  <c r="E54" i="2"/>
  <c r="E55" i="2"/>
  <c r="E56" i="2"/>
  <c r="E57" i="2"/>
  <c r="E58" i="2"/>
  <c r="E59" i="2"/>
  <c r="E60" i="2"/>
  <c r="E4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28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7" i="2"/>
  <c r="H7" i="1" l="1"/>
  <c r="H8" i="1"/>
  <c r="H9" i="1"/>
  <c r="H6" i="1"/>
  <c r="F7" i="1"/>
  <c r="F6" i="1"/>
  <c r="F9" i="1"/>
  <c r="F8" i="1"/>
</calcChain>
</file>

<file path=xl/sharedStrings.xml><?xml version="1.0" encoding="utf-8"?>
<sst xmlns="http://schemas.openxmlformats.org/spreadsheetml/2006/main" count="91" uniqueCount="80">
  <si>
    <t>Ware house </t>
  </si>
  <si>
    <t>Length</t>
  </si>
  <si>
    <t>Width </t>
  </si>
  <si>
    <t>Hight</t>
  </si>
  <si>
    <t>Cost</t>
  </si>
  <si>
    <t>Meter</t>
  </si>
  <si>
    <t>CFA</t>
  </si>
  <si>
    <t>USD</t>
  </si>
  <si>
    <t>Small size water house</t>
  </si>
  <si>
    <t>Transportation</t>
  </si>
  <si>
    <t>Weight (Kgs)</t>
  </si>
  <si>
    <t>Distance</t>
  </si>
  <si>
    <t>Amount </t>
  </si>
  <si>
    <t>Remarks</t>
  </si>
  <si>
    <t>KGs</t>
  </si>
  <si>
    <t>Km</t>
  </si>
  <si>
    <t>Internal transport from the farm gate to a store   </t>
  </si>
  <si>
    <t>head load</t>
  </si>
  <si>
    <t>Unit cost</t>
  </si>
  <si>
    <t>Volum
(CM)</t>
  </si>
  <si>
    <t>Designation</t>
  </si>
  <si>
    <t xml:space="preserve">Assets specific to almond  production </t>
  </si>
  <si>
    <t>Safety shoes for the collection of Shea nuts</t>
  </si>
  <si>
    <t xml:space="preserve">Medium bowls for dishes </t>
  </si>
  <si>
    <t>Buckets</t>
  </si>
  <si>
    <t>Pots # 50;</t>
  </si>
  <si>
    <t xml:space="preserve">Improved stoves with two pans </t>
  </si>
  <si>
    <t>Baskets</t>
  </si>
  <si>
    <t xml:space="preserve">Drying area facilities for nuts and Shea nuts </t>
  </si>
  <si>
    <t xml:space="preserve">Moisture tester and acidity </t>
  </si>
  <si>
    <t>Soda-ash bag</t>
  </si>
  <si>
    <t>Yoruba dishes</t>
  </si>
  <si>
    <t>Spatulas</t>
  </si>
  <si>
    <t>Ladles</t>
  </si>
  <si>
    <t>Ware house for storing of 100 tons almonds</t>
  </si>
  <si>
    <t>Pallets (wood)</t>
  </si>
  <si>
    <t>Devils (manual)</t>
  </si>
  <si>
    <t>Donkey cart to transport nuts and kernels from the field</t>
  </si>
  <si>
    <t>Certification and procedure  for quality</t>
  </si>
  <si>
    <t>Tricycles</t>
  </si>
  <si>
    <t>Tarpaulins</t>
  </si>
  <si>
    <t>SUBTOTAL 1</t>
  </si>
  <si>
    <t>Assets specific to the production of butter</t>
  </si>
  <si>
    <t xml:space="preserve">Milling machine (stainless steel) </t>
  </si>
  <si>
    <t>Crusher</t>
  </si>
  <si>
    <t xml:space="preserve">Engine </t>
  </si>
  <si>
    <t>Stainless Steel Roaster</t>
  </si>
  <si>
    <t>Improved stoves;</t>
  </si>
  <si>
    <t>Filter</t>
  </si>
  <si>
    <t>Stainless Barrate</t>
  </si>
  <si>
    <t>Installation</t>
  </si>
  <si>
    <t xml:space="preserve">Pots no. 50 </t>
  </si>
  <si>
    <t xml:space="preserve">Large dish bowls </t>
  </si>
  <si>
    <t>Packaging material (seals)</t>
  </si>
  <si>
    <t>Warehouse for butter</t>
  </si>
  <si>
    <t>Pallets</t>
  </si>
  <si>
    <t>Buildings to install equipment</t>
  </si>
  <si>
    <t>Returnable packages for storage (large barrels ... litters)</t>
  </si>
  <si>
    <t>Installation Cost</t>
  </si>
  <si>
    <t>Subtotal 2</t>
  </si>
  <si>
    <t>To pool assets for the production of almonds and shea butter</t>
  </si>
  <si>
    <t>Land 1000 m2</t>
  </si>
  <si>
    <t>Environmental Impact Study Cost</t>
  </si>
  <si>
    <t>Drilling, hydraulic fixtures and other facilities</t>
  </si>
  <si>
    <t>Wastewater treatment facilities</t>
  </si>
  <si>
    <t>Development of the constitution and bylaws of texts, training, registration cost of the COOP-CA cooperative society</t>
  </si>
  <si>
    <t xml:space="preserve">Generator </t>
  </si>
  <si>
    <t>Solar panel + installation cost</t>
  </si>
  <si>
    <t>administrative buildings</t>
  </si>
  <si>
    <t>Office equipment and furniture</t>
  </si>
  <si>
    <t>Computer equipment and accessories (printer, internet key) + facilities</t>
  </si>
  <si>
    <t xml:space="preserve">Weighing machine </t>
  </si>
  <si>
    <t>Software and Training</t>
  </si>
  <si>
    <t>SUBTOTAL 3</t>
  </si>
  <si>
    <t>TOTAL (1 + 2 + 3)</t>
  </si>
  <si>
    <t>Quantities</t>
  </si>
  <si>
    <t xml:space="preserve">Total Cost </t>
  </si>
  <si>
    <t>FCA</t>
  </si>
  <si>
    <t>! CFA= USD</t>
  </si>
  <si>
    <t>Capital and infrastructure costs to set up a modern Shea Butter production unit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</si>
</sst>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0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222222"/>
      <name val="Calibri"/>
      <family val="2"/>
    </font>
    <font>
      <sz val="11"/>
      <color rgb="FF000000"/>
      <name val="Calibri"/>
      <family val="2"/>
    </font>
    <font>
      <b/>
      <sz val="14"/>
      <color theme="1"/>
      <name val="Calibri"/>
      <family val="2"/>
      <scheme val="minor"/>
    </font>
    <font>
      <sz val="12"/>
      <color theme="1"/>
      <name val="Times New Roman"/>
      <family val="1"/>
    </font>
    <font>
      <sz val="12"/>
      <color theme="1"/>
      <name val="Calibri"/>
      <family val="2"/>
      <scheme val="minor"/>
    </font>
    <font>
      <sz val="12"/>
      <color theme="1"/>
      <name val="Cambria"/>
      <family val="1"/>
    </font>
    <font>
      <b/>
      <sz val="12"/>
      <color theme="1"/>
      <name val="Calibri"/>
      <family val="2"/>
      <scheme val="minor"/>
    </font>
    <font>
      <b/>
      <sz val="12"/>
      <color theme="1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5">
    <xf numFmtId="0" fontId="0" fillId="0" borderId="0" xfId="0"/>
    <xf numFmtId="0" fontId="1" fillId="2" borderId="4" xfId="0" applyFont="1" applyFill="1" applyBorder="1" applyAlignment="1">
      <alignment horizontal="center" vertical="top" wrapText="1"/>
    </xf>
    <xf numFmtId="0" fontId="1" fillId="2" borderId="6" xfId="0" applyFont="1" applyFill="1" applyBorder="1" applyAlignment="1">
      <alignment horizontal="center" vertical="top" wrapText="1"/>
    </xf>
    <xf numFmtId="0" fontId="3" fillId="2" borderId="6" xfId="0" applyFont="1" applyFill="1" applyBorder="1" applyAlignment="1">
      <alignment horizontal="center" vertical="top" wrapText="1"/>
    </xf>
    <xf numFmtId="3" fontId="3" fillId="2" borderId="6" xfId="0" applyNumberFormat="1" applyFont="1" applyFill="1" applyBorder="1" applyAlignment="1">
      <alignment horizontal="right" vertical="top"/>
    </xf>
    <xf numFmtId="0" fontId="3" fillId="2" borderId="6" xfId="0" applyFont="1" applyFill="1" applyBorder="1" applyAlignment="1">
      <alignment vertical="top"/>
    </xf>
    <xf numFmtId="0" fontId="3" fillId="2" borderId="1" xfId="0" applyFont="1" applyFill="1" applyBorder="1" applyAlignment="1">
      <alignment vertical="top"/>
    </xf>
    <xf numFmtId="0" fontId="0" fillId="0" borderId="1" xfId="0" applyBorder="1"/>
    <xf numFmtId="0" fontId="1" fillId="2" borderId="1" xfId="0" applyFont="1" applyFill="1" applyBorder="1" applyAlignment="1">
      <alignment horizontal="center" vertical="top" wrapText="1"/>
    </xf>
    <xf numFmtId="0" fontId="0" fillId="0" borderId="0" xfId="0" applyAlignment="1">
      <alignment vertical="top" wrapText="1"/>
    </xf>
    <xf numFmtId="0" fontId="0" fillId="0" borderId="0" xfId="0" applyAlignment="1">
      <alignment horizontal="center" vertical="top"/>
    </xf>
    <xf numFmtId="0" fontId="0" fillId="0" borderId="0" xfId="0" applyAlignment="1">
      <alignment vertical="top"/>
    </xf>
    <xf numFmtId="0" fontId="5" fillId="0" borderId="1" xfId="0" applyFont="1" applyBorder="1" applyAlignment="1">
      <alignment vertical="top" wrapText="1"/>
    </xf>
    <xf numFmtId="0" fontId="5" fillId="0" borderId="1" xfId="0" applyFont="1" applyBorder="1" applyAlignment="1">
      <alignment horizontal="right" vertical="top" wrapText="1"/>
    </xf>
    <xf numFmtId="0" fontId="6" fillId="0" borderId="1" xfId="0" applyFont="1" applyBorder="1" applyAlignment="1">
      <alignment horizontal="right" vertical="top"/>
    </xf>
    <xf numFmtId="0" fontId="7" fillId="0" borderId="1" xfId="0" applyFont="1" applyBorder="1" applyAlignment="1">
      <alignment vertical="top" wrapText="1"/>
    </xf>
    <xf numFmtId="0" fontId="5" fillId="0" borderId="1" xfId="0" applyFont="1" applyBorder="1" applyAlignment="1">
      <alignment horizontal="justify" vertical="top" wrapText="1"/>
    </xf>
    <xf numFmtId="0" fontId="6" fillId="0" borderId="1" xfId="0" applyFont="1" applyBorder="1" applyAlignment="1">
      <alignment vertical="top"/>
    </xf>
    <xf numFmtId="0" fontId="8" fillId="4" borderId="1" xfId="0" applyFont="1" applyFill="1" applyBorder="1" applyAlignment="1">
      <alignment horizontal="right" vertical="top"/>
    </xf>
    <xf numFmtId="0" fontId="7" fillId="0" borderId="1" xfId="0" applyFont="1" applyBorder="1" applyAlignment="1">
      <alignment horizontal="justify" vertical="top" wrapText="1"/>
    </xf>
    <xf numFmtId="0" fontId="7" fillId="0" borderId="1" xfId="0" applyFont="1" applyBorder="1" applyAlignment="1">
      <alignment horizontal="right" vertical="top" wrapText="1"/>
    </xf>
    <xf numFmtId="0" fontId="9" fillId="4" borderId="1" xfId="0" applyFont="1" applyFill="1" applyBorder="1" applyAlignment="1">
      <alignment horizontal="justify" vertical="top" wrapText="1"/>
    </xf>
    <xf numFmtId="0" fontId="8" fillId="0" borderId="1" xfId="0" applyFont="1" applyBorder="1" applyAlignment="1">
      <alignment horizontal="center" vertical="top"/>
    </xf>
    <xf numFmtId="0" fontId="8" fillId="4" borderId="1" xfId="0" applyFont="1" applyFill="1" applyBorder="1" applyAlignment="1">
      <alignment vertical="top" wrapText="1"/>
    </xf>
    <xf numFmtId="0" fontId="6" fillId="4" borderId="1" xfId="0" applyFont="1" applyFill="1" applyBorder="1" applyAlignment="1">
      <alignment vertical="top"/>
    </xf>
    <xf numFmtId="0" fontId="6" fillId="4" borderId="1" xfId="0" applyFont="1" applyFill="1" applyBorder="1" applyAlignment="1">
      <alignment vertical="top" wrapText="1"/>
    </xf>
    <xf numFmtId="0" fontId="1" fillId="2" borderId="2" xfId="0" applyFont="1" applyFill="1" applyBorder="1" applyAlignment="1">
      <alignment horizontal="center" vertical="top" wrapText="1"/>
    </xf>
    <xf numFmtId="0" fontId="1" fillId="2" borderId="3" xfId="0" applyFont="1" applyFill="1" applyBorder="1" applyAlignment="1">
      <alignment horizontal="center" vertical="top" wrapText="1"/>
    </xf>
    <xf numFmtId="0" fontId="2" fillId="2" borderId="2" xfId="0" applyFont="1" applyFill="1" applyBorder="1" applyAlignment="1">
      <alignment vertical="top" wrapText="1"/>
    </xf>
    <xf numFmtId="0" fontId="2" fillId="2" borderId="8" xfId="0" applyFont="1" applyFill="1" applyBorder="1" applyAlignment="1">
      <alignment vertical="top" wrapText="1"/>
    </xf>
    <xf numFmtId="0" fontId="3" fillId="2" borderId="2" xfId="0" applyFont="1" applyFill="1" applyBorder="1" applyAlignment="1">
      <alignment horizontal="center" vertical="top" wrapText="1"/>
    </xf>
    <xf numFmtId="0" fontId="3" fillId="2" borderId="3" xfId="0" applyFont="1" applyFill="1" applyBorder="1" applyAlignment="1">
      <alignment horizontal="center" vertical="top" wrapText="1"/>
    </xf>
    <xf numFmtId="0" fontId="2" fillId="2" borderId="2" xfId="0" applyFont="1" applyFill="1" applyBorder="1" applyAlignment="1">
      <alignment horizontal="center" vertical="top" wrapText="1"/>
    </xf>
    <xf numFmtId="0" fontId="2" fillId="2" borderId="7" xfId="0" applyFont="1" applyFill="1" applyBorder="1" applyAlignment="1">
      <alignment horizontal="center" vertical="top" wrapText="1"/>
    </xf>
    <xf numFmtId="0" fontId="2" fillId="2" borderId="3" xfId="0" applyFont="1" applyFill="1" applyBorder="1" applyAlignment="1">
      <alignment horizontal="center" vertical="top" wrapText="1"/>
    </xf>
    <xf numFmtId="0" fontId="3" fillId="2" borderId="2" xfId="0" applyFont="1" applyFill="1" applyBorder="1" applyAlignment="1">
      <alignment horizontal="center" vertical="top"/>
    </xf>
    <xf numFmtId="0" fontId="3" fillId="2" borderId="3" xfId="0" applyFont="1" applyFill="1" applyBorder="1" applyAlignment="1">
      <alignment horizontal="center" vertical="top"/>
    </xf>
    <xf numFmtId="0" fontId="1" fillId="2" borderId="1" xfId="0" applyFont="1" applyFill="1" applyBorder="1" applyAlignment="1">
      <alignment horizontal="center" vertical="top" wrapText="1"/>
    </xf>
    <xf numFmtId="0" fontId="1" fillId="2" borderId="9" xfId="0" applyFont="1" applyFill="1" applyBorder="1" applyAlignment="1">
      <alignment horizontal="center" vertical="top" wrapText="1"/>
    </xf>
    <xf numFmtId="0" fontId="1" fillId="2" borderId="5" xfId="0" applyFont="1" applyFill="1" applyBorder="1" applyAlignment="1">
      <alignment horizontal="center" vertical="top" wrapText="1"/>
    </xf>
    <xf numFmtId="0" fontId="1" fillId="2" borderId="4" xfId="0" applyFont="1" applyFill="1" applyBorder="1" applyAlignment="1">
      <alignment horizontal="center" vertical="top" wrapText="1"/>
    </xf>
    <xf numFmtId="0" fontId="9" fillId="3" borderId="9" xfId="0" applyFont="1" applyFill="1" applyBorder="1" applyAlignment="1">
      <alignment horizontal="center" vertical="top" wrapText="1"/>
    </xf>
    <xf numFmtId="0" fontId="9" fillId="3" borderId="11" xfId="0" applyFont="1" applyFill="1" applyBorder="1" applyAlignment="1">
      <alignment horizontal="center" vertical="top" wrapText="1"/>
    </xf>
    <xf numFmtId="0" fontId="9" fillId="3" borderId="4" xfId="0" applyFont="1" applyFill="1" applyBorder="1" applyAlignment="1">
      <alignment horizontal="center" vertical="top" wrapText="1"/>
    </xf>
    <xf numFmtId="0" fontId="9" fillId="0" borderId="1" xfId="0" applyFont="1" applyBorder="1" applyAlignment="1">
      <alignment horizontal="left" vertical="top" wrapText="1"/>
    </xf>
    <xf numFmtId="0" fontId="4" fillId="0" borderId="10" xfId="0" applyFont="1" applyBorder="1" applyAlignment="1">
      <alignment horizontal="center" vertical="top" wrapText="1"/>
    </xf>
    <xf numFmtId="0" fontId="4" fillId="0" borderId="0" xfId="0" applyFont="1" applyBorder="1" applyAlignment="1">
      <alignment horizontal="center" vertical="top" wrapText="1"/>
    </xf>
    <xf numFmtId="0" fontId="8" fillId="0" borderId="1" xfId="0" applyFont="1" applyBorder="1" applyAlignment="1">
      <alignment horizontal="center" vertical="top"/>
    </xf>
    <xf numFmtId="0" fontId="8" fillId="0" borderId="2" xfId="0" applyFont="1" applyBorder="1" applyAlignment="1">
      <alignment horizontal="center" vertical="top" wrapText="1"/>
    </xf>
    <xf numFmtId="0" fontId="8" fillId="0" borderId="3" xfId="0" applyFont="1" applyBorder="1" applyAlignment="1">
      <alignment horizontal="center" vertical="top" wrapText="1"/>
    </xf>
    <xf numFmtId="0" fontId="8" fillId="0" borderId="2" xfId="0" applyFont="1" applyBorder="1" applyAlignment="1">
      <alignment horizontal="center" vertical="top"/>
    </xf>
    <xf numFmtId="0" fontId="8" fillId="0" borderId="3" xfId="0" applyFont="1" applyBorder="1" applyAlignment="1">
      <alignment horizontal="center" vertical="top"/>
    </xf>
    <xf numFmtId="0" fontId="8" fillId="3" borderId="9" xfId="0" applyFont="1" applyFill="1" applyBorder="1" applyAlignment="1">
      <alignment horizontal="left" vertical="top" wrapText="1"/>
    </xf>
    <xf numFmtId="0" fontId="8" fillId="3" borderId="11" xfId="0" applyFont="1" applyFill="1" applyBorder="1" applyAlignment="1">
      <alignment horizontal="left" vertical="top" wrapText="1"/>
    </xf>
    <xf numFmtId="0" fontId="8" fillId="3" borderId="4" xfId="0" applyFont="1" applyFill="1" applyBorder="1" applyAlignment="1">
      <alignment horizontal="left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4:Q13"/>
  <sheetViews>
    <sheetView workbookViewId="0">
      <selection activeCell="C1" sqref="C1"/>
    </sheetView>
  </sheetViews>
  <sheetFormatPr defaultRowHeight="14.5" x14ac:dyDescent="0.35"/>
  <cols>
    <col min="1" max="1" width="5.08984375" customWidth="1"/>
    <col min="2" max="2" width="12.54296875" customWidth="1"/>
    <col min="3" max="3" width="7.1796875" customWidth="1"/>
    <col min="4" max="4" width="7.26953125" customWidth="1"/>
    <col min="5" max="5" width="7" customWidth="1"/>
    <col min="7" max="7" width="6.54296875" customWidth="1"/>
    <col min="10" max="10" width="5.453125" customWidth="1"/>
    <col min="11" max="11" width="3.6328125" customWidth="1"/>
    <col min="12" max="12" width="23.54296875" customWidth="1"/>
    <col min="17" max="17" width="11.81640625" customWidth="1"/>
  </cols>
  <sheetData>
    <row r="4" spans="2:17" ht="14.5" customHeight="1" x14ac:dyDescent="0.35">
      <c r="B4" s="26" t="s">
        <v>0</v>
      </c>
      <c r="C4" s="1" t="s">
        <v>1</v>
      </c>
      <c r="D4" s="1" t="s">
        <v>2</v>
      </c>
      <c r="E4" s="1" t="s">
        <v>3</v>
      </c>
      <c r="F4" s="37" t="s">
        <v>19</v>
      </c>
      <c r="G4" s="37" t="s">
        <v>18</v>
      </c>
      <c r="H4" s="38" t="s">
        <v>4</v>
      </c>
      <c r="I4" s="39"/>
      <c r="L4" s="26" t="s">
        <v>9</v>
      </c>
      <c r="M4" s="8" t="s">
        <v>10</v>
      </c>
      <c r="N4" s="8" t="s">
        <v>11</v>
      </c>
      <c r="O4" s="38" t="s">
        <v>12</v>
      </c>
      <c r="P4" s="40"/>
      <c r="Q4" s="26" t="s">
        <v>13</v>
      </c>
    </row>
    <row r="5" spans="2:17" x14ac:dyDescent="0.35">
      <c r="B5" s="27"/>
      <c r="C5" s="2" t="s">
        <v>5</v>
      </c>
      <c r="D5" s="2" t="s">
        <v>5</v>
      </c>
      <c r="E5" s="2" t="s">
        <v>5</v>
      </c>
      <c r="F5" s="37"/>
      <c r="G5" s="37"/>
      <c r="H5" s="2" t="s">
        <v>6</v>
      </c>
      <c r="I5" s="2" t="s">
        <v>7</v>
      </c>
      <c r="L5" s="27"/>
      <c r="M5" s="2" t="s">
        <v>14</v>
      </c>
      <c r="N5" s="2" t="s">
        <v>15</v>
      </c>
      <c r="O5" s="2" t="s">
        <v>6</v>
      </c>
      <c r="P5" s="2" t="s">
        <v>7</v>
      </c>
      <c r="Q5" s="27"/>
    </row>
    <row r="6" spans="2:17" ht="16" customHeight="1" x14ac:dyDescent="0.35">
      <c r="B6" s="32" t="s">
        <v>8</v>
      </c>
      <c r="C6" s="3">
        <v>8</v>
      </c>
      <c r="D6" s="3">
        <v>5</v>
      </c>
      <c r="E6" s="3">
        <v>4</v>
      </c>
      <c r="F6" s="3">
        <f t="shared" ref="F6:F7" si="0">C6*D6*E6</f>
        <v>160</v>
      </c>
      <c r="G6" s="7">
        <v>15000</v>
      </c>
      <c r="H6" s="4">
        <f>F6*G6</f>
        <v>2400000</v>
      </c>
      <c r="I6" s="7">
        <v>4119.6000000000004</v>
      </c>
      <c r="L6" s="28" t="s">
        <v>16</v>
      </c>
      <c r="M6" s="30">
        <v>85</v>
      </c>
      <c r="N6" s="3">
        <v>2</v>
      </c>
      <c r="O6" s="3">
        <v>250</v>
      </c>
      <c r="P6" s="5">
        <v>0.43</v>
      </c>
      <c r="Q6" s="35" t="s">
        <v>17</v>
      </c>
    </row>
    <row r="7" spans="2:17" x14ac:dyDescent="0.35">
      <c r="B7" s="33"/>
      <c r="C7" s="3">
        <v>10</v>
      </c>
      <c r="D7" s="3">
        <v>5</v>
      </c>
      <c r="E7" s="3">
        <v>4</v>
      </c>
      <c r="F7" s="3">
        <f t="shared" si="0"/>
        <v>200</v>
      </c>
      <c r="G7" s="7">
        <v>15000</v>
      </c>
      <c r="H7" s="4">
        <f t="shared" ref="H7:H9" si="1">F7*G7</f>
        <v>3000000</v>
      </c>
      <c r="I7" s="7">
        <v>5149.5</v>
      </c>
      <c r="L7" s="29"/>
      <c r="M7" s="31"/>
      <c r="N7" s="3">
        <v>8</v>
      </c>
      <c r="O7" s="3">
        <v>1000</v>
      </c>
      <c r="P7" s="5">
        <v>1.72</v>
      </c>
      <c r="Q7" s="36"/>
    </row>
    <row r="8" spans="2:17" x14ac:dyDescent="0.35">
      <c r="B8" s="33"/>
      <c r="C8" s="3">
        <v>12</v>
      </c>
      <c r="D8" s="3">
        <v>5</v>
      </c>
      <c r="E8" s="3">
        <v>4</v>
      </c>
      <c r="F8" s="3">
        <f>C8*D8*E8</f>
        <v>240</v>
      </c>
      <c r="G8" s="7">
        <v>15000</v>
      </c>
      <c r="H8" s="4">
        <f t="shared" si="1"/>
        <v>3600000</v>
      </c>
      <c r="I8" s="6">
        <v>6179.4</v>
      </c>
    </row>
    <row r="9" spans="2:17" x14ac:dyDescent="0.35">
      <c r="B9" s="34"/>
      <c r="C9" s="3">
        <v>15</v>
      </c>
      <c r="D9" s="3">
        <v>5</v>
      </c>
      <c r="E9" s="3">
        <v>4</v>
      </c>
      <c r="F9" s="3">
        <f>C9*D9*E9</f>
        <v>300</v>
      </c>
      <c r="G9" s="7">
        <v>15000</v>
      </c>
      <c r="H9" s="4">
        <f t="shared" si="1"/>
        <v>4500000</v>
      </c>
      <c r="I9" s="6">
        <v>7724.25</v>
      </c>
    </row>
    <row r="12" spans="2:17" ht="29.5" customHeight="1" x14ac:dyDescent="0.35"/>
    <row r="13" spans="2:17" ht="29" customHeight="1" x14ac:dyDescent="0.35"/>
  </sheetData>
  <mergeCells count="11">
    <mergeCell ref="Q4:Q5"/>
    <mergeCell ref="L6:L7"/>
    <mergeCell ref="M6:M7"/>
    <mergeCell ref="B6:B9"/>
    <mergeCell ref="Q6:Q7"/>
    <mergeCell ref="F4:F5"/>
    <mergeCell ref="G4:G5"/>
    <mergeCell ref="H4:I4"/>
    <mergeCell ref="B4:B5"/>
    <mergeCell ref="L4:L5"/>
    <mergeCell ref="O4:P4"/>
  </mergeCells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G62"/>
  <sheetViews>
    <sheetView tabSelected="1" workbookViewId="0">
      <selection activeCell="B3" sqref="B3:G3"/>
    </sheetView>
  </sheetViews>
  <sheetFormatPr defaultRowHeight="14.5" x14ac:dyDescent="0.35"/>
  <cols>
    <col min="1" max="1" width="8.7265625" style="11"/>
    <col min="2" max="2" width="31.1796875" style="9" customWidth="1"/>
    <col min="3" max="3" width="12" style="11" customWidth="1"/>
    <col min="4" max="4" width="12.1796875" style="11" customWidth="1"/>
    <col min="5" max="5" width="10.26953125" style="11" customWidth="1"/>
    <col min="6" max="6" width="14.08984375" style="11" customWidth="1"/>
    <col min="7" max="7" width="10.6328125" style="11" customWidth="1"/>
    <col min="8" max="16384" width="8.7265625" style="11"/>
  </cols>
  <sheetData>
    <row r="2" spans="2:7" ht="15.5" x14ac:dyDescent="0.35">
      <c r="D2" s="11" t="s">
        <v>78</v>
      </c>
      <c r="E2" s="13">
        <v>1.6999999999999999E-3</v>
      </c>
    </row>
    <row r="3" spans="2:7" ht="18.5" x14ac:dyDescent="0.35">
      <c r="B3" s="45" t="s">
        <v>79</v>
      </c>
      <c r="C3" s="46"/>
      <c r="D3" s="46"/>
      <c r="E3" s="46"/>
      <c r="F3" s="46"/>
      <c r="G3" s="46"/>
    </row>
    <row r="4" spans="2:7" s="10" customFormat="1" ht="15.5" x14ac:dyDescent="0.35">
      <c r="B4" s="48" t="s">
        <v>20</v>
      </c>
      <c r="C4" s="50" t="s">
        <v>75</v>
      </c>
      <c r="D4" s="47" t="s">
        <v>18</v>
      </c>
      <c r="E4" s="47"/>
      <c r="F4" s="47" t="s">
        <v>76</v>
      </c>
      <c r="G4" s="47"/>
    </row>
    <row r="5" spans="2:7" s="10" customFormat="1" ht="15.5" x14ac:dyDescent="0.35">
      <c r="B5" s="49"/>
      <c r="C5" s="51"/>
      <c r="D5" s="22" t="s">
        <v>77</v>
      </c>
      <c r="E5" s="22" t="s">
        <v>7</v>
      </c>
      <c r="F5" s="22" t="s">
        <v>77</v>
      </c>
      <c r="G5" s="22" t="s">
        <v>7</v>
      </c>
    </row>
    <row r="6" spans="2:7" ht="15.5" customHeight="1" x14ac:dyDescent="0.35">
      <c r="B6" s="52" t="s">
        <v>21</v>
      </c>
      <c r="C6" s="53"/>
      <c r="D6" s="53"/>
      <c r="E6" s="53"/>
      <c r="F6" s="53"/>
      <c r="G6" s="54"/>
    </row>
    <row r="7" spans="2:7" ht="31" x14ac:dyDescent="0.35">
      <c r="B7" s="12" t="s">
        <v>22</v>
      </c>
      <c r="C7" s="13">
        <v>40</v>
      </c>
      <c r="D7" s="13">
        <v>7500</v>
      </c>
      <c r="E7" s="13">
        <f>$E$2*D7</f>
        <v>12.75</v>
      </c>
      <c r="F7" s="14">
        <v>300000</v>
      </c>
      <c r="G7" s="13">
        <f>$E$2*F7</f>
        <v>510</v>
      </c>
    </row>
    <row r="8" spans="2:7" ht="15.5" x14ac:dyDescent="0.35">
      <c r="B8" s="12" t="s">
        <v>23</v>
      </c>
      <c r="C8" s="13">
        <v>10</v>
      </c>
      <c r="D8" s="13">
        <v>7500</v>
      </c>
      <c r="E8" s="13">
        <f t="shared" ref="E8:E25" si="0">$E$2*D8</f>
        <v>12.75</v>
      </c>
      <c r="F8" s="14">
        <v>75000</v>
      </c>
      <c r="G8" s="13">
        <f t="shared" ref="G8:G25" si="1">$E$2*F8</f>
        <v>127.5</v>
      </c>
    </row>
    <row r="9" spans="2:7" ht="15.5" x14ac:dyDescent="0.35">
      <c r="B9" s="12" t="s">
        <v>24</v>
      </c>
      <c r="C9" s="13">
        <v>10</v>
      </c>
      <c r="D9" s="13">
        <v>3000</v>
      </c>
      <c r="E9" s="13">
        <f t="shared" si="0"/>
        <v>5.0999999999999996</v>
      </c>
      <c r="F9" s="14">
        <v>30000</v>
      </c>
      <c r="G9" s="13">
        <f t="shared" si="1"/>
        <v>51</v>
      </c>
    </row>
    <row r="10" spans="2:7" ht="15.5" x14ac:dyDescent="0.35">
      <c r="B10" s="12" t="s">
        <v>25</v>
      </c>
      <c r="C10" s="13">
        <v>4</v>
      </c>
      <c r="D10" s="13">
        <v>60000</v>
      </c>
      <c r="E10" s="13">
        <f t="shared" si="0"/>
        <v>102</v>
      </c>
      <c r="F10" s="14">
        <v>240000</v>
      </c>
      <c r="G10" s="13">
        <f t="shared" si="1"/>
        <v>408</v>
      </c>
    </row>
    <row r="11" spans="2:7" ht="15.5" x14ac:dyDescent="0.35">
      <c r="B11" s="12" t="s">
        <v>26</v>
      </c>
      <c r="C11" s="13">
        <v>2</v>
      </c>
      <c r="D11" s="13">
        <v>200000</v>
      </c>
      <c r="E11" s="13">
        <f t="shared" si="0"/>
        <v>340</v>
      </c>
      <c r="F11" s="14">
        <v>400000</v>
      </c>
      <c r="G11" s="13">
        <f t="shared" si="1"/>
        <v>680</v>
      </c>
    </row>
    <row r="12" spans="2:7" ht="15.5" x14ac:dyDescent="0.35">
      <c r="B12" s="12" t="s">
        <v>27</v>
      </c>
      <c r="C12" s="13">
        <v>20</v>
      </c>
      <c r="D12" s="13">
        <v>1000</v>
      </c>
      <c r="E12" s="13">
        <f t="shared" si="0"/>
        <v>1.7</v>
      </c>
      <c r="F12" s="14">
        <v>20000</v>
      </c>
      <c r="G12" s="13">
        <f t="shared" si="1"/>
        <v>34</v>
      </c>
    </row>
    <row r="13" spans="2:7" ht="30" x14ac:dyDescent="0.35">
      <c r="B13" s="15" t="s">
        <v>28</v>
      </c>
      <c r="C13" s="13">
        <v>1</v>
      </c>
      <c r="D13" s="13">
        <v>400000</v>
      </c>
      <c r="E13" s="13">
        <f t="shared" si="0"/>
        <v>680</v>
      </c>
      <c r="F13" s="14">
        <v>400000</v>
      </c>
      <c r="G13" s="13">
        <f t="shared" si="1"/>
        <v>680</v>
      </c>
    </row>
    <row r="14" spans="2:7" ht="15.5" x14ac:dyDescent="0.35">
      <c r="B14" s="12" t="s">
        <v>29</v>
      </c>
      <c r="C14" s="13">
        <v>1</v>
      </c>
      <c r="D14" s="13">
        <v>700000</v>
      </c>
      <c r="E14" s="13">
        <f t="shared" si="0"/>
        <v>1190</v>
      </c>
      <c r="F14" s="14">
        <v>700000</v>
      </c>
      <c r="G14" s="13">
        <f t="shared" si="1"/>
        <v>1190</v>
      </c>
    </row>
    <row r="15" spans="2:7" ht="15.5" x14ac:dyDescent="0.35">
      <c r="B15" s="12" t="s">
        <v>30</v>
      </c>
      <c r="C15" s="13">
        <v>5</v>
      </c>
      <c r="D15" s="13">
        <v>125000</v>
      </c>
      <c r="E15" s="13">
        <f t="shared" si="0"/>
        <v>212.5</v>
      </c>
      <c r="F15" s="14">
        <v>625000</v>
      </c>
      <c r="G15" s="13">
        <f t="shared" si="1"/>
        <v>1062.5</v>
      </c>
    </row>
    <row r="16" spans="2:7" ht="15.5" x14ac:dyDescent="0.35">
      <c r="B16" s="12" t="s">
        <v>31</v>
      </c>
      <c r="C16" s="13">
        <v>10</v>
      </c>
      <c r="D16" s="13">
        <v>2500</v>
      </c>
      <c r="E16" s="13">
        <f t="shared" si="0"/>
        <v>4.25</v>
      </c>
      <c r="F16" s="14">
        <v>25000</v>
      </c>
      <c r="G16" s="13">
        <f t="shared" si="1"/>
        <v>42.5</v>
      </c>
    </row>
    <row r="17" spans="2:7" ht="15.5" x14ac:dyDescent="0.35">
      <c r="B17" s="12" t="s">
        <v>32</v>
      </c>
      <c r="C17" s="13">
        <v>4</v>
      </c>
      <c r="D17" s="13">
        <v>2000</v>
      </c>
      <c r="E17" s="13">
        <f t="shared" si="0"/>
        <v>3.4</v>
      </c>
      <c r="F17" s="14">
        <v>8000</v>
      </c>
      <c r="G17" s="13">
        <f t="shared" si="1"/>
        <v>13.6</v>
      </c>
    </row>
    <row r="18" spans="2:7" ht="15.5" x14ac:dyDescent="0.35">
      <c r="B18" s="16" t="s">
        <v>33</v>
      </c>
      <c r="C18" s="13">
        <v>4</v>
      </c>
      <c r="D18" s="13">
        <v>6000</v>
      </c>
      <c r="E18" s="13">
        <f t="shared" si="0"/>
        <v>10.199999999999999</v>
      </c>
      <c r="F18" s="14">
        <v>24000</v>
      </c>
      <c r="G18" s="13">
        <f t="shared" si="1"/>
        <v>40.799999999999997</v>
      </c>
    </row>
    <row r="19" spans="2:7" ht="31" x14ac:dyDescent="0.35">
      <c r="B19" s="12" t="s">
        <v>34</v>
      </c>
      <c r="C19" s="13">
        <v>1</v>
      </c>
      <c r="D19" s="13">
        <v>10000000</v>
      </c>
      <c r="E19" s="13">
        <f t="shared" si="0"/>
        <v>17000</v>
      </c>
      <c r="F19" s="14">
        <v>10000000</v>
      </c>
      <c r="G19" s="13">
        <f t="shared" si="1"/>
        <v>17000</v>
      </c>
    </row>
    <row r="20" spans="2:7" ht="15.5" x14ac:dyDescent="0.35">
      <c r="B20" s="12" t="s">
        <v>35</v>
      </c>
      <c r="C20" s="13">
        <v>50</v>
      </c>
      <c r="D20" s="13">
        <v>5000</v>
      </c>
      <c r="E20" s="13">
        <f t="shared" si="0"/>
        <v>8.5</v>
      </c>
      <c r="F20" s="14">
        <v>250000</v>
      </c>
      <c r="G20" s="13">
        <f t="shared" si="1"/>
        <v>425</v>
      </c>
    </row>
    <row r="21" spans="2:7" ht="15.5" x14ac:dyDescent="0.35">
      <c r="B21" s="12" t="s">
        <v>36</v>
      </c>
      <c r="C21" s="13">
        <v>2</v>
      </c>
      <c r="D21" s="13">
        <v>500000</v>
      </c>
      <c r="E21" s="13">
        <f t="shared" si="0"/>
        <v>850</v>
      </c>
      <c r="F21" s="14">
        <v>1000000</v>
      </c>
      <c r="G21" s="13">
        <f t="shared" si="1"/>
        <v>1700</v>
      </c>
    </row>
    <row r="22" spans="2:7" ht="31" x14ac:dyDescent="0.35">
      <c r="B22" s="12" t="s">
        <v>37</v>
      </c>
      <c r="C22" s="13">
        <v>20</v>
      </c>
      <c r="D22" s="13">
        <v>300000</v>
      </c>
      <c r="E22" s="13">
        <f t="shared" si="0"/>
        <v>510</v>
      </c>
      <c r="F22" s="14">
        <v>6000000</v>
      </c>
      <c r="G22" s="13">
        <f t="shared" si="1"/>
        <v>10200</v>
      </c>
    </row>
    <row r="23" spans="2:7" ht="30" x14ac:dyDescent="0.35">
      <c r="B23" s="15" t="s">
        <v>38</v>
      </c>
      <c r="C23" s="13">
        <v>1</v>
      </c>
      <c r="D23" s="13">
        <v>2500000</v>
      </c>
      <c r="E23" s="13">
        <f t="shared" si="0"/>
        <v>4250</v>
      </c>
      <c r="F23" s="14">
        <v>2500000</v>
      </c>
      <c r="G23" s="13">
        <f t="shared" si="1"/>
        <v>4250</v>
      </c>
    </row>
    <row r="24" spans="2:7" ht="15.5" x14ac:dyDescent="0.35">
      <c r="B24" s="12" t="s">
        <v>39</v>
      </c>
      <c r="C24" s="13">
        <v>1</v>
      </c>
      <c r="D24" s="13">
        <v>1500000</v>
      </c>
      <c r="E24" s="13">
        <f t="shared" si="0"/>
        <v>2550</v>
      </c>
      <c r="F24" s="13">
        <v>1500000</v>
      </c>
      <c r="G24" s="13">
        <f t="shared" si="1"/>
        <v>2550</v>
      </c>
    </row>
    <row r="25" spans="2:7" ht="15.5" x14ac:dyDescent="0.35">
      <c r="B25" s="16" t="s">
        <v>40</v>
      </c>
      <c r="C25" s="13">
        <v>10</v>
      </c>
      <c r="D25" s="13">
        <v>10000</v>
      </c>
      <c r="E25" s="13">
        <f t="shared" si="0"/>
        <v>17</v>
      </c>
      <c r="F25" s="14">
        <v>100000</v>
      </c>
      <c r="G25" s="13">
        <f t="shared" si="1"/>
        <v>170</v>
      </c>
    </row>
    <row r="26" spans="2:7" ht="15.5" x14ac:dyDescent="0.35">
      <c r="B26" s="23" t="s">
        <v>41</v>
      </c>
      <c r="C26" s="24"/>
      <c r="D26" s="24"/>
      <c r="E26" s="24"/>
      <c r="F26" s="18">
        <f>SUM(F7:F25)</f>
        <v>24197000</v>
      </c>
      <c r="G26" s="18">
        <f>SUM(G7:G25)</f>
        <v>41134.9</v>
      </c>
    </row>
    <row r="27" spans="2:7" ht="15.5" customHeight="1" x14ac:dyDescent="0.35">
      <c r="B27" s="41" t="s">
        <v>42</v>
      </c>
      <c r="C27" s="42"/>
      <c r="D27" s="42"/>
      <c r="E27" s="42"/>
      <c r="F27" s="42"/>
      <c r="G27" s="43"/>
    </row>
    <row r="28" spans="2:7" ht="30" x14ac:dyDescent="0.35">
      <c r="B28" s="19" t="s">
        <v>43</v>
      </c>
      <c r="C28" s="20">
        <v>1</v>
      </c>
      <c r="D28" s="20">
        <v>750000</v>
      </c>
      <c r="E28" s="13">
        <f t="shared" ref="E28:E45" si="2">$E$2*D28</f>
        <v>1275</v>
      </c>
      <c r="F28" s="14">
        <v>750000</v>
      </c>
      <c r="G28" s="13">
        <f t="shared" ref="G28:G45" si="3">$E$2*F28</f>
        <v>1275</v>
      </c>
    </row>
    <row r="29" spans="2:7" ht="15.5" x14ac:dyDescent="0.35">
      <c r="B29" s="19" t="s">
        <v>44</v>
      </c>
      <c r="C29" s="20">
        <v>1</v>
      </c>
      <c r="D29" s="20">
        <v>600000</v>
      </c>
      <c r="E29" s="13">
        <f t="shared" si="2"/>
        <v>1020</v>
      </c>
      <c r="F29" s="14">
        <v>600000</v>
      </c>
      <c r="G29" s="13">
        <f t="shared" si="3"/>
        <v>1020</v>
      </c>
    </row>
    <row r="30" spans="2:7" ht="15.5" x14ac:dyDescent="0.35">
      <c r="B30" s="19" t="s">
        <v>45</v>
      </c>
      <c r="C30" s="20">
        <v>1</v>
      </c>
      <c r="D30" s="20">
        <v>700000</v>
      </c>
      <c r="E30" s="13">
        <f t="shared" si="2"/>
        <v>1190</v>
      </c>
      <c r="F30" s="14">
        <v>700000</v>
      </c>
      <c r="G30" s="13">
        <f t="shared" si="3"/>
        <v>1190</v>
      </c>
    </row>
    <row r="31" spans="2:7" ht="15.5" x14ac:dyDescent="0.35">
      <c r="B31" s="16" t="s">
        <v>46</v>
      </c>
      <c r="C31" s="13">
        <v>1</v>
      </c>
      <c r="D31" s="13">
        <v>500000</v>
      </c>
      <c r="E31" s="13">
        <f t="shared" si="2"/>
        <v>850</v>
      </c>
      <c r="F31" s="14">
        <v>500000</v>
      </c>
      <c r="G31" s="13">
        <f t="shared" si="3"/>
        <v>850</v>
      </c>
    </row>
    <row r="32" spans="2:7" ht="15.5" x14ac:dyDescent="0.35">
      <c r="B32" s="16" t="s">
        <v>47</v>
      </c>
      <c r="C32" s="13">
        <v>5</v>
      </c>
      <c r="D32" s="13">
        <v>200000</v>
      </c>
      <c r="E32" s="13">
        <f t="shared" si="2"/>
        <v>340</v>
      </c>
      <c r="F32" s="14">
        <v>1000000</v>
      </c>
      <c r="G32" s="13">
        <f t="shared" si="3"/>
        <v>1700</v>
      </c>
    </row>
    <row r="33" spans="2:7" ht="15.5" x14ac:dyDescent="0.35">
      <c r="B33" s="16" t="s">
        <v>48</v>
      </c>
      <c r="C33" s="13">
        <v>1</v>
      </c>
      <c r="D33" s="13">
        <v>2750000</v>
      </c>
      <c r="E33" s="13">
        <f t="shared" si="2"/>
        <v>4675</v>
      </c>
      <c r="F33" s="14">
        <v>2750000</v>
      </c>
      <c r="G33" s="13">
        <f t="shared" si="3"/>
        <v>4675</v>
      </c>
    </row>
    <row r="34" spans="2:7" ht="15.5" x14ac:dyDescent="0.35">
      <c r="B34" s="16" t="s">
        <v>49</v>
      </c>
      <c r="C34" s="13">
        <v>1</v>
      </c>
      <c r="D34" s="13">
        <v>3000000</v>
      </c>
      <c r="E34" s="13">
        <f t="shared" si="2"/>
        <v>5100</v>
      </c>
      <c r="F34" s="14">
        <v>3000000</v>
      </c>
      <c r="G34" s="13">
        <f t="shared" si="3"/>
        <v>5100</v>
      </c>
    </row>
    <row r="35" spans="2:7" ht="15.5" x14ac:dyDescent="0.35">
      <c r="B35" s="16" t="s">
        <v>50</v>
      </c>
      <c r="C35" s="13">
        <v>1</v>
      </c>
      <c r="D35" s="13">
        <v>700000</v>
      </c>
      <c r="E35" s="13">
        <f t="shared" si="2"/>
        <v>1190</v>
      </c>
      <c r="F35" s="14">
        <v>700000</v>
      </c>
      <c r="G35" s="13">
        <f t="shared" si="3"/>
        <v>1190</v>
      </c>
    </row>
    <row r="36" spans="2:7" ht="15.5" x14ac:dyDescent="0.35">
      <c r="B36" s="19" t="s">
        <v>51</v>
      </c>
      <c r="C36" s="20">
        <v>4</v>
      </c>
      <c r="D36" s="20">
        <v>60000</v>
      </c>
      <c r="E36" s="13">
        <f t="shared" si="2"/>
        <v>102</v>
      </c>
      <c r="F36" s="14">
        <v>240000</v>
      </c>
      <c r="G36" s="13">
        <f t="shared" si="3"/>
        <v>408</v>
      </c>
    </row>
    <row r="37" spans="2:7" ht="15.5" x14ac:dyDescent="0.35">
      <c r="B37" s="16" t="s">
        <v>52</v>
      </c>
      <c r="C37" s="13">
        <v>10</v>
      </c>
      <c r="D37" s="13">
        <v>17500</v>
      </c>
      <c r="E37" s="13">
        <f t="shared" si="2"/>
        <v>29.75</v>
      </c>
      <c r="F37" s="14">
        <v>175000</v>
      </c>
      <c r="G37" s="13">
        <f t="shared" si="3"/>
        <v>297.5</v>
      </c>
    </row>
    <row r="38" spans="2:7" ht="15.5" x14ac:dyDescent="0.35">
      <c r="B38" s="19" t="s">
        <v>53</v>
      </c>
      <c r="C38" s="20">
        <v>10</v>
      </c>
      <c r="D38" s="20">
        <v>3000</v>
      </c>
      <c r="E38" s="13">
        <f t="shared" si="2"/>
        <v>5.0999999999999996</v>
      </c>
      <c r="F38" s="14">
        <v>30000</v>
      </c>
      <c r="G38" s="13">
        <f t="shared" si="3"/>
        <v>51</v>
      </c>
    </row>
    <row r="39" spans="2:7" ht="15.5" x14ac:dyDescent="0.35">
      <c r="B39" s="19" t="s">
        <v>33</v>
      </c>
      <c r="C39" s="20">
        <v>4</v>
      </c>
      <c r="D39" s="20">
        <v>6000</v>
      </c>
      <c r="E39" s="13">
        <f t="shared" si="2"/>
        <v>10.199999999999999</v>
      </c>
      <c r="F39" s="14">
        <v>24000</v>
      </c>
      <c r="G39" s="13">
        <f t="shared" si="3"/>
        <v>40.799999999999997</v>
      </c>
    </row>
    <row r="40" spans="2:7" ht="15.5" x14ac:dyDescent="0.35">
      <c r="B40" s="19" t="s">
        <v>32</v>
      </c>
      <c r="C40" s="20">
        <v>4</v>
      </c>
      <c r="D40" s="20">
        <v>2000</v>
      </c>
      <c r="E40" s="13">
        <f t="shared" si="2"/>
        <v>3.4</v>
      </c>
      <c r="F40" s="14">
        <v>8000</v>
      </c>
      <c r="G40" s="13">
        <f t="shared" si="3"/>
        <v>13.6</v>
      </c>
    </row>
    <row r="41" spans="2:7" ht="15.5" x14ac:dyDescent="0.35">
      <c r="B41" s="19" t="s">
        <v>54</v>
      </c>
      <c r="C41" s="20">
        <v>1</v>
      </c>
      <c r="D41" s="20">
        <v>10000000</v>
      </c>
      <c r="E41" s="13">
        <f t="shared" si="2"/>
        <v>17000</v>
      </c>
      <c r="F41" s="14">
        <v>10000000</v>
      </c>
      <c r="G41" s="13">
        <f t="shared" si="3"/>
        <v>17000</v>
      </c>
    </row>
    <row r="42" spans="2:7" ht="15.5" x14ac:dyDescent="0.35">
      <c r="B42" s="19" t="s">
        <v>55</v>
      </c>
      <c r="C42" s="20">
        <v>50</v>
      </c>
      <c r="D42" s="20">
        <v>5000</v>
      </c>
      <c r="E42" s="13">
        <f t="shared" si="2"/>
        <v>8.5</v>
      </c>
      <c r="F42" s="14">
        <v>250000</v>
      </c>
      <c r="G42" s="13">
        <f t="shared" si="3"/>
        <v>425</v>
      </c>
    </row>
    <row r="43" spans="2:7" ht="15.5" x14ac:dyDescent="0.35">
      <c r="B43" s="16" t="s">
        <v>56</v>
      </c>
      <c r="C43" s="13">
        <v>1</v>
      </c>
      <c r="D43" s="13">
        <v>10000000</v>
      </c>
      <c r="E43" s="13">
        <f t="shared" si="2"/>
        <v>17000</v>
      </c>
      <c r="F43" s="14">
        <v>10000000</v>
      </c>
      <c r="G43" s="13">
        <f t="shared" si="3"/>
        <v>17000</v>
      </c>
    </row>
    <row r="44" spans="2:7" ht="31" x14ac:dyDescent="0.35">
      <c r="B44" s="16" t="s">
        <v>57</v>
      </c>
      <c r="C44" s="13">
        <v>20</v>
      </c>
      <c r="D44" s="13">
        <v>20000</v>
      </c>
      <c r="E44" s="13">
        <f t="shared" si="2"/>
        <v>34</v>
      </c>
      <c r="F44" s="14">
        <v>400000</v>
      </c>
      <c r="G44" s="13">
        <f t="shared" si="3"/>
        <v>680</v>
      </c>
    </row>
    <row r="45" spans="2:7" ht="15.5" x14ac:dyDescent="0.35">
      <c r="B45" s="16" t="s">
        <v>58</v>
      </c>
      <c r="C45" s="13">
        <v>1</v>
      </c>
      <c r="D45" s="13">
        <v>700000</v>
      </c>
      <c r="E45" s="13">
        <f t="shared" si="2"/>
        <v>1190</v>
      </c>
      <c r="F45" s="14">
        <v>700000</v>
      </c>
      <c r="G45" s="13">
        <f t="shared" si="3"/>
        <v>1190</v>
      </c>
    </row>
    <row r="46" spans="2:7" ht="15.5" x14ac:dyDescent="0.35">
      <c r="B46" s="21" t="s">
        <v>59</v>
      </c>
      <c r="C46" s="25"/>
      <c r="D46" s="25"/>
      <c r="E46" s="25"/>
      <c r="F46" s="18">
        <f>SUM(F28:F45)</f>
        <v>31827000</v>
      </c>
      <c r="G46" s="18">
        <f>SUM(G28:G45)</f>
        <v>54105.899999999994</v>
      </c>
    </row>
    <row r="47" spans="2:7" ht="15.5" x14ac:dyDescent="0.35">
      <c r="B47" s="44" t="s">
        <v>60</v>
      </c>
      <c r="C47" s="44"/>
      <c r="D47" s="44"/>
      <c r="E47" s="44"/>
      <c r="F47" s="44"/>
      <c r="G47" s="17"/>
    </row>
    <row r="48" spans="2:7" ht="15.5" x14ac:dyDescent="0.35">
      <c r="B48" s="16" t="s">
        <v>61</v>
      </c>
      <c r="C48" s="13">
        <v>1</v>
      </c>
      <c r="D48" s="13">
        <v>5000000</v>
      </c>
      <c r="E48" s="13">
        <f t="shared" ref="E48:E60" si="4">$E$2*D48</f>
        <v>8500</v>
      </c>
      <c r="F48" s="13">
        <v>5000000</v>
      </c>
      <c r="G48" s="13">
        <f t="shared" ref="G48:G60" si="5">$E$2*F48</f>
        <v>8500</v>
      </c>
    </row>
    <row r="49" spans="2:7" ht="15.5" x14ac:dyDescent="0.35">
      <c r="B49" s="16" t="s">
        <v>62</v>
      </c>
      <c r="C49" s="13">
        <v>1</v>
      </c>
      <c r="D49" s="13">
        <v>1000000</v>
      </c>
      <c r="E49" s="13">
        <f t="shared" si="4"/>
        <v>1700</v>
      </c>
      <c r="F49" s="13">
        <v>1000000</v>
      </c>
      <c r="G49" s="13">
        <f t="shared" si="5"/>
        <v>1700</v>
      </c>
    </row>
    <row r="50" spans="2:7" ht="31" x14ac:dyDescent="0.35">
      <c r="B50" s="16" t="s">
        <v>63</v>
      </c>
      <c r="C50" s="13">
        <v>1</v>
      </c>
      <c r="D50" s="13">
        <v>5000000</v>
      </c>
      <c r="E50" s="13">
        <f t="shared" si="4"/>
        <v>8500</v>
      </c>
      <c r="F50" s="13">
        <v>5000000</v>
      </c>
      <c r="G50" s="13">
        <f t="shared" si="5"/>
        <v>8500</v>
      </c>
    </row>
    <row r="51" spans="2:7" ht="15.5" x14ac:dyDescent="0.35">
      <c r="B51" s="19" t="s">
        <v>64</v>
      </c>
      <c r="C51" s="20">
        <v>1</v>
      </c>
      <c r="D51" s="13">
        <v>1500000</v>
      </c>
      <c r="E51" s="13">
        <f t="shared" si="4"/>
        <v>2550</v>
      </c>
      <c r="F51" s="13">
        <v>1500000</v>
      </c>
      <c r="G51" s="13">
        <f t="shared" si="5"/>
        <v>2550</v>
      </c>
    </row>
    <row r="52" spans="2:7" ht="15.5" x14ac:dyDescent="0.35">
      <c r="B52" s="19" t="s">
        <v>9</v>
      </c>
      <c r="C52" s="20">
        <v>1</v>
      </c>
      <c r="D52" s="20">
        <v>500000</v>
      </c>
      <c r="E52" s="13">
        <f t="shared" si="4"/>
        <v>850</v>
      </c>
      <c r="F52" s="13">
        <v>500000</v>
      </c>
      <c r="G52" s="13">
        <f t="shared" si="5"/>
        <v>850</v>
      </c>
    </row>
    <row r="53" spans="2:7" ht="62" x14ac:dyDescent="0.35">
      <c r="B53" s="16" t="s">
        <v>65</v>
      </c>
      <c r="C53" s="13">
        <v>1</v>
      </c>
      <c r="D53" s="13">
        <v>1500000</v>
      </c>
      <c r="E53" s="13">
        <f t="shared" si="4"/>
        <v>2550</v>
      </c>
      <c r="F53" s="13">
        <v>1500000</v>
      </c>
      <c r="G53" s="13">
        <f t="shared" si="5"/>
        <v>2550</v>
      </c>
    </row>
    <row r="54" spans="2:7" ht="15.5" x14ac:dyDescent="0.35">
      <c r="B54" s="19" t="s">
        <v>66</v>
      </c>
      <c r="C54" s="20">
        <v>1</v>
      </c>
      <c r="D54" s="20">
        <v>12000000</v>
      </c>
      <c r="E54" s="13">
        <f t="shared" si="4"/>
        <v>20400</v>
      </c>
      <c r="F54" s="13">
        <v>12000000</v>
      </c>
      <c r="G54" s="13">
        <f t="shared" si="5"/>
        <v>20400</v>
      </c>
    </row>
    <row r="55" spans="2:7" ht="15.5" x14ac:dyDescent="0.35">
      <c r="B55" s="19" t="s">
        <v>67</v>
      </c>
      <c r="C55" s="20">
        <v>1</v>
      </c>
      <c r="D55" s="20">
        <v>5000000</v>
      </c>
      <c r="E55" s="13">
        <f t="shared" si="4"/>
        <v>8500</v>
      </c>
      <c r="F55" s="13">
        <v>5000000</v>
      </c>
      <c r="G55" s="13">
        <f t="shared" si="5"/>
        <v>8500</v>
      </c>
    </row>
    <row r="56" spans="2:7" ht="15.5" x14ac:dyDescent="0.35">
      <c r="B56" s="16" t="s">
        <v>68</v>
      </c>
      <c r="C56" s="13">
        <v>1</v>
      </c>
      <c r="D56" s="13">
        <v>5000000</v>
      </c>
      <c r="E56" s="13">
        <f t="shared" si="4"/>
        <v>8500</v>
      </c>
      <c r="F56" s="13">
        <v>5000000</v>
      </c>
      <c r="G56" s="13">
        <f t="shared" si="5"/>
        <v>8500</v>
      </c>
    </row>
    <row r="57" spans="2:7" ht="15.5" x14ac:dyDescent="0.35">
      <c r="B57" s="16" t="s">
        <v>69</v>
      </c>
      <c r="C57" s="13">
        <v>1</v>
      </c>
      <c r="D57" s="13">
        <v>3000000</v>
      </c>
      <c r="E57" s="13">
        <f t="shared" si="4"/>
        <v>5100</v>
      </c>
      <c r="F57" s="13">
        <v>3000000</v>
      </c>
      <c r="G57" s="13">
        <f t="shared" si="5"/>
        <v>5100</v>
      </c>
    </row>
    <row r="58" spans="2:7" ht="45" x14ac:dyDescent="0.35">
      <c r="B58" s="19" t="s">
        <v>70</v>
      </c>
      <c r="C58" s="20">
        <v>1</v>
      </c>
      <c r="D58" s="20">
        <v>700000</v>
      </c>
      <c r="E58" s="13">
        <f t="shared" si="4"/>
        <v>1190</v>
      </c>
      <c r="F58" s="13">
        <v>700000</v>
      </c>
      <c r="G58" s="13">
        <f t="shared" si="5"/>
        <v>1190</v>
      </c>
    </row>
    <row r="59" spans="2:7" ht="15.5" x14ac:dyDescent="0.35">
      <c r="B59" s="16" t="s">
        <v>71</v>
      </c>
      <c r="C59" s="13">
        <v>1</v>
      </c>
      <c r="D59" s="13">
        <v>1750000</v>
      </c>
      <c r="E59" s="13">
        <f t="shared" si="4"/>
        <v>2975</v>
      </c>
      <c r="F59" s="13">
        <v>1750000</v>
      </c>
      <c r="G59" s="13">
        <f t="shared" si="5"/>
        <v>2975</v>
      </c>
    </row>
    <row r="60" spans="2:7" ht="15.5" x14ac:dyDescent="0.35">
      <c r="B60" s="19" t="s">
        <v>72</v>
      </c>
      <c r="C60" s="20">
        <v>1</v>
      </c>
      <c r="D60" s="20">
        <v>2000000</v>
      </c>
      <c r="E60" s="13">
        <f t="shared" si="4"/>
        <v>3400</v>
      </c>
      <c r="F60" s="13">
        <v>2000000</v>
      </c>
      <c r="G60" s="13">
        <f t="shared" si="5"/>
        <v>3400</v>
      </c>
    </row>
    <row r="61" spans="2:7" ht="15.5" x14ac:dyDescent="0.35">
      <c r="B61" s="23" t="s">
        <v>73</v>
      </c>
      <c r="C61" s="24"/>
      <c r="D61" s="24"/>
      <c r="E61" s="24"/>
      <c r="F61" s="18">
        <f>SUM(F48:F60)</f>
        <v>43950000</v>
      </c>
      <c r="G61" s="18">
        <f>SUM(G48:G60)</f>
        <v>74715</v>
      </c>
    </row>
    <row r="62" spans="2:7" ht="15.5" x14ac:dyDescent="0.35">
      <c r="B62" s="23" t="s">
        <v>74</v>
      </c>
      <c r="C62" s="24"/>
      <c r="D62" s="24"/>
      <c r="E62" s="24"/>
      <c r="F62" s="18">
        <f>F26+F46+F61</f>
        <v>99974000</v>
      </c>
      <c r="G62" s="18">
        <f>G26+G46+G61</f>
        <v>169955.8</v>
      </c>
    </row>
  </sheetData>
  <mergeCells count="8">
    <mergeCell ref="B27:G27"/>
    <mergeCell ref="B47:F47"/>
    <mergeCell ref="B3:G3"/>
    <mergeCell ref="F4:G4"/>
    <mergeCell ref="D4:E4"/>
    <mergeCell ref="B4:B5"/>
    <mergeCell ref="C4:C5"/>
    <mergeCell ref="B6:G6"/>
  </mergeCells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2019-04-12T04:05:28Z</dcterms:created>
  <dcterms:modified xsi:type="dcterms:W3CDTF">2019-04-14T16:26:44Z</dcterms:modified>
</cp:coreProperties>
</file>